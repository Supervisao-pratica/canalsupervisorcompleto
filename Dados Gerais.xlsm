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senacpr-my.sharepoint.com/personal/michel_farias_pr_senac_br/Documents/Área de Trabalho/Planilha Supervisão - Mala Direta/"/>
    </mc:Choice>
  </mc:AlternateContent>
  <xr:revisionPtr revIDLastSave="0" documentId="8_{BAD02CA1-7B63-4CF5-98A6-FFAD4744D7B7}" xr6:coauthVersionLast="47" xr6:coauthVersionMax="47" xr10:uidLastSave="{00000000-0000-0000-0000-000000000000}"/>
  <bookViews>
    <workbookView xWindow="-120" yWindow="-120" windowWidth="29040" windowHeight="15720" firstSheet="14" activeTab="2" xr2:uid="{A004AB0B-EB63-4FC8-BEB2-79F5E209A99F}"/>
  </bookViews>
  <sheets>
    <sheet name="CC" sheetId="36" state="hidden" r:id="rId1"/>
    <sheet name="Controle total de jovens" sheetId="40" r:id="rId2"/>
    <sheet name="Usuarios" sheetId="44" r:id="rId3"/>
    <sheet name="Avisos" sheetId="4" r:id="rId4"/>
    <sheet name="Dados das Regiões " sheetId="2" r:id="rId5"/>
    <sheet name="PLANEJAMENTO - BOCAIÚVA" sheetId="25" state="hidden" r:id="rId6"/>
    <sheet name="PLANEJAMENTO - RIO NEGRO" sheetId="28" state="hidden" r:id="rId7"/>
    <sheet name="RELAÇÃO - ENCERRADOS " sheetId="16" state="hidden" r:id="rId8"/>
    <sheet name="PLANEJAMENTO - PRUDENTÓPOLIS " sheetId="34" state="hidden" r:id="rId9"/>
    <sheet name="PLANEJAMENTO - IRATI" sheetId="33" state="hidden" r:id="rId10"/>
    <sheet name="PLANEJAMENTO - CASTRO " sheetId="30" state="hidden" r:id="rId11"/>
    <sheet name="PLANEJAMENTO - PONTA GROSSA" sheetId="31" state="hidden" r:id="rId12"/>
    <sheet name="PLANEJAMENTO - ITAPERUÇU " sheetId="23" state="hidden" r:id="rId13"/>
    <sheet name="PLANEJAMENTO -PIEN" sheetId="26" state="hidden" r:id="rId14"/>
    <sheet name="Dados Gerais - Téc" sheetId="37" r:id="rId15"/>
    <sheet name="Dados Gerais" sheetId="3" r:id="rId16"/>
    <sheet name="Modelo" sheetId="41" r:id="rId17"/>
    <sheet name="Modelo (3)" sheetId="43" r:id="rId18"/>
    <sheet name="Modelo (2)" sheetId="42" r:id="rId19"/>
    <sheet name="PLANEJAMENTO  - MANDIRITUBA " sheetId="22" state="hidden" r:id="rId20"/>
    <sheet name="PLANEJAMENTO  -  Morret e Pont" sheetId="38" state="hidden" r:id="rId21"/>
    <sheet name="PLANEJAMENTO  - CAMPO MAGRO " sheetId="39" state="hidden" r:id="rId22"/>
    <sheet name="PLANEJAMENTO  - PONTA GROSSA" sheetId="13" state="hidden" r:id="rId23"/>
    <sheet name="PLANEJAMENTO - TIJUCAS DO SUL " sheetId="32" state="hidden" r:id="rId24"/>
  </sheets>
  <definedNames>
    <definedName name="_xlnm._FilterDatabase" localSheetId="0" hidden="1">CC!$E$1:$F$1</definedName>
    <definedName name="_xlnm._FilterDatabase" localSheetId="4" hidden="1">'Dados das Regiões '!$A$1:$B$402</definedName>
    <definedName name="_xlnm._FilterDatabase" localSheetId="15" hidden="1">'Dados Gerais'!$A$1:$F$738</definedName>
    <definedName name="_xlnm._FilterDatabase" localSheetId="20" hidden="1">'PLANEJAMENTO  -  Morret e Pont'!$A$1:$Q$1</definedName>
    <definedName name="_xlnm._FilterDatabase" localSheetId="21" hidden="1">'PLANEJAMENTO  - CAMPO MAGRO '!$A$1:$Q$1</definedName>
    <definedName name="_xlnm._FilterDatabase" localSheetId="19" hidden="1">'PLANEJAMENTO  - MANDIRITUBA '!$A$1:$Q$1</definedName>
    <definedName name="_xlnm._FilterDatabase" localSheetId="22" hidden="1">'PLANEJAMENTO  - PONTA GROSSA'!$A$1:$P$1</definedName>
    <definedName name="_xlnm._FilterDatabase" localSheetId="5" hidden="1">'PLANEJAMENTO - BOCAIÚVA'!$A$1:$P$1</definedName>
    <definedName name="_xlnm._FilterDatabase" localSheetId="10" hidden="1">'PLANEJAMENTO - CASTRO '!$A$1:$Q$1</definedName>
    <definedName name="_xlnm._FilterDatabase" localSheetId="9" hidden="1">'PLANEJAMENTO - IRATI'!$A$1:$P$1</definedName>
    <definedName name="_xlnm._FilterDatabase" localSheetId="12" hidden="1">'PLANEJAMENTO - ITAPERUÇU '!$A$1:$P$1</definedName>
    <definedName name="_xlnm._FilterDatabase" localSheetId="11" hidden="1">'PLANEJAMENTO - PONTA GROSSA'!$A$1:$P$1</definedName>
    <definedName name="_xlnm._FilterDatabase" localSheetId="8" hidden="1">'PLANEJAMENTO - PRUDENTÓPOLIS '!$A$1:$Q$1</definedName>
    <definedName name="_xlnm._FilterDatabase" localSheetId="6" hidden="1">'PLANEJAMENTO - RIO NEGRO'!$A$1:$P$1</definedName>
    <definedName name="_xlnm._FilterDatabase" localSheetId="23" hidden="1">'PLANEJAMENTO - TIJUCAS DO SUL '!$A$1:$P$1</definedName>
    <definedName name="_xlnm._FilterDatabase" localSheetId="13" hidden="1">'PLANEJAMENTO -PIEN'!$A$1:$P$1</definedName>
    <definedName name="_xlnm._FilterDatabase" localSheetId="7" hidden="1">'RELAÇÃO - ENCERRADOS '!$A$1:$AC$214</definedName>
    <definedName name="Status">'Dados Gerais - Téc'!#REF!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6" i="3" l="1"/>
  <c r="B887" i="3"/>
  <c r="B888" i="3"/>
  <c r="B889" i="3"/>
  <c r="R886" i="3"/>
  <c r="R887" i="3"/>
  <c r="R888" i="3"/>
  <c r="R889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785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Q41" i="40"/>
  <c r="S2" i="40" s="1"/>
  <c r="R250" i="3"/>
  <c r="R58" i="3"/>
  <c r="R695" i="3"/>
  <c r="R622" i="16"/>
  <c r="C622" i="16"/>
  <c r="B622" i="16"/>
  <c r="R621" i="16"/>
  <c r="C621" i="16"/>
  <c r="B621" i="16"/>
  <c r="R620" i="16"/>
  <c r="C620" i="16"/>
  <c r="B620" i="16"/>
  <c r="R619" i="16"/>
  <c r="C619" i="16"/>
  <c r="B619" i="16"/>
  <c r="R618" i="16"/>
  <c r="C618" i="16"/>
  <c r="B618" i="16"/>
  <c r="R617" i="16"/>
  <c r="C617" i="16"/>
  <c r="B617" i="16"/>
  <c r="R616" i="16"/>
  <c r="C616" i="16"/>
  <c r="B616" i="16"/>
  <c r="R615" i="16"/>
  <c r="C615" i="16"/>
  <c r="B615" i="16"/>
  <c r="R614" i="16"/>
  <c r="C614" i="16"/>
  <c r="B614" i="16"/>
  <c r="R885" i="3"/>
  <c r="C885" i="3"/>
  <c r="E885" i="3" s="1"/>
  <c r="B885" i="3"/>
  <c r="R91" i="16"/>
  <c r="C91" i="16"/>
  <c r="E91" i="16" s="1"/>
  <c r="B91" i="16"/>
  <c r="R90" i="16"/>
  <c r="C90" i="16"/>
  <c r="E90" i="16" s="1"/>
  <c r="B90" i="16"/>
  <c r="R89" i="16"/>
  <c r="C89" i="16"/>
  <c r="E89" i="16" s="1"/>
  <c r="B89" i="16"/>
  <c r="R88" i="16"/>
  <c r="C88" i="16"/>
  <c r="E88" i="16" s="1"/>
  <c r="B88" i="16"/>
  <c r="R87" i="16"/>
  <c r="C87" i="16"/>
  <c r="E87" i="16" s="1"/>
  <c r="B87" i="16"/>
  <c r="R86" i="16"/>
  <c r="C86" i="16"/>
  <c r="E86" i="16" s="1"/>
  <c r="B86" i="16"/>
  <c r="R85" i="16"/>
  <c r="C85" i="16"/>
  <c r="E85" i="16" s="1"/>
  <c r="B85" i="16"/>
  <c r="R84" i="16"/>
  <c r="C84" i="16"/>
  <c r="E84" i="16" s="1"/>
  <c r="B84" i="16"/>
  <c r="R83" i="16"/>
  <c r="C83" i="16"/>
  <c r="E83" i="16" s="1"/>
  <c r="B83" i="16"/>
  <c r="R82" i="16"/>
  <c r="C82" i="16"/>
  <c r="E82" i="16" s="1"/>
  <c r="B82" i="16"/>
  <c r="R9" i="16"/>
  <c r="C9" i="16"/>
  <c r="E9" i="16" s="1"/>
  <c r="B9" i="16"/>
  <c r="R8" i="16"/>
  <c r="C8" i="16"/>
  <c r="E8" i="16" s="1"/>
  <c r="B8" i="16"/>
  <c r="R7" i="16"/>
  <c r="C7" i="16"/>
  <c r="E7" i="16" s="1"/>
  <c r="B7" i="16"/>
  <c r="R81" i="16"/>
  <c r="C81" i="16"/>
  <c r="E81" i="16" s="1"/>
  <c r="B81" i="16"/>
  <c r="R6" i="16"/>
  <c r="C6" i="16"/>
  <c r="E6" i="16" s="1"/>
  <c r="B6" i="16"/>
  <c r="R80" i="16"/>
  <c r="C80" i="16"/>
  <c r="E80" i="16" s="1"/>
  <c r="B80" i="16"/>
  <c r="R79" i="16"/>
  <c r="C79" i="16"/>
  <c r="E79" i="16" s="1"/>
  <c r="B79" i="16"/>
  <c r="R78" i="16"/>
  <c r="C78" i="16"/>
  <c r="E78" i="16" s="1"/>
  <c r="B78" i="16"/>
  <c r="R77" i="16"/>
  <c r="C77" i="16"/>
  <c r="E77" i="16" s="1"/>
  <c r="B77" i="16"/>
  <c r="R76" i="16"/>
  <c r="C76" i="16"/>
  <c r="E76" i="16" s="1"/>
  <c r="B76" i="16"/>
  <c r="R75" i="16"/>
  <c r="C75" i="16"/>
  <c r="E75" i="16" s="1"/>
  <c r="B75" i="16"/>
  <c r="R74" i="16"/>
  <c r="C74" i="16"/>
  <c r="E74" i="16" s="1"/>
  <c r="B74" i="16"/>
  <c r="R73" i="16"/>
  <c r="C73" i="16"/>
  <c r="E73" i="16" s="1"/>
  <c r="B73" i="16"/>
  <c r="R72" i="16"/>
  <c r="C72" i="16"/>
  <c r="E72" i="16" s="1"/>
  <c r="B72" i="16"/>
  <c r="R71" i="16"/>
  <c r="C71" i="16"/>
  <c r="E71" i="16" s="1"/>
  <c r="B71" i="16"/>
  <c r="R70" i="16"/>
  <c r="C70" i="16"/>
  <c r="E70" i="16" s="1"/>
  <c r="B70" i="16"/>
  <c r="R69" i="16"/>
  <c r="C69" i="16"/>
  <c r="E69" i="16" s="1"/>
  <c r="B69" i="16"/>
  <c r="R68" i="16"/>
  <c r="C68" i="16"/>
  <c r="E68" i="16" s="1"/>
  <c r="B68" i="16"/>
  <c r="R67" i="16"/>
  <c r="C67" i="16"/>
  <c r="E67" i="16" s="1"/>
  <c r="B67" i="16"/>
  <c r="R66" i="16"/>
  <c r="C66" i="16"/>
  <c r="E66" i="16" s="1"/>
  <c r="B66" i="16"/>
  <c r="R65" i="16"/>
  <c r="C65" i="16"/>
  <c r="E65" i="16" s="1"/>
  <c r="B65" i="16"/>
  <c r="R64" i="16"/>
  <c r="C64" i="16"/>
  <c r="E64" i="16" s="1"/>
  <c r="B64" i="16"/>
  <c r="R63" i="16"/>
  <c r="C63" i="16"/>
  <c r="E63" i="16" s="1"/>
  <c r="B63" i="16"/>
  <c r="R62" i="16"/>
  <c r="C62" i="16"/>
  <c r="E62" i="16" s="1"/>
  <c r="B62" i="16"/>
  <c r="R61" i="16"/>
  <c r="C61" i="16"/>
  <c r="E61" i="16" s="1"/>
  <c r="B61" i="16"/>
  <c r="R60" i="16"/>
  <c r="C60" i="16"/>
  <c r="E60" i="16" s="1"/>
  <c r="B60" i="16"/>
  <c r="R59" i="16"/>
  <c r="C59" i="16"/>
  <c r="E59" i="16" s="1"/>
  <c r="B59" i="16"/>
  <c r="R58" i="16"/>
  <c r="C58" i="16"/>
  <c r="E58" i="16" s="1"/>
  <c r="B58" i="16"/>
  <c r="R57" i="16"/>
  <c r="C57" i="16"/>
  <c r="E57" i="16" s="1"/>
  <c r="B57" i="16"/>
  <c r="R56" i="16"/>
  <c r="E56" i="16"/>
  <c r="B56" i="16"/>
  <c r="R55" i="16"/>
  <c r="C55" i="16"/>
  <c r="E55" i="16" s="1"/>
  <c r="B55" i="16"/>
  <c r="R54" i="16"/>
  <c r="C54" i="16"/>
  <c r="E54" i="16" s="1"/>
  <c r="B54" i="16"/>
  <c r="R53" i="16"/>
  <c r="C53" i="16"/>
  <c r="E53" i="16" s="1"/>
  <c r="B53" i="16"/>
  <c r="R52" i="16"/>
  <c r="C52" i="16"/>
  <c r="E52" i="16" s="1"/>
  <c r="B52" i="16"/>
  <c r="R5" i="16"/>
  <c r="C5" i="16"/>
  <c r="E5" i="16" s="1"/>
  <c r="B5" i="16"/>
  <c r="R4" i="16"/>
  <c r="C4" i="16"/>
  <c r="E4" i="16" s="1"/>
  <c r="B4" i="16"/>
  <c r="R51" i="16"/>
  <c r="C51" i="16"/>
  <c r="E51" i="16" s="1"/>
  <c r="B51" i="16"/>
  <c r="R50" i="16"/>
  <c r="C50" i="16"/>
  <c r="E50" i="16" s="1"/>
  <c r="B50" i="16"/>
  <c r="R49" i="16"/>
  <c r="C49" i="16"/>
  <c r="E49" i="16" s="1"/>
  <c r="B49" i="16"/>
  <c r="R48" i="16"/>
  <c r="C48" i="16"/>
  <c r="E48" i="16" s="1"/>
  <c r="B48" i="16"/>
  <c r="R47" i="16"/>
  <c r="C47" i="16"/>
  <c r="E47" i="16" s="1"/>
  <c r="B47" i="16"/>
  <c r="R3" i="16"/>
  <c r="C3" i="16"/>
  <c r="E3" i="16" s="1"/>
  <c r="B3" i="16"/>
  <c r="R2" i="16"/>
  <c r="C2" i="16"/>
  <c r="E2" i="16" s="1"/>
  <c r="B2" i="16"/>
  <c r="R46" i="16"/>
  <c r="C46" i="16"/>
  <c r="E46" i="16" s="1"/>
  <c r="B46" i="16"/>
  <c r="R45" i="16"/>
  <c r="C45" i="16"/>
  <c r="E45" i="16" s="1"/>
  <c r="B45" i="16"/>
  <c r="R44" i="16"/>
  <c r="C44" i="16"/>
  <c r="E44" i="16" s="1"/>
  <c r="B44" i="16"/>
  <c r="R43" i="16"/>
  <c r="C43" i="16"/>
  <c r="E43" i="16" s="1"/>
  <c r="B43" i="16"/>
  <c r="R42" i="16"/>
  <c r="C42" i="16"/>
  <c r="E42" i="16" s="1"/>
  <c r="B42" i="16"/>
  <c r="R41" i="16"/>
  <c r="C41" i="16"/>
  <c r="E41" i="16" s="1"/>
  <c r="B41" i="16"/>
  <c r="R40" i="16"/>
  <c r="C40" i="16"/>
  <c r="E40" i="16" s="1"/>
  <c r="B40" i="16"/>
  <c r="R39" i="16"/>
  <c r="C39" i="16"/>
  <c r="E39" i="16" s="1"/>
  <c r="B39" i="16"/>
  <c r="R38" i="16"/>
  <c r="C38" i="16"/>
  <c r="E38" i="16" s="1"/>
  <c r="B38" i="16"/>
  <c r="R37" i="16"/>
  <c r="C37" i="16"/>
  <c r="E37" i="16" s="1"/>
  <c r="B37" i="16"/>
  <c r="R36" i="16"/>
  <c r="C36" i="16"/>
  <c r="E36" i="16" s="1"/>
  <c r="B36" i="16"/>
  <c r="R35" i="16"/>
  <c r="C35" i="16"/>
  <c r="E35" i="16" s="1"/>
  <c r="B35" i="16"/>
  <c r="R34" i="16"/>
  <c r="C34" i="16"/>
  <c r="E34" i="16" s="1"/>
  <c r="B34" i="16"/>
  <c r="R33" i="16"/>
  <c r="C33" i="16"/>
  <c r="E33" i="16" s="1"/>
  <c r="B33" i="16"/>
  <c r="R32" i="16"/>
  <c r="C32" i="16"/>
  <c r="E32" i="16" s="1"/>
  <c r="B32" i="16"/>
  <c r="R31" i="16"/>
  <c r="C31" i="16"/>
  <c r="E31" i="16" s="1"/>
  <c r="B31" i="16"/>
  <c r="R30" i="16"/>
  <c r="C30" i="16"/>
  <c r="E30" i="16" s="1"/>
  <c r="B30" i="16"/>
  <c r="R29" i="16"/>
  <c r="C29" i="16"/>
  <c r="E29" i="16" s="1"/>
  <c r="B29" i="16"/>
  <c r="R28" i="16"/>
  <c r="C28" i="16"/>
  <c r="E28" i="16" s="1"/>
  <c r="B28" i="16"/>
  <c r="R27" i="16"/>
  <c r="C27" i="16"/>
  <c r="E27" i="16" s="1"/>
  <c r="B27" i="16"/>
  <c r="R26" i="16"/>
  <c r="C26" i="16"/>
  <c r="E26" i="16" s="1"/>
  <c r="B26" i="16"/>
  <c r="R25" i="16"/>
  <c r="C25" i="16"/>
  <c r="E25" i="16" s="1"/>
  <c r="B25" i="16"/>
  <c r="R24" i="16"/>
  <c r="C24" i="16"/>
  <c r="E24" i="16" s="1"/>
  <c r="B24" i="16"/>
  <c r="R23" i="16"/>
  <c r="C23" i="16"/>
  <c r="E23" i="16" s="1"/>
  <c r="B23" i="16"/>
  <c r="R22" i="16"/>
  <c r="C22" i="16"/>
  <c r="E22" i="16" s="1"/>
  <c r="B22" i="16"/>
  <c r="R21" i="16"/>
  <c r="C21" i="16"/>
  <c r="E21" i="16" s="1"/>
  <c r="B21" i="16"/>
  <c r="R20" i="16"/>
  <c r="C20" i="16"/>
  <c r="E20" i="16" s="1"/>
  <c r="B20" i="16"/>
  <c r="R19" i="16"/>
  <c r="C19" i="16"/>
  <c r="E19" i="16" s="1"/>
  <c r="B19" i="16"/>
  <c r="R18" i="16"/>
  <c r="C18" i="16"/>
  <c r="E18" i="16" s="1"/>
  <c r="B18" i="16"/>
  <c r="R17" i="16"/>
  <c r="C17" i="16"/>
  <c r="E17" i="16" s="1"/>
  <c r="B17" i="16"/>
  <c r="R16" i="16"/>
  <c r="C16" i="16"/>
  <c r="E16" i="16" s="1"/>
  <c r="B16" i="16"/>
  <c r="R15" i="16"/>
  <c r="C15" i="16"/>
  <c r="E15" i="16" s="1"/>
  <c r="B15" i="16"/>
  <c r="R14" i="16"/>
  <c r="C14" i="16"/>
  <c r="E14" i="16" s="1"/>
  <c r="B14" i="16"/>
  <c r="R13" i="16"/>
  <c r="C13" i="16"/>
  <c r="E13" i="16" s="1"/>
  <c r="B13" i="16"/>
  <c r="R12" i="16"/>
  <c r="C12" i="16"/>
  <c r="E12" i="16" s="1"/>
  <c r="B12" i="16"/>
  <c r="R11" i="16"/>
  <c r="C11" i="16"/>
  <c r="E11" i="16" s="1"/>
  <c r="B11" i="16"/>
  <c r="R10" i="16"/>
  <c r="C10" i="16"/>
  <c r="E10" i="16" s="1"/>
  <c r="B10" i="16"/>
  <c r="H15" i="39"/>
  <c r="R751" i="3"/>
  <c r="B877" i="3"/>
  <c r="B878" i="3"/>
  <c r="B879" i="3"/>
  <c r="B880" i="3"/>
  <c r="B881" i="3"/>
  <c r="B882" i="3"/>
  <c r="B883" i="3"/>
  <c r="B884" i="3"/>
  <c r="R877" i="3"/>
  <c r="R878" i="3"/>
  <c r="R879" i="3"/>
  <c r="R880" i="3"/>
  <c r="R881" i="3"/>
  <c r="R882" i="3"/>
  <c r="R883" i="3"/>
  <c r="R884" i="3"/>
  <c r="B876" i="3"/>
  <c r="B875" i="3"/>
  <c r="R876" i="3"/>
  <c r="R875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2" i="3"/>
  <c r="R753" i="3"/>
  <c r="H30" i="38"/>
  <c r="H16" i="22"/>
  <c r="C696" i="3"/>
  <c r="E696" i="3" s="1"/>
  <c r="C697" i="3"/>
  <c r="E697" i="3" s="1"/>
  <c r="C698" i="3"/>
  <c r="E698" i="3" s="1"/>
  <c r="C699" i="3"/>
  <c r="E699" i="3" s="1"/>
  <c r="C700" i="3"/>
  <c r="E700" i="3" s="1"/>
  <c r="C701" i="3"/>
  <c r="E701" i="3" s="1"/>
  <c r="C702" i="3"/>
  <c r="E702" i="3" s="1"/>
  <c r="C703" i="3"/>
  <c r="E703" i="3" s="1"/>
  <c r="C704" i="3"/>
  <c r="E704" i="3" s="1"/>
  <c r="C705" i="3"/>
  <c r="E705" i="3" s="1"/>
  <c r="C706" i="3"/>
  <c r="E706" i="3" s="1"/>
  <c r="C707" i="3"/>
  <c r="E707" i="3" s="1"/>
  <c r="C708" i="3"/>
  <c r="E708" i="3" s="1"/>
  <c r="C709" i="3"/>
  <c r="E709" i="3" s="1"/>
  <c r="C710" i="3"/>
  <c r="E710" i="3" s="1"/>
  <c r="C711" i="3"/>
  <c r="E711" i="3" s="1"/>
  <c r="C712" i="3"/>
  <c r="E712" i="3" s="1"/>
  <c r="C713" i="3"/>
  <c r="E713" i="3" s="1"/>
  <c r="C714" i="3"/>
  <c r="E714" i="3" s="1"/>
  <c r="C715" i="3"/>
  <c r="E715" i="3" s="1"/>
  <c r="C716" i="3"/>
  <c r="E716" i="3" s="1"/>
  <c r="C717" i="3"/>
  <c r="E717" i="3" s="1"/>
  <c r="C718" i="3"/>
  <c r="E718" i="3" s="1"/>
  <c r="C719" i="3"/>
  <c r="E719" i="3" s="1"/>
  <c r="C720" i="3"/>
  <c r="E720" i="3" s="1"/>
  <c r="C721" i="3"/>
  <c r="E721" i="3" s="1"/>
  <c r="C722" i="3"/>
  <c r="E722" i="3" s="1"/>
  <c r="C723" i="3"/>
  <c r="E723" i="3" s="1"/>
  <c r="C724" i="3"/>
  <c r="E724" i="3" s="1"/>
  <c r="C725" i="3"/>
  <c r="E725" i="3" s="1"/>
  <c r="C726" i="3"/>
  <c r="E726" i="3" s="1"/>
  <c r="C727" i="3"/>
  <c r="E727" i="3" s="1"/>
  <c r="C728" i="3"/>
  <c r="E728" i="3" s="1"/>
  <c r="C729" i="3"/>
  <c r="E729" i="3" s="1"/>
  <c r="C730" i="3"/>
  <c r="E730" i="3" s="1"/>
  <c r="C731" i="3"/>
  <c r="E731" i="3" s="1"/>
  <c r="C732" i="3"/>
  <c r="E732" i="3" s="1"/>
  <c r="C733" i="3"/>
  <c r="E733" i="3" s="1"/>
  <c r="C734" i="3"/>
  <c r="E734" i="3" s="1"/>
  <c r="C735" i="3"/>
  <c r="E735" i="3" s="1"/>
  <c r="C736" i="3"/>
  <c r="E736" i="3" s="1"/>
  <c r="C737" i="3"/>
  <c r="E737" i="3" s="1"/>
  <c r="C738" i="3"/>
  <c r="E738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 s="1"/>
  <c r="C664" i="3"/>
  <c r="C665" i="3"/>
  <c r="C630" i="3"/>
  <c r="C619" i="3"/>
  <c r="AA55" i="37"/>
  <c r="AA56" i="37"/>
  <c r="AA57" i="37"/>
  <c r="AA58" i="37"/>
  <c r="AA59" i="37"/>
  <c r="AA60" i="37"/>
  <c r="AA61" i="37"/>
  <c r="AA62" i="37"/>
  <c r="AA63" i="37"/>
  <c r="AA64" i="37"/>
  <c r="AA65" i="37"/>
  <c r="AA66" i="37"/>
  <c r="AA67" i="37"/>
  <c r="AA68" i="37"/>
  <c r="AA69" i="37"/>
  <c r="AA70" i="37"/>
  <c r="AA71" i="37"/>
  <c r="AA72" i="37"/>
  <c r="AA73" i="37"/>
  <c r="AA74" i="37"/>
  <c r="AA75" i="37"/>
  <c r="AA76" i="37"/>
  <c r="AA77" i="37"/>
  <c r="AA78" i="37"/>
  <c r="AA79" i="37"/>
  <c r="AA80" i="37"/>
  <c r="AA81" i="37"/>
  <c r="AA82" i="37"/>
  <c r="AA83" i="37"/>
  <c r="AA84" i="37"/>
  <c r="AA85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C85" i="37"/>
  <c r="E85" i="37" s="1"/>
  <c r="C84" i="37"/>
  <c r="E84" i="37" s="1"/>
  <c r="C83" i="37"/>
  <c r="E83" i="37" s="1"/>
  <c r="C82" i="37"/>
  <c r="E82" i="37" s="1"/>
  <c r="C81" i="37"/>
  <c r="E81" i="37" s="1"/>
  <c r="C80" i="37"/>
  <c r="E80" i="37" s="1"/>
  <c r="C79" i="37"/>
  <c r="E79" i="37" s="1"/>
  <c r="C78" i="37"/>
  <c r="E78" i="37" s="1"/>
  <c r="C77" i="37"/>
  <c r="E77" i="37" s="1"/>
  <c r="C76" i="37"/>
  <c r="E76" i="37" s="1"/>
  <c r="C75" i="37"/>
  <c r="E75" i="37" s="1"/>
  <c r="C74" i="37"/>
  <c r="E74" i="37" s="1"/>
  <c r="C73" i="37"/>
  <c r="E73" i="37" s="1"/>
  <c r="C72" i="37"/>
  <c r="E72" i="37" s="1"/>
  <c r="C71" i="37"/>
  <c r="E71" i="37" s="1"/>
  <c r="C70" i="37"/>
  <c r="E70" i="37" s="1"/>
  <c r="C69" i="37"/>
  <c r="E69" i="37" s="1"/>
  <c r="C68" i="37"/>
  <c r="E68" i="37" s="1"/>
  <c r="C67" i="37"/>
  <c r="E67" i="37" s="1"/>
  <c r="C66" i="37"/>
  <c r="E66" i="37" s="1"/>
  <c r="C65" i="37"/>
  <c r="E65" i="37" s="1"/>
  <c r="C64" i="37"/>
  <c r="E64" i="37" s="1"/>
  <c r="C63" i="37"/>
  <c r="E63" i="37" s="1"/>
  <c r="C62" i="37"/>
  <c r="E62" i="37" s="1"/>
  <c r="C61" i="37"/>
  <c r="E61" i="37" s="1"/>
  <c r="C60" i="37"/>
  <c r="E60" i="37" s="1"/>
  <c r="C59" i="37"/>
  <c r="E59" i="37" s="1"/>
  <c r="C58" i="37"/>
  <c r="E58" i="37" s="1"/>
  <c r="C57" i="37"/>
  <c r="E57" i="37" s="1"/>
  <c r="C56" i="37"/>
  <c r="E56" i="37" s="1"/>
  <c r="C55" i="37"/>
  <c r="E55" i="37" s="1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R132" i="16"/>
  <c r="C132" i="16"/>
  <c r="E132" i="16" s="1"/>
  <c r="B132" i="16"/>
  <c r="R131" i="16"/>
  <c r="C131" i="16"/>
  <c r="E131" i="16" s="1"/>
  <c r="B131" i="16"/>
  <c r="R130" i="16"/>
  <c r="C130" i="16"/>
  <c r="E130" i="16" s="1"/>
  <c r="R129" i="16"/>
  <c r="C129" i="16"/>
  <c r="E129" i="16" s="1"/>
  <c r="B129" i="16"/>
  <c r="R128" i="16"/>
  <c r="C128" i="16"/>
  <c r="E128" i="16" s="1"/>
  <c r="B128" i="16"/>
  <c r="R127" i="16"/>
  <c r="C127" i="16"/>
  <c r="E127" i="16" s="1"/>
  <c r="B127" i="16"/>
  <c r="R126" i="16"/>
  <c r="C126" i="16"/>
  <c r="B126" i="16"/>
  <c r="R125" i="16"/>
  <c r="B125" i="16"/>
  <c r="R124" i="16"/>
  <c r="C124" i="16"/>
  <c r="B124" i="16"/>
  <c r="R123" i="16"/>
  <c r="C123" i="16"/>
  <c r="E123" i="16" s="1"/>
  <c r="B123" i="16"/>
  <c r="R122" i="16"/>
  <c r="C122" i="16"/>
  <c r="E122" i="16" s="1"/>
  <c r="B122" i="16"/>
  <c r="R121" i="16"/>
  <c r="C121" i="16"/>
  <c r="E121" i="16" s="1"/>
  <c r="B121" i="16"/>
  <c r="R120" i="16"/>
  <c r="C120" i="16"/>
  <c r="E120" i="16" s="1"/>
  <c r="B120" i="16"/>
  <c r="R119" i="16"/>
  <c r="C119" i="16"/>
  <c r="E119" i="16" s="1"/>
  <c r="B119" i="16"/>
  <c r="R118" i="16"/>
  <c r="C118" i="16"/>
  <c r="E118" i="16" s="1"/>
  <c r="B118" i="16"/>
  <c r="R117" i="16"/>
  <c r="C117" i="16"/>
  <c r="E117" i="16" s="1"/>
  <c r="B117" i="16"/>
  <c r="R116" i="16"/>
  <c r="C116" i="16"/>
  <c r="E116" i="16" s="1"/>
  <c r="B116" i="16"/>
  <c r="R115" i="16"/>
  <c r="C115" i="16"/>
  <c r="E115" i="16" s="1"/>
  <c r="B115" i="16"/>
  <c r="R114" i="16"/>
  <c r="C114" i="16"/>
  <c r="E114" i="16" s="1"/>
  <c r="B114" i="16"/>
  <c r="R113" i="16"/>
  <c r="C113" i="16"/>
  <c r="E113" i="16" s="1"/>
  <c r="B113" i="16"/>
  <c r="R112" i="16"/>
  <c r="C112" i="16"/>
  <c r="E112" i="16" s="1"/>
  <c r="B112" i="16"/>
  <c r="R111" i="16"/>
  <c r="C111" i="16"/>
  <c r="E111" i="16" s="1"/>
  <c r="B111" i="16"/>
  <c r="R110" i="16"/>
  <c r="C110" i="16"/>
  <c r="E110" i="16" s="1"/>
  <c r="B110" i="16"/>
  <c r="R109" i="16"/>
  <c r="C109" i="16"/>
  <c r="E109" i="16" s="1"/>
  <c r="B109" i="16"/>
  <c r="R108" i="16"/>
  <c r="C108" i="16"/>
  <c r="E108" i="16" s="1"/>
  <c r="B108" i="16"/>
  <c r="R107" i="16"/>
  <c r="C107" i="16"/>
  <c r="E107" i="16" s="1"/>
  <c r="B107" i="16"/>
  <c r="R106" i="16"/>
  <c r="E106" i="16"/>
  <c r="B106" i="16"/>
  <c r="R105" i="16"/>
  <c r="C105" i="16"/>
  <c r="E105" i="16" s="1"/>
  <c r="B105" i="16"/>
  <c r="R104" i="16"/>
  <c r="C104" i="16"/>
  <c r="E104" i="16" s="1"/>
  <c r="B104" i="16"/>
  <c r="R103" i="16"/>
  <c r="C103" i="16"/>
  <c r="E103" i="16" s="1"/>
  <c r="B103" i="16"/>
  <c r="R102" i="16"/>
  <c r="C102" i="16"/>
  <c r="E102" i="16" s="1"/>
  <c r="B102" i="16"/>
  <c r="R101" i="16"/>
  <c r="C101" i="16"/>
  <c r="E101" i="16" s="1"/>
  <c r="B101" i="16"/>
  <c r="R100" i="16"/>
  <c r="C100" i="16"/>
  <c r="E100" i="16" s="1"/>
  <c r="B100" i="16"/>
  <c r="R99" i="16"/>
  <c r="C99" i="16"/>
  <c r="E99" i="16" s="1"/>
  <c r="B99" i="16"/>
  <c r="R98" i="16"/>
  <c r="C98" i="16"/>
  <c r="E98" i="16" s="1"/>
  <c r="B98" i="16"/>
  <c r="R97" i="16"/>
  <c r="R96" i="16"/>
  <c r="C96" i="16"/>
  <c r="E96" i="16" s="1"/>
  <c r="B96" i="16"/>
  <c r="R95" i="16"/>
  <c r="C95" i="16"/>
  <c r="E95" i="16" s="1"/>
  <c r="B95" i="16"/>
  <c r="R94" i="16"/>
  <c r="C94" i="16"/>
  <c r="E94" i="16" s="1"/>
  <c r="B94" i="16"/>
  <c r="B2" i="37"/>
  <c r="AA3" i="37"/>
  <c r="AA4" i="37"/>
  <c r="AA5" i="37"/>
  <c r="AA6" i="37"/>
  <c r="AA7" i="37"/>
  <c r="AA8" i="37"/>
  <c r="AA9" i="37"/>
  <c r="AA10" i="37"/>
  <c r="AA11" i="37"/>
  <c r="AA12" i="37"/>
  <c r="AA13" i="37"/>
  <c r="AA14" i="37"/>
  <c r="AA15" i="37"/>
  <c r="AA16" i="37"/>
  <c r="AA17" i="37"/>
  <c r="AA18" i="37"/>
  <c r="AA19" i="37"/>
  <c r="AA20" i="37"/>
  <c r="AA21" i="37"/>
  <c r="AA22" i="37"/>
  <c r="AA23" i="37"/>
  <c r="AA24" i="37"/>
  <c r="AA25" i="37"/>
  <c r="AA26" i="37"/>
  <c r="AA27" i="37"/>
  <c r="AA28" i="37"/>
  <c r="AA29" i="37"/>
  <c r="AA30" i="37"/>
  <c r="AA31" i="37"/>
  <c r="AA32" i="37"/>
  <c r="AA33" i="37"/>
  <c r="AA34" i="37"/>
  <c r="AA35" i="37"/>
  <c r="AA36" i="37"/>
  <c r="AA37" i="37"/>
  <c r="AA38" i="37"/>
  <c r="AA39" i="37"/>
  <c r="AA40" i="37"/>
  <c r="AA41" i="37"/>
  <c r="AA42" i="37"/>
  <c r="AA43" i="37"/>
  <c r="AA44" i="37"/>
  <c r="AA45" i="37"/>
  <c r="AA46" i="37"/>
  <c r="AA47" i="37"/>
  <c r="AA48" i="37"/>
  <c r="AA49" i="37"/>
  <c r="AA50" i="37"/>
  <c r="AA51" i="37"/>
  <c r="AA52" i="37"/>
  <c r="AA53" i="37"/>
  <c r="AA54" i="37"/>
  <c r="AA2" i="37"/>
  <c r="R54" i="37"/>
  <c r="R53" i="37"/>
  <c r="R52" i="37"/>
  <c r="R51" i="37"/>
  <c r="R50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9" i="37"/>
  <c r="R8" i="37"/>
  <c r="R7" i="37"/>
  <c r="R6" i="37"/>
  <c r="R5" i="37"/>
  <c r="R4" i="37"/>
  <c r="R3" i="37"/>
  <c r="R2" i="37"/>
  <c r="C54" i="37"/>
  <c r="E54" i="37" s="1"/>
  <c r="C53" i="37"/>
  <c r="E53" i="37" s="1"/>
  <c r="C52" i="37"/>
  <c r="E52" i="37" s="1"/>
  <c r="C51" i="37"/>
  <c r="E51" i="37" s="1"/>
  <c r="C50" i="37"/>
  <c r="E50" i="37" s="1"/>
  <c r="C49" i="37"/>
  <c r="E49" i="37" s="1"/>
  <c r="C48" i="37"/>
  <c r="E48" i="37" s="1"/>
  <c r="C47" i="37"/>
  <c r="E47" i="37" s="1"/>
  <c r="C46" i="37"/>
  <c r="E46" i="37" s="1"/>
  <c r="C45" i="37"/>
  <c r="E45" i="37" s="1"/>
  <c r="C44" i="37"/>
  <c r="E44" i="37" s="1"/>
  <c r="C43" i="37"/>
  <c r="E43" i="37" s="1"/>
  <c r="C42" i="37"/>
  <c r="E42" i="37" s="1"/>
  <c r="C41" i="37"/>
  <c r="E41" i="37" s="1"/>
  <c r="C40" i="37"/>
  <c r="E40" i="37" s="1"/>
  <c r="C39" i="37"/>
  <c r="E39" i="37" s="1"/>
  <c r="C38" i="37"/>
  <c r="E38" i="37" s="1"/>
  <c r="C37" i="37"/>
  <c r="E37" i="37" s="1"/>
  <c r="C36" i="37"/>
  <c r="E36" i="37" s="1"/>
  <c r="C35" i="37"/>
  <c r="E35" i="37" s="1"/>
  <c r="C34" i="37"/>
  <c r="E34" i="37" s="1"/>
  <c r="C33" i="37"/>
  <c r="E33" i="37" s="1"/>
  <c r="C32" i="37"/>
  <c r="E32" i="37" s="1"/>
  <c r="C31" i="37"/>
  <c r="E31" i="37" s="1"/>
  <c r="C30" i="37"/>
  <c r="E30" i="37" s="1"/>
  <c r="C29" i="37"/>
  <c r="E29" i="37" s="1"/>
  <c r="C28" i="37"/>
  <c r="E28" i="37" s="1"/>
  <c r="C27" i="37"/>
  <c r="E27" i="37" s="1"/>
  <c r="C26" i="37"/>
  <c r="E26" i="37" s="1"/>
  <c r="C25" i="37"/>
  <c r="E25" i="37" s="1"/>
  <c r="C24" i="37"/>
  <c r="E24" i="37" s="1"/>
  <c r="C23" i="37"/>
  <c r="E23" i="37" s="1"/>
  <c r="C22" i="37"/>
  <c r="E22" i="37" s="1"/>
  <c r="C21" i="37"/>
  <c r="E21" i="37" s="1"/>
  <c r="C20" i="37"/>
  <c r="E20" i="37" s="1"/>
  <c r="C19" i="37"/>
  <c r="E19" i="37" s="1"/>
  <c r="C18" i="37"/>
  <c r="E18" i="37" s="1"/>
  <c r="C17" i="37"/>
  <c r="E17" i="37" s="1"/>
  <c r="C16" i="37"/>
  <c r="E16" i="37" s="1"/>
  <c r="C15" i="37"/>
  <c r="E15" i="37" s="1"/>
  <c r="C14" i="37"/>
  <c r="E14" i="37" s="1"/>
  <c r="C13" i="37"/>
  <c r="E13" i="37" s="1"/>
  <c r="C12" i="37"/>
  <c r="E12" i="37" s="1"/>
  <c r="C11" i="37"/>
  <c r="E11" i="37" s="1"/>
  <c r="C10" i="37"/>
  <c r="E10" i="37" s="1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B13" i="37"/>
  <c r="B12" i="37"/>
  <c r="B11" i="37"/>
  <c r="B10" i="37"/>
  <c r="C9" i="37"/>
  <c r="E9" i="37" s="1"/>
  <c r="B9" i="37"/>
  <c r="C8" i="37"/>
  <c r="E8" i="37" s="1"/>
  <c r="B8" i="37"/>
  <c r="C7" i="37"/>
  <c r="E7" i="37" s="1"/>
  <c r="B7" i="37"/>
  <c r="C6" i="37"/>
  <c r="E6" i="37" s="1"/>
  <c r="B6" i="37"/>
  <c r="C5" i="37"/>
  <c r="E5" i="37" s="1"/>
  <c r="B5" i="37"/>
  <c r="C4" i="37"/>
  <c r="E4" i="37" s="1"/>
  <c r="B4" i="37"/>
  <c r="C3" i="37"/>
  <c r="E3" i="37" s="1"/>
  <c r="B3" i="37"/>
  <c r="C2" i="37"/>
  <c r="E2" i="37" s="1"/>
  <c r="R93" i="16"/>
  <c r="C93" i="16"/>
  <c r="E93" i="16" s="1"/>
  <c r="B93" i="16"/>
  <c r="R92" i="16"/>
  <c r="C92" i="16"/>
  <c r="E92" i="16" s="1"/>
  <c r="B92" i="16"/>
  <c r="B738" i="3"/>
  <c r="B737" i="3"/>
  <c r="B736" i="3"/>
  <c r="B735" i="3"/>
  <c r="B734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668" i="3"/>
  <c r="R669" i="3"/>
  <c r="R670" i="3"/>
  <c r="R671" i="3"/>
  <c r="R672" i="3"/>
  <c r="R673" i="3"/>
  <c r="R674" i="3"/>
  <c r="R675" i="3"/>
  <c r="R676" i="3"/>
  <c r="R67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C642" i="3"/>
  <c r="C643" i="3"/>
  <c r="R197" i="16"/>
  <c r="C197" i="16"/>
  <c r="E197" i="16" s="1"/>
  <c r="B197" i="16"/>
  <c r="R196" i="16"/>
  <c r="C196" i="16"/>
  <c r="E196" i="16" s="1"/>
  <c r="B196" i="16"/>
  <c r="R195" i="16"/>
  <c r="C195" i="16"/>
  <c r="E195" i="16" s="1"/>
  <c r="B195" i="16"/>
  <c r="R194" i="16"/>
  <c r="C194" i="16"/>
  <c r="E194" i="16" s="1"/>
  <c r="B194" i="16"/>
  <c r="R193" i="16"/>
  <c r="C193" i="16"/>
  <c r="E193" i="16" s="1"/>
  <c r="B193" i="16"/>
  <c r="R192" i="16"/>
  <c r="C192" i="16"/>
  <c r="E192" i="16" s="1"/>
  <c r="B192" i="16"/>
  <c r="R191" i="16"/>
  <c r="C191" i="16"/>
  <c r="E191" i="16" s="1"/>
  <c r="B191" i="16"/>
  <c r="R190" i="16"/>
  <c r="C190" i="16"/>
  <c r="E190" i="16" s="1"/>
  <c r="B190" i="16"/>
  <c r="R189" i="16"/>
  <c r="C189" i="16"/>
  <c r="E189" i="16" s="1"/>
  <c r="B189" i="16"/>
  <c r="R188" i="16"/>
  <c r="C188" i="16"/>
  <c r="E188" i="16" s="1"/>
  <c r="B188" i="16"/>
  <c r="R187" i="16"/>
  <c r="C187" i="16"/>
  <c r="E187" i="16" s="1"/>
  <c r="B187" i="16"/>
  <c r="R186" i="16"/>
  <c r="C186" i="16"/>
  <c r="E186" i="16" s="1"/>
  <c r="B186" i="16"/>
  <c r="R185" i="16"/>
  <c r="C185" i="16"/>
  <c r="E185" i="16" s="1"/>
  <c r="B185" i="16"/>
  <c r="R184" i="16"/>
  <c r="C184" i="16"/>
  <c r="E184" i="16" s="1"/>
  <c r="B184" i="16"/>
  <c r="R183" i="16"/>
  <c r="C183" i="16"/>
  <c r="E183" i="16" s="1"/>
  <c r="B183" i="16"/>
  <c r="R182" i="16"/>
  <c r="C182" i="16"/>
  <c r="E182" i="16" s="1"/>
  <c r="B182" i="16"/>
  <c r="R181" i="16"/>
  <c r="C181" i="16"/>
  <c r="E181" i="16" s="1"/>
  <c r="B181" i="16"/>
  <c r="R180" i="16"/>
  <c r="C180" i="16"/>
  <c r="E180" i="16" s="1"/>
  <c r="B180" i="16"/>
  <c r="R179" i="16"/>
  <c r="C179" i="16"/>
  <c r="E179" i="16" s="1"/>
  <c r="B179" i="16"/>
  <c r="R178" i="16"/>
  <c r="C178" i="16"/>
  <c r="E178" i="16" s="1"/>
  <c r="B178" i="16"/>
  <c r="R177" i="16"/>
  <c r="C177" i="16"/>
  <c r="E177" i="16" s="1"/>
  <c r="B177" i="16"/>
  <c r="R176" i="16"/>
  <c r="C176" i="16"/>
  <c r="E176" i="16" s="1"/>
  <c r="B176" i="16"/>
  <c r="R175" i="16"/>
  <c r="C175" i="16"/>
  <c r="E175" i="16" s="1"/>
  <c r="B175" i="16"/>
  <c r="R174" i="16"/>
  <c r="C174" i="16"/>
  <c r="E174" i="16" s="1"/>
  <c r="B174" i="16"/>
  <c r="R173" i="16"/>
  <c r="C173" i="16"/>
  <c r="E173" i="16" s="1"/>
  <c r="B173" i="16"/>
  <c r="R172" i="16"/>
  <c r="C172" i="16"/>
  <c r="E172" i="16" s="1"/>
  <c r="B172" i="16"/>
  <c r="R171" i="16"/>
  <c r="C171" i="16"/>
  <c r="E171" i="16" s="1"/>
  <c r="B171" i="16"/>
  <c r="R170" i="16"/>
  <c r="C170" i="16"/>
  <c r="E170" i="16" s="1"/>
  <c r="B170" i="16"/>
  <c r="R169" i="16"/>
  <c r="C169" i="16"/>
  <c r="E169" i="16" s="1"/>
  <c r="B169" i="16"/>
  <c r="R168" i="16"/>
  <c r="C168" i="16"/>
  <c r="E168" i="16" s="1"/>
  <c r="B168" i="16"/>
  <c r="R167" i="16"/>
  <c r="C167" i="16"/>
  <c r="E167" i="16" s="1"/>
  <c r="B167" i="16"/>
  <c r="R166" i="16"/>
  <c r="C166" i="16"/>
  <c r="E166" i="16" s="1"/>
  <c r="B166" i="16"/>
  <c r="R165" i="16"/>
  <c r="C165" i="16"/>
  <c r="E165" i="16" s="1"/>
  <c r="B165" i="16"/>
  <c r="R164" i="16"/>
  <c r="C164" i="16"/>
  <c r="E164" i="16" s="1"/>
  <c r="B164" i="16"/>
  <c r="R163" i="16"/>
  <c r="C163" i="16"/>
  <c r="E163" i="16" s="1"/>
  <c r="B163" i="16"/>
  <c r="R162" i="16"/>
  <c r="C162" i="16"/>
  <c r="E162" i="16" s="1"/>
  <c r="B162" i="16"/>
  <c r="R161" i="16"/>
  <c r="C161" i="16"/>
  <c r="E161" i="16" s="1"/>
  <c r="B161" i="16"/>
  <c r="R160" i="16"/>
  <c r="C160" i="16"/>
  <c r="E160" i="16" s="1"/>
  <c r="B160" i="16"/>
  <c r="R159" i="16"/>
  <c r="C159" i="16"/>
  <c r="E159" i="16" s="1"/>
  <c r="B159" i="16"/>
  <c r="R158" i="16"/>
  <c r="C158" i="16"/>
  <c r="E158" i="16" s="1"/>
  <c r="B158" i="16"/>
  <c r="R157" i="16"/>
  <c r="C157" i="16"/>
  <c r="E157" i="16" s="1"/>
  <c r="B157" i="16"/>
  <c r="R156" i="16"/>
  <c r="C156" i="16"/>
  <c r="E156" i="16" s="1"/>
  <c r="B156" i="16"/>
  <c r="R155" i="16"/>
  <c r="C155" i="16"/>
  <c r="E155" i="16" s="1"/>
  <c r="B155" i="16"/>
  <c r="R154" i="16"/>
  <c r="C154" i="16"/>
  <c r="E154" i="16" s="1"/>
  <c r="B154" i="16"/>
  <c r="R153" i="16"/>
  <c r="C153" i="16"/>
  <c r="E153" i="16" s="1"/>
  <c r="B153" i="16"/>
  <c r="R152" i="16"/>
  <c r="C152" i="16"/>
  <c r="E152" i="16" s="1"/>
  <c r="B152" i="16"/>
  <c r="R151" i="16"/>
  <c r="C151" i="16"/>
  <c r="E151" i="16" s="1"/>
  <c r="B151" i="16"/>
  <c r="R150" i="16"/>
  <c r="C150" i="16"/>
  <c r="E150" i="16" s="1"/>
  <c r="B150" i="16"/>
  <c r="R149" i="16"/>
  <c r="C149" i="16"/>
  <c r="E149" i="16" s="1"/>
  <c r="B149" i="16"/>
  <c r="R148" i="16"/>
  <c r="C148" i="16"/>
  <c r="E148" i="16" s="1"/>
  <c r="B148" i="16"/>
  <c r="R147" i="16"/>
  <c r="C147" i="16"/>
  <c r="E147" i="16" s="1"/>
  <c r="B147" i="16"/>
  <c r="R146" i="16"/>
  <c r="C146" i="16"/>
  <c r="E146" i="16" s="1"/>
  <c r="B146" i="16"/>
  <c r="R145" i="16"/>
  <c r="C145" i="16"/>
  <c r="E145" i="16" s="1"/>
  <c r="B145" i="16"/>
  <c r="R144" i="16"/>
  <c r="C144" i="16"/>
  <c r="E144" i="16" s="1"/>
  <c r="B144" i="16"/>
  <c r="R143" i="16"/>
  <c r="C143" i="16"/>
  <c r="E143" i="16" s="1"/>
  <c r="B143" i="16"/>
  <c r="R142" i="16"/>
  <c r="C142" i="16"/>
  <c r="E142" i="16" s="1"/>
  <c r="B142" i="16"/>
  <c r="R141" i="16"/>
  <c r="C141" i="16"/>
  <c r="E141" i="16" s="1"/>
  <c r="B141" i="16"/>
  <c r="R140" i="16"/>
  <c r="C140" i="16"/>
  <c r="E140" i="16" s="1"/>
  <c r="B140" i="16"/>
  <c r="R139" i="16"/>
  <c r="C139" i="16"/>
  <c r="E139" i="16" s="1"/>
  <c r="B139" i="16"/>
  <c r="R138" i="16"/>
  <c r="C138" i="16"/>
  <c r="E138" i="16" s="1"/>
  <c r="B138" i="16"/>
  <c r="R137" i="16"/>
  <c r="C137" i="16"/>
  <c r="E137" i="16" s="1"/>
  <c r="B137" i="16"/>
  <c r="R136" i="16"/>
  <c r="C136" i="16"/>
  <c r="E136" i="16" s="1"/>
  <c r="B136" i="16"/>
  <c r="R135" i="16"/>
  <c r="C135" i="16"/>
  <c r="E135" i="16" s="1"/>
  <c r="B135" i="16"/>
  <c r="R134" i="16"/>
  <c r="C134" i="16"/>
  <c r="E134" i="16" s="1"/>
  <c r="B134" i="16"/>
  <c r="R133" i="16"/>
  <c r="C133" i="16"/>
  <c r="E133" i="16" s="1"/>
  <c r="B133" i="16"/>
  <c r="D3" i="33"/>
  <c r="D5" i="33"/>
  <c r="D6" i="33"/>
  <c r="D8" i="33"/>
  <c r="D10" i="33"/>
  <c r="D11" i="33"/>
  <c r="D13" i="33"/>
  <c r="D14" i="33"/>
  <c r="D15" i="33"/>
  <c r="D16" i="33"/>
  <c r="D17" i="33"/>
  <c r="D18" i="33"/>
  <c r="D19" i="33"/>
  <c r="D20" i="33"/>
  <c r="D21" i="33"/>
  <c r="D22" i="33"/>
  <c r="D23" i="33"/>
  <c r="D25" i="33"/>
  <c r="D26" i="33"/>
  <c r="D2" i="33"/>
  <c r="D3" i="34"/>
  <c r="D4" i="34"/>
  <c r="D5" i="34"/>
  <c r="D6" i="34"/>
  <c r="D7" i="34"/>
  <c r="D8" i="34"/>
  <c r="D9" i="34"/>
  <c r="D2" i="34"/>
  <c r="C428" i="3"/>
  <c r="C429" i="3"/>
  <c r="C430" i="3"/>
  <c r="C431" i="3"/>
  <c r="C432" i="3"/>
  <c r="E432" i="3" s="1"/>
  <c r="C433" i="3"/>
  <c r="E433" i="3" s="1"/>
  <c r="C434" i="3"/>
  <c r="E434" i="3" s="1"/>
  <c r="C435" i="3"/>
  <c r="E435" i="3" s="1"/>
  <c r="C436" i="3"/>
  <c r="E436" i="3" s="1"/>
  <c r="C437" i="3"/>
  <c r="E437" i="3" s="1"/>
  <c r="C438" i="3"/>
  <c r="E438" i="3" s="1"/>
  <c r="C439" i="3"/>
  <c r="E439" i="3" s="1"/>
  <c r="C440" i="3"/>
  <c r="E440" i="3" s="1"/>
  <c r="C441" i="3"/>
  <c r="E441" i="3" s="1"/>
  <c r="C442" i="3"/>
  <c r="E442" i="3" s="1"/>
  <c r="C443" i="3"/>
  <c r="E443" i="3" s="1"/>
  <c r="C444" i="3"/>
  <c r="E444" i="3" s="1"/>
  <c r="C445" i="3"/>
  <c r="E445" i="3" s="1"/>
  <c r="C446" i="3"/>
  <c r="E446" i="3" s="1"/>
  <c r="C447" i="3"/>
  <c r="E447" i="3" s="1"/>
  <c r="C448" i="3"/>
  <c r="E448" i="3" s="1"/>
  <c r="C449" i="3"/>
  <c r="E449" i="3" s="1"/>
  <c r="C450" i="3"/>
  <c r="E450" i="3" s="1"/>
  <c r="C451" i="3"/>
  <c r="E451" i="3" s="1"/>
  <c r="C452" i="3"/>
  <c r="E452" i="3" s="1"/>
  <c r="C453" i="3"/>
  <c r="E453" i="3" s="1"/>
  <c r="C454" i="3"/>
  <c r="E454" i="3" s="1"/>
  <c r="C455" i="3"/>
  <c r="E455" i="3" s="1"/>
  <c r="C456" i="3"/>
  <c r="E456" i="3" s="1"/>
  <c r="C457" i="3"/>
  <c r="E457" i="3" s="1"/>
  <c r="C458" i="3"/>
  <c r="E458" i="3" s="1"/>
  <c r="C459" i="3"/>
  <c r="E459" i="3" s="1"/>
  <c r="C460" i="3"/>
  <c r="E460" i="3" s="1"/>
  <c r="C461" i="3"/>
  <c r="E461" i="3" s="1"/>
  <c r="C462" i="3"/>
  <c r="E462" i="3" s="1"/>
  <c r="C463" i="3"/>
  <c r="E463" i="3" s="1"/>
  <c r="C464" i="3"/>
  <c r="E464" i="3" s="1"/>
  <c r="C465" i="3"/>
  <c r="E465" i="3" s="1"/>
  <c r="C466" i="3"/>
  <c r="E466" i="3" s="1"/>
  <c r="C467" i="3"/>
  <c r="E467" i="3" s="1"/>
  <c r="C468" i="3"/>
  <c r="E468" i="3" s="1"/>
  <c r="C469" i="3"/>
  <c r="E469" i="3" s="1"/>
  <c r="C470" i="3"/>
  <c r="E470" i="3" s="1"/>
  <c r="C471" i="3"/>
  <c r="E471" i="3" s="1"/>
  <c r="C472" i="3"/>
  <c r="E472" i="3" s="1"/>
  <c r="C473" i="3"/>
  <c r="E473" i="3" s="1"/>
  <c r="C474" i="3"/>
  <c r="E474" i="3" s="1"/>
  <c r="C475" i="3"/>
  <c r="E475" i="3" s="1"/>
  <c r="C476" i="3"/>
  <c r="E476" i="3" s="1"/>
  <c r="C477" i="3"/>
  <c r="E477" i="3" s="1"/>
  <c r="C478" i="3"/>
  <c r="E478" i="3" s="1"/>
  <c r="C479" i="3"/>
  <c r="E479" i="3" s="1"/>
  <c r="C480" i="3"/>
  <c r="E480" i="3" s="1"/>
  <c r="C481" i="3"/>
  <c r="E481" i="3" s="1"/>
  <c r="C482" i="3"/>
  <c r="E482" i="3" s="1"/>
  <c r="C483" i="3"/>
  <c r="E483" i="3" s="1"/>
  <c r="C484" i="3"/>
  <c r="E484" i="3" s="1"/>
  <c r="C485" i="3"/>
  <c r="E485" i="3" s="1"/>
  <c r="C486" i="3"/>
  <c r="E486" i="3" s="1"/>
  <c r="C487" i="3"/>
  <c r="E487" i="3" s="1"/>
  <c r="C488" i="3"/>
  <c r="E488" i="3" s="1"/>
  <c r="C489" i="3"/>
  <c r="E489" i="3" s="1"/>
  <c r="C490" i="3"/>
  <c r="E490" i="3" s="1"/>
  <c r="C491" i="3"/>
  <c r="E491" i="3" s="1"/>
  <c r="C492" i="3"/>
  <c r="E492" i="3" s="1"/>
  <c r="C493" i="3"/>
  <c r="E493" i="3" s="1"/>
  <c r="C494" i="3"/>
  <c r="E494" i="3" s="1"/>
  <c r="C495" i="3"/>
  <c r="E495" i="3" s="1"/>
  <c r="C496" i="3"/>
  <c r="E496" i="3" s="1"/>
  <c r="C497" i="3"/>
  <c r="E497" i="3" s="1"/>
  <c r="C498" i="3"/>
  <c r="E498" i="3" s="1"/>
  <c r="C499" i="3"/>
  <c r="E499" i="3" s="1"/>
  <c r="C500" i="3"/>
  <c r="E500" i="3" s="1"/>
  <c r="C501" i="3"/>
  <c r="E501" i="3" s="1"/>
  <c r="C502" i="3"/>
  <c r="E502" i="3" s="1"/>
  <c r="C503" i="3"/>
  <c r="E503" i="3" s="1"/>
  <c r="C504" i="3"/>
  <c r="E504" i="3" s="1"/>
  <c r="C505" i="3"/>
  <c r="E505" i="3" s="1"/>
  <c r="C506" i="3"/>
  <c r="E506" i="3" s="1"/>
  <c r="C507" i="3"/>
  <c r="E507" i="3" s="1"/>
  <c r="C508" i="3"/>
  <c r="E508" i="3" s="1"/>
  <c r="C509" i="3"/>
  <c r="E509" i="3" s="1"/>
  <c r="C510" i="3"/>
  <c r="E510" i="3" s="1"/>
  <c r="C511" i="3"/>
  <c r="E511" i="3" s="1"/>
  <c r="C512" i="3"/>
  <c r="E512" i="3" s="1"/>
  <c r="C513" i="3"/>
  <c r="E513" i="3" s="1"/>
  <c r="C514" i="3"/>
  <c r="E514" i="3" s="1"/>
  <c r="C515" i="3"/>
  <c r="E515" i="3" s="1"/>
  <c r="C516" i="3"/>
  <c r="E516" i="3" s="1"/>
  <c r="C517" i="3"/>
  <c r="E517" i="3" s="1"/>
  <c r="C518" i="3"/>
  <c r="E518" i="3" s="1"/>
  <c r="C519" i="3"/>
  <c r="E519" i="3" s="1"/>
  <c r="C520" i="3"/>
  <c r="E520" i="3" s="1"/>
  <c r="C521" i="3"/>
  <c r="E521" i="3" s="1"/>
  <c r="C522" i="3"/>
  <c r="E522" i="3" s="1"/>
  <c r="C523" i="3"/>
  <c r="E523" i="3" s="1"/>
  <c r="C524" i="3"/>
  <c r="E524" i="3" s="1"/>
  <c r="C525" i="3"/>
  <c r="E525" i="3" s="1"/>
  <c r="C526" i="3"/>
  <c r="E526" i="3" s="1"/>
  <c r="C527" i="3"/>
  <c r="E527" i="3" s="1"/>
  <c r="C528" i="3"/>
  <c r="E528" i="3" s="1"/>
  <c r="C529" i="3"/>
  <c r="E529" i="3" s="1"/>
  <c r="C530" i="3"/>
  <c r="E530" i="3" s="1"/>
  <c r="C531" i="3"/>
  <c r="E531" i="3" s="1"/>
  <c r="C532" i="3"/>
  <c r="E532" i="3" s="1"/>
  <c r="C533" i="3"/>
  <c r="E533" i="3" s="1"/>
  <c r="C534" i="3"/>
  <c r="E534" i="3" s="1"/>
  <c r="C535" i="3"/>
  <c r="E535" i="3" s="1"/>
  <c r="C536" i="3"/>
  <c r="E536" i="3" s="1"/>
  <c r="C537" i="3"/>
  <c r="E537" i="3" s="1"/>
  <c r="C538" i="3"/>
  <c r="E538" i="3" s="1"/>
  <c r="C539" i="3"/>
  <c r="E539" i="3" s="1"/>
  <c r="C540" i="3"/>
  <c r="E540" i="3" s="1"/>
  <c r="C541" i="3"/>
  <c r="E541" i="3" s="1"/>
  <c r="C542" i="3"/>
  <c r="E542" i="3" s="1"/>
  <c r="C543" i="3"/>
  <c r="E543" i="3" s="1"/>
  <c r="C544" i="3"/>
  <c r="E544" i="3" s="1"/>
  <c r="C545" i="3"/>
  <c r="E545" i="3" s="1"/>
  <c r="C546" i="3"/>
  <c r="E546" i="3" s="1"/>
  <c r="C547" i="3"/>
  <c r="E547" i="3" s="1"/>
  <c r="C548" i="3"/>
  <c r="E548" i="3" s="1"/>
  <c r="C549" i="3"/>
  <c r="E549" i="3" s="1"/>
  <c r="C550" i="3"/>
  <c r="E550" i="3" s="1"/>
  <c r="C551" i="3"/>
  <c r="E551" i="3" s="1"/>
  <c r="C552" i="3"/>
  <c r="E552" i="3" s="1"/>
  <c r="C553" i="3"/>
  <c r="E553" i="3" s="1"/>
  <c r="C554" i="3"/>
  <c r="E554" i="3" s="1"/>
  <c r="C555" i="3"/>
  <c r="E555" i="3" s="1"/>
  <c r="C556" i="3"/>
  <c r="E556" i="3" s="1"/>
  <c r="C557" i="3"/>
  <c r="E557" i="3" s="1"/>
  <c r="C558" i="3"/>
  <c r="E558" i="3" s="1"/>
  <c r="C559" i="3"/>
  <c r="E559" i="3" s="1"/>
  <c r="C560" i="3"/>
  <c r="E560" i="3" s="1"/>
  <c r="C561" i="3"/>
  <c r="E561" i="3" s="1"/>
  <c r="C562" i="3"/>
  <c r="E562" i="3" s="1"/>
  <c r="C563" i="3"/>
  <c r="E563" i="3" s="1"/>
  <c r="C564" i="3"/>
  <c r="E564" i="3" s="1"/>
  <c r="C565" i="3"/>
  <c r="E565" i="3" s="1"/>
  <c r="C566" i="3"/>
  <c r="E566" i="3" s="1"/>
  <c r="C567" i="3"/>
  <c r="E567" i="3" s="1"/>
  <c r="C568" i="3"/>
  <c r="E568" i="3" s="1"/>
  <c r="C569" i="3"/>
  <c r="E569" i="3" s="1"/>
  <c r="C570" i="3"/>
  <c r="E570" i="3" s="1"/>
  <c r="C571" i="3"/>
  <c r="E571" i="3" s="1"/>
  <c r="C572" i="3"/>
  <c r="E572" i="3" s="1"/>
  <c r="C573" i="3"/>
  <c r="E573" i="3" s="1"/>
  <c r="C574" i="3"/>
  <c r="E574" i="3" s="1"/>
  <c r="C575" i="3"/>
  <c r="E575" i="3" s="1"/>
  <c r="C576" i="3"/>
  <c r="E576" i="3" s="1"/>
  <c r="C577" i="3"/>
  <c r="E577" i="3" s="1"/>
  <c r="C578" i="3"/>
  <c r="E578" i="3" s="1"/>
  <c r="C579" i="3"/>
  <c r="E579" i="3" s="1"/>
  <c r="C580" i="3"/>
  <c r="E580" i="3" s="1"/>
  <c r="C581" i="3"/>
  <c r="E581" i="3" s="1"/>
  <c r="C582" i="3"/>
  <c r="E582" i="3" s="1"/>
  <c r="C583" i="3"/>
  <c r="E583" i="3" s="1"/>
  <c r="C584" i="3"/>
  <c r="E584" i="3" s="1"/>
  <c r="C585" i="3"/>
  <c r="E585" i="3" s="1"/>
  <c r="C586" i="3"/>
  <c r="E586" i="3" s="1"/>
  <c r="C587" i="3"/>
  <c r="E587" i="3" s="1"/>
  <c r="C588" i="3"/>
  <c r="E588" i="3" s="1"/>
  <c r="C589" i="3"/>
  <c r="E589" i="3" s="1"/>
  <c r="C590" i="3"/>
  <c r="E590" i="3" s="1"/>
  <c r="C591" i="3"/>
  <c r="E591" i="3" s="1"/>
  <c r="C592" i="3"/>
  <c r="E592" i="3" s="1"/>
  <c r="C593" i="3"/>
  <c r="E593" i="3" s="1"/>
  <c r="C594" i="3"/>
  <c r="E594" i="3" s="1"/>
  <c r="C595" i="3"/>
  <c r="E595" i="3" s="1"/>
  <c r="C596" i="3"/>
  <c r="E596" i="3" s="1"/>
  <c r="C597" i="3"/>
  <c r="E597" i="3" s="1"/>
  <c r="C598" i="3"/>
  <c r="E598" i="3" s="1"/>
  <c r="C599" i="3"/>
  <c r="E599" i="3" s="1"/>
  <c r="C600" i="3"/>
  <c r="E600" i="3" s="1"/>
  <c r="C601" i="3"/>
  <c r="E601" i="3" s="1"/>
  <c r="C602" i="3"/>
  <c r="E602" i="3" s="1"/>
  <c r="C603" i="3"/>
  <c r="E603" i="3" s="1"/>
  <c r="C604" i="3"/>
  <c r="E604" i="3" s="1"/>
  <c r="C605" i="3"/>
  <c r="E605" i="3" s="1"/>
  <c r="C606" i="3"/>
  <c r="E606" i="3" s="1"/>
  <c r="C607" i="3"/>
  <c r="E607" i="3" s="1"/>
  <c r="C608" i="3"/>
  <c r="E608" i="3" s="1"/>
  <c r="C609" i="3"/>
  <c r="E609" i="3" s="1"/>
  <c r="C610" i="3"/>
  <c r="E610" i="3" s="1"/>
  <c r="C611" i="3"/>
  <c r="E611" i="3" s="1"/>
  <c r="C612" i="3"/>
  <c r="E612" i="3" s="1"/>
  <c r="C613" i="3"/>
  <c r="E613" i="3" s="1"/>
  <c r="C614" i="3"/>
  <c r="E614" i="3" s="1"/>
  <c r="C615" i="3"/>
  <c r="E615" i="3" s="1"/>
  <c r="C616" i="3"/>
  <c r="E616" i="3" s="1"/>
  <c r="C617" i="3"/>
  <c r="E617" i="3" s="1"/>
  <c r="C618" i="3"/>
  <c r="E618" i="3" s="1"/>
  <c r="E619" i="3"/>
  <c r="C620" i="3"/>
  <c r="E620" i="3" s="1"/>
  <c r="C621" i="3"/>
  <c r="E621" i="3" s="1"/>
  <c r="C622" i="3"/>
  <c r="E622" i="3" s="1"/>
  <c r="C623" i="3"/>
  <c r="E623" i="3" s="1"/>
  <c r="C624" i="3"/>
  <c r="E624" i="3" s="1"/>
  <c r="C625" i="3"/>
  <c r="E625" i="3" s="1"/>
  <c r="C626" i="3"/>
  <c r="E626" i="3" s="1"/>
  <c r="C627" i="3"/>
  <c r="E627" i="3" s="1"/>
  <c r="C628" i="3"/>
  <c r="E628" i="3" s="1"/>
  <c r="C629" i="3"/>
  <c r="E629" i="3" s="1"/>
  <c r="E630" i="3"/>
  <c r="C631" i="3"/>
  <c r="E631" i="3" s="1"/>
  <c r="C632" i="3"/>
  <c r="E632" i="3" s="1"/>
  <c r="C633" i="3"/>
  <c r="E633" i="3" s="1"/>
  <c r="C634" i="3"/>
  <c r="E634" i="3" s="1"/>
  <c r="C635" i="3"/>
  <c r="E635" i="3" s="1"/>
  <c r="C636" i="3"/>
  <c r="E636" i="3" s="1"/>
  <c r="E637" i="3"/>
  <c r="C638" i="3"/>
  <c r="E638" i="3" s="1"/>
  <c r="C639" i="3"/>
  <c r="E639" i="3" s="1"/>
  <c r="C640" i="3"/>
  <c r="E640" i="3" s="1"/>
  <c r="C641" i="3"/>
  <c r="E641" i="3" s="1"/>
  <c r="E642" i="3"/>
  <c r="E643" i="3"/>
  <c r="C644" i="3"/>
  <c r="E644" i="3" s="1"/>
  <c r="C645" i="3"/>
  <c r="E645" i="3" s="1"/>
  <c r="C646" i="3"/>
  <c r="E646" i="3" s="1"/>
  <c r="C647" i="3"/>
  <c r="E647" i="3" s="1"/>
  <c r="C648" i="3"/>
  <c r="E648" i="3" s="1"/>
  <c r="C649" i="3"/>
  <c r="E649" i="3" s="1"/>
  <c r="C650" i="3"/>
  <c r="E650" i="3" s="1"/>
  <c r="C651" i="3"/>
  <c r="E651" i="3" s="1"/>
  <c r="C652" i="3"/>
  <c r="E652" i="3" s="1"/>
  <c r="C653" i="3"/>
  <c r="E653" i="3" s="1"/>
  <c r="C654" i="3"/>
  <c r="E654" i="3" s="1"/>
  <c r="C655" i="3"/>
  <c r="E655" i="3" s="1"/>
  <c r="C656" i="3"/>
  <c r="E656" i="3" s="1"/>
  <c r="C657" i="3"/>
  <c r="E657" i="3" s="1"/>
  <c r="C658" i="3"/>
  <c r="E658" i="3" s="1"/>
  <c r="C659" i="3"/>
  <c r="E659" i="3" s="1"/>
  <c r="C660" i="3"/>
  <c r="E660" i="3" s="1"/>
  <c r="C661" i="3"/>
  <c r="E661" i="3" s="1"/>
  <c r="C662" i="3"/>
  <c r="E662" i="3" s="1"/>
  <c r="C663" i="3"/>
  <c r="E663" i="3" s="1"/>
  <c r="E664" i="3"/>
  <c r="E665" i="3"/>
  <c r="C392" i="3"/>
  <c r="C393" i="3"/>
  <c r="C394" i="3"/>
  <c r="C395" i="3"/>
  <c r="C396" i="3"/>
  <c r="C397" i="3"/>
  <c r="C398" i="3"/>
  <c r="C399" i="3"/>
  <c r="C400" i="3"/>
  <c r="C401" i="3"/>
  <c r="C402" i="3"/>
  <c r="C404" i="3"/>
  <c r="C405" i="3"/>
  <c r="C406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4" i="3"/>
  <c r="C425" i="3"/>
  <c r="C426" i="3"/>
  <c r="E426" i="3" s="1"/>
  <c r="C427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3" i="3"/>
  <c r="C54" i="3"/>
  <c r="C55" i="3"/>
  <c r="C56" i="3"/>
  <c r="C57" i="3"/>
  <c r="C58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6" i="3"/>
  <c r="C77" i="3"/>
  <c r="C78" i="3"/>
  <c r="C81" i="3"/>
  <c r="C82" i="3"/>
  <c r="C83" i="3"/>
  <c r="C84" i="3"/>
  <c r="C85" i="3"/>
  <c r="C86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1" i="3"/>
  <c r="C142" i="3"/>
  <c r="C143" i="3"/>
  <c r="C144" i="3"/>
  <c r="C145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4" i="3"/>
  <c r="C195" i="3"/>
  <c r="C196" i="3"/>
  <c r="C197" i="3"/>
  <c r="C201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1" i="3"/>
  <c r="C262" i="3"/>
  <c r="C263" i="3"/>
  <c r="C264" i="3"/>
  <c r="C265" i="3"/>
  <c r="C266" i="3"/>
  <c r="C267" i="3"/>
  <c r="C268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3" i="3"/>
  <c r="C304" i="3"/>
  <c r="C305" i="3"/>
  <c r="C307" i="3"/>
  <c r="C308" i="3"/>
  <c r="C309" i="3"/>
  <c r="C310" i="3"/>
  <c r="C311" i="3"/>
  <c r="C312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H31" i="34"/>
  <c r="H44" i="33"/>
  <c r="H25" i="30"/>
  <c r="G21" i="32"/>
  <c r="H39" i="31"/>
  <c r="R613" i="16"/>
  <c r="C613" i="16"/>
  <c r="E613" i="16" s="1"/>
  <c r="B613" i="16"/>
  <c r="R612" i="16"/>
  <c r="C612" i="16"/>
  <c r="E612" i="16" s="1"/>
  <c r="B612" i="16"/>
  <c r="R611" i="16"/>
  <c r="C611" i="16"/>
  <c r="E611" i="16" s="1"/>
  <c r="B611" i="16"/>
  <c r="R610" i="16"/>
  <c r="C610" i="16"/>
  <c r="E610" i="16" s="1"/>
  <c r="B610" i="16"/>
  <c r="R609" i="16"/>
  <c r="C609" i="16"/>
  <c r="E609" i="16" s="1"/>
  <c r="B609" i="16"/>
  <c r="R608" i="16"/>
  <c r="C608" i="16"/>
  <c r="E608" i="16" s="1"/>
  <c r="B608" i="16"/>
  <c r="R607" i="16"/>
  <c r="C607" i="16"/>
  <c r="E607" i="16" s="1"/>
  <c r="B607" i="16"/>
  <c r="R606" i="16"/>
  <c r="C606" i="16"/>
  <c r="E606" i="16" s="1"/>
  <c r="B606" i="16"/>
  <c r="R605" i="16"/>
  <c r="C605" i="16"/>
  <c r="E605" i="16" s="1"/>
  <c r="B605" i="16"/>
  <c r="R604" i="16"/>
  <c r="C604" i="16"/>
  <c r="E604" i="16" s="1"/>
  <c r="B604" i="16"/>
  <c r="R603" i="16"/>
  <c r="C603" i="16"/>
  <c r="E603" i="16" s="1"/>
  <c r="B603" i="16"/>
  <c r="R602" i="16"/>
  <c r="C602" i="16"/>
  <c r="E602" i="16" s="1"/>
  <c r="B602" i="16"/>
  <c r="R601" i="16"/>
  <c r="C601" i="16"/>
  <c r="E601" i="16" s="1"/>
  <c r="B601" i="16"/>
  <c r="R600" i="16"/>
  <c r="C600" i="16"/>
  <c r="E600" i="16" s="1"/>
  <c r="B600" i="16"/>
  <c r="R599" i="16"/>
  <c r="C599" i="16"/>
  <c r="E599" i="16" s="1"/>
  <c r="B599" i="16"/>
  <c r="R598" i="16"/>
  <c r="C598" i="16"/>
  <c r="E598" i="16" s="1"/>
  <c r="B598" i="16"/>
  <c r="R597" i="16"/>
  <c r="C597" i="16"/>
  <c r="E597" i="16" s="1"/>
  <c r="B597" i="16"/>
  <c r="R596" i="16"/>
  <c r="C596" i="16"/>
  <c r="E596" i="16" s="1"/>
  <c r="B596" i="16"/>
  <c r="R595" i="16"/>
  <c r="C595" i="16"/>
  <c r="E595" i="16" s="1"/>
  <c r="B595" i="16"/>
  <c r="R594" i="16"/>
  <c r="C594" i="16"/>
  <c r="E594" i="16" s="1"/>
  <c r="B594" i="16"/>
  <c r="R593" i="16"/>
  <c r="C593" i="16"/>
  <c r="E593" i="16" s="1"/>
  <c r="B593" i="16"/>
  <c r="R592" i="16"/>
  <c r="C592" i="16"/>
  <c r="E592" i="16" s="1"/>
  <c r="B592" i="16"/>
  <c r="R591" i="16"/>
  <c r="C591" i="16"/>
  <c r="E591" i="16" s="1"/>
  <c r="B591" i="16"/>
  <c r="R590" i="16"/>
  <c r="C590" i="16"/>
  <c r="E590" i="16" s="1"/>
  <c r="B590" i="16"/>
  <c r="R589" i="16"/>
  <c r="C589" i="16"/>
  <c r="E589" i="16" s="1"/>
  <c r="B589" i="16"/>
  <c r="R588" i="16"/>
  <c r="C588" i="16"/>
  <c r="E588" i="16" s="1"/>
  <c r="B588" i="16"/>
  <c r="R587" i="16"/>
  <c r="C587" i="16"/>
  <c r="E587" i="16" s="1"/>
  <c r="B587" i="16"/>
  <c r="R586" i="16"/>
  <c r="C586" i="16"/>
  <c r="E586" i="16" s="1"/>
  <c r="B586" i="16"/>
  <c r="R585" i="16"/>
  <c r="C585" i="16"/>
  <c r="E585" i="16" s="1"/>
  <c r="B585" i="16"/>
  <c r="R584" i="16"/>
  <c r="C584" i="16"/>
  <c r="E584" i="16" s="1"/>
  <c r="B584" i="16"/>
  <c r="R583" i="16"/>
  <c r="C583" i="16"/>
  <c r="E583" i="16" s="1"/>
  <c r="B583" i="16"/>
  <c r="R582" i="16"/>
  <c r="C582" i="16"/>
  <c r="E582" i="16" s="1"/>
  <c r="B582" i="16"/>
  <c r="R581" i="16"/>
  <c r="C581" i="16"/>
  <c r="E581" i="16" s="1"/>
  <c r="B581" i="16"/>
  <c r="R580" i="16"/>
  <c r="C580" i="16"/>
  <c r="E580" i="16" s="1"/>
  <c r="B580" i="16"/>
  <c r="R579" i="16"/>
  <c r="C579" i="16"/>
  <c r="E579" i="16" s="1"/>
  <c r="B579" i="16"/>
  <c r="R578" i="16"/>
  <c r="C578" i="16"/>
  <c r="E578" i="16" s="1"/>
  <c r="B578" i="16"/>
  <c r="R577" i="16"/>
  <c r="C577" i="16"/>
  <c r="E577" i="16" s="1"/>
  <c r="B577" i="16"/>
  <c r="R576" i="16"/>
  <c r="C576" i="16"/>
  <c r="E576" i="16" s="1"/>
  <c r="B576" i="16"/>
  <c r="R575" i="16"/>
  <c r="C575" i="16"/>
  <c r="E575" i="16" s="1"/>
  <c r="B575" i="16"/>
  <c r="R574" i="16"/>
  <c r="C574" i="16"/>
  <c r="E574" i="16" s="1"/>
  <c r="B574" i="16"/>
  <c r="R573" i="16"/>
  <c r="C573" i="16"/>
  <c r="E573" i="16" s="1"/>
  <c r="B573" i="16"/>
  <c r="R572" i="16"/>
  <c r="C572" i="16"/>
  <c r="E572" i="16" s="1"/>
  <c r="B572" i="16"/>
  <c r="R571" i="16"/>
  <c r="C571" i="16"/>
  <c r="E571" i="16" s="1"/>
  <c r="B571" i="16"/>
  <c r="R570" i="16"/>
  <c r="C570" i="16"/>
  <c r="E570" i="16" s="1"/>
  <c r="B570" i="16"/>
  <c r="R569" i="16"/>
  <c r="C569" i="16"/>
  <c r="E569" i="16" s="1"/>
  <c r="B569" i="16"/>
  <c r="R568" i="16"/>
  <c r="C568" i="16"/>
  <c r="E568" i="16" s="1"/>
  <c r="B568" i="16"/>
  <c r="R567" i="16"/>
  <c r="C567" i="16"/>
  <c r="E567" i="16" s="1"/>
  <c r="B567" i="16"/>
  <c r="R566" i="16"/>
  <c r="C566" i="16"/>
  <c r="E566" i="16" s="1"/>
  <c r="B566" i="16"/>
  <c r="R565" i="16"/>
  <c r="C565" i="16"/>
  <c r="E565" i="16" s="1"/>
  <c r="B565" i="16"/>
  <c r="R564" i="16"/>
  <c r="C564" i="16"/>
  <c r="E564" i="16" s="1"/>
  <c r="B564" i="16"/>
  <c r="R563" i="16"/>
  <c r="C563" i="16"/>
  <c r="E563" i="16" s="1"/>
  <c r="B563" i="16"/>
  <c r="R562" i="16"/>
  <c r="C562" i="16"/>
  <c r="E562" i="16" s="1"/>
  <c r="B562" i="16"/>
  <c r="R561" i="16"/>
  <c r="C561" i="16"/>
  <c r="E561" i="16" s="1"/>
  <c r="B561" i="16"/>
  <c r="R560" i="16"/>
  <c r="C560" i="16"/>
  <c r="E560" i="16" s="1"/>
  <c r="B560" i="16"/>
  <c r="R559" i="16"/>
  <c r="C559" i="16"/>
  <c r="E559" i="16" s="1"/>
  <c r="B559" i="16"/>
  <c r="R558" i="16"/>
  <c r="C558" i="16"/>
  <c r="E558" i="16" s="1"/>
  <c r="B558" i="16"/>
  <c r="R557" i="16"/>
  <c r="C557" i="16"/>
  <c r="E557" i="16" s="1"/>
  <c r="B557" i="16"/>
  <c r="R556" i="16"/>
  <c r="C556" i="16"/>
  <c r="E556" i="16" s="1"/>
  <c r="B556" i="16"/>
  <c r="R555" i="16"/>
  <c r="C555" i="16"/>
  <c r="E555" i="16" s="1"/>
  <c r="B555" i="16"/>
  <c r="R554" i="16"/>
  <c r="C554" i="16"/>
  <c r="E554" i="16" s="1"/>
  <c r="B554" i="16"/>
  <c r="R553" i="16"/>
  <c r="C553" i="16"/>
  <c r="E553" i="16" s="1"/>
  <c r="B553" i="16"/>
  <c r="R552" i="16"/>
  <c r="C552" i="16"/>
  <c r="E552" i="16" s="1"/>
  <c r="B552" i="16"/>
  <c r="R551" i="16"/>
  <c r="C551" i="16"/>
  <c r="E551" i="16" s="1"/>
  <c r="B551" i="16"/>
  <c r="R550" i="16"/>
  <c r="C550" i="16"/>
  <c r="E550" i="16" s="1"/>
  <c r="B550" i="16"/>
  <c r="R549" i="16"/>
  <c r="C549" i="16"/>
  <c r="E549" i="16" s="1"/>
  <c r="B549" i="16"/>
  <c r="R548" i="16"/>
  <c r="C548" i="16"/>
  <c r="E548" i="16" s="1"/>
  <c r="B548" i="16"/>
  <c r="R547" i="16"/>
  <c r="C547" i="16"/>
  <c r="E547" i="16" s="1"/>
  <c r="B547" i="16"/>
  <c r="R546" i="16"/>
  <c r="C546" i="16"/>
  <c r="E546" i="16" s="1"/>
  <c r="B546" i="16"/>
  <c r="R545" i="16"/>
  <c r="C545" i="16"/>
  <c r="E545" i="16" s="1"/>
  <c r="B545" i="16"/>
  <c r="R544" i="16"/>
  <c r="C544" i="16"/>
  <c r="E544" i="16" s="1"/>
  <c r="B544" i="16"/>
  <c r="R543" i="16"/>
  <c r="C543" i="16"/>
  <c r="E543" i="16" s="1"/>
  <c r="B543" i="16"/>
  <c r="R542" i="16"/>
  <c r="C542" i="16"/>
  <c r="E542" i="16" s="1"/>
  <c r="B542" i="16"/>
  <c r="R541" i="16"/>
  <c r="C541" i="16"/>
  <c r="E541" i="16" s="1"/>
  <c r="B541" i="16"/>
  <c r="R540" i="16"/>
  <c r="C540" i="16"/>
  <c r="E540" i="16" s="1"/>
  <c r="B540" i="16"/>
  <c r="R539" i="16"/>
  <c r="C539" i="16"/>
  <c r="E539" i="16" s="1"/>
  <c r="B539" i="16"/>
  <c r="R538" i="16"/>
  <c r="C538" i="16"/>
  <c r="E538" i="16" s="1"/>
  <c r="B538" i="16"/>
  <c r="R537" i="16"/>
  <c r="C537" i="16"/>
  <c r="E537" i="16" s="1"/>
  <c r="B537" i="16"/>
  <c r="R536" i="16"/>
  <c r="C536" i="16"/>
  <c r="E536" i="16" s="1"/>
  <c r="B536" i="16"/>
  <c r="R535" i="16"/>
  <c r="C535" i="16"/>
  <c r="E535" i="16" s="1"/>
  <c r="B535" i="16"/>
  <c r="R534" i="16"/>
  <c r="C534" i="16"/>
  <c r="E534" i="16" s="1"/>
  <c r="B534" i="16"/>
  <c r="R533" i="16"/>
  <c r="C533" i="16"/>
  <c r="E533" i="16" s="1"/>
  <c r="B533" i="16"/>
  <c r="R532" i="16"/>
  <c r="C532" i="16"/>
  <c r="E532" i="16" s="1"/>
  <c r="B532" i="16"/>
  <c r="R531" i="16"/>
  <c r="C531" i="16"/>
  <c r="E531" i="16" s="1"/>
  <c r="B531" i="16"/>
  <c r="R530" i="16"/>
  <c r="C530" i="16"/>
  <c r="E530" i="16" s="1"/>
  <c r="B530" i="16"/>
  <c r="R529" i="16"/>
  <c r="C529" i="16"/>
  <c r="E529" i="16" s="1"/>
  <c r="B529" i="16"/>
  <c r="R528" i="16"/>
  <c r="C528" i="16"/>
  <c r="E528" i="16" s="1"/>
  <c r="B528" i="16"/>
  <c r="R527" i="16"/>
  <c r="C527" i="16"/>
  <c r="E527" i="16" s="1"/>
  <c r="B527" i="16"/>
  <c r="R526" i="16"/>
  <c r="C526" i="16"/>
  <c r="E526" i="16" s="1"/>
  <c r="B526" i="16"/>
  <c r="R525" i="16"/>
  <c r="C525" i="16"/>
  <c r="E525" i="16" s="1"/>
  <c r="B525" i="16"/>
  <c r="R524" i="16"/>
  <c r="C524" i="16"/>
  <c r="E524" i="16" s="1"/>
  <c r="B524" i="16"/>
  <c r="R523" i="16"/>
  <c r="C523" i="16"/>
  <c r="E523" i="16" s="1"/>
  <c r="B523" i="16"/>
  <c r="R522" i="16"/>
  <c r="C522" i="16"/>
  <c r="E522" i="16" s="1"/>
  <c r="B522" i="16"/>
  <c r="R521" i="16"/>
  <c r="C521" i="16"/>
  <c r="E521" i="16" s="1"/>
  <c r="B521" i="16"/>
  <c r="R520" i="16"/>
  <c r="C520" i="16"/>
  <c r="E520" i="16" s="1"/>
  <c r="B520" i="16"/>
  <c r="R519" i="16"/>
  <c r="C519" i="16"/>
  <c r="E519" i="16" s="1"/>
  <c r="B519" i="16"/>
  <c r="R518" i="16"/>
  <c r="C518" i="16"/>
  <c r="E518" i="16" s="1"/>
  <c r="B518" i="16"/>
  <c r="R517" i="16"/>
  <c r="C517" i="16"/>
  <c r="E517" i="16" s="1"/>
  <c r="B517" i="16"/>
  <c r="R516" i="16"/>
  <c r="C516" i="16"/>
  <c r="E516" i="16" s="1"/>
  <c r="B516" i="16"/>
  <c r="R515" i="16"/>
  <c r="C515" i="16"/>
  <c r="E515" i="16" s="1"/>
  <c r="B515" i="16"/>
  <c r="R514" i="16"/>
  <c r="C514" i="16"/>
  <c r="E514" i="16" s="1"/>
  <c r="B514" i="16"/>
  <c r="R513" i="16"/>
  <c r="C513" i="16"/>
  <c r="E513" i="16" s="1"/>
  <c r="B513" i="16"/>
  <c r="R512" i="16"/>
  <c r="C512" i="16"/>
  <c r="E512" i="16" s="1"/>
  <c r="B512" i="16"/>
  <c r="R511" i="16"/>
  <c r="C511" i="16"/>
  <c r="E511" i="16" s="1"/>
  <c r="B511" i="16"/>
  <c r="R510" i="16"/>
  <c r="C510" i="16"/>
  <c r="E510" i="16" s="1"/>
  <c r="B510" i="16"/>
  <c r="R509" i="16"/>
  <c r="C509" i="16"/>
  <c r="E509" i="16" s="1"/>
  <c r="B509" i="16"/>
  <c r="R508" i="16"/>
  <c r="C508" i="16"/>
  <c r="E508" i="16" s="1"/>
  <c r="B508" i="16"/>
  <c r="R507" i="16"/>
  <c r="C507" i="16"/>
  <c r="E507" i="16" s="1"/>
  <c r="B507" i="16"/>
  <c r="R506" i="16"/>
  <c r="C506" i="16"/>
  <c r="E506" i="16" s="1"/>
  <c r="B506" i="16"/>
  <c r="R505" i="16"/>
  <c r="C505" i="16"/>
  <c r="E505" i="16" s="1"/>
  <c r="B505" i="16"/>
  <c r="R504" i="16"/>
  <c r="C504" i="16"/>
  <c r="E504" i="16" s="1"/>
  <c r="B504" i="16"/>
  <c r="R503" i="16"/>
  <c r="C503" i="16"/>
  <c r="E503" i="16" s="1"/>
  <c r="B503" i="16"/>
  <c r="R502" i="16"/>
  <c r="C502" i="16"/>
  <c r="E502" i="16" s="1"/>
  <c r="B502" i="16"/>
  <c r="R501" i="16"/>
  <c r="C501" i="16"/>
  <c r="E501" i="16" s="1"/>
  <c r="B501" i="16"/>
  <c r="R500" i="16"/>
  <c r="C500" i="16"/>
  <c r="E500" i="16" s="1"/>
  <c r="B500" i="16"/>
  <c r="R499" i="16"/>
  <c r="C499" i="16"/>
  <c r="E499" i="16" s="1"/>
  <c r="B499" i="16"/>
  <c r="R498" i="16"/>
  <c r="C498" i="16"/>
  <c r="E498" i="16" s="1"/>
  <c r="B498" i="16"/>
  <c r="R497" i="16"/>
  <c r="C497" i="16"/>
  <c r="E497" i="16" s="1"/>
  <c r="B497" i="16"/>
  <c r="R496" i="16"/>
  <c r="C496" i="16"/>
  <c r="E496" i="16" s="1"/>
  <c r="B496" i="16"/>
  <c r="R495" i="16"/>
  <c r="C495" i="16"/>
  <c r="E495" i="16" s="1"/>
  <c r="B495" i="16"/>
  <c r="R494" i="16"/>
  <c r="C494" i="16"/>
  <c r="E494" i="16" s="1"/>
  <c r="B494" i="16"/>
  <c r="R493" i="16"/>
  <c r="C493" i="16"/>
  <c r="E493" i="16" s="1"/>
  <c r="B493" i="16"/>
  <c r="R492" i="16"/>
  <c r="C492" i="16"/>
  <c r="E492" i="16" s="1"/>
  <c r="B492" i="16"/>
  <c r="R491" i="16"/>
  <c r="C491" i="16"/>
  <c r="E491" i="16" s="1"/>
  <c r="B491" i="16"/>
  <c r="R490" i="16"/>
  <c r="C490" i="16"/>
  <c r="E490" i="16" s="1"/>
  <c r="B490" i="16"/>
  <c r="R489" i="16"/>
  <c r="C489" i="16"/>
  <c r="E489" i="16" s="1"/>
  <c r="B489" i="16"/>
  <c r="R488" i="16"/>
  <c r="C488" i="16"/>
  <c r="E488" i="16" s="1"/>
  <c r="B488" i="16"/>
  <c r="R487" i="16"/>
  <c r="C487" i="16"/>
  <c r="E487" i="16" s="1"/>
  <c r="B487" i="16"/>
  <c r="R486" i="16"/>
  <c r="C486" i="16"/>
  <c r="E486" i="16" s="1"/>
  <c r="B486" i="16"/>
  <c r="R485" i="16"/>
  <c r="C485" i="16"/>
  <c r="E485" i="16" s="1"/>
  <c r="B485" i="16"/>
  <c r="R484" i="16"/>
  <c r="C484" i="16"/>
  <c r="E484" i="16" s="1"/>
  <c r="B484" i="16"/>
  <c r="R483" i="16"/>
  <c r="C483" i="16"/>
  <c r="E483" i="16" s="1"/>
  <c r="B483" i="16"/>
  <c r="R482" i="16"/>
  <c r="C482" i="16"/>
  <c r="E482" i="16" s="1"/>
  <c r="B482" i="16"/>
  <c r="R481" i="16"/>
  <c r="C481" i="16"/>
  <c r="E481" i="16" s="1"/>
  <c r="B481" i="16"/>
  <c r="R480" i="16"/>
  <c r="C480" i="16"/>
  <c r="E480" i="16" s="1"/>
  <c r="B480" i="16"/>
  <c r="R479" i="16"/>
  <c r="C479" i="16"/>
  <c r="E479" i="16" s="1"/>
  <c r="B479" i="16"/>
  <c r="R478" i="16"/>
  <c r="C478" i="16"/>
  <c r="E478" i="16" s="1"/>
  <c r="B478" i="16"/>
  <c r="R477" i="16"/>
  <c r="C477" i="16"/>
  <c r="E477" i="16" s="1"/>
  <c r="B477" i="16"/>
  <c r="R476" i="16"/>
  <c r="C476" i="16"/>
  <c r="E476" i="16" s="1"/>
  <c r="B476" i="16"/>
  <c r="R475" i="16"/>
  <c r="C475" i="16"/>
  <c r="E475" i="16" s="1"/>
  <c r="B475" i="16"/>
  <c r="R474" i="16"/>
  <c r="C474" i="16"/>
  <c r="E474" i="16" s="1"/>
  <c r="B474" i="16"/>
  <c r="R473" i="16"/>
  <c r="C473" i="16"/>
  <c r="E473" i="16" s="1"/>
  <c r="B473" i="16"/>
  <c r="R472" i="16"/>
  <c r="C472" i="16"/>
  <c r="E472" i="16" s="1"/>
  <c r="B472" i="16"/>
  <c r="R471" i="16"/>
  <c r="C471" i="16"/>
  <c r="E471" i="16" s="1"/>
  <c r="B471" i="16"/>
  <c r="R470" i="16"/>
  <c r="C470" i="16"/>
  <c r="E470" i="16" s="1"/>
  <c r="B470" i="16"/>
  <c r="R469" i="16"/>
  <c r="C469" i="16"/>
  <c r="E469" i="16" s="1"/>
  <c r="B469" i="16"/>
  <c r="R468" i="16"/>
  <c r="C468" i="16"/>
  <c r="E468" i="16" s="1"/>
  <c r="B468" i="16"/>
  <c r="R467" i="16"/>
  <c r="C467" i="16"/>
  <c r="E467" i="16" s="1"/>
  <c r="B467" i="16"/>
  <c r="R466" i="16"/>
  <c r="C466" i="16"/>
  <c r="E466" i="16" s="1"/>
  <c r="B466" i="16"/>
  <c r="R465" i="16"/>
  <c r="C465" i="16"/>
  <c r="E465" i="16" s="1"/>
  <c r="B465" i="16"/>
  <c r="R464" i="16"/>
  <c r="C464" i="16"/>
  <c r="E464" i="16" s="1"/>
  <c r="B464" i="16"/>
  <c r="R463" i="16"/>
  <c r="C463" i="16"/>
  <c r="E463" i="16" s="1"/>
  <c r="B463" i="16"/>
  <c r="R462" i="16"/>
  <c r="C462" i="16"/>
  <c r="E462" i="16" s="1"/>
  <c r="B462" i="16"/>
  <c r="R461" i="16"/>
  <c r="R460" i="16"/>
  <c r="C460" i="16"/>
  <c r="E460" i="16" s="1"/>
  <c r="B460" i="16"/>
  <c r="R459" i="16"/>
  <c r="C459" i="16"/>
  <c r="E459" i="16" s="1"/>
  <c r="B459" i="16"/>
  <c r="R458" i="16"/>
  <c r="C458" i="16"/>
  <c r="E458" i="16" s="1"/>
  <c r="B458" i="16"/>
  <c r="R457" i="16"/>
  <c r="C457" i="16"/>
  <c r="E457" i="16" s="1"/>
  <c r="B457" i="16"/>
  <c r="R456" i="16"/>
  <c r="C456" i="16"/>
  <c r="E456" i="16" s="1"/>
  <c r="B456" i="16"/>
  <c r="R455" i="16"/>
  <c r="C455" i="16"/>
  <c r="E455" i="16" s="1"/>
  <c r="B455" i="16"/>
  <c r="R454" i="16"/>
  <c r="C454" i="16"/>
  <c r="E454" i="16" s="1"/>
  <c r="B454" i="16"/>
  <c r="R453" i="16"/>
  <c r="C453" i="16"/>
  <c r="E453" i="16" s="1"/>
  <c r="B453" i="16"/>
  <c r="R452" i="16"/>
  <c r="C452" i="16"/>
  <c r="E452" i="16" s="1"/>
  <c r="B452" i="16"/>
  <c r="R451" i="16"/>
  <c r="C451" i="16"/>
  <c r="E451" i="16" s="1"/>
  <c r="B451" i="16"/>
  <c r="R450" i="16"/>
  <c r="C450" i="16"/>
  <c r="E450" i="16" s="1"/>
  <c r="B450" i="16"/>
  <c r="R449" i="16"/>
  <c r="C449" i="16"/>
  <c r="E449" i="16" s="1"/>
  <c r="B449" i="16"/>
  <c r="R448" i="16"/>
  <c r="C448" i="16"/>
  <c r="E448" i="16" s="1"/>
  <c r="B448" i="16"/>
  <c r="R447" i="16"/>
  <c r="C447" i="16"/>
  <c r="E447" i="16" s="1"/>
  <c r="B447" i="16"/>
  <c r="R446" i="16"/>
  <c r="C446" i="16"/>
  <c r="E446" i="16" s="1"/>
  <c r="B446" i="16"/>
  <c r="R445" i="16"/>
  <c r="C445" i="16"/>
  <c r="E445" i="16" s="1"/>
  <c r="B445" i="16"/>
  <c r="R444" i="16"/>
  <c r="C444" i="16"/>
  <c r="E444" i="16" s="1"/>
  <c r="B444" i="16"/>
  <c r="R443" i="16"/>
  <c r="C443" i="16"/>
  <c r="E443" i="16" s="1"/>
  <c r="B443" i="16"/>
  <c r="R442" i="16"/>
  <c r="C442" i="16"/>
  <c r="E442" i="16" s="1"/>
  <c r="B442" i="16"/>
  <c r="R441" i="16"/>
  <c r="C441" i="16"/>
  <c r="E441" i="16" s="1"/>
  <c r="B441" i="16"/>
  <c r="R440" i="16"/>
  <c r="C440" i="16"/>
  <c r="E440" i="16" s="1"/>
  <c r="B440" i="16"/>
  <c r="R439" i="16"/>
  <c r="C439" i="16"/>
  <c r="E439" i="16" s="1"/>
  <c r="B439" i="16"/>
  <c r="R438" i="16"/>
  <c r="C438" i="16"/>
  <c r="E438" i="16" s="1"/>
  <c r="B438" i="16"/>
  <c r="R437" i="16"/>
  <c r="C437" i="16"/>
  <c r="E437" i="16" s="1"/>
  <c r="B437" i="16"/>
  <c r="R436" i="16"/>
  <c r="C436" i="16"/>
  <c r="E436" i="16" s="1"/>
  <c r="B436" i="16"/>
  <c r="R435" i="16"/>
  <c r="C435" i="16"/>
  <c r="E435" i="16" s="1"/>
  <c r="B435" i="16"/>
  <c r="R434" i="16"/>
  <c r="C434" i="16"/>
  <c r="E434" i="16" s="1"/>
  <c r="B434" i="16"/>
  <c r="R433" i="16"/>
  <c r="C433" i="16"/>
  <c r="E433" i="16" s="1"/>
  <c r="B433" i="16"/>
  <c r="R432" i="16"/>
  <c r="C432" i="16"/>
  <c r="E432" i="16" s="1"/>
  <c r="B432" i="16"/>
  <c r="R431" i="16"/>
  <c r="C431" i="16"/>
  <c r="E431" i="16" s="1"/>
  <c r="B431" i="16"/>
  <c r="R430" i="16"/>
  <c r="C430" i="16"/>
  <c r="E430" i="16" s="1"/>
  <c r="B430" i="16"/>
  <c r="R429" i="16"/>
  <c r="C429" i="16"/>
  <c r="E429" i="16" s="1"/>
  <c r="B429" i="16"/>
  <c r="R428" i="16"/>
  <c r="C428" i="16"/>
  <c r="E428" i="16" s="1"/>
  <c r="B428" i="16"/>
  <c r="R427" i="16"/>
  <c r="C427" i="16"/>
  <c r="E427" i="16" s="1"/>
  <c r="B427" i="16"/>
  <c r="R426" i="16"/>
  <c r="C426" i="16"/>
  <c r="E426" i="16" s="1"/>
  <c r="B426" i="16"/>
  <c r="R425" i="16"/>
  <c r="C425" i="16"/>
  <c r="E425" i="16" s="1"/>
  <c r="B425" i="16"/>
  <c r="R424" i="16"/>
  <c r="C424" i="16"/>
  <c r="E424" i="16" s="1"/>
  <c r="B424" i="16"/>
  <c r="R423" i="16"/>
  <c r="C423" i="16"/>
  <c r="E423" i="16" s="1"/>
  <c r="B423" i="16"/>
  <c r="R422" i="16"/>
  <c r="C422" i="16"/>
  <c r="E422" i="16" s="1"/>
  <c r="B422" i="16"/>
  <c r="R421" i="16"/>
  <c r="C421" i="16"/>
  <c r="E421" i="16" s="1"/>
  <c r="B421" i="16"/>
  <c r="R420" i="16"/>
  <c r="C420" i="16"/>
  <c r="E420" i="16" s="1"/>
  <c r="B420" i="16"/>
  <c r="R419" i="16"/>
  <c r="C419" i="16"/>
  <c r="E419" i="16" s="1"/>
  <c r="B419" i="16"/>
  <c r="R418" i="16"/>
  <c r="C418" i="16"/>
  <c r="E418" i="16" s="1"/>
  <c r="B418" i="16"/>
  <c r="R417" i="16"/>
  <c r="C417" i="16"/>
  <c r="E417" i="16" s="1"/>
  <c r="B417" i="16"/>
  <c r="R416" i="16"/>
  <c r="C416" i="16"/>
  <c r="E416" i="16" s="1"/>
  <c r="B416" i="16"/>
  <c r="R415" i="16"/>
  <c r="C415" i="16"/>
  <c r="E415" i="16" s="1"/>
  <c r="B415" i="16"/>
  <c r="R414" i="16"/>
  <c r="C414" i="16"/>
  <c r="E414" i="16" s="1"/>
  <c r="B414" i="16"/>
  <c r="R413" i="16"/>
  <c r="C413" i="16"/>
  <c r="E413" i="16" s="1"/>
  <c r="B413" i="16"/>
  <c r="R412" i="16"/>
  <c r="C412" i="16"/>
  <c r="E412" i="16" s="1"/>
  <c r="B412" i="16"/>
  <c r="R411" i="16"/>
  <c r="C411" i="16"/>
  <c r="E411" i="16" s="1"/>
  <c r="B411" i="16"/>
  <c r="G26" i="28"/>
  <c r="G20" i="26"/>
  <c r="G21" i="25"/>
  <c r="R667" i="3"/>
  <c r="B667" i="3"/>
  <c r="B666" i="3"/>
  <c r="R666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42" i="3"/>
  <c r="R643" i="3"/>
  <c r="R644" i="3"/>
  <c r="R645" i="3"/>
  <c r="R646" i="3"/>
  <c r="R647" i="3"/>
  <c r="R648" i="3"/>
  <c r="R649" i="3"/>
  <c r="R650" i="3"/>
  <c r="R651" i="3"/>
  <c r="G21" i="23"/>
  <c r="R446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R436" i="3"/>
  <c r="R437" i="3"/>
  <c r="R438" i="3"/>
  <c r="R439" i="3"/>
  <c r="R440" i="3"/>
  <c r="R441" i="3"/>
  <c r="R442" i="3"/>
  <c r="R443" i="3"/>
  <c r="R444" i="3"/>
  <c r="R445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9" i="3"/>
  <c r="R510" i="3"/>
  <c r="R258" i="3"/>
  <c r="R508" i="3"/>
  <c r="R514" i="3"/>
  <c r="R505" i="3"/>
  <c r="R511" i="3"/>
  <c r="R512" i="3"/>
  <c r="R506" i="3"/>
  <c r="R515" i="3"/>
  <c r="R548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07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9" i="3"/>
  <c r="R610" i="3"/>
  <c r="R611" i="3"/>
  <c r="R612" i="3"/>
  <c r="R613" i="3"/>
  <c r="R614" i="3"/>
  <c r="R615" i="3"/>
  <c r="R616" i="3"/>
  <c r="R617" i="3"/>
  <c r="R618" i="3"/>
  <c r="R620" i="3"/>
  <c r="R621" i="3"/>
  <c r="R622" i="3"/>
  <c r="R623" i="3"/>
  <c r="R624" i="3"/>
  <c r="R625" i="3"/>
  <c r="R626" i="3"/>
  <c r="R627" i="3"/>
  <c r="R628" i="3"/>
  <c r="R629" i="3"/>
  <c r="R49" i="3"/>
  <c r="R631" i="3"/>
  <c r="R632" i="3"/>
  <c r="R633" i="3"/>
  <c r="R634" i="3"/>
  <c r="R635" i="3"/>
  <c r="R636" i="3"/>
  <c r="R637" i="3"/>
  <c r="R638" i="3"/>
  <c r="R639" i="3"/>
  <c r="R640" i="3"/>
  <c r="R641" i="3"/>
  <c r="R40" i="3"/>
  <c r="P6" i="2"/>
  <c r="B2" i="3"/>
  <c r="E2" i="3"/>
  <c r="R2" i="3"/>
  <c r="B3" i="3"/>
  <c r="E3" i="3"/>
  <c r="R3" i="3"/>
  <c r="B4" i="3"/>
  <c r="E4" i="3"/>
  <c r="R4" i="3"/>
  <c r="B5" i="3"/>
  <c r="E5" i="3"/>
  <c r="R5" i="3"/>
  <c r="B6" i="3"/>
  <c r="E6" i="3"/>
  <c r="R6" i="3"/>
  <c r="B7" i="3"/>
  <c r="E7" i="3"/>
  <c r="R7" i="3"/>
  <c r="B8" i="3"/>
  <c r="E8" i="3"/>
  <c r="R8" i="3"/>
  <c r="B9" i="3"/>
  <c r="E9" i="3"/>
  <c r="R9" i="3"/>
  <c r="B10" i="3"/>
  <c r="E10" i="3"/>
  <c r="R10" i="3"/>
  <c r="B11" i="3"/>
  <c r="E11" i="3"/>
  <c r="R11" i="3"/>
  <c r="B12" i="3"/>
  <c r="E12" i="3"/>
  <c r="R12" i="3"/>
  <c r="B13" i="3"/>
  <c r="E13" i="3"/>
  <c r="R13" i="3"/>
  <c r="B14" i="3"/>
  <c r="E14" i="3"/>
  <c r="R14" i="3"/>
  <c r="B15" i="3"/>
  <c r="E15" i="3"/>
  <c r="R15" i="3"/>
  <c r="B16" i="3"/>
  <c r="E16" i="3"/>
  <c r="R16" i="3"/>
  <c r="B17" i="3"/>
  <c r="E17" i="3"/>
  <c r="R17" i="3"/>
  <c r="B18" i="3"/>
  <c r="E18" i="3"/>
  <c r="R18" i="3"/>
  <c r="B19" i="3"/>
  <c r="E19" i="3"/>
  <c r="R19" i="3"/>
  <c r="B20" i="3"/>
  <c r="E20" i="3"/>
  <c r="R20" i="3"/>
  <c r="B21" i="3"/>
  <c r="E21" i="3"/>
  <c r="R21" i="3"/>
  <c r="B22" i="3"/>
  <c r="E22" i="3"/>
  <c r="R22" i="3"/>
  <c r="B23" i="3"/>
  <c r="E23" i="3"/>
  <c r="R23" i="3"/>
  <c r="B24" i="3"/>
  <c r="E24" i="3"/>
  <c r="R24" i="3"/>
  <c r="B25" i="3"/>
  <c r="E25" i="3"/>
  <c r="R25" i="3"/>
  <c r="B26" i="3"/>
  <c r="E26" i="3"/>
  <c r="R26" i="3"/>
  <c r="B27" i="3"/>
  <c r="E27" i="3"/>
  <c r="R27" i="3"/>
  <c r="B28" i="3"/>
  <c r="E28" i="3"/>
  <c r="R28" i="3"/>
  <c r="B29" i="3"/>
  <c r="E29" i="3"/>
  <c r="R29" i="3"/>
  <c r="B30" i="3"/>
  <c r="E30" i="3"/>
  <c r="R30" i="3"/>
  <c r="B31" i="3"/>
  <c r="E31" i="3"/>
  <c r="R31" i="3"/>
  <c r="B32" i="3"/>
  <c r="E32" i="3"/>
  <c r="R32" i="3"/>
  <c r="B33" i="3"/>
  <c r="E33" i="3"/>
  <c r="R33" i="3"/>
  <c r="B34" i="3"/>
  <c r="E34" i="3"/>
  <c r="R34" i="3"/>
  <c r="B35" i="3"/>
  <c r="E35" i="3"/>
  <c r="R35" i="3"/>
  <c r="B36" i="3"/>
  <c r="E36" i="3"/>
  <c r="R36" i="3"/>
  <c r="B37" i="3"/>
  <c r="E37" i="3"/>
  <c r="R37" i="3"/>
  <c r="B38" i="3"/>
  <c r="E38" i="3"/>
  <c r="R38" i="3"/>
  <c r="B39" i="3"/>
  <c r="E39" i="3"/>
  <c r="R39" i="3"/>
  <c r="B40" i="3"/>
  <c r="E40" i="3"/>
  <c r="B41" i="3"/>
  <c r="E41" i="3"/>
  <c r="R41" i="3"/>
  <c r="B42" i="3"/>
  <c r="E42" i="3"/>
  <c r="R42" i="3"/>
  <c r="B43" i="3"/>
  <c r="E43" i="3"/>
  <c r="R43" i="3"/>
  <c r="B44" i="3"/>
  <c r="E44" i="3"/>
  <c r="R44" i="3"/>
  <c r="B45" i="3"/>
  <c r="E45" i="3"/>
  <c r="R45" i="3"/>
  <c r="B46" i="3"/>
  <c r="E46" i="3"/>
  <c r="R46" i="3"/>
  <c r="B47" i="3"/>
  <c r="E47" i="3"/>
  <c r="R47" i="3"/>
  <c r="B48" i="3"/>
  <c r="E48" i="3"/>
  <c r="R48" i="3"/>
  <c r="B49" i="3"/>
  <c r="E49" i="3"/>
  <c r="R630" i="3"/>
  <c r="B50" i="3"/>
  <c r="E50" i="3"/>
  <c r="R50" i="3"/>
  <c r="B51" i="3"/>
  <c r="E51" i="3"/>
  <c r="R51" i="3"/>
  <c r="B52" i="3"/>
  <c r="E52" i="3"/>
  <c r="R52" i="3"/>
  <c r="B53" i="3"/>
  <c r="E53" i="3"/>
  <c r="R53" i="3"/>
  <c r="B54" i="3"/>
  <c r="E54" i="3"/>
  <c r="R54" i="3"/>
  <c r="B55" i="3"/>
  <c r="E55" i="3"/>
  <c r="R55" i="3"/>
  <c r="B56" i="3"/>
  <c r="E56" i="3"/>
  <c r="R56" i="3"/>
  <c r="B57" i="3"/>
  <c r="E57" i="3"/>
  <c r="R57" i="3"/>
  <c r="B58" i="3"/>
  <c r="E58" i="3"/>
  <c r="B59" i="3"/>
  <c r="E59" i="3"/>
  <c r="R59" i="3"/>
  <c r="B60" i="3"/>
  <c r="E60" i="3"/>
  <c r="R60" i="3"/>
  <c r="B61" i="3"/>
  <c r="E61" i="3"/>
  <c r="R61" i="3"/>
  <c r="B62" i="3"/>
  <c r="E62" i="3"/>
  <c r="R62" i="3"/>
  <c r="B63" i="3"/>
  <c r="E63" i="3"/>
  <c r="R63" i="3"/>
  <c r="B64" i="3"/>
  <c r="E64" i="3"/>
  <c r="R64" i="3"/>
  <c r="B65" i="3"/>
  <c r="E65" i="3"/>
  <c r="R65" i="3"/>
  <c r="B66" i="3"/>
  <c r="E66" i="3"/>
  <c r="R66" i="3"/>
  <c r="B67" i="3"/>
  <c r="E67" i="3"/>
  <c r="R67" i="3"/>
  <c r="B68" i="3"/>
  <c r="E68" i="3"/>
  <c r="R68" i="3"/>
  <c r="B69" i="3"/>
  <c r="E69" i="3"/>
  <c r="R69" i="3"/>
  <c r="B70" i="3"/>
  <c r="E70" i="3"/>
  <c r="R70" i="3"/>
  <c r="B71" i="3"/>
  <c r="E71" i="3"/>
  <c r="R71" i="3"/>
  <c r="B72" i="3"/>
  <c r="E72" i="3"/>
  <c r="R72" i="3"/>
  <c r="B73" i="3"/>
  <c r="E73" i="3"/>
  <c r="R73" i="3"/>
  <c r="B74" i="3"/>
  <c r="E74" i="3"/>
  <c r="R74" i="3"/>
  <c r="B75" i="3"/>
  <c r="E75" i="3"/>
  <c r="R75" i="3"/>
  <c r="B76" i="3"/>
  <c r="E76" i="3"/>
  <c r="R76" i="3"/>
  <c r="B77" i="3"/>
  <c r="E77" i="3"/>
  <c r="R77" i="3"/>
  <c r="B78" i="3"/>
  <c r="E78" i="3"/>
  <c r="R78" i="3"/>
  <c r="B79" i="3"/>
  <c r="E79" i="3"/>
  <c r="R79" i="3"/>
  <c r="B80" i="3"/>
  <c r="E80" i="3"/>
  <c r="R80" i="3"/>
  <c r="B81" i="3"/>
  <c r="E81" i="3"/>
  <c r="R81" i="3"/>
  <c r="B82" i="3"/>
  <c r="E82" i="3"/>
  <c r="R82" i="3"/>
  <c r="B83" i="3"/>
  <c r="E83" i="3"/>
  <c r="R83" i="3"/>
  <c r="B84" i="3"/>
  <c r="E84" i="3"/>
  <c r="R84" i="3"/>
  <c r="B85" i="3"/>
  <c r="E85" i="3"/>
  <c r="R85" i="3"/>
  <c r="B86" i="3"/>
  <c r="E86" i="3"/>
  <c r="R86" i="3"/>
  <c r="B87" i="3"/>
  <c r="E87" i="3"/>
  <c r="R87" i="3"/>
  <c r="B88" i="3"/>
  <c r="E88" i="3"/>
  <c r="R88" i="3"/>
  <c r="B89" i="3"/>
  <c r="E89" i="3"/>
  <c r="R89" i="3"/>
  <c r="B90" i="3"/>
  <c r="E90" i="3"/>
  <c r="R90" i="3"/>
  <c r="B91" i="3"/>
  <c r="E91" i="3"/>
  <c r="R91" i="3"/>
  <c r="B92" i="3"/>
  <c r="E92" i="3"/>
  <c r="R92" i="3"/>
  <c r="B93" i="3"/>
  <c r="E93" i="3"/>
  <c r="R93" i="3"/>
  <c r="B94" i="3"/>
  <c r="E94" i="3"/>
  <c r="R94" i="3"/>
  <c r="B95" i="3"/>
  <c r="E95" i="3"/>
  <c r="R95" i="3"/>
  <c r="B96" i="3"/>
  <c r="E96" i="3"/>
  <c r="R96" i="3"/>
  <c r="B97" i="3"/>
  <c r="E97" i="3"/>
  <c r="R97" i="3"/>
  <c r="B98" i="3"/>
  <c r="E98" i="3"/>
  <c r="R98" i="3"/>
  <c r="B99" i="3"/>
  <c r="E99" i="3"/>
  <c r="R99" i="3"/>
  <c r="B100" i="3"/>
  <c r="E100" i="3"/>
  <c r="R100" i="3"/>
  <c r="B101" i="3"/>
  <c r="E101" i="3"/>
  <c r="R101" i="3"/>
  <c r="B102" i="3"/>
  <c r="E102" i="3"/>
  <c r="R102" i="3"/>
  <c r="B103" i="3"/>
  <c r="E103" i="3"/>
  <c r="R103" i="3"/>
  <c r="B104" i="3"/>
  <c r="E104" i="3"/>
  <c r="R104" i="3"/>
  <c r="B105" i="3"/>
  <c r="E105" i="3"/>
  <c r="R105" i="3"/>
  <c r="B106" i="3"/>
  <c r="E106" i="3"/>
  <c r="R106" i="3"/>
  <c r="B107" i="3"/>
  <c r="E107" i="3"/>
  <c r="R107" i="3"/>
  <c r="B108" i="3"/>
  <c r="E108" i="3"/>
  <c r="R108" i="3"/>
  <c r="B109" i="3"/>
  <c r="E109" i="3"/>
  <c r="R109" i="3"/>
  <c r="B110" i="3"/>
  <c r="E110" i="3"/>
  <c r="R110" i="3"/>
  <c r="B111" i="3"/>
  <c r="E111" i="3"/>
  <c r="R111" i="3"/>
  <c r="B112" i="3"/>
  <c r="E112" i="3"/>
  <c r="R112" i="3"/>
  <c r="B113" i="3"/>
  <c r="E113" i="3"/>
  <c r="R113" i="3"/>
  <c r="B114" i="3"/>
  <c r="E114" i="3"/>
  <c r="R114" i="3"/>
  <c r="B115" i="3"/>
  <c r="E115" i="3"/>
  <c r="R115" i="3"/>
  <c r="B116" i="3"/>
  <c r="E116" i="3"/>
  <c r="R116" i="3"/>
  <c r="B117" i="3"/>
  <c r="E117" i="3"/>
  <c r="R117" i="3"/>
  <c r="B118" i="3"/>
  <c r="E118" i="3"/>
  <c r="R118" i="3"/>
  <c r="B119" i="3"/>
  <c r="E119" i="3"/>
  <c r="R119" i="3"/>
  <c r="B120" i="3"/>
  <c r="E120" i="3"/>
  <c r="R120" i="3"/>
  <c r="B121" i="3"/>
  <c r="E121" i="3"/>
  <c r="R121" i="3"/>
  <c r="B122" i="3"/>
  <c r="E122" i="3"/>
  <c r="R122" i="3"/>
  <c r="B123" i="3"/>
  <c r="E123" i="3"/>
  <c r="R123" i="3"/>
  <c r="B124" i="3"/>
  <c r="E124" i="3"/>
  <c r="R124" i="3"/>
  <c r="B125" i="3"/>
  <c r="E125" i="3"/>
  <c r="R125" i="3"/>
  <c r="B126" i="3"/>
  <c r="E126" i="3"/>
  <c r="R126" i="3"/>
  <c r="B127" i="3"/>
  <c r="E127" i="3"/>
  <c r="R127" i="3"/>
  <c r="B128" i="3"/>
  <c r="E128" i="3"/>
  <c r="R128" i="3"/>
  <c r="B129" i="3"/>
  <c r="E129" i="3"/>
  <c r="R129" i="3"/>
  <c r="B130" i="3"/>
  <c r="E130" i="3"/>
  <c r="R130" i="3"/>
  <c r="B131" i="3"/>
  <c r="E131" i="3"/>
  <c r="R131" i="3"/>
  <c r="B132" i="3"/>
  <c r="E132" i="3"/>
  <c r="R132" i="3"/>
  <c r="B133" i="3"/>
  <c r="E133" i="3"/>
  <c r="R133" i="3"/>
  <c r="B134" i="3"/>
  <c r="E134" i="3"/>
  <c r="R134" i="3"/>
  <c r="B135" i="3"/>
  <c r="E135" i="3"/>
  <c r="R135" i="3"/>
  <c r="B136" i="3"/>
  <c r="E136" i="3"/>
  <c r="R136" i="3"/>
  <c r="B137" i="3"/>
  <c r="E137" i="3"/>
  <c r="R137" i="3"/>
  <c r="B138" i="3"/>
  <c r="E138" i="3"/>
  <c r="R138" i="3"/>
  <c r="B139" i="3"/>
  <c r="E139" i="3"/>
  <c r="R139" i="3"/>
  <c r="B140" i="3"/>
  <c r="E140" i="3"/>
  <c r="R140" i="3"/>
  <c r="B141" i="3"/>
  <c r="E141" i="3"/>
  <c r="R141" i="3"/>
  <c r="B142" i="3"/>
  <c r="E142" i="3"/>
  <c r="R142" i="3"/>
  <c r="B143" i="3"/>
  <c r="E143" i="3"/>
  <c r="R143" i="3"/>
  <c r="B144" i="3"/>
  <c r="E144" i="3"/>
  <c r="R144" i="3"/>
  <c r="B145" i="3"/>
  <c r="E145" i="3"/>
  <c r="R145" i="3"/>
  <c r="B146" i="3"/>
  <c r="E146" i="3"/>
  <c r="R146" i="3"/>
  <c r="B147" i="3"/>
  <c r="E147" i="3"/>
  <c r="R147" i="3"/>
  <c r="B148" i="3"/>
  <c r="E148" i="3"/>
  <c r="R148" i="3"/>
  <c r="B149" i="3"/>
  <c r="E149" i="3"/>
  <c r="R149" i="3"/>
  <c r="B150" i="3"/>
  <c r="E150" i="3"/>
  <c r="R150" i="3"/>
  <c r="B151" i="3"/>
  <c r="E151" i="3"/>
  <c r="R151" i="3"/>
  <c r="B152" i="3"/>
  <c r="E152" i="3"/>
  <c r="R152" i="3"/>
  <c r="B153" i="3"/>
  <c r="E153" i="3"/>
  <c r="R153" i="3"/>
  <c r="B154" i="3"/>
  <c r="E154" i="3"/>
  <c r="R154" i="3"/>
  <c r="B155" i="3"/>
  <c r="E155" i="3"/>
  <c r="R155" i="3"/>
  <c r="B156" i="3"/>
  <c r="E156" i="3"/>
  <c r="R156" i="3"/>
  <c r="B157" i="3"/>
  <c r="E157" i="3"/>
  <c r="R157" i="3"/>
  <c r="B158" i="3"/>
  <c r="E158" i="3"/>
  <c r="R158" i="3"/>
  <c r="B159" i="3"/>
  <c r="E159" i="3"/>
  <c r="R159" i="3"/>
  <c r="B160" i="3"/>
  <c r="E160" i="3"/>
  <c r="R160" i="3"/>
  <c r="B161" i="3"/>
  <c r="E161" i="3"/>
  <c r="R161" i="3"/>
  <c r="B162" i="3"/>
  <c r="E162" i="3"/>
  <c r="R162" i="3"/>
  <c r="B163" i="3"/>
  <c r="E163" i="3"/>
  <c r="R163" i="3"/>
  <c r="B164" i="3"/>
  <c r="E164" i="3"/>
  <c r="R164" i="3"/>
  <c r="B165" i="3"/>
  <c r="E165" i="3"/>
  <c r="R165" i="3"/>
  <c r="B166" i="3"/>
  <c r="E166" i="3"/>
  <c r="R166" i="3"/>
  <c r="B167" i="3"/>
  <c r="E167" i="3"/>
  <c r="R167" i="3"/>
  <c r="B168" i="3"/>
  <c r="E168" i="3"/>
  <c r="R168" i="3"/>
  <c r="B169" i="3"/>
  <c r="E169" i="3"/>
  <c r="R169" i="3"/>
  <c r="B170" i="3"/>
  <c r="E170" i="3"/>
  <c r="R170" i="3"/>
  <c r="B171" i="3"/>
  <c r="E171" i="3"/>
  <c r="R171" i="3"/>
  <c r="B172" i="3"/>
  <c r="E172" i="3"/>
  <c r="R172" i="3"/>
  <c r="B173" i="3"/>
  <c r="E173" i="3"/>
  <c r="R173" i="3"/>
  <c r="B174" i="3"/>
  <c r="E174" i="3"/>
  <c r="R174" i="3"/>
  <c r="B175" i="3"/>
  <c r="E175" i="3"/>
  <c r="R175" i="3"/>
  <c r="B176" i="3"/>
  <c r="E176" i="3"/>
  <c r="R176" i="3"/>
  <c r="B177" i="3"/>
  <c r="E177" i="3"/>
  <c r="R177" i="3"/>
  <c r="B178" i="3"/>
  <c r="E178" i="3"/>
  <c r="R178" i="3"/>
  <c r="B179" i="3"/>
  <c r="E179" i="3"/>
  <c r="R179" i="3"/>
  <c r="B180" i="3"/>
  <c r="E180" i="3"/>
  <c r="R180" i="3"/>
  <c r="B181" i="3"/>
  <c r="E181" i="3"/>
  <c r="R181" i="3"/>
  <c r="B182" i="3"/>
  <c r="E182" i="3"/>
  <c r="R182" i="3"/>
  <c r="B183" i="3"/>
  <c r="E183" i="3"/>
  <c r="R183" i="3"/>
  <c r="B184" i="3"/>
  <c r="E184" i="3"/>
  <c r="R184" i="3"/>
  <c r="B185" i="3"/>
  <c r="E185" i="3"/>
  <c r="R185" i="3"/>
  <c r="B186" i="3"/>
  <c r="E186" i="3"/>
  <c r="R186" i="3"/>
  <c r="B187" i="3"/>
  <c r="E187" i="3"/>
  <c r="R187" i="3"/>
  <c r="B188" i="3"/>
  <c r="E188" i="3"/>
  <c r="R188" i="3"/>
  <c r="B189" i="3"/>
  <c r="E189" i="3"/>
  <c r="R189" i="3"/>
  <c r="B190" i="3"/>
  <c r="E190" i="3"/>
  <c r="R190" i="3"/>
  <c r="B191" i="3"/>
  <c r="E191" i="3"/>
  <c r="R191" i="3"/>
  <c r="B192" i="3"/>
  <c r="E192" i="3"/>
  <c r="R192" i="3"/>
  <c r="B193" i="3"/>
  <c r="E193" i="3"/>
  <c r="R193" i="3"/>
  <c r="B194" i="3"/>
  <c r="E194" i="3"/>
  <c r="R194" i="3"/>
  <c r="B195" i="3"/>
  <c r="E195" i="3"/>
  <c r="R195" i="3"/>
  <c r="B196" i="3"/>
  <c r="E196" i="3"/>
  <c r="R196" i="3"/>
  <c r="B197" i="3"/>
  <c r="E197" i="3"/>
  <c r="R197" i="3"/>
  <c r="B198" i="3"/>
  <c r="E198" i="3"/>
  <c r="R198" i="3"/>
  <c r="B199" i="3"/>
  <c r="E199" i="3"/>
  <c r="R199" i="3"/>
  <c r="B200" i="3"/>
  <c r="E200" i="3"/>
  <c r="R200" i="3"/>
  <c r="B201" i="3"/>
  <c r="E201" i="3"/>
  <c r="R201" i="3"/>
  <c r="B202" i="3"/>
  <c r="E202" i="3"/>
  <c r="R202" i="3"/>
  <c r="B203" i="3"/>
  <c r="E203" i="3"/>
  <c r="R203" i="3"/>
  <c r="B204" i="3"/>
  <c r="E204" i="3"/>
  <c r="R204" i="3"/>
  <c r="B205" i="3"/>
  <c r="E205" i="3"/>
  <c r="R205" i="3"/>
  <c r="B206" i="3"/>
  <c r="E206" i="3"/>
  <c r="R206" i="3"/>
  <c r="B207" i="3"/>
  <c r="E207" i="3"/>
  <c r="R207" i="3"/>
  <c r="B208" i="3"/>
  <c r="E208" i="3"/>
  <c r="R208" i="3"/>
  <c r="B209" i="3"/>
  <c r="E209" i="3"/>
  <c r="R209" i="3"/>
  <c r="B210" i="3"/>
  <c r="E210" i="3"/>
  <c r="R210" i="3"/>
  <c r="B211" i="3"/>
  <c r="E211" i="3"/>
  <c r="R211" i="3"/>
  <c r="B212" i="3"/>
  <c r="E212" i="3"/>
  <c r="R212" i="3"/>
  <c r="B213" i="3"/>
  <c r="E213" i="3"/>
  <c r="R213" i="3"/>
  <c r="B214" i="3"/>
  <c r="E214" i="3"/>
  <c r="R214" i="3"/>
  <c r="B215" i="3"/>
  <c r="E215" i="3"/>
  <c r="R215" i="3"/>
  <c r="B216" i="3"/>
  <c r="E216" i="3"/>
  <c r="R216" i="3"/>
  <c r="B217" i="3"/>
  <c r="E217" i="3"/>
  <c r="R217" i="3"/>
  <c r="B218" i="3"/>
  <c r="E218" i="3"/>
  <c r="R218" i="3"/>
  <c r="B219" i="3"/>
  <c r="E219" i="3"/>
  <c r="R219" i="3"/>
  <c r="B220" i="3"/>
  <c r="E220" i="3"/>
  <c r="R220" i="3"/>
  <c r="B221" i="3"/>
  <c r="E221" i="3"/>
  <c r="R221" i="3"/>
  <c r="B222" i="3"/>
  <c r="E222" i="3"/>
  <c r="R222" i="3"/>
  <c r="B223" i="3"/>
  <c r="E223" i="3"/>
  <c r="R223" i="3"/>
  <c r="B224" i="3"/>
  <c r="E224" i="3"/>
  <c r="R224" i="3"/>
  <c r="B225" i="3"/>
  <c r="E225" i="3"/>
  <c r="R225" i="3"/>
  <c r="B226" i="3"/>
  <c r="E226" i="3"/>
  <c r="R226" i="3"/>
  <c r="B227" i="3"/>
  <c r="E227" i="3"/>
  <c r="R227" i="3"/>
  <c r="B228" i="3"/>
  <c r="E228" i="3"/>
  <c r="R228" i="3"/>
  <c r="B229" i="3"/>
  <c r="E229" i="3"/>
  <c r="R229" i="3"/>
  <c r="B230" i="3"/>
  <c r="E230" i="3"/>
  <c r="R230" i="3"/>
  <c r="B231" i="3"/>
  <c r="E231" i="3"/>
  <c r="R231" i="3"/>
  <c r="B232" i="3"/>
  <c r="E232" i="3"/>
  <c r="R232" i="3"/>
  <c r="B233" i="3"/>
  <c r="E233" i="3"/>
  <c r="R233" i="3"/>
  <c r="B234" i="3"/>
  <c r="E234" i="3"/>
  <c r="R234" i="3"/>
  <c r="B235" i="3"/>
  <c r="E235" i="3"/>
  <c r="R235" i="3"/>
  <c r="B236" i="3"/>
  <c r="E236" i="3"/>
  <c r="R236" i="3"/>
  <c r="B237" i="3"/>
  <c r="E237" i="3"/>
  <c r="R237" i="3"/>
  <c r="B238" i="3"/>
  <c r="E238" i="3"/>
  <c r="R238" i="3"/>
  <c r="B239" i="3"/>
  <c r="E239" i="3"/>
  <c r="R239" i="3"/>
  <c r="B240" i="3"/>
  <c r="E240" i="3"/>
  <c r="R240" i="3"/>
  <c r="B241" i="3"/>
  <c r="E241" i="3"/>
  <c r="R241" i="3"/>
  <c r="B242" i="3"/>
  <c r="E242" i="3"/>
  <c r="R242" i="3"/>
  <c r="B243" i="3"/>
  <c r="E243" i="3"/>
  <c r="R243" i="3"/>
  <c r="B244" i="3"/>
  <c r="E244" i="3"/>
  <c r="R244" i="3"/>
  <c r="B245" i="3"/>
  <c r="E245" i="3"/>
  <c r="R245" i="3"/>
  <c r="B246" i="3"/>
  <c r="E246" i="3"/>
  <c r="R246" i="3"/>
  <c r="B247" i="3"/>
  <c r="E247" i="3"/>
  <c r="R247" i="3"/>
  <c r="B248" i="3"/>
  <c r="E248" i="3"/>
  <c r="R248" i="3"/>
  <c r="B249" i="3"/>
  <c r="E249" i="3"/>
  <c r="R249" i="3"/>
  <c r="B250" i="3"/>
  <c r="E250" i="3"/>
  <c r="B251" i="3"/>
  <c r="E251" i="3"/>
  <c r="R251" i="3"/>
  <c r="B252" i="3"/>
  <c r="E252" i="3"/>
  <c r="R252" i="3"/>
  <c r="B253" i="3"/>
  <c r="E253" i="3"/>
  <c r="R253" i="3"/>
  <c r="B254" i="3"/>
  <c r="E254" i="3"/>
  <c r="R254" i="3"/>
  <c r="B255" i="3"/>
  <c r="E255" i="3"/>
  <c r="R255" i="3"/>
  <c r="B256" i="3"/>
  <c r="E256" i="3"/>
  <c r="R256" i="3"/>
  <c r="B257" i="3"/>
  <c r="E257" i="3"/>
  <c r="R257" i="3"/>
  <c r="B258" i="3"/>
  <c r="E258" i="3"/>
  <c r="R513" i="3"/>
  <c r="B259" i="3"/>
  <c r="E259" i="3"/>
  <c r="R259" i="3"/>
  <c r="B260" i="3"/>
  <c r="E260" i="3"/>
  <c r="R260" i="3"/>
  <c r="B261" i="3"/>
  <c r="E261" i="3"/>
  <c r="R261" i="3"/>
  <c r="B262" i="3"/>
  <c r="E262" i="3"/>
  <c r="R262" i="3"/>
  <c r="B263" i="3"/>
  <c r="E263" i="3"/>
  <c r="R263" i="3"/>
  <c r="B264" i="3"/>
  <c r="E264" i="3"/>
  <c r="R264" i="3"/>
  <c r="B265" i="3"/>
  <c r="E265" i="3"/>
  <c r="R265" i="3"/>
  <c r="B266" i="3"/>
  <c r="E266" i="3"/>
  <c r="R266" i="3"/>
  <c r="B267" i="3"/>
  <c r="E267" i="3"/>
  <c r="R267" i="3"/>
  <c r="B268" i="3"/>
  <c r="E268" i="3"/>
  <c r="R268" i="3"/>
  <c r="B269" i="3"/>
  <c r="E269" i="3"/>
  <c r="R269" i="3"/>
  <c r="B270" i="3"/>
  <c r="E270" i="3"/>
  <c r="R270" i="3"/>
  <c r="B271" i="3"/>
  <c r="E271" i="3"/>
  <c r="R271" i="3"/>
  <c r="B272" i="3"/>
  <c r="E272" i="3"/>
  <c r="R272" i="3"/>
  <c r="B273" i="3"/>
  <c r="E273" i="3"/>
  <c r="R273" i="3"/>
  <c r="B274" i="3"/>
  <c r="E274" i="3"/>
  <c r="R274" i="3"/>
  <c r="B275" i="3"/>
  <c r="E275" i="3"/>
  <c r="R275" i="3"/>
  <c r="B276" i="3"/>
  <c r="E276" i="3"/>
  <c r="R276" i="3"/>
  <c r="B277" i="3"/>
  <c r="E277" i="3"/>
  <c r="R277" i="3"/>
  <c r="B278" i="3"/>
  <c r="E278" i="3"/>
  <c r="R278" i="3"/>
  <c r="B279" i="3"/>
  <c r="E279" i="3"/>
  <c r="R279" i="3"/>
  <c r="B280" i="3"/>
  <c r="E280" i="3"/>
  <c r="R280" i="3"/>
  <c r="B281" i="3"/>
  <c r="E281" i="3"/>
  <c r="R281" i="3"/>
  <c r="B282" i="3"/>
  <c r="E282" i="3"/>
  <c r="R282" i="3"/>
  <c r="B283" i="3"/>
  <c r="E283" i="3"/>
  <c r="R283" i="3"/>
  <c r="B284" i="3"/>
  <c r="E284" i="3"/>
  <c r="R284" i="3"/>
  <c r="B285" i="3"/>
  <c r="E285" i="3"/>
  <c r="R285" i="3"/>
  <c r="B286" i="3"/>
  <c r="E286" i="3"/>
  <c r="R286" i="3"/>
  <c r="B287" i="3"/>
  <c r="E287" i="3"/>
  <c r="R287" i="3"/>
  <c r="B288" i="3"/>
  <c r="E288" i="3"/>
  <c r="R288" i="3"/>
  <c r="B289" i="3"/>
  <c r="E289" i="3"/>
  <c r="R289" i="3"/>
  <c r="B290" i="3"/>
  <c r="E290" i="3"/>
  <c r="R290" i="3"/>
  <c r="B291" i="3"/>
  <c r="E291" i="3"/>
  <c r="R291" i="3"/>
  <c r="B292" i="3"/>
  <c r="E292" i="3"/>
  <c r="R292" i="3"/>
  <c r="B293" i="3"/>
  <c r="E293" i="3"/>
  <c r="R293" i="3"/>
  <c r="B294" i="3"/>
  <c r="E294" i="3"/>
  <c r="R294" i="3"/>
  <c r="B295" i="3"/>
  <c r="E295" i="3"/>
  <c r="R295" i="3"/>
  <c r="B296" i="3"/>
  <c r="E296" i="3"/>
  <c r="R296" i="3"/>
  <c r="B297" i="3"/>
  <c r="E297" i="3"/>
  <c r="R297" i="3"/>
  <c r="B298" i="3"/>
  <c r="E298" i="3"/>
  <c r="R298" i="3"/>
  <c r="B299" i="3"/>
  <c r="E299" i="3"/>
  <c r="R299" i="3"/>
  <c r="B300" i="3"/>
  <c r="E300" i="3"/>
  <c r="R300" i="3"/>
  <c r="B301" i="3"/>
  <c r="E301" i="3"/>
  <c r="R301" i="3"/>
  <c r="B302" i="3"/>
  <c r="E302" i="3"/>
  <c r="R302" i="3"/>
  <c r="B303" i="3"/>
  <c r="E303" i="3"/>
  <c r="R303" i="3"/>
  <c r="B304" i="3"/>
  <c r="E304" i="3"/>
  <c r="R304" i="3"/>
  <c r="B305" i="3"/>
  <c r="E305" i="3"/>
  <c r="R305" i="3"/>
  <c r="B306" i="3"/>
  <c r="E306" i="3"/>
  <c r="R306" i="3"/>
  <c r="B307" i="3"/>
  <c r="E307" i="3"/>
  <c r="R307" i="3"/>
  <c r="B308" i="3"/>
  <c r="E308" i="3"/>
  <c r="R308" i="3"/>
  <c r="B309" i="3"/>
  <c r="E309" i="3"/>
  <c r="R309" i="3"/>
  <c r="B310" i="3"/>
  <c r="E310" i="3"/>
  <c r="R310" i="3"/>
  <c r="B311" i="3"/>
  <c r="E311" i="3"/>
  <c r="R311" i="3"/>
  <c r="B312" i="3"/>
  <c r="E312" i="3"/>
  <c r="R312" i="3"/>
  <c r="B313" i="3"/>
  <c r="E313" i="3"/>
  <c r="R313" i="3"/>
  <c r="B314" i="3"/>
  <c r="E314" i="3"/>
  <c r="R314" i="3"/>
  <c r="B315" i="3"/>
  <c r="E315" i="3"/>
  <c r="R315" i="3"/>
  <c r="B316" i="3"/>
  <c r="E316" i="3"/>
  <c r="R316" i="3"/>
  <c r="B317" i="3"/>
  <c r="E317" i="3"/>
  <c r="R317" i="3"/>
  <c r="B318" i="3"/>
  <c r="E318" i="3"/>
  <c r="R318" i="3"/>
  <c r="B319" i="3"/>
  <c r="E319" i="3"/>
  <c r="R319" i="3"/>
  <c r="B320" i="3"/>
  <c r="E320" i="3"/>
  <c r="R320" i="3"/>
  <c r="B321" i="3"/>
  <c r="E321" i="3"/>
  <c r="R321" i="3"/>
  <c r="B322" i="3"/>
  <c r="E322" i="3"/>
  <c r="R322" i="3"/>
  <c r="B323" i="3"/>
  <c r="E323" i="3"/>
  <c r="R323" i="3"/>
  <c r="B324" i="3"/>
  <c r="E324" i="3"/>
  <c r="R324" i="3"/>
  <c r="B325" i="3"/>
  <c r="E325" i="3"/>
  <c r="R325" i="3"/>
  <c r="B326" i="3"/>
  <c r="E326" i="3"/>
  <c r="R326" i="3"/>
  <c r="B327" i="3"/>
  <c r="E327" i="3"/>
  <c r="R327" i="3"/>
  <c r="B328" i="3"/>
  <c r="E328" i="3"/>
  <c r="R328" i="3"/>
  <c r="B329" i="3"/>
  <c r="E329" i="3"/>
  <c r="R329" i="3"/>
  <c r="B330" i="3"/>
  <c r="E330" i="3"/>
  <c r="R330" i="3"/>
  <c r="B331" i="3"/>
  <c r="E331" i="3"/>
  <c r="R331" i="3"/>
  <c r="B332" i="3"/>
  <c r="E332" i="3"/>
  <c r="R332" i="3"/>
  <c r="B333" i="3"/>
  <c r="E333" i="3"/>
  <c r="R333" i="3"/>
  <c r="B334" i="3"/>
  <c r="E334" i="3"/>
  <c r="R334" i="3"/>
  <c r="B335" i="3"/>
  <c r="E335" i="3"/>
  <c r="R335" i="3"/>
  <c r="B336" i="3"/>
  <c r="E336" i="3"/>
  <c r="R336" i="3"/>
  <c r="B337" i="3"/>
  <c r="E337" i="3"/>
  <c r="R337" i="3"/>
  <c r="B338" i="3"/>
  <c r="E338" i="3"/>
  <c r="R338" i="3"/>
  <c r="B339" i="3"/>
  <c r="E339" i="3"/>
  <c r="R339" i="3"/>
  <c r="B340" i="3"/>
  <c r="E340" i="3"/>
  <c r="R340" i="3"/>
  <c r="B341" i="3"/>
  <c r="E341" i="3"/>
  <c r="R341" i="3"/>
  <c r="B342" i="3"/>
  <c r="E342" i="3"/>
  <c r="R342" i="3"/>
  <c r="B343" i="3"/>
  <c r="E343" i="3"/>
  <c r="R343" i="3"/>
  <c r="B344" i="3"/>
  <c r="E344" i="3"/>
  <c r="R344" i="3"/>
  <c r="B345" i="3"/>
  <c r="E345" i="3"/>
  <c r="R345" i="3"/>
  <c r="B346" i="3"/>
  <c r="E346" i="3"/>
  <c r="R346" i="3"/>
  <c r="B347" i="3"/>
  <c r="E347" i="3"/>
  <c r="R347" i="3"/>
  <c r="B348" i="3"/>
  <c r="E348" i="3"/>
  <c r="R348" i="3"/>
  <c r="B349" i="3"/>
  <c r="E349" i="3"/>
  <c r="R349" i="3"/>
  <c r="B350" i="3"/>
  <c r="E350" i="3"/>
  <c r="R350" i="3"/>
  <c r="B351" i="3"/>
  <c r="E351" i="3"/>
  <c r="R351" i="3"/>
  <c r="B352" i="3"/>
  <c r="E352" i="3"/>
  <c r="R352" i="3"/>
  <c r="B353" i="3"/>
  <c r="E353" i="3"/>
  <c r="R353" i="3"/>
  <c r="B354" i="3"/>
  <c r="E354" i="3"/>
  <c r="R354" i="3"/>
  <c r="B355" i="3"/>
  <c r="E355" i="3"/>
  <c r="R355" i="3"/>
  <c r="B356" i="3"/>
  <c r="E356" i="3"/>
  <c r="R356" i="3"/>
  <c r="B357" i="3"/>
  <c r="E357" i="3"/>
  <c r="R357" i="3"/>
  <c r="B358" i="3"/>
  <c r="E358" i="3"/>
  <c r="R358" i="3"/>
  <c r="B359" i="3"/>
  <c r="E359" i="3"/>
  <c r="R359" i="3"/>
  <c r="B360" i="3"/>
  <c r="E360" i="3"/>
  <c r="R360" i="3"/>
  <c r="B361" i="3"/>
  <c r="E361" i="3"/>
  <c r="R361" i="3"/>
  <c r="B362" i="3"/>
  <c r="E362" i="3"/>
  <c r="R362" i="3"/>
  <c r="B363" i="3"/>
  <c r="E363" i="3"/>
  <c r="R363" i="3"/>
  <c r="B364" i="3"/>
  <c r="E364" i="3"/>
  <c r="R364" i="3"/>
  <c r="B365" i="3"/>
  <c r="E365" i="3"/>
  <c r="R365" i="3"/>
  <c r="B366" i="3"/>
  <c r="E366" i="3"/>
  <c r="R366" i="3"/>
  <c r="B367" i="3"/>
  <c r="E367" i="3"/>
  <c r="R367" i="3"/>
  <c r="B368" i="3"/>
  <c r="E368" i="3"/>
  <c r="R368" i="3"/>
  <c r="B369" i="3"/>
  <c r="E369" i="3"/>
  <c r="R369" i="3"/>
  <c r="B370" i="3"/>
  <c r="E370" i="3"/>
  <c r="R370" i="3"/>
  <c r="B371" i="3"/>
  <c r="E371" i="3"/>
  <c r="R371" i="3"/>
  <c r="B372" i="3"/>
  <c r="E372" i="3"/>
  <c r="R372" i="3"/>
  <c r="B373" i="3"/>
  <c r="E373" i="3"/>
  <c r="R373" i="3"/>
  <c r="B374" i="3"/>
  <c r="E374" i="3"/>
  <c r="R374" i="3"/>
  <c r="B375" i="3"/>
  <c r="E375" i="3"/>
  <c r="R375" i="3"/>
  <c r="B376" i="3"/>
  <c r="E376" i="3"/>
  <c r="R376" i="3"/>
  <c r="B377" i="3"/>
  <c r="E377" i="3"/>
  <c r="R377" i="3"/>
  <c r="B378" i="3"/>
  <c r="E378" i="3"/>
  <c r="R378" i="3"/>
  <c r="B379" i="3"/>
  <c r="E379" i="3"/>
  <c r="R379" i="3"/>
  <c r="B380" i="3"/>
  <c r="E380" i="3"/>
  <c r="R380" i="3"/>
  <c r="B381" i="3"/>
  <c r="E381" i="3"/>
  <c r="R381" i="3"/>
  <c r="B382" i="3"/>
  <c r="E382" i="3"/>
  <c r="R382" i="3"/>
  <c r="B383" i="3"/>
  <c r="E383" i="3"/>
  <c r="R383" i="3"/>
  <c r="B384" i="3"/>
  <c r="E384" i="3"/>
  <c r="R384" i="3"/>
  <c r="B385" i="3"/>
  <c r="E385" i="3"/>
  <c r="R385" i="3"/>
  <c r="B386" i="3"/>
  <c r="E386" i="3"/>
  <c r="R386" i="3"/>
  <c r="B387" i="3"/>
  <c r="E387" i="3"/>
  <c r="R387" i="3"/>
  <c r="B388" i="3"/>
  <c r="E388" i="3"/>
  <c r="R388" i="3"/>
  <c r="B389" i="3"/>
  <c r="E389" i="3"/>
  <c r="R389" i="3"/>
  <c r="B390" i="3"/>
  <c r="E390" i="3"/>
  <c r="R390" i="3"/>
  <c r="B391" i="3"/>
  <c r="E391" i="3"/>
  <c r="R391" i="3"/>
  <c r="B392" i="3"/>
  <c r="E392" i="3"/>
  <c r="R392" i="3"/>
  <c r="B393" i="3"/>
  <c r="E393" i="3"/>
  <c r="R393" i="3"/>
  <c r="B394" i="3"/>
  <c r="E394" i="3"/>
  <c r="R394" i="3"/>
  <c r="B395" i="3"/>
  <c r="E395" i="3"/>
  <c r="R395" i="3"/>
  <c r="B396" i="3"/>
  <c r="E396" i="3"/>
  <c r="R396" i="3"/>
  <c r="B397" i="3"/>
  <c r="E397" i="3"/>
  <c r="R397" i="3"/>
  <c r="B398" i="3"/>
  <c r="E398" i="3"/>
  <c r="R398" i="3"/>
  <c r="B399" i="3"/>
  <c r="E399" i="3"/>
  <c r="R399" i="3"/>
  <c r="B400" i="3"/>
  <c r="E400" i="3"/>
  <c r="R400" i="3"/>
  <c r="B401" i="3"/>
  <c r="E401" i="3"/>
  <c r="R401" i="3"/>
  <c r="B402" i="3"/>
  <c r="E402" i="3"/>
  <c r="R402" i="3"/>
  <c r="B403" i="3"/>
  <c r="E403" i="3"/>
  <c r="R403" i="3"/>
  <c r="B404" i="3"/>
  <c r="E404" i="3"/>
  <c r="R404" i="3"/>
  <c r="B405" i="3"/>
  <c r="E405" i="3"/>
  <c r="R405" i="3"/>
  <c r="B406" i="3"/>
  <c r="E406" i="3"/>
  <c r="R406" i="3"/>
  <c r="B407" i="3"/>
  <c r="E407" i="3"/>
  <c r="R407" i="3"/>
  <c r="B408" i="3"/>
  <c r="E408" i="3"/>
  <c r="R408" i="3"/>
  <c r="B409" i="3"/>
  <c r="E409" i="3"/>
  <c r="R409" i="3"/>
  <c r="B410" i="3"/>
  <c r="E410" i="3"/>
  <c r="R410" i="3"/>
  <c r="B411" i="3"/>
  <c r="E411" i="3"/>
  <c r="R411" i="3"/>
  <c r="B412" i="3"/>
  <c r="E412" i="3"/>
  <c r="R412" i="3"/>
  <c r="B413" i="3"/>
  <c r="E413" i="3"/>
  <c r="R413" i="3"/>
  <c r="B414" i="3"/>
  <c r="E414" i="3"/>
  <c r="R414" i="3"/>
  <c r="B415" i="3"/>
  <c r="E415" i="3"/>
  <c r="R415" i="3"/>
  <c r="B416" i="3"/>
  <c r="E416" i="3"/>
  <c r="R416" i="3"/>
  <c r="B417" i="3"/>
  <c r="E417" i="3"/>
  <c r="R417" i="3"/>
  <c r="B418" i="3"/>
  <c r="E418" i="3"/>
  <c r="R418" i="3"/>
  <c r="B419" i="3"/>
  <c r="E419" i="3"/>
  <c r="R419" i="3"/>
  <c r="B420" i="3"/>
  <c r="E420" i="3"/>
  <c r="R420" i="3"/>
  <c r="B421" i="3"/>
  <c r="E421" i="3"/>
  <c r="R421" i="3"/>
  <c r="B422" i="3"/>
  <c r="E422" i="3"/>
  <c r="R422" i="3"/>
  <c r="B423" i="3"/>
  <c r="E423" i="3"/>
  <c r="R423" i="3"/>
  <c r="B424" i="3"/>
  <c r="E424" i="3"/>
  <c r="R424" i="3"/>
  <c r="B425" i="3"/>
  <c r="E425" i="3"/>
  <c r="R425" i="3"/>
  <c r="B426" i="3"/>
  <c r="R426" i="3"/>
  <c r="B427" i="3"/>
  <c r="E427" i="3"/>
  <c r="R427" i="3"/>
  <c r="B428" i="3"/>
  <c r="E428" i="3"/>
  <c r="R428" i="3"/>
  <c r="B429" i="3"/>
  <c r="E429" i="3"/>
  <c r="R429" i="3"/>
  <c r="B430" i="3"/>
  <c r="E430" i="3"/>
  <c r="R430" i="3"/>
  <c r="B431" i="3"/>
  <c r="E431" i="3"/>
  <c r="R431" i="3"/>
  <c r="B432" i="3"/>
  <c r="R432" i="3"/>
  <c r="B433" i="3"/>
  <c r="R433" i="3"/>
  <c r="B434" i="3"/>
  <c r="R434" i="3"/>
  <c r="B435" i="3"/>
  <c r="R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R410" i="16"/>
  <c r="C410" i="16"/>
  <c r="E410" i="16" s="1"/>
  <c r="B410" i="16"/>
  <c r="R409" i="16"/>
  <c r="C409" i="16"/>
  <c r="E409" i="16" s="1"/>
  <c r="B409" i="16"/>
  <c r="R408" i="16"/>
  <c r="C408" i="16"/>
  <c r="E408" i="16" s="1"/>
  <c r="B408" i="16"/>
  <c r="R407" i="16"/>
  <c r="C407" i="16"/>
  <c r="E407" i="16" s="1"/>
  <c r="B407" i="16"/>
  <c r="R406" i="16"/>
  <c r="C406" i="16"/>
  <c r="E406" i="16" s="1"/>
  <c r="B406" i="16"/>
  <c r="R405" i="16"/>
  <c r="C405" i="16"/>
  <c r="E405" i="16" s="1"/>
  <c r="B405" i="16"/>
  <c r="R404" i="16"/>
  <c r="C404" i="16"/>
  <c r="E404" i="16" s="1"/>
  <c r="B404" i="16"/>
  <c r="R403" i="16"/>
  <c r="C403" i="16"/>
  <c r="E403" i="16" s="1"/>
  <c r="B403" i="16"/>
  <c r="R402" i="16"/>
  <c r="C402" i="16"/>
  <c r="E402" i="16" s="1"/>
  <c r="B402" i="16"/>
  <c r="R401" i="16"/>
  <c r="C401" i="16"/>
  <c r="E401" i="16" s="1"/>
  <c r="B401" i="16"/>
  <c r="R400" i="16"/>
  <c r="C400" i="16"/>
  <c r="E400" i="16" s="1"/>
  <c r="B400" i="16"/>
  <c r="R399" i="16"/>
  <c r="C399" i="16"/>
  <c r="E399" i="16" s="1"/>
  <c r="B399" i="16"/>
  <c r="R398" i="16"/>
  <c r="C398" i="16"/>
  <c r="E398" i="16" s="1"/>
  <c r="B398" i="16"/>
  <c r="R397" i="16"/>
  <c r="C397" i="16"/>
  <c r="E397" i="16" s="1"/>
  <c r="B397" i="16"/>
  <c r="R396" i="16"/>
  <c r="C396" i="16"/>
  <c r="E396" i="16" s="1"/>
  <c r="B396" i="16"/>
  <c r="R395" i="16"/>
  <c r="C395" i="16"/>
  <c r="E395" i="16" s="1"/>
  <c r="B395" i="16"/>
  <c r="R394" i="16"/>
  <c r="C394" i="16"/>
  <c r="E394" i="16" s="1"/>
  <c r="B394" i="16"/>
  <c r="R393" i="16"/>
  <c r="C393" i="16"/>
  <c r="E393" i="16" s="1"/>
  <c r="B393" i="16"/>
  <c r="R392" i="16"/>
  <c r="C392" i="16"/>
  <c r="E392" i="16" s="1"/>
  <c r="B392" i="16"/>
  <c r="R391" i="16"/>
  <c r="C391" i="16"/>
  <c r="E391" i="16" s="1"/>
  <c r="B391" i="16"/>
  <c r="R390" i="16"/>
  <c r="C390" i="16"/>
  <c r="E390" i="16" s="1"/>
  <c r="B390" i="16"/>
  <c r="R389" i="16"/>
  <c r="C389" i="16"/>
  <c r="E389" i="16" s="1"/>
  <c r="B389" i="16"/>
  <c r="R388" i="16"/>
  <c r="C388" i="16"/>
  <c r="E388" i="16" s="1"/>
  <c r="B388" i="16"/>
  <c r="R387" i="16"/>
  <c r="C387" i="16"/>
  <c r="E387" i="16" s="1"/>
  <c r="B387" i="16"/>
  <c r="R386" i="16"/>
  <c r="C386" i="16"/>
  <c r="E386" i="16" s="1"/>
  <c r="B386" i="16"/>
  <c r="R385" i="16"/>
  <c r="C385" i="16"/>
  <c r="E385" i="16" s="1"/>
  <c r="B385" i="16"/>
  <c r="R384" i="16"/>
  <c r="C384" i="16"/>
  <c r="E384" i="16" s="1"/>
  <c r="B384" i="16"/>
  <c r="R383" i="16"/>
  <c r="C383" i="16"/>
  <c r="E383" i="16" s="1"/>
  <c r="B383" i="16"/>
  <c r="R382" i="16"/>
  <c r="C382" i="16"/>
  <c r="E382" i="16" s="1"/>
  <c r="B382" i="16"/>
  <c r="R381" i="16"/>
  <c r="C381" i="16"/>
  <c r="E381" i="16" s="1"/>
  <c r="B381" i="16"/>
  <c r="R380" i="16"/>
  <c r="C380" i="16"/>
  <c r="E380" i="16" s="1"/>
  <c r="B380" i="16"/>
  <c r="R379" i="16"/>
  <c r="C379" i="16"/>
  <c r="E379" i="16" s="1"/>
  <c r="B379" i="16"/>
  <c r="R378" i="16"/>
  <c r="C378" i="16"/>
  <c r="E378" i="16" s="1"/>
  <c r="B378" i="16"/>
  <c r="R377" i="16"/>
  <c r="C377" i="16"/>
  <c r="E377" i="16" s="1"/>
  <c r="B377" i="16"/>
  <c r="R376" i="16"/>
  <c r="C376" i="16"/>
  <c r="E376" i="16" s="1"/>
  <c r="B376" i="16"/>
  <c r="R375" i="16"/>
  <c r="C375" i="16"/>
  <c r="E375" i="16" s="1"/>
  <c r="B375" i="16"/>
  <c r="R374" i="16"/>
  <c r="C374" i="16"/>
  <c r="E374" i="16" s="1"/>
  <c r="B374" i="16"/>
  <c r="R373" i="16"/>
  <c r="C373" i="16"/>
  <c r="E373" i="16" s="1"/>
  <c r="B373" i="16"/>
  <c r="R372" i="16"/>
  <c r="C372" i="16"/>
  <c r="E372" i="16" s="1"/>
  <c r="B372" i="16"/>
  <c r="R371" i="16"/>
  <c r="C371" i="16"/>
  <c r="E371" i="16" s="1"/>
  <c r="B371" i="16"/>
  <c r="R370" i="16"/>
  <c r="C370" i="16"/>
  <c r="E370" i="16" s="1"/>
  <c r="B370" i="16"/>
  <c r="R369" i="16"/>
  <c r="C369" i="16"/>
  <c r="E369" i="16" s="1"/>
  <c r="B369" i="16"/>
  <c r="R368" i="16"/>
  <c r="C368" i="16"/>
  <c r="E368" i="16" s="1"/>
  <c r="B368" i="16"/>
  <c r="R367" i="16"/>
  <c r="C367" i="16"/>
  <c r="E367" i="16" s="1"/>
  <c r="B367" i="16"/>
  <c r="R366" i="16"/>
  <c r="C366" i="16"/>
  <c r="E366" i="16" s="1"/>
  <c r="B366" i="16"/>
  <c r="R365" i="16"/>
  <c r="C365" i="16"/>
  <c r="E365" i="16" s="1"/>
  <c r="B365" i="16"/>
  <c r="R364" i="16"/>
  <c r="C364" i="16"/>
  <c r="E364" i="16" s="1"/>
  <c r="B364" i="16"/>
  <c r="R363" i="16"/>
  <c r="C363" i="16"/>
  <c r="E363" i="16" s="1"/>
  <c r="B363" i="16"/>
  <c r="R362" i="16"/>
  <c r="C362" i="16"/>
  <c r="E362" i="16" s="1"/>
  <c r="B362" i="16"/>
  <c r="R361" i="16"/>
  <c r="C361" i="16"/>
  <c r="E361" i="16" s="1"/>
  <c r="B361" i="16"/>
  <c r="R360" i="16"/>
  <c r="C360" i="16"/>
  <c r="E360" i="16" s="1"/>
  <c r="B360" i="16"/>
  <c r="R359" i="16"/>
  <c r="C359" i="16"/>
  <c r="E359" i="16" s="1"/>
  <c r="B359" i="16"/>
  <c r="R358" i="16"/>
  <c r="C358" i="16"/>
  <c r="E358" i="16" s="1"/>
  <c r="B358" i="16"/>
  <c r="R357" i="16"/>
  <c r="C357" i="16"/>
  <c r="E357" i="16" s="1"/>
  <c r="B357" i="16"/>
  <c r="R356" i="16"/>
  <c r="C356" i="16"/>
  <c r="E356" i="16" s="1"/>
  <c r="B356" i="16"/>
  <c r="R355" i="16"/>
  <c r="C355" i="16"/>
  <c r="E355" i="16" s="1"/>
  <c r="B355" i="16"/>
  <c r="R354" i="16"/>
  <c r="C354" i="16"/>
  <c r="E354" i="16" s="1"/>
  <c r="B354" i="16"/>
  <c r="R353" i="16"/>
  <c r="C353" i="16"/>
  <c r="E353" i="16" s="1"/>
  <c r="B353" i="16"/>
  <c r="R352" i="16"/>
  <c r="C352" i="16"/>
  <c r="E352" i="16" s="1"/>
  <c r="B352" i="16"/>
  <c r="R351" i="16"/>
  <c r="C351" i="16"/>
  <c r="E351" i="16" s="1"/>
  <c r="B351" i="16"/>
  <c r="R350" i="16"/>
  <c r="C350" i="16"/>
  <c r="E350" i="16" s="1"/>
  <c r="B350" i="16"/>
  <c r="R349" i="16"/>
  <c r="C349" i="16"/>
  <c r="E349" i="16" s="1"/>
  <c r="B349" i="16"/>
  <c r="R348" i="16"/>
  <c r="C348" i="16"/>
  <c r="E348" i="16" s="1"/>
  <c r="B348" i="16"/>
  <c r="R347" i="16"/>
  <c r="C347" i="16"/>
  <c r="E347" i="16" s="1"/>
  <c r="B347" i="16"/>
  <c r="R346" i="16"/>
  <c r="C346" i="16"/>
  <c r="E346" i="16" s="1"/>
  <c r="B346" i="16"/>
  <c r="R345" i="16"/>
  <c r="C345" i="16"/>
  <c r="E345" i="16" s="1"/>
  <c r="B345" i="16"/>
  <c r="R344" i="16"/>
  <c r="C344" i="16"/>
  <c r="E344" i="16" s="1"/>
  <c r="B344" i="16"/>
  <c r="R343" i="16"/>
  <c r="C343" i="16"/>
  <c r="E343" i="16" s="1"/>
  <c r="B343" i="16"/>
  <c r="R342" i="16"/>
  <c r="C342" i="16"/>
  <c r="E342" i="16" s="1"/>
  <c r="B342" i="16"/>
  <c r="R341" i="16"/>
  <c r="C341" i="16"/>
  <c r="E341" i="16" s="1"/>
  <c r="B341" i="16"/>
  <c r="R340" i="16"/>
  <c r="C340" i="16"/>
  <c r="E340" i="16" s="1"/>
  <c r="B340" i="16"/>
  <c r="R339" i="16"/>
  <c r="C339" i="16"/>
  <c r="E339" i="16" s="1"/>
  <c r="B339" i="16"/>
  <c r="R338" i="16"/>
  <c r="C338" i="16"/>
  <c r="E338" i="16" s="1"/>
  <c r="B338" i="16"/>
  <c r="R337" i="16"/>
  <c r="C337" i="16"/>
  <c r="E337" i="16" s="1"/>
  <c r="B337" i="16"/>
  <c r="R336" i="16"/>
  <c r="C336" i="16"/>
  <c r="E336" i="16" s="1"/>
  <c r="B336" i="16"/>
  <c r="R335" i="16"/>
  <c r="C335" i="16"/>
  <c r="E335" i="16" s="1"/>
  <c r="B335" i="16"/>
  <c r="R334" i="16"/>
  <c r="C334" i="16"/>
  <c r="E334" i="16" s="1"/>
  <c r="B334" i="16"/>
  <c r="R333" i="16"/>
  <c r="C333" i="16"/>
  <c r="E333" i="16" s="1"/>
  <c r="B333" i="16"/>
  <c r="R332" i="16"/>
  <c r="C332" i="16"/>
  <c r="E332" i="16" s="1"/>
  <c r="B332" i="16"/>
  <c r="R331" i="16"/>
  <c r="C331" i="16"/>
  <c r="E331" i="16" s="1"/>
  <c r="B331" i="16"/>
  <c r="R330" i="16"/>
  <c r="C330" i="16"/>
  <c r="E330" i="16" s="1"/>
  <c r="B330" i="16"/>
  <c r="R329" i="16"/>
  <c r="C329" i="16"/>
  <c r="E329" i="16" s="1"/>
  <c r="B329" i="16"/>
  <c r="R328" i="16"/>
  <c r="C328" i="16"/>
  <c r="E328" i="16" s="1"/>
  <c r="B328" i="16"/>
  <c r="R327" i="16"/>
  <c r="C327" i="16"/>
  <c r="E327" i="16" s="1"/>
  <c r="B327" i="16"/>
  <c r="R326" i="16"/>
  <c r="C326" i="16"/>
  <c r="E326" i="16" s="1"/>
  <c r="B326" i="16"/>
  <c r="R325" i="16"/>
  <c r="C325" i="16"/>
  <c r="E325" i="16" s="1"/>
  <c r="B325" i="16"/>
  <c r="R324" i="16"/>
  <c r="C324" i="16"/>
  <c r="E324" i="16" s="1"/>
  <c r="B324" i="16"/>
  <c r="R323" i="16"/>
  <c r="C323" i="16"/>
  <c r="E323" i="16" s="1"/>
  <c r="B323" i="16"/>
  <c r="R322" i="16"/>
  <c r="C322" i="16"/>
  <c r="E322" i="16" s="1"/>
  <c r="B322" i="16"/>
  <c r="R321" i="16"/>
  <c r="C321" i="16"/>
  <c r="E321" i="16" s="1"/>
  <c r="B321" i="16"/>
  <c r="R320" i="16"/>
  <c r="C320" i="16"/>
  <c r="E320" i="16" s="1"/>
  <c r="B320" i="16"/>
  <c r="R319" i="16"/>
  <c r="C319" i="16"/>
  <c r="E319" i="16" s="1"/>
  <c r="B319" i="16"/>
  <c r="R318" i="16"/>
  <c r="C318" i="16"/>
  <c r="E318" i="16" s="1"/>
  <c r="B318" i="16"/>
  <c r="R317" i="16"/>
  <c r="C317" i="16"/>
  <c r="E317" i="16" s="1"/>
  <c r="B317" i="16"/>
  <c r="R316" i="16"/>
  <c r="C316" i="16"/>
  <c r="E316" i="16" s="1"/>
  <c r="B316" i="16"/>
  <c r="R315" i="16"/>
  <c r="C315" i="16"/>
  <c r="E315" i="16" s="1"/>
  <c r="B315" i="16"/>
  <c r="R314" i="16"/>
  <c r="C314" i="16"/>
  <c r="E314" i="16" s="1"/>
  <c r="B314" i="16"/>
  <c r="R313" i="16"/>
  <c r="C313" i="16"/>
  <c r="E313" i="16" s="1"/>
  <c r="B313" i="16"/>
  <c r="R312" i="16"/>
  <c r="C312" i="16"/>
  <c r="E312" i="16" s="1"/>
  <c r="B312" i="16"/>
  <c r="R311" i="16"/>
  <c r="C311" i="16"/>
  <c r="E311" i="16" s="1"/>
  <c r="B311" i="16"/>
  <c r="R310" i="16"/>
  <c r="C310" i="16"/>
  <c r="E310" i="16" s="1"/>
  <c r="B310" i="16"/>
  <c r="R309" i="16"/>
  <c r="C309" i="16"/>
  <c r="E309" i="16" s="1"/>
  <c r="B309" i="16"/>
  <c r="R308" i="16"/>
  <c r="C308" i="16"/>
  <c r="E308" i="16" s="1"/>
  <c r="B308" i="16"/>
  <c r="R307" i="16"/>
  <c r="C307" i="16"/>
  <c r="E307" i="16" s="1"/>
  <c r="B307" i="16"/>
  <c r="R306" i="16"/>
  <c r="C306" i="16"/>
  <c r="E306" i="16" s="1"/>
  <c r="B306" i="16"/>
  <c r="R305" i="16"/>
  <c r="C305" i="16"/>
  <c r="E305" i="16" s="1"/>
  <c r="B305" i="16"/>
  <c r="R304" i="16"/>
  <c r="C304" i="16"/>
  <c r="E304" i="16" s="1"/>
  <c r="B304" i="16"/>
  <c r="R303" i="16"/>
  <c r="C303" i="16"/>
  <c r="E303" i="16" s="1"/>
  <c r="B303" i="16"/>
  <c r="R302" i="16"/>
  <c r="C302" i="16"/>
  <c r="E302" i="16" s="1"/>
  <c r="B302" i="16"/>
  <c r="R301" i="16"/>
  <c r="C301" i="16"/>
  <c r="E301" i="16" s="1"/>
  <c r="B301" i="16"/>
  <c r="R300" i="16"/>
  <c r="C300" i="16"/>
  <c r="E300" i="16" s="1"/>
  <c r="B300" i="16"/>
  <c r="R299" i="16"/>
  <c r="C299" i="16"/>
  <c r="E299" i="16" s="1"/>
  <c r="B299" i="16"/>
  <c r="R298" i="16"/>
  <c r="C298" i="16"/>
  <c r="E298" i="16" s="1"/>
  <c r="B298" i="16"/>
  <c r="R297" i="16"/>
  <c r="C297" i="16"/>
  <c r="E297" i="16" s="1"/>
  <c r="B297" i="16"/>
  <c r="R296" i="16"/>
  <c r="C296" i="16"/>
  <c r="E296" i="16" s="1"/>
  <c r="B296" i="16"/>
  <c r="R295" i="16"/>
  <c r="C295" i="16"/>
  <c r="E295" i="16" s="1"/>
  <c r="B295" i="16"/>
  <c r="R294" i="16"/>
  <c r="C294" i="16"/>
  <c r="E294" i="16" s="1"/>
  <c r="B294" i="16"/>
  <c r="R293" i="16"/>
  <c r="C293" i="16"/>
  <c r="E293" i="16" s="1"/>
  <c r="B293" i="16"/>
  <c r="R292" i="16"/>
  <c r="C292" i="16"/>
  <c r="E292" i="16" s="1"/>
  <c r="B292" i="16"/>
  <c r="R291" i="16"/>
  <c r="C291" i="16"/>
  <c r="E291" i="16" s="1"/>
  <c r="B291" i="16"/>
  <c r="R290" i="16"/>
  <c r="C290" i="16"/>
  <c r="E290" i="16" s="1"/>
  <c r="B290" i="16"/>
  <c r="R289" i="16"/>
  <c r="C289" i="16"/>
  <c r="E289" i="16" s="1"/>
  <c r="B289" i="16"/>
  <c r="R288" i="16"/>
  <c r="C288" i="16"/>
  <c r="E288" i="16" s="1"/>
  <c r="B288" i="16"/>
  <c r="R287" i="16"/>
  <c r="C287" i="16"/>
  <c r="E287" i="16" s="1"/>
  <c r="B287" i="16"/>
  <c r="R286" i="16"/>
  <c r="C286" i="16"/>
  <c r="E286" i="16" s="1"/>
  <c r="B286" i="16"/>
  <c r="R285" i="16"/>
  <c r="C285" i="16"/>
  <c r="E285" i="16" s="1"/>
  <c r="B285" i="16"/>
  <c r="R284" i="16"/>
  <c r="C284" i="16"/>
  <c r="E284" i="16" s="1"/>
  <c r="B284" i="16"/>
  <c r="R283" i="16"/>
  <c r="C283" i="16"/>
  <c r="E283" i="16" s="1"/>
  <c r="B283" i="16"/>
  <c r="R282" i="16"/>
  <c r="C282" i="16"/>
  <c r="E282" i="16" s="1"/>
  <c r="B282" i="16"/>
  <c r="R281" i="16"/>
  <c r="C281" i="16"/>
  <c r="E281" i="16" s="1"/>
  <c r="B281" i="16"/>
  <c r="R280" i="16"/>
  <c r="C280" i="16"/>
  <c r="E280" i="16" s="1"/>
  <c r="B280" i="16"/>
  <c r="R279" i="16"/>
  <c r="C279" i="16"/>
  <c r="E279" i="16" s="1"/>
  <c r="B279" i="16"/>
  <c r="R278" i="16"/>
  <c r="C278" i="16"/>
  <c r="E278" i="16" s="1"/>
  <c r="B278" i="16"/>
  <c r="R277" i="16"/>
  <c r="C277" i="16"/>
  <c r="E277" i="16" s="1"/>
  <c r="B277" i="16"/>
  <c r="R276" i="16"/>
  <c r="C276" i="16"/>
  <c r="E276" i="16" s="1"/>
  <c r="B276" i="16"/>
  <c r="R275" i="16"/>
  <c r="C275" i="16"/>
  <c r="E275" i="16" s="1"/>
  <c r="B275" i="16"/>
  <c r="R274" i="16"/>
  <c r="C274" i="16"/>
  <c r="E274" i="16" s="1"/>
  <c r="B274" i="16"/>
  <c r="R273" i="16"/>
  <c r="C273" i="16"/>
  <c r="E273" i="16" s="1"/>
  <c r="B273" i="16"/>
  <c r="R272" i="16"/>
  <c r="C272" i="16"/>
  <c r="E272" i="16" s="1"/>
  <c r="B272" i="16"/>
  <c r="R271" i="16"/>
  <c r="C271" i="16"/>
  <c r="E271" i="16" s="1"/>
  <c r="B271" i="16"/>
  <c r="R270" i="16"/>
  <c r="C270" i="16"/>
  <c r="E270" i="16" s="1"/>
  <c r="B270" i="16"/>
  <c r="R269" i="16"/>
  <c r="C269" i="16"/>
  <c r="E269" i="16" s="1"/>
  <c r="B269" i="16"/>
  <c r="R268" i="16"/>
  <c r="C268" i="16"/>
  <c r="E268" i="16" s="1"/>
  <c r="B268" i="16"/>
  <c r="R267" i="16"/>
  <c r="C267" i="16"/>
  <c r="E267" i="16" s="1"/>
  <c r="B267" i="16"/>
  <c r="R266" i="16"/>
  <c r="C266" i="16"/>
  <c r="E266" i="16" s="1"/>
  <c r="B266" i="16"/>
  <c r="R265" i="16"/>
  <c r="C265" i="16"/>
  <c r="E265" i="16" s="1"/>
  <c r="B265" i="16"/>
  <c r="R264" i="16"/>
  <c r="C264" i="16"/>
  <c r="E264" i="16" s="1"/>
  <c r="B264" i="16"/>
  <c r="R263" i="16"/>
  <c r="C263" i="16"/>
  <c r="E263" i="16" s="1"/>
  <c r="B263" i="16"/>
  <c r="R262" i="16"/>
  <c r="C262" i="16"/>
  <c r="E262" i="16" s="1"/>
  <c r="B262" i="16"/>
  <c r="R261" i="16"/>
  <c r="C261" i="16"/>
  <c r="E261" i="16" s="1"/>
  <c r="B261" i="16"/>
  <c r="R260" i="16"/>
  <c r="C260" i="16"/>
  <c r="E260" i="16" s="1"/>
  <c r="B260" i="16"/>
  <c r="R259" i="16"/>
  <c r="C259" i="16"/>
  <c r="E259" i="16" s="1"/>
  <c r="B259" i="16"/>
  <c r="R258" i="16"/>
  <c r="C258" i="16"/>
  <c r="E258" i="16" s="1"/>
  <c r="B258" i="16"/>
  <c r="R257" i="16"/>
  <c r="C257" i="16"/>
  <c r="E257" i="16" s="1"/>
  <c r="B257" i="16"/>
  <c r="R256" i="16"/>
  <c r="C256" i="16"/>
  <c r="E256" i="16" s="1"/>
  <c r="B256" i="16"/>
  <c r="R255" i="16"/>
  <c r="C255" i="16"/>
  <c r="E255" i="16" s="1"/>
  <c r="B255" i="16"/>
  <c r="R254" i="16"/>
  <c r="C254" i="16"/>
  <c r="E254" i="16" s="1"/>
  <c r="B254" i="16"/>
  <c r="R253" i="16"/>
  <c r="C253" i="16"/>
  <c r="E253" i="16" s="1"/>
  <c r="B253" i="16"/>
  <c r="R252" i="16"/>
  <c r="C252" i="16"/>
  <c r="E252" i="16" s="1"/>
  <c r="B252" i="16"/>
  <c r="R251" i="16"/>
  <c r="C251" i="16"/>
  <c r="E251" i="16" s="1"/>
  <c r="B251" i="16"/>
  <c r="R250" i="16"/>
  <c r="R249" i="16"/>
  <c r="C249" i="16"/>
  <c r="E249" i="16" s="1"/>
  <c r="B249" i="16"/>
  <c r="R248" i="16"/>
  <c r="C248" i="16"/>
  <c r="E248" i="16" s="1"/>
  <c r="B248" i="16"/>
  <c r="R247" i="16"/>
  <c r="C247" i="16"/>
  <c r="E247" i="16" s="1"/>
  <c r="B247" i="16"/>
  <c r="R246" i="16"/>
  <c r="C246" i="16"/>
  <c r="E246" i="16" s="1"/>
  <c r="B246" i="16"/>
  <c r="R245" i="16"/>
  <c r="C245" i="16"/>
  <c r="E245" i="16" s="1"/>
  <c r="B245" i="16"/>
  <c r="R244" i="16"/>
  <c r="C244" i="16"/>
  <c r="E244" i="16" s="1"/>
  <c r="B244" i="16"/>
  <c r="R243" i="16"/>
  <c r="C243" i="16"/>
  <c r="E243" i="16" s="1"/>
  <c r="B243" i="16"/>
  <c r="R242" i="16"/>
  <c r="C242" i="16"/>
  <c r="E242" i="16" s="1"/>
  <c r="B242" i="16"/>
  <c r="R241" i="16"/>
  <c r="C241" i="16"/>
  <c r="E241" i="16" s="1"/>
  <c r="B241" i="16"/>
  <c r="R240" i="16"/>
  <c r="C240" i="16"/>
  <c r="E240" i="16" s="1"/>
  <c r="B240" i="16"/>
  <c r="R239" i="16"/>
  <c r="C239" i="16"/>
  <c r="E239" i="16" s="1"/>
  <c r="B239" i="16"/>
  <c r="R238" i="16"/>
  <c r="C238" i="16"/>
  <c r="E238" i="16" s="1"/>
  <c r="B238" i="16"/>
  <c r="R237" i="16"/>
  <c r="C237" i="16"/>
  <c r="E237" i="16" s="1"/>
  <c r="B237" i="16"/>
  <c r="R236" i="16"/>
  <c r="C236" i="16"/>
  <c r="E236" i="16" s="1"/>
  <c r="B236" i="16"/>
  <c r="R235" i="16"/>
  <c r="C235" i="16"/>
  <c r="E235" i="16" s="1"/>
  <c r="B235" i="16"/>
  <c r="R234" i="16"/>
  <c r="C234" i="16"/>
  <c r="E234" i="16" s="1"/>
  <c r="B234" i="16"/>
  <c r="R233" i="16"/>
  <c r="C233" i="16"/>
  <c r="E233" i="16" s="1"/>
  <c r="B233" i="16"/>
  <c r="R232" i="16"/>
  <c r="C232" i="16"/>
  <c r="E232" i="16" s="1"/>
  <c r="B232" i="16"/>
  <c r="R231" i="16"/>
  <c r="C231" i="16"/>
  <c r="E231" i="16" s="1"/>
  <c r="B231" i="16"/>
  <c r="R230" i="16"/>
  <c r="C230" i="16"/>
  <c r="E230" i="16" s="1"/>
  <c r="B230" i="16"/>
  <c r="R229" i="16"/>
  <c r="C229" i="16"/>
  <c r="E229" i="16" s="1"/>
  <c r="B229" i="16"/>
  <c r="R228" i="16"/>
  <c r="C228" i="16"/>
  <c r="E228" i="16" s="1"/>
  <c r="B228" i="16"/>
  <c r="R227" i="16"/>
  <c r="C227" i="16"/>
  <c r="E227" i="16" s="1"/>
  <c r="B227" i="16"/>
  <c r="R226" i="16"/>
  <c r="C226" i="16"/>
  <c r="E226" i="16" s="1"/>
  <c r="B226" i="16"/>
  <c r="R225" i="16"/>
  <c r="C225" i="16"/>
  <c r="E225" i="16" s="1"/>
  <c r="B225" i="16"/>
  <c r="R224" i="16"/>
  <c r="C224" i="16"/>
  <c r="E224" i="16" s="1"/>
  <c r="B224" i="16"/>
  <c r="R223" i="16"/>
  <c r="C223" i="16"/>
  <c r="E223" i="16" s="1"/>
  <c r="B223" i="16"/>
  <c r="R222" i="16"/>
  <c r="C222" i="16"/>
  <c r="E222" i="16" s="1"/>
  <c r="B222" i="16"/>
  <c r="R221" i="16"/>
  <c r="C221" i="16"/>
  <c r="E221" i="16" s="1"/>
  <c r="B221" i="16"/>
  <c r="R220" i="16"/>
  <c r="C220" i="16"/>
  <c r="E220" i="16" s="1"/>
  <c r="B220" i="16"/>
  <c r="R219" i="16"/>
  <c r="C219" i="16"/>
  <c r="E219" i="16" s="1"/>
  <c r="B219" i="16"/>
  <c r="R218" i="16"/>
  <c r="C218" i="16"/>
  <c r="E218" i="16" s="1"/>
  <c r="B218" i="16"/>
  <c r="R217" i="16"/>
  <c r="C217" i="16"/>
  <c r="E217" i="16" s="1"/>
  <c r="B217" i="16"/>
  <c r="R216" i="16"/>
  <c r="C216" i="16"/>
  <c r="E216" i="16" s="1"/>
  <c r="B216" i="16"/>
  <c r="R215" i="16"/>
  <c r="R214" i="16"/>
  <c r="C214" i="16"/>
  <c r="E214" i="16" s="1"/>
  <c r="B214" i="16"/>
  <c r="R213" i="16"/>
  <c r="C213" i="16"/>
  <c r="E213" i="16" s="1"/>
  <c r="B213" i="16"/>
  <c r="R212" i="16"/>
  <c r="C212" i="16"/>
  <c r="E212" i="16" s="1"/>
  <c r="B212" i="16"/>
  <c r="R211" i="16"/>
  <c r="C211" i="16"/>
  <c r="E211" i="16" s="1"/>
  <c r="B211" i="16"/>
  <c r="R210" i="16"/>
  <c r="C210" i="16"/>
  <c r="E210" i="16" s="1"/>
  <c r="B210" i="16"/>
  <c r="R209" i="16"/>
  <c r="C209" i="16"/>
  <c r="E209" i="16" s="1"/>
  <c r="B209" i="16"/>
  <c r="R208" i="16"/>
  <c r="C208" i="16"/>
  <c r="E208" i="16" s="1"/>
  <c r="B208" i="16"/>
  <c r="R207" i="16"/>
  <c r="C207" i="16"/>
  <c r="E207" i="16" s="1"/>
  <c r="B207" i="16"/>
  <c r="R206" i="16"/>
  <c r="C206" i="16"/>
  <c r="E206" i="16" s="1"/>
  <c r="B206" i="16"/>
  <c r="R205" i="16"/>
  <c r="C205" i="16"/>
  <c r="E205" i="16" s="1"/>
  <c r="B205" i="16"/>
  <c r="R204" i="16"/>
  <c r="C204" i="16"/>
  <c r="E204" i="16" s="1"/>
  <c r="B204" i="16"/>
  <c r="R203" i="16"/>
  <c r="C203" i="16"/>
  <c r="E203" i="16" s="1"/>
  <c r="B203" i="16"/>
  <c r="R202" i="16"/>
  <c r="C202" i="16"/>
  <c r="E202" i="16" s="1"/>
  <c r="B202" i="16"/>
  <c r="R201" i="16"/>
  <c r="C201" i="16"/>
  <c r="E201" i="16" s="1"/>
  <c r="B201" i="16"/>
  <c r="R200" i="16"/>
  <c r="C200" i="16"/>
  <c r="E200" i="16" s="1"/>
  <c r="B200" i="16"/>
  <c r="R199" i="16"/>
  <c r="C199" i="16"/>
  <c r="E199" i="16" s="1"/>
  <c r="B199" i="16"/>
  <c r="R198" i="16"/>
  <c r="C198" i="16"/>
  <c r="E198" i="16" s="1"/>
  <c r="B198" i="16"/>
  <c r="P5" i="40" l="1"/>
  <c r="P39" i="40"/>
  <c r="P38" i="40"/>
  <c r="P37" i="40"/>
  <c r="P36" i="40"/>
  <c r="P35" i="40"/>
  <c r="P34" i="40"/>
  <c r="P41" i="40"/>
  <c r="O2" i="40" s="1"/>
  <c r="N22" i="2"/>
  <c r="Q22" i="2"/>
  <c r="O6" i="2"/>
  <c r="N6" i="2"/>
  <c r="Q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Vieira Farias</author>
    <author>tc={9C38312C-F338-4DF4-9202-9E81094BC1AC}</author>
    <author>tc={D0DA3CEA-A9EB-407E-9729-A2F79748F7DC}</author>
    <author>tc={CBF145CC-9A13-42A9-AC54-EE68A6C6ADA7}</author>
    <author>tc={ABF275B9-1B25-4DF1-8BDF-40C3C6F93D83}</author>
    <author>tc={B1863B1E-DE12-4A47-946E-72B90A3058F6}</author>
    <author>tc={791F95B8-79D9-44A0-AD20-F856FDD8CEF4}</author>
    <author>tc={41CED728-EDFB-421E-A2CB-923079C7E503}</author>
    <author>tc={DED43983-FFD7-439E-9009-AC04F0E84590}</author>
    <author>tc={26886BD4-928C-4DB7-B6B7-F715982A6227}</author>
  </authors>
  <commentList>
    <comment ref="B1" authorId="0" shapeId="0" xr:uid="{2AF71456-4DB4-4855-9CD9-5B609D3D7B93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Visita, automaticamente quando preencher a data da visita o status mudará de Pendente para Realizada 
</t>
        </r>
      </text>
    </comment>
    <comment ref="D1" authorId="0" shapeId="0" xr:uid="{EA3A8CA3-86A6-4519-A96D-6B61CD0ED8A9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</t>
        </r>
      </text>
    </comment>
    <comment ref="F1" authorId="0" shapeId="0" xr:uid="{C2E642F9-D328-4C02-AB6C-D25B3782798A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
</t>
        </r>
      </text>
    </comment>
    <comment ref="B130" authorId="1" shapeId="0" xr:uid="{9C38312C-F338-4DF4-9202-9E81094BC1AC}">
      <text>
        <t>[Threaded comment]
Your version of Excel allows you to read this threaded comment; however, any edits to it will get removed if the file is opened in a newer version of Excel. Learn more: https://go.microsoft.com/fwlink/?linkid=870924
Comment:
    Jovem estava de atestado no dia da visita 27/06/2025</t>
      </text>
    </comment>
    <comment ref="L328" authorId="2" shapeId="0" xr:uid="{D0DA3CEA-A9EB-407E-9729-A2F79748F7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331" authorId="3" shapeId="0" xr:uid="{CBF145CC-9A13-42A9-AC54-EE68A6C6ADA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332" authorId="4" shapeId="0" xr:uid="{ABF275B9-1B25-4DF1-8BDF-40C3C6F93D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333" authorId="5" shapeId="0" xr:uid="{B1863B1E-DE12-4A47-946E-72B90A3058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4" authorId="6" shapeId="0" xr:uid="{791F95B8-79D9-44A0-AD20-F856FDD8CEF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7" authorId="7" shapeId="0" xr:uid="{41CED728-EDFB-421E-A2CB-923079C7E5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8" authorId="8" shapeId="0" xr:uid="{DED43983-FFD7-439E-9009-AC04F0E8459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9" authorId="9" shapeId="0" xr:uid="{26886BD4-928C-4DB7-B6B7-F715982A62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tc={B43540BB-9AE5-48D8-8428-5CF60E91BEEC}</author>
    <author>tc={ABD9AB4C-5621-4E7F-8E4A-6090C9E422BD}</author>
  </authors>
  <commentList>
    <comment ref="E3" authorId="0" shapeId="0" xr:uid="{B43540BB-9AE5-48D8-8428-5CF60E91BEE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CT - terça
</t>
      </text>
    </comment>
    <comment ref="E5" authorId="1" shapeId="0" xr:uid="{ABD9AB4C-5621-4E7F-8E4A-6090C9E422B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CT - terça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Vieira Farias</author>
  </authors>
  <commentList>
    <comment ref="B1" authorId="0" shapeId="0" xr:uid="{FC4E90AE-F260-4CCB-BFCE-BC8BD884C51B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Visita, automaticamente quando preencher a data da visita o status mudará de Pendente para Realizada 
</t>
        </r>
      </text>
    </comment>
    <comment ref="D1" authorId="0" shapeId="0" xr:uid="{8740759E-5E49-41CF-8CEF-41B865DA0244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</t>
        </r>
      </text>
    </comment>
    <comment ref="F1" authorId="0" shapeId="0" xr:uid="{B4993BDC-0A06-4FE6-9657-7D124192D012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Vieira Farias</author>
    <author>tc={A5E5689C-3D62-4B8D-8098-DA72E9C8EB2D}</author>
    <author>tc={795F215F-259F-4094-B1EB-3D17FCF1D768}</author>
    <author>tc={9BF3BEBB-E359-4476-BFFC-1BF9CCBB7C23}</author>
    <author>tc={F87C80E9-AB7D-4968-A189-60915D3B7AA4}</author>
  </authors>
  <commentList>
    <comment ref="B1" authorId="0" shapeId="0" xr:uid="{3B85B03C-6C36-415C-869B-0B026342EA7B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Visita, automaticamente quando preencher a data da visita o status mudará de Pendente para Realizada 
</t>
        </r>
      </text>
    </comment>
    <comment ref="D1" authorId="0" shapeId="0" xr:uid="{6A7C7E6F-56BD-4A15-92A0-E8A3A345530D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</t>
        </r>
      </text>
    </comment>
    <comment ref="F1" authorId="0" shapeId="0" xr:uid="{25334545-6254-42F4-9DB6-202BD383FFE5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
</t>
        </r>
      </text>
    </comment>
    <comment ref="H94" authorId="1" shapeId="0" xr:uid="{A5E5689C-3D62-4B8D-8098-DA72E9C8EB2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endereço, não foi achado em pesquisa no mapa
</t>
      </text>
    </comment>
    <comment ref="H96" authorId="2" shapeId="0" xr:uid="{795F215F-259F-4094-B1EB-3D17FCF1D7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endereço, não foi achado em pesquisa no mapa
</t>
      </text>
    </comment>
    <comment ref="M323" authorId="3" shapeId="0" xr:uid="{9BF3BEBB-E359-4476-BFFC-1BF9CCBB7C2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o endereço. </t>
      </text>
    </comment>
    <comment ref="M327" authorId="4" shapeId="0" xr:uid="{F87C80E9-AB7D-4968-A189-60915D3B7AA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o endereço.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CE5793-3D59-4909-8214-99EA5DB6BB76}" keepAlive="1" name="Consulta - Tabela1" description="Conexão com a consulta 'Tabela1' na pasta de trabalho." type="5" refreshedVersion="8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<sst xmlns="http://schemas.openxmlformats.org/spreadsheetml/2006/main" count="29890" uniqueCount="7055">
  <si>
    <t>Turma</t>
  </si>
  <si>
    <t xml:space="preserve">Centro de Custos </t>
  </si>
  <si>
    <t>Turma TEC</t>
  </si>
  <si>
    <t>465306AGM</t>
  </si>
  <si>
    <t>465905AAH</t>
  </si>
  <si>
    <t>465905AAE</t>
  </si>
  <si>
    <t>465305AFE</t>
  </si>
  <si>
    <t>465305AFR</t>
  </si>
  <si>
    <t>465306AFW</t>
  </si>
  <si>
    <t>465306AFZ</t>
  </si>
  <si>
    <t>465306AGA</t>
  </si>
  <si>
    <t>465305AFT</t>
  </si>
  <si>
    <t>465306AGB</t>
  </si>
  <si>
    <t>465306AFX</t>
  </si>
  <si>
    <t>465306AFY</t>
  </si>
  <si>
    <t>465305AFP</t>
  </si>
  <si>
    <t>465305AFQ</t>
  </si>
  <si>
    <t>465306AGN</t>
  </si>
  <si>
    <t>465305AFS</t>
  </si>
  <si>
    <t>465305AFW</t>
  </si>
  <si>
    <t>465305AFI</t>
  </si>
  <si>
    <t>465305AGA</t>
  </si>
  <si>
    <t>465306AGV</t>
  </si>
  <si>
    <t>465306AGW</t>
  </si>
  <si>
    <t>465305AFX</t>
  </si>
  <si>
    <t>465305AFZ</t>
  </si>
  <si>
    <t>465305AFY</t>
  </si>
  <si>
    <t>465306AGX</t>
  </si>
  <si>
    <t>465306AGY</t>
  </si>
  <si>
    <t>465305AGB</t>
  </si>
  <si>
    <t>465305AGD</t>
  </si>
  <si>
    <t>465305AGJ</t>
  </si>
  <si>
    <t>465305AGK</t>
  </si>
  <si>
    <t>465305AGL</t>
  </si>
  <si>
    <t>465305AGM</t>
  </si>
  <si>
    <t>465305AGV</t>
  </si>
  <si>
    <t>465305AGU</t>
  </si>
  <si>
    <t>465306AHQ</t>
  </si>
  <si>
    <t>465306AHP</t>
  </si>
  <si>
    <t>465306AHV</t>
  </si>
  <si>
    <t>465305AGZ</t>
  </si>
  <si>
    <t>465306AHT</t>
  </si>
  <si>
    <t>465306AHU</t>
  </si>
  <si>
    <t>465305AGT</t>
  </si>
  <si>
    <t>Total de jovens Qualificação - PR</t>
  </si>
  <si>
    <t>Total de jovens Técnica - PR</t>
  </si>
  <si>
    <t>ATUALIZADO EM 01/12/2025</t>
  </si>
  <si>
    <t xml:space="preserve">Região </t>
  </si>
  <si>
    <t xml:space="preserve">Qualificação </t>
  </si>
  <si>
    <t xml:space="preserve">Técnica </t>
  </si>
  <si>
    <t xml:space="preserve">UMUARAMA </t>
  </si>
  <si>
    <t>CASCAVEL</t>
  </si>
  <si>
    <t>FOZ DO IGUAÇU</t>
  </si>
  <si>
    <t>GOIOERÊ</t>
  </si>
  <si>
    <t>IVAIPORÃ</t>
  </si>
  <si>
    <t>APUCARANA</t>
  </si>
  <si>
    <t>ARAPONGAS</t>
  </si>
  <si>
    <t>BELA VISTA DO PARAÍSO</t>
  </si>
  <si>
    <t>CORNÉLIO PROCÓPIO</t>
  </si>
  <si>
    <t>JACAREZINHO</t>
  </si>
  <si>
    <t>LONDRINA CENTRO</t>
  </si>
  <si>
    <t>LONDRINA NORTE</t>
  </si>
  <si>
    <t>MARECHAL CÂNDIDO RONDON</t>
  </si>
  <si>
    <t>MARINGÁ</t>
  </si>
  <si>
    <t>MATINHOS CAIOBÁ</t>
  </si>
  <si>
    <t>MEDIANEIRA</t>
  </si>
  <si>
    <t>NOVA LONDRINA</t>
  </si>
  <si>
    <t>PALMAS</t>
  </si>
  <si>
    <t>PARANAGUÁ</t>
  </si>
  <si>
    <t>PARANAVAÍ</t>
  </si>
  <si>
    <t>PATO BRANCO</t>
  </si>
  <si>
    <t>PONTA GROSSA</t>
  </si>
  <si>
    <t>PRUDENTÓPOLIS</t>
  </si>
  <si>
    <t>RIO NEGRO</t>
  </si>
  <si>
    <t>SANTO ANTONIO DA PLATINA</t>
  </si>
  <si>
    <t>SÃO JOSÉ DOS PINHAIS</t>
  </si>
  <si>
    <t>SÃO MATEUS DO SUL</t>
  </si>
  <si>
    <t>TOLEDO</t>
  </si>
  <si>
    <t>UNIÃO DA VITÓRIA</t>
  </si>
  <si>
    <t>GUARAPUAVA</t>
  </si>
  <si>
    <t>FRANCISCO BELTRÃO</t>
  </si>
  <si>
    <t>CURITIBA PORTÃO</t>
  </si>
  <si>
    <t>CURITIBA CENTRO</t>
  </si>
  <si>
    <t>CASTRO</t>
  </si>
  <si>
    <t>CAMPO MOURÃO</t>
  </si>
  <si>
    <t>IRATI</t>
  </si>
  <si>
    <t>TOTAL</t>
  </si>
  <si>
    <t>Nome</t>
  </si>
  <si>
    <t xml:space="preserve">E-mail </t>
  </si>
  <si>
    <t xml:space="preserve">Luciano </t>
  </si>
  <si>
    <t>luciano.ramos@docente.pr.senac.br</t>
  </si>
  <si>
    <t>Michelly</t>
  </si>
  <si>
    <t>michelly.gronkoski@docente.pr.senac.br</t>
  </si>
  <si>
    <t xml:space="preserve">Samoel </t>
  </si>
  <si>
    <t>samoel.pitz@docente.pr.senac.br</t>
  </si>
  <si>
    <t xml:space="preserve">CONTROLE DE ENTRADAS E VISITAS </t>
  </si>
  <si>
    <t>CIDADE</t>
  </si>
  <si>
    <t>ATUAÇÃO SENAC</t>
  </si>
  <si>
    <t>Distância em relação a Curitiba</t>
  </si>
  <si>
    <t xml:space="preserve">LINK PARA AGÊNCIAS COAMO - ENDEREÇOS </t>
  </si>
  <si>
    <t xml:space="preserve">LINK PARA AGÊNCIAS COCAMAR - ENDEREÇOS </t>
  </si>
  <si>
    <t>DATAS PARA VISITAS  - TÉC</t>
  </si>
  <si>
    <r>
      <t>Paranaguá</t>
    </r>
    <r>
      <rPr>
        <sz val="11"/>
        <color rgb="FF000000"/>
        <rFont val="Aptos Narrow"/>
        <family val="2"/>
        <scheme val="minor"/>
      </rPr>
      <t xml:space="preserve"> – 91 km / </t>
    </r>
    <r>
      <rPr>
        <b/>
        <sz val="11"/>
        <color rgb="FF000000"/>
        <rFont val="Aptos Narrow"/>
        <family val="2"/>
        <scheme val="minor"/>
      </rPr>
      <t>1H10</t>
    </r>
  </si>
  <si>
    <t>Credicoamo | Agências</t>
  </si>
  <si>
    <t xml:space="preserve">Realizada </t>
  </si>
  <si>
    <t>Cocamar | Agências</t>
  </si>
  <si>
    <t>BOM SUCESSO</t>
  </si>
  <si>
    <t>BORRAZÓPOLIS</t>
  </si>
  <si>
    <r>
      <t>Matinhos/Caiobá</t>
    </r>
    <r>
      <rPr>
        <sz val="11"/>
        <color rgb="FF000000"/>
        <rFont val="Aptos Narrow"/>
        <family val="2"/>
        <scheme val="minor"/>
      </rPr>
      <t xml:space="preserve"> – 111 km / </t>
    </r>
    <r>
      <rPr>
        <b/>
        <sz val="11"/>
        <color rgb="FF000000"/>
        <rFont val="Aptos Narrow"/>
        <family val="2"/>
        <scheme val="minor"/>
      </rPr>
      <t>1H48</t>
    </r>
  </si>
  <si>
    <t xml:space="preserve">LINK PARA LOJAS ASSIS - ENDEREÇOS </t>
  </si>
  <si>
    <t>AP. QUALIFICAÇÃO</t>
  </si>
  <si>
    <t>CAMBIRA</t>
  </si>
  <si>
    <t>Nossas Lojas - Assis Supermercados</t>
  </si>
  <si>
    <t xml:space="preserve">Total de atendimentos </t>
  </si>
  <si>
    <t>Atendimentos Pendentes</t>
  </si>
  <si>
    <t>Jovens de Agosto</t>
  </si>
  <si>
    <t xml:space="preserve">Total Pendente </t>
  </si>
  <si>
    <t>CALIFÓRNIA</t>
  </si>
  <si>
    <r>
      <t>Rio Negro</t>
    </r>
    <r>
      <rPr>
        <sz val="11"/>
        <color rgb="FF000000"/>
        <rFont val="Aptos Narrow"/>
        <family val="2"/>
        <scheme val="minor"/>
      </rPr>
      <t xml:space="preserve"> – 114 km / </t>
    </r>
    <r>
      <rPr>
        <b/>
        <sz val="11"/>
        <color rgb="FF000000"/>
        <rFont val="Aptos Narrow"/>
        <family val="2"/>
        <scheme val="minor"/>
      </rPr>
      <t>2H12</t>
    </r>
  </si>
  <si>
    <t>FAXINAL</t>
  </si>
  <si>
    <t>JANDAIA DO SUL</t>
  </si>
  <si>
    <r>
      <t>São Mateus do Sul</t>
    </r>
    <r>
      <rPr>
        <sz val="11"/>
        <color theme="1"/>
        <rFont val="Aptos Narrow"/>
        <family val="2"/>
        <scheme val="minor"/>
      </rPr>
      <t xml:space="preserve"> – 150 km</t>
    </r>
    <r>
      <rPr>
        <b/>
        <sz val="11"/>
        <color theme="1"/>
        <rFont val="Aptos Narrow"/>
        <family val="2"/>
        <scheme val="minor"/>
      </rPr>
      <t xml:space="preserve"> / 1H58</t>
    </r>
  </si>
  <si>
    <t xml:space="preserve">ÁREAS PARA VISITAR </t>
  </si>
  <si>
    <t>KALORÉ</t>
  </si>
  <si>
    <t>MANDAGUARI</t>
  </si>
  <si>
    <r>
      <t>Castro</t>
    </r>
    <r>
      <rPr>
        <sz val="11"/>
        <color theme="1"/>
        <rFont val="Aptos Narrow"/>
        <family val="2"/>
        <scheme val="minor"/>
      </rPr>
      <t xml:space="preserve"> – 157 km</t>
    </r>
    <r>
      <rPr>
        <b/>
        <sz val="11"/>
        <color theme="1"/>
        <rFont val="Aptos Narrow"/>
        <family val="2"/>
        <scheme val="minor"/>
      </rPr>
      <t xml:space="preserve"> / 3H00</t>
    </r>
  </si>
  <si>
    <t>LONDRINA NORTE - LONDRINA CENTRO - CORNÉLIO PROCÓPIO - JACAREZINHO - MARINGÁ - PARANAVAÍ - SANTO ANTÔNIO DA PLATINA</t>
  </si>
  <si>
    <t>MARILÂNDIA DO SUL</t>
  </si>
  <si>
    <t>MARUMBI</t>
  </si>
  <si>
    <r>
      <t>Ponta Grossa</t>
    </r>
    <r>
      <rPr>
        <sz val="11"/>
        <color theme="1"/>
        <rFont val="Aptos Narrow"/>
        <family val="2"/>
        <scheme val="minor"/>
      </rPr>
      <t xml:space="preserve"> – 117 km</t>
    </r>
    <r>
      <rPr>
        <b/>
        <sz val="11"/>
        <color theme="1"/>
        <rFont val="Aptos Narrow"/>
        <family val="2"/>
        <scheme val="minor"/>
      </rPr>
      <t xml:space="preserve"> / 3H15</t>
    </r>
  </si>
  <si>
    <t>MAUÁ DA SERRA</t>
  </si>
  <si>
    <t>NOVO ITACOLOMI</t>
  </si>
  <si>
    <r>
      <t>Irati</t>
    </r>
    <r>
      <rPr>
        <sz val="11"/>
        <color theme="1"/>
        <rFont val="Aptos Narrow"/>
        <family val="2"/>
        <scheme val="minor"/>
      </rPr>
      <t xml:space="preserve"> – 153 km</t>
    </r>
    <r>
      <rPr>
        <b/>
        <sz val="11"/>
        <color theme="1"/>
        <rFont val="Aptos Narrow"/>
        <family val="2"/>
        <scheme val="minor"/>
      </rPr>
      <t xml:space="preserve"> / 3H6</t>
    </r>
  </si>
  <si>
    <t>ORTIGUEIRA</t>
  </si>
  <si>
    <t>RIO BOM</t>
  </si>
  <si>
    <r>
      <t>União da Vitória</t>
    </r>
    <r>
      <rPr>
        <sz val="11"/>
        <color theme="1"/>
        <rFont val="Aptos Narrow"/>
        <family val="2"/>
        <scheme val="minor"/>
      </rPr>
      <t xml:space="preserve"> – 235 km</t>
    </r>
    <r>
      <rPr>
        <b/>
        <sz val="11"/>
        <color theme="1"/>
        <rFont val="Aptos Narrow"/>
        <family val="2"/>
        <scheme val="minor"/>
      </rPr>
      <t xml:space="preserve"> / 4H22</t>
    </r>
  </si>
  <si>
    <t>ASTORGA</t>
  </si>
  <si>
    <r>
      <t>Prudentópolis</t>
    </r>
    <r>
      <rPr>
        <sz val="11"/>
        <color theme="1"/>
        <rFont val="Aptos Narrow"/>
        <family val="2"/>
        <scheme val="minor"/>
      </rPr>
      <t xml:space="preserve"> – 204 km</t>
    </r>
    <r>
      <rPr>
        <b/>
        <sz val="11"/>
        <color theme="1"/>
        <rFont val="Aptos Narrow"/>
        <family val="2"/>
        <scheme val="minor"/>
      </rPr>
      <t xml:space="preserve"> / 3H3</t>
    </r>
  </si>
  <si>
    <t>CASCAVEL - FRANCISCO BELTRÃO - PATO BRANCO - MARECHAL CANDIDO RONDOM - TOLEDO</t>
  </si>
  <si>
    <t>MUNHOZ DE MELLO</t>
  </si>
  <si>
    <t>PITANGUEIRAS</t>
  </si>
  <si>
    <r>
      <t>Guarapuava</t>
    </r>
    <r>
      <rPr>
        <sz val="11"/>
        <color theme="1"/>
        <rFont val="Aptos Narrow"/>
        <family val="2"/>
        <scheme val="minor"/>
      </rPr>
      <t xml:space="preserve"> – 258 km</t>
    </r>
    <r>
      <rPr>
        <b/>
        <sz val="11"/>
        <color theme="1"/>
        <rFont val="Aptos Narrow"/>
        <family val="2"/>
        <scheme val="minor"/>
      </rPr>
      <t xml:space="preserve"> / 5H00</t>
    </r>
  </si>
  <si>
    <t xml:space="preserve">AP. TÉCNICA </t>
  </si>
  <si>
    <t>SABÁUDIA</t>
  </si>
  <si>
    <r>
      <t>Palmas</t>
    </r>
    <r>
      <rPr>
        <sz val="11"/>
        <color theme="1"/>
        <rFont val="Aptos Narrow"/>
        <family val="2"/>
        <scheme val="minor"/>
      </rPr>
      <t xml:space="preserve"> – 373 km</t>
    </r>
    <r>
      <rPr>
        <b/>
        <sz val="11"/>
        <color theme="1"/>
        <rFont val="Aptos Narrow"/>
        <family val="2"/>
        <scheme val="minor"/>
      </rPr>
      <t xml:space="preserve"> / 6H00</t>
    </r>
  </si>
  <si>
    <t>ARARUNA</t>
  </si>
  <si>
    <t>BARBOSA FERRAZ</t>
  </si>
  <si>
    <r>
      <t>Jacarezinho</t>
    </r>
    <r>
      <rPr>
        <sz val="11"/>
        <color theme="1"/>
        <rFont val="Aptos Narrow"/>
        <family val="2"/>
        <scheme val="minor"/>
      </rPr>
      <t xml:space="preserve"> – 353 km</t>
    </r>
    <r>
      <rPr>
        <b/>
        <sz val="11"/>
        <color theme="1"/>
        <rFont val="Aptos Narrow"/>
        <family val="2"/>
        <scheme val="minor"/>
      </rPr>
      <t xml:space="preserve"> / 6H30</t>
    </r>
  </si>
  <si>
    <t>BOA ESPERANÇA</t>
  </si>
  <si>
    <r>
      <t>Ivaiporã</t>
    </r>
    <r>
      <rPr>
        <sz val="11"/>
        <color theme="1"/>
        <rFont val="Aptos Narrow"/>
        <family val="2"/>
        <scheme val="minor"/>
      </rPr>
      <t xml:space="preserve"> – 358 km</t>
    </r>
    <r>
      <rPr>
        <b/>
        <sz val="11"/>
        <color theme="1"/>
        <rFont val="Aptos Narrow"/>
        <family val="2"/>
        <scheme val="minor"/>
      </rPr>
      <t xml:space="preserve"> / 5H20</t>
    </r>
  </si>
  <si>
    <t>CIANORTE</t>
  </si>
  <si>
    <t>CORUMBATAÍ DO SUL</t>
  </si>
  <si>
    <r>
      <t>Apucarana</t>
    </r>
    <r>
      <rPr>
        <sz val="11"/>
        <color theme="1"/>
        <rFont val="Aptos Narrow"/>
        <family val="2"/>
        <scheme val="minor"/>
      </rPr>
      <t xml:space="preserve"> – 368 km</t>
    </r>
    <r>
      <rPr>
        <b/>
        <sz val="11"/>
        <color theme="1"/>
        <rFont val="Aptos Narrow"/>
        <family val="2"/>
        <scheme val="minor"/>
      </rPr>
      <t xml:space="preserve"> / 5H00</t>
    </r>
  </si>
  <si>
    <t>PONTA GROSSA - CASTRO - IVAIPORÃ - PRUDENTÓPOLIS</t>
  </si>
  <si>
    <t>ENGENHEIRO BELTRÃO</t>
  </si>
  <si>
    <t>FAROL</t>
  </si>
  <si>
    <r>
      <t>Cornélio Procópio</t>
    </r>
    <r>
      <rPr>
        <sz val="11"/>
        <color theme="1"/>
        <rFont val="Aptos Narrow"/>
        <family val="2"/>
        <scheme val="minor"/>
      </rPr>
      <t xml:space="preserve"> – 390 km</t>
    </r>
    <r>
      <rPr>
        <b/>
        <sz val="11"/>
        <color theme="1"/>
        <rFont val="Aptos Narrow"/>
        <family val="2"/>
        <scheme val="minor"/>
      </rPr>
      <t xml:space="preserve"> / 5H40</t>
    </r>
  </si>
  <si>
    <t>FÊNIX</t>
  </si>
  <si>
    <t>IRETAMA</t>
  </si>
  <si>
    <r>
      <t>Santo Antônio da Platina</t>
    </r>
    <r>
      <rPr>
        <sz val="11"/>
        <color theme="1"/>
        <rFont val="Aptos Narrow"/>
        <family val="2"/>
        <scheme val="minor"/>
      </rPr>
      <t xml:space="preserve"> – 370 km</t>
    </r>
    <r>
      <rPr>
        <b/>
        <sz val="11"/>
        <color theme="1"/>
        <rFont val="Aptos Narrow"/>
        <family val="2"/>
        <scheme val="minor"/>
      </rPr>
      <t xml:space="preserve"> / 5H20</t>
    </r>
  </si>
  <si>
    <t>JANIÓPOLIS</t>
  </si>
  <si>
    <t>JURANDA</t>
  </si>
  <si>
    <r>
      <t>Campo Mourão</t>
    </r>
    <r>
      <rPr>
        <sz val="11"/>
        <color theme="1"/>
        <rFont val="Aptos Narrow"/>
        <family val="2"/>
        <scheme val="minor"/>
      </rPr>
      <t xml:space="preserve"> – 452 km</t>
    </r>
    <r>
      <rPr>
        <b/>
        <sz val="11"/>
        <color theme="1"/>
        <rFont val="Aptos Narrow"/>
        <family val="2"/>
        <scheme val="minor"/>
      </rPr>
      <t xml:space="preserve"> / 6H30</t>
    </r>
  </si>
  <si>
    <t>JUSSARA</t>
  </si>
  <si>
    <t>LUIZIANA</t>
  </si>
  <si>
    <r>
      <t>Francisco Beltrão</t>
    </r>
    <r>
      <rPr>
        <sz val="11"/>
        <color theme="1"/>
        <rFont val="Aptos Narrow"/>
        <family val="2"/>
        <scheme val="minor"/>
      </rPr>
      <t xml:space="preserve"> – 471 km</t>
    </r>
    <r>
      <rPr>
        <b/>
        <sz val="11"/>
        <color theme="1"/>
        <rFont val="Aptos Narrow"/>
        <family val="2"/>
        <scheme val="minor"/>
      </rPr>
      <t xml:space="preserve"> / 08H00</t>
    </r>
  </si>
  <si>
    <t>MAMBORÊ</t>
  </si>
  <si>
    <t>MATO RICO</t>
  </si>
  <si>
    <r>
      <t>Pato Branco</t>
    </r>
    <r>
      <rPr>
        <sz val="11"/>
        <color theme="1"/>
        <rFont val="Aptos Narrow"/>
        <family val="2"/>
        <scheme val="minor"/>
      </rPr>
      <t xml:space="preserve"> – 470 km</t>
    </r>
    <r>
      <rPr>
        <b/>
        <sz val="11"/>
        <color theme="1"/>
        <rFont val="Aptos Narrow"/>
        <family val="2"/>
        <scheme val="minor"/>
      </rPr>
      <t xml:space="preserve"> / 6H00</t>
    </r>
  </si>
  <si>
    <t>PEABIRU</t>
  </si>
  <si>
    <t>4º CENTENÁRIO</t>
  </si>
  <si>
    <r>
      <t>Maringá</t>
    </r>
    <r>
      <rPr>
        <sz val="11"/>
        <color theme="1"/>
        <rFont val="Aptos Narrow"/>
        <family val="2"/>
        <scheme val="minor"/>
      </rPr>
      <t xml:space="preserve"> – 430 km</t>
    </r>
    <r>
      <rPr>
        <b/>
        <sz val="11"/>
        <color theme="1"/>
        <rFont val="Aptos Narrow"/>
        <family val="2"/>
        <scheme val="minor"/>
      </rPr>
      <t xml:space="preserve"> / 07H00</t>
    </r>
  </si>
  <si>
    <t>QUINTA DO SOL</t>
  </si>
  <si>
    <t>RANCHO ALEGRE DOESTE</t>
  </si>
  <si>
    <r>
      <t>Paranavaí</t>
    </r>
    <r>
      <rPr>
        <sz val="11"/>
        <color theme="1"/>
        <rFont val="Aptos Narrow"/>
        <family val="2"/>
        <scheme val="minor"/>
      </rPr>
      <t xml:space="preserve"> – 470 km</t>
    </r>
    <r>
      <rPr>
        <b/>
        <sz val="11"/>
        <color theme="1"/>
        <rFont val="Aptos Narrow"/>
        <family val="2"/>
        <scheme val="minor"/>
      </rPr>
      <t xml:space="preserve"> / 07H00</t>
    </r>
  </si>
  <si>
    <t>RONCADOR</t>
  </si>
  <si>
    <t>TERRA BOA</t>
  </si>
  <si>
    <r>
      <t>Goioerê</t>
    </r>
    <r>
      <rPr>
        <sz val="11"/>
        <color theme="1"/>
        <rFont val="Aptos Narrow"/>
        <family val="2"/>
        <scheme val="minor"/>
      </rPr>
      <t xml:space="preserve"> – 524 km</t>
    </r>
    <r>
      <rPr>
        <b/>
        <sz val="11"/>
        <color theme="1"/>
        <rFont val="Aptos Narrow"/>
        <family val="2"/>
        <scheme val="minor"/>
      </rPr>
      <t xml:space="preserve"> / 07H00</t>
    </r>
  </si>
  <si>
    <t>ALTAMIRA DO PARANÁ</t>
  </si>
  <si>
    <t>ANAHY</t>
  </si>
  <si>
    <r>
      <t>Umuarama</t>
    </r>
    <r>
      <rPr>
        <sz val="11"/>
        <color theme="1"/>
        <rFont val="Aptos Narrow"/>
        <family val="2"/>
        <scheme val="minor"/>
      </rPr>
      <t xml:space="preserve"> – 580 km</t>
    </r>
    <r>
      <rPr>
        <b/>
        <sz val="11"/>
        <color theme="1"/>
        <rFont val="Aptos Narrow"/>
        <family val="2"/>
        <scheme val="minor"/>
      </rPr>
      <t xml:space="preserve"> / 08H17</t>
    </r>
  </si>
  <si>
    <t>BOA VISTA DA APARECIDA</t>
  </si>
  <si>
    <t>BRAGANEY</t>
  </si>
  <si>
    <r>
      <t>Toledo</t>
    </r>
    <r>
      <rPr>
        <sz val="11"/>
        <color theme="1"/>
        <rFont val="Aptos Narrow"/>
        <family val="2"/>
        <scheme val="minor"/>
      </rPr>
      <t xml:space="preserve"> – 530 km</t>
    </r>
    <r>
      <rPr>
        <b/>
        <sz val="11"/>
        <color theme="1"/>
        <rFont val="Aptos Narrow"/>
        <family val="2"/>
        <scheme val="minor"/>
      </rPr>
      <t xml:space="preserve"> / 8H20</t>
    </r>
  </si>
  <si>
    <t>CAFELÂNDIA</t>
  </si>
  <si>
    <t>CAMPINA DA LAGOA</t>
  </si>
  <si>
    <r>
      <t>Cascavel</t>
    </r>
    <r>
      <rPr>
        <sz val="11"/>
        <color theme="1"/>
        <rFont val="Aptos Narrow"/>
        <family val="2"/>
        <scheme val="minor"/>
      </rPr>
      <t xml:space="preserve"> – 500 km</t>
    </r>
    <r>
      <rPr>
        <b/>
        <sz val="11"/>
        <color theme="1"/>
        <rFont val="Aptos Narrow"/>
        <family val="2"/>
        <scheme val="minor"/>
      </rPr>
      <t xml:space="preserve"> / 08:00</t>
    </r>
  </si>
  <si>
    <t>CAMPO BONITO</t>
  </si>
  <si>
    <t>CAPITÃO LEÔNIDAS MARQUES</t>
  </si>
  <si>
    <r>
      <t>Marechal Cândido Rondon</t>
    </r>
    <r>
      <rPr>
        <sz val="11"/>
        <color theme="1"/>
        <rFont val="Aptos Narrow"/>
        <family val="2"/>
        <scheme val="minor"/>
      </rPr>
      <t xml:space="preserve"> – 579 km</t>
    </r>
    <r>
      <rPr>
        <b/>
        <sz val="11"/>
        <color theme="1"/>
        <rFont val="Aptos Narrow"/>
        <family val="2"/>
        <scheme val="minor"/>
      </rPr>
      <t xml:space="preserve"> / 9H00</t>
    </r>
  </si>
  <si>
    <t>CATANDUVAS</t>
  </si>
  <si>
    <r>
      <t>Nova Londrina</t>
    </r>
    <r>
      <rPr>
        <sz val="11"/>
        <color theme="1"/>
        <rFont val="Aptos Narrow"/>
        <family val="2"/>
        <scheme val="minor"/>
      </rPr>
      <t xml:space="preserve"> – 600 km</t>
    </r>
    <r>
      <rPr>
        <b/>
        <sz val="11"/>
        <color theme="1"/>
        <rFont val="Aptos Narrow"/>
        <family val="2"/>
        <scheme val="minor"/>
      </rPr>
      <t xml:space="preserve"> / 8H30</t>
    </r>
  </si>
  <si>
    <t>CORBÉLIA</t>
  </si>
  <si>
    <t>DIAMANTE DO SUL</t>
  </si>
  <si>
    <r>
      <rPr>
        <b/>
        <sz val="11"/>
        <color theme="1"/>
        <rFont val="Aptos Narrow"/>
        <family val="2"/>
        <scheme val="minor"/>
      </rPr>
      <t>LONDRINA NORTE</t>
    </r>
    <r>
      <rPr>
        <sz val="11"/>
        <color theme="1"/>
        <rFont val="Aptos Narrow"/>
        <family val="2"/>
        <scheme val="minor"/>
      </rPr>
      <t xml:space="preserve"> - 904 Km / </t>
    </r>
    <r>
      <rPr>
        <b/>
        <sz val="11"/>
        <color theme="1"/>
        <rFont val="Aptos Narrow"/>
        <family val="2"/>
        <scheme val="minor"/>
      </rPr>
      <t>12H00</t>
    </r>
  </si>
  <si>
    <t>ESPIGÃO ALTO DO IGUAÇU</t>
  </si>
  <si>
    <t>GUARANIAÇU</t>
  </si>
  <si>
    <t>IBEMA</t>
  </si>
  <si>
    <t>IGUATU</t>
  </si>
  <si>
    <t>LINDOESTE</t>
  </si>
  <si>
    <t>NOVA AURORA</t>
  </si>
  <si>
    <t>NOVA CANTU</t>
  </si>
  <si>
    <t>NOVA LARANJEIRAS</t>
  </si>
  <si>
    <t>QUEDAS DO IGUAÇU</t>
  </si>
  <si>
    <t>SANTA LÚCIA</t>
  </si>
  <si>
    <t>SANTA TEREZA DO OESTE</t>
  </si>
  <si>
    <t>TRÊS BARRAS DO PARANÁ</t>
  </si>
  <si>
    <t>UBIRATÃ</t>
  </si>
  <si>
    <t>ARAPOTI</t>
  </si>
  <si>
    <t>DOUTOR ULYSSES</t>
  </si>
  <si>
    <t>JAGUARIAÍVA</t>
  </si>
  <si>
    <t>PIRAÍ DO SUL</t>
  </si>
  <si>
    <t>SÃO JOSÉ DA BOA VISTA</t>
  </si>
  <si>
    <t>SENGÉS</t>
  </si>
  <si>
    <t>VENTANIA</t>
  </si>
  <si>
    <t>TIBAGI</t>
  </si>
  <si>
    <t>WENCESLAU BRAZ</t>
  </si>
  <si>
    <t>ANDIRÁ</t>
  </si>
  <si>
    <t>ASSAÍ</t>
  </si>
  <si>
    <t>BANDEIRANTES</t>
  </si>
  <si>
    <t>CONGONHINHAS</t>
  </si>
  <si>
    <t>ITAMBARACÁ</t>
  </si>
  <si>
    <t>LEÓPOLIS</t>
  </si>
  <si>
    <t>NOVA AMÉRICA DA COLINA</t>
  </si>
  <si>
    <t>NOVA FÁTIMA</t>
  </si>
  <si>
    <t>NOVA SANTA BÁRBARA</t>
  </si>
  <si>
    <t>RANCHO ALEGRE</t>
  </si>
  <si>
    <t>RIBEIRÃO DO PINHAL</t>
  </si>
  <si>
    <t>SANTA AMÉLIA</t>
  </si>
  <si>
    <t>SANTA CECÍLIA DO PAVÃO</t>
  </si>
  <si>
    <t>SANTA MARIANA</t>
  </si>
  <si>
    <t>SANTO ANTONIO DO PARAÍSO</t>
  </si>
  <si>
    <t>SÃO JERÔNIMO DA SERRA</t>
  </si>
  <si>
    <t>SÃO SEBASTIÃO DA AMOREIRA</t>
  </si>
  <si>
    <t>SAPOPEMA</t>
  </si>
  <si>
    <t>SERTANEJA</t>
  </si>
  <si>
    <t>URAÍ</t>
  </si>
  <si>
    <t>ADRIANÓPOLIS</t>
  </si>
  <si>
    <t>ALMIRANTE TAMANDARÉ</t>
  </si>
  <si>
    <t>BOCAIÚVA DO SUL</t>
  </si>
  <si>
    <t>CAMPINA GRANDE DO SUL</t>
  </si>
  <si>
    <t>CERRO AZUL</t>
  </si>
  <si>
    <t>COLOMBO</t>
  </si>
  <si>
    <t>CURITIBA</t>
  </si>
  <si>
    <t>ITAPERUÇU</t>
  </si>
  <si>
    <t>PINHAIS</t>
  </si>
  <si>
    <t>QUATRO BARRAS</t>
  </si>
  <si>
    <t>RIO BRANCO DO SUL</t>
  </si>
  <si>
    <t>TUNAS DO PARANÁ</t>
  </si>
  <si>
    <t>ARAUCÁRIA</t>
  </si>
  <si>
    <t>BALSA NOVA</t>
  </si>
  <si>
    <t>CAMPO MAGRO</t>
  </si>
  <si>
    <t>CONTENDA</t>
  </si>
  <si>
    <t>FAZENDA RIO GRANDE</t>
  </si>
  <si>
    <t>MANDIRITUBA</t>
  </si>
  <si>
    <t>ITAIPULÂNDIA</t>
  </si>
  <si>
    <t>SANTA TEREZINHA DE ITAIPU</t>
  </si>
  <si>
    <t>SÃO MIGUEL DO IGUAÇU</t>
  </si>
  <si>
    <t>AMPÉRE</t>
  </si>
  <si>
    <t>BARRACÃO</t>
  </si>
  <si>
    <t>BELA VISTA DA CAROBA</t>
  </si>
  <si>
    <t>BOA ESPERANÇA DO IGUAÇU</t>
  </si>
  <si>
    <t>BOM JESUS DO SUL</t>
  </si>
  <si>
    <t>CAPANEMA</t>
  </si>
  <si>
    <t>CRUZEIRO DO IGUAÇU</t>
  </si>
  <si>
    <t>DOIS VIZINHOS</t>
  </si>
  <si>
    <t>ENÉAS MARQUES</t>
  </si>
  <si>
    <t>FLOR DA SERRA DO SUL</t>
  </si>
  <si>
    <t>MANFRINÓPOLIS</t>
  </si>
  <si>
    <t>MARMELEIRO</t>
  </si>
  <si>
    <t>NOVA ESPERANÇA DO SUDOESTE</t>
  </si>
  <si>
    <t>NOVA PRATA DO IGUAÇU</t>
  </si>
  <si>
    <t>PÉROLA DOESTE</t>
  </si>
  <si>
    <t>PINHAL DE SÃO BENTO</t>
  </si>
  <si>
    <t>PLANALTO</t>
  </si>
  <si>
    <t>PRANCHITA</t>
  </si>
  <si>
    <t>REALEZA</t>
  </si>
  <si>
    <t>RENASCENÇA</t>
  </si>
  <si>
    <t>SALGADO FILHO</t>
  </si>
  <si>
    <t>SALTO DO LONTRA</t>
  </si>
  <si>
    <t>SANTA IZABEL DO OESTE</t>
  </si>
  <si>
    <t>SANTO ANTÔNIO DO SUDOESTE</t>
  </si>
  <si>
    <t>SÃO JORGE DOESTE</t>
  </si>
  <si>
    <t>VERÊ</t>
  </si>
  <si>
    <t>BOA VENTURA DE SÃO ROQUE</t>
  </si>
  <si>
    <t>CAMPINA DO SIMÃO</t>
  </si>
  <si>
    <t>CANDÓI</t>
  </si>
  <si>
    <t>CANTAGALO</t>
  </si>
  <si>
    <t>FOZ DO JORDÃO</t>
  </si>
  <si>
    <t>GOIOXIM</t>
  </si>
  <si>
    <t>LARANJAL</t>
  </si>
  <si>
    <t>LARANJEIRAS DO SUL</t>
  </si>
  <si>
    <t>MARQUINHO</t>
  </si>
  <si>
    <t>PALMITAL</t>
  </si>
  <si>
    <t>PINHÃO</t>
  </si>
  <si>
    <t>PITANGA</t>
  </si>
  <si>
    <t>PORTO BARREIRO</t>
  </si>
  <si>
    <t>RESERVA DO IGUAÇU</t>
  </si>
  <si>
    <t>RIO BONITO DO IGUAÇU</t>
  </si>
  <si>
    <t>SANTA MARIA DO OESTE</t>
  </si>
  <si>
    <t>TURVO</t>
  </si>
  <si>
    <t>VIRMOND</t>
  </si>
  <si>
    <t>FERNANDES PINHEIRO</t>
  </si>
  <si>
    <t>INÁCIO MARTINS</t>
  </si>
  <si>
    <t>MALLET</t>
  </si>
  <si>
    <t>REBOUÇAS</t>
  </si>
  <si>
    <t>RIO AZUL</t>
  </si>
  <si>
    <t>TEIXEIRA SOARES</t>
  </si>
  <si>
    <t>ARAPUÃ</t>
  </si>
  <si>
    <t>ARIRANHA DO IVAÍ</t>
  </si>
  <si>
    <t>CÂNDIDO DE ABREU</t>
  </si>
  <si>
    <t>CRUZMALTINA</t>
  </si>
  <si>
    <t>GODOY MOREIRA</t>
  </si>
  <si>
    <t>GRANDES RIOS</t>
  </si>
  <si>
    <t>JARDIM ALEGRE</t>
  </si>
  <si>
    <t>LIDIANÓPOLIS</t>
  </si>
  <si>
    <t>LUNARDELLI</t>
  </si>
  <si>
    <t>MANOEL RIBAS</t>
  </si>
  <si>
    <t>NOVA TEBAS</t>
  </si>
  <si>
    <t>RIO BRANCO DO IVAÍ</t>
  </si>
  <si>
    <t>ROSÁRIO DO IVAÍ</t>
  </si>
  <si>
    <t>SÃO JOÃO DO IVAÍ</t>
  </si>
  <si>
    <t>SÃO PEDRO DO IVAÍ</t>
  </si>
  <si>
    <t>BARRA DO JACARÉ</t>
  </si>
  <si>
    <t>CAMBARÁ</t>
  </si>
  <si>
    <t>CARLÓPOLIS</t>
  </si>
  <si>
    <t>GUAPIRAMA</t>
  </si>
  <si>
    <t>JOAQUIM TÁVORA</t>
  </si>
  <si>
    <t>QUATIGUÁ</t>
  </si>
  <si>
    <t>RIBEIRÃO CLARO</t>
  </si>
  <si>
    <t>SALTO DO ITARARÉ</t>
  </si>
  <si>
    <t>SANTANA DO ITARARÉ</t>
  </si>
  <si>
    <t>SIQUEIRA CAMPOS</t>
  </si>
  <si>
    <t>ALVORADA DO SUL</t>
  </si>
  <si>
    <t>CAMBÉ</t>
  </si>
  <si>
    <t>IBIPORÃ</t>
  </si>
  <si>
    <t>JATAIZINHO</t>
  </si>
  <si>
    <t>LONDRINA</t>
  </si>
  <si>
    <t>PRIMEIRO DE MAIO</t>
  </si>
  <si>
    <t>ROLÂNDIA</t>
  </si>
  <si>
    <t>SERTANÓPOLIS</t>
  </si>
  <si>
    <t>TAMARANA</t>
  </si>
  <si>
    <t>CAFEARA</t>
  </si>
  <si>
    <t>CENTENÁRIO DO SUL</t>
  </si>
  <si>
    <t>FLORESTÓPOLIS</t>
  </si>
  <si>
    <t>GUARACI</t>
  </si>
  <si>
    <t>JAGUAPITÃ</t>
  </si>
  <si>
    <t>LUPIONÓPOLIS</t>
  </si>
  <si>
    <t>MIRASELVA</t>
  </si>
  <si>
    <t>PORECATU</t>
  </si>
  <si>
    <t>PRADO FERREIRA</t>
  </si>
  <si>
    <t>ENTRE RIOS DO OESTE</t>
  </si>
  <si>
    <t>GUAÍRA</t>
  </si>
  <si>
    <t>MERCEDES</t>
  </si>
  <si>
    <t>NOVA SANTA ROSA</t>
  </si>
  <si>
    <t>PATO BRAGADO</t>
  </si>
  <si>
    <t>QUATRO PONTES</t>
  </si>
  <si>
    <t>SANTA HELENA</t>
  </si>
  <si>
    <t>SÃO JOSÉ DAS PALMEIRAS</t>
  </si>
  <si>
    <t>TERRA ROXA</t>
  </si>
  <si>
    <t>ÂNGULO</t>
  </si>
  <si>
    <t>ATALAIA</t>
  </si>
  <si>
    <t>COLORADO</t>
  </si>
  <si>
    <t>DOUTOR CAMARGO</t>
  </si>
  <si>
    <t>FLORAÍ</t>
  </si>
  <si>
    <t>FLORESTA</t>
  </si>
  <si>
    <t>FLÓRIDA</t>
  </si>
  <si>
    <t>IGUARAÇU</t>
  </si>
  <si>
    <t>ITAGUAJÉ</t>
  </si>
  <si>
    <t>ITAMBÉ</t>
  </si>
  <si>
    <t>IVATUBA</t>
  </si>
  <si>
    <t>LOBATO</t>
  </si>
  <si>
    <t>MANDAGUAÇU</t>
  </si>
  <si>
    <t>MARIALVA</t>
  </si>
  <si>
    <t>NOSSA SENHORA DAS GRAÇAS</t>
  </si>
  <si>
    <t>OURIZONA</t>
  </si>
  <si>
    <t>PAIÇANDU</t>
  </si>
  <si>
    <t>PRESIDENTE CASTELO BRANCO</t>
  </si>
  <si>
    <t>SANTA FÉ</t>
  </si>
  <si>
    <t>SANTA INÊS</t>
  </si>
  <si>
    <t>SANTO INÁCIO</t>
  </si>
  <si>
    <t>SÃO JORGE DO IVAÍ</t>
  </si>
  <si>
    <t>SARANDI</t>
  </si>
  <si>
    <t>GUARATUBA</t>
  </si>
  <si>
    <t>MATINHOS</t>
  </si>
  <si>
    <t>PONTAL DO PARANÁ</t>
  </si>
  <si>
    <t>CÉU AZUL</t>
  </si>
  <si>
    <t>DIAMANTE D'OESTE</t>
  </si>
  <si>
    <t>MATELÂNDIA</t>
  </si>
  <si>
    <t>MISSAL</t>
  </si>
  <si>
    <t>RAMILÂNDIA</t>
  </si>
  <si>
    <t>SERRANÓPOLIS DO IGUAÇU</t>
  </si>
  <si>
    <t>VERA CRUZ DO OESTE</t>
  </si>
  <si>
    <t>DIAMANTE DO NORTE</t>
  </si>
  <si>
    <t>GUAIRACÁ</t>
  </si>
  <si>
    <t>ITAÚNA DO SUL</t>
  </si>
  <si>
    <t>LOANDA</t>
  </si>
  <si>
    <t>MARILENA</t>
  </si>
  <si>
    <t>PLANALTINA DO PARANÁ</t>
  </si>
  <si>
    <t>PORTO RICO</t>
  </si>
  <si>
    <t>QUERÊNCIA DO NORTE</t>
  </si>
  <si>
    <t>SANTA CRUZ DE MONTE CASTELO</t>
  </si>
  <si>
    <t>SANTA ISABEL DO IVAÍ</t>
  </si>
  <si>
    <t>SANTA MÔNICA</t>
  </si>
  <si>
    <t>SÃO PEDRO DO PARANÁ</t>
  </si>
  <si>
    <t>TERRA RICA</t>
  </si>
  <si>
    <t>CLEVELÂNDIA</t>
  </si>
  <si>
    <t>CORONEL DOMINGOS SOARES</t>
  </si>
  <si>
    <t>MANGUEIRINHA</t>
  </si>
  <si>
    <t>ANTONINA</t>
  </si>
  <si>
    <t>GUARAQUEÇABA</t>
  </si>
  <si>
    <t>MORRETES</t>
  </si>
  <si>
    <t>ALTO PARANÁ</t>
  </si>
  <si>
    <t>AMAPORÃ</t>
  </si>
  <si>
    <t>CRUZEIRO DO SUL</t>
  </si>
  <si>
    <t>GUAPOREMA</t>
  </si>
  <si>
    <t>INAJA</t>
  </si>
  <si>
    <t>INDIANÓPOLIS</t>
  </si>
  <si>
    <t>JAPURÁ</t>
  </si>
  <si>
    <t>JARDIM OLINDA</t>
  </si>
  <si>
    <t>MIRADOR</t>
  </si>
  <si>
    <t>NOVA ALIANÇA DO IVAÍ</t>
  </si>
  <si>
    <t>NOVA ESPERANÇA</t>
  </si>
  <si>
    <t>PARAÍSO DO NORTE</t>
  </si>
  <si>
    <t>PARANACITY</t>
  </si>
  <si>
    <t>PARANAPOEMA</t>
  </si>
  <si>
    <t>RONDON</t>
  </si>
  <si>
    <t>SANTO ANTONIO DO CAIUÁ</t>
  </si>
  <si>
    <t>SÃO CARLOS DO IVAÍ</t>
  </si>
  <si>
    <t>SÃO JOÃO DO CAIUÁ</t>
  </si>
  <si>
    <t>SÃO MANOEL DO PARANÁ</t>
  </si>
  <si>
    <t>SÃO TOMÉ</t>
  </si>
  <si>
    <t>TAMBOARA</t>
  </si>
  <si>
    <t>UNIFLOR</t>
  </si>
  <si>
    <t>BOM SUCESSO DO SUL</t>
  </si>
  <si>
    <t>CHOPINZINHO</t>
  </si>
  <si>
    <t>CORONEL VIVIDA</t>
  </si>
  <si>
    <t>HONÓRIO SERPA</t>
  </si>
  <si>
    <t>ITAPEJARA DOESTE</t>
  </si>
  <si>
    <t>MARIÓPOLIS</t>
  </si>
  <si>
    <t>SÃO JOÃO</t>
  </si>
  <si>
    <t>SAUDADE DO IGUAÇU</t>
  </si>
  <si>
    <t>SULINA</t>
  </si>
  <si>
    <t>VITORINO</t>
  </si>
  <si>
    <t>CARAMBEÍ</t>
  </si>
  <si>
    <t>IMBAÚ</t>
  </si>
  <si>
    <t>IPIRANGA</t>
  </si>
  <si>
    <t>PALMEIRA</t>
  </si>
  <si>
    <t>PORTO AMAZONAS</t>
  </si>
  <si>
    <t>RESERVA</t>
  </si>
  <si>
    <t>TELÊMACO BORBA</t>
  </si>
  <si>
    <t>GUAMIRANGA</t>
  </si>
  <si>
    <t>IMBITUVA</t>
  </si>
  <si>
    <t>IVAÍ</t>
  </si>
  <si>
    <t>CAMPO DO TENENTE</t>
  </si>
  <si>
    <t>LAPA</t>
  </si>
  <si>
    <t>PIÊN</t>
  </si>
  <si>
    <t>QUITANDINHA</t>
  </si>
  <si>
    <t>ABATIÁ</t>
  </si>
  <si>
    <t>CONSELHEIRO MAIRINCK</t>
  </si>
  <si>
    <t>CURIÚVA</t>
  </si>
  <si>
    <t>FIGUEIRA</t>
  </si>
  <si>
    <t>IBAITI</t>
  </si>
  <si>
    <t>JABOTI</t>
  </si>
  <si>
    <t>JAPIRA</t>
  </si>
  <si>
    <t>JUNDIAÍ DO SUL</t>
  </si>
  <si>
    <t>PINHALÃO</t>
  </si>
  <si>
    <t>TOMAZINA</t>
  </si>
  <si>
    <t>AGUDOS DO SUL</t>
  </si>
  <si>
    <t>PIRAQUARA</t>
  </si>
  <si>
    <t>TIJUCAS DO SUL</t>
  </si>
  <si>
    <t>ANTÔNIO OLINTO</t>
  </si>
  <si>
    <t>PAULO FRONTIN</t>
  </si>
  <si>
    <t>SÃO JOÃO DO TRIUNFO</t>
  </si>
  <si>
    <t>ASSIS CHATEAUBRIAND</t>
  </si>
  <si>
    <t>FORMOSA DO OESTE</t>
  </si>
  <si>
    <t>IRACEMA DO OESTE</t>
  </si>
  <si>
    <t>JESUÍTAS</t>
  </si>
  <si>
    <t>MARIPÁ</t>
  </si>
  <si>
    <t>OURO VERDE DO OESTE</t>
  </si>
  <si>
    <t>PALOTINA</t>
  </si>
  <si>
    <t>SÃO PEDRO DO IGUAÇU</t>
  </si>
  <si>
    <t>TUPÃSSI</t>
  </si>
  <si>
    <t>ALTO PARAÍSO</t>
  </si>
  <si>
    <t>UMUARAMA</t>
  </si>
  <si>
    <t>ALTO PIQUIRI</t>
  </si>
  <si>
    <t>ALTÔNIA</t>
  </si>
  <si>
    <t>BRASILÂNDIA DO SUL</t>
  </si>
  <si>
    <t>CAFEZAL DO SUL</t>
  </si>
  <si>
    <t>CIDADE GAÚCHA</t>
  </si>
  <si>
    <t>CRUZEIRO DO OESTE</t>
  </si>
  <si>
    <t>DOURADINA</t>
  </si>
  <si>
    <t>ESPERANÇA NOVA</t>
  </si>
  <si>
    <t>FRANCISCO ALVES</t>
  </si>
  <si>
    <t>ICARAÍMA</t>
  </si>
  <si>
    <t>IPORÃ</t>
  </si>
  <si>
    <t>LVATÉ</t>
  </si>
  <si>
    <t>MARIA HELENA</t>
  </si>
  <si>
    <t>MARILUZ</t>
  </si>
  <si>
    <t>MOREIRA SALES</t>
  </si>
  <si>
    <t>NOVA OLÍMPIA</t>
  </si>
  <si>
    <t>PEROBAL</t>
  </si>
  <si>
    <t>PÉROLA</t>
  </si>
  <si>
    <t>SÃO JORGE DO PATROCÍNIO</t>
  </si>
  <si>
    <t>TAPEJARA</t>
  </si>
  <si>
    <t>TAPIRA</t>
  </si>
  <si>
    <t>TUNEIRAS DO OESTE</t>
  </si>
  <si>
    <t>XAMBRÊ</t>
  </si>
  <si>
    <t>BITURUNA</t>
  </si>
  <si>
    <t>CRUZ MACHADO</t>
  </si>
  <si>
    <t>GENERAL CARNEIRO</t>
  </si>
  <si>
    <t>PAULA FREITAS</t>
  </si>
  <si>
    <t>PORTO VITÓRIA</t>
  </si>
  <si>
    <t>CAMPO LARGO</t>
  </si>
  <si>
    <t>Horário de atendimento</t>
  </si>
  <si>
    <t xml:space="preserve">Horário do jovem </t>
  </si>
  <si>
    <t>Apr. Nome</t>
  </si>
  <si>
    <t>Curso</t>
  </si>
  <si>
    <t>Razao Social</t>
  </si>
  <si>
    <t xml:space="preserve">Endereço </t>
  </si>
  <si>
    <t>Link Google Maps</t>
  </si>
  <si>
    <t>Emp. Cidade</t>
  </si>
  <si>
    <t>Sup. na Empresa</t>
  </si>
  <si>
    <t>Sup Celular</t>
  </si>
  <si>
    <t>Sup. Email</t>
  </si>
  <si>
    <t>Observação Visita</t>
  </si>
  <si>
    <t xml:space="preserve">CARLOS GABRIEL SANTOS NASCIMENTO </t>
  </si>
  <si>
    <t>SUPERMERCADOS 4.0</t>
  </si>
  <si>
    <t>GUSTO &amp; HENRI SUPERMERCADOS LTDA</t>
  </si>
  <si>
    <t>R. Alfredo Straube, 146, Bocaiúva do Sul - PR, 83450-000</t>
  </si>
  <si>
    <t>https://maps.app.goo.gl/KLjZHPf5yXiujz9F9</t>
  </si>
  <si>
    <t xml:space="preserve">BOCAIÚVA DO SUL </t>
  </si>
  <si>
    <t xml:space="preserve"> Eduardo Martines </t>
  </si>
  <si>
    <t>41 9270-7524</t>
  </si>
  <si>
    <t xml:space="preserve">2º VISITA </t>
  </si>
  <si>
    <t xml:space="preserve">EMANUELLE VERONICA DUDEK </t>
  </si>
  <si>
    <t xml:space="preserve">AFASTAMENTO POR TEMPO INDERTERMINADO </t>
  </si>
  <si>
    <t>NICOLAS DOLCI</t>
  </si>
  <si>
    <t xml:space="preserve">TOTAL DE JOVENS ATENDIDOS </t>
  </si>
  <si>
    <t xml:space="preserve">TOTAL DE EMPRESAS ATENDIDAS </t>
  </si>
  <si>
    <r>
      <rPr>
        <b/>
        <sz val="11"/>
        <color rgb="FF000000"/>
        <rFont val="Aptos Narrow"/>
      </rPr>
      <t>LINK MAPA GERAL</t>
    </r>
    <r>
      <rPr>
        <sz val="11"/>
        <color rgb="FF000000"/>
        <rFont val="Aptos Narrow"/>
      </rPr>
      <t xml:space="preserve"> </t>
    </r>
    <r>
      <rPr>
        <b/>
        <sz val="11"/>
        <color rgb="FF000000"/>
        <rFont val="Aptos Narrow"/>
      </rPr>
      <t xml:space="preserve"> -  https://maps.app.goo.gl/8UWmxfHt8Zn1TEAb7 </t>
    </r>
  </si>
  <si>
    <t xml:space="preserve">EM MÉDIA, SERÁ NECESSÁRIO 30 MINUTOS POR ATENDIMENTO. CASO A EMPRESA TENHA MAIS DE UM JOVEM NO MESMO HORÁRIO, ATENDER TODOS JUNTOS. SE HOUVER SITUAÇÃO PARA TRATAR COM O JOVEM E/OU EMPRESA, ATENDER INDIVIDUALMENTE.   </t>
  </si>
  <si>
    <t>TEMPO DE DESLOCAMENTO ENTRE CIDADES  - CIDADE, HORÁRIO E KM</t>
  </si>
  <si>
    <t xml:space="preserve">DATA DA VISITA </t>
  </si>
  <si>
    <t>SAÍDA  /CIDADE</t>
  </si>
  <si>
    <t>HORÁRIO</t>
  </si>
  <si>
    <t>CHEGADA / CIDADE</t>
  </si>
  <si>
    <t>KM</t>
  </si>
  <si>
    <t>PEDÁGIO</t>
  </si>
  <si>
    <t xml:space="preserve">CURITIBA </t>
  </si>
  <si>
    <t xml:space="preserve">Observações da viajem: SEGUNDA VISITA </t>
  </si>
  <si>
    <t>TOTAL DE KM</t>
  </si>
  <si>
    <t>HORÁRIO DE ALMOÇO</t>
  </si>
  <si>
    <t xml:space="preserve">SAÍDA </t>
  </si>
  <si>
    <t>RETORNO</t>
  </si>
  <si>
    <t xml:space="preserve">MARIA EDUARDA KMIECIK </t>
  </si>
  <si>
    <t xml:space="preserve"> SERVIÇOS ADMINISTRATIVOS 4.0</t>
  </si>
  <si>
    <t xml:space="preserve"> SICREDI INTEGRACAO PR </t>
  </si>
  <si>
    <t>Av. Fernandes Andrade, 1111 - Centro, Quitandinha - PR, 83840-000</t>
  </si>
  <si>
    <t>https://maps.app.goo.gl/bt6bQjEXJbmEnube8</t>
  </si>
  <si>
    <t>Josenilda Calizário Radulski</t>
  </si>
  <si>
    <t>41-988112876</t>
  </si>
  <si>
    <t>JOSENILDA_RADULSKI@SICREDI.COM.BR</t>
  </si>
  <si>
    <t>LUIZA BRORING DA SILVA</t>
  </si>
  <si>
    <t>SERVIÇOS DE SUPERMERCADOS 4.0</t>
  </si>
  <si>
    <t>ASSIS SUPERMERCADOS LTDA</t>
  </si>
  <si>
    <t>avenida eleuterio fernandes de andrade, 1545 - centro</t>
  </si>
  <si>
    <t xml:space="preserve">https://maps.app.goo.gl/RRCYVWk8bkvcbKQH8 </t>
  </si>
  <si>
    <t xml:space="preserve">JOSÉ LUIZ / SIMONE </t>
  </si>
  <si>
    <t>4198803-9163 / 41 9846-2848</t>
  </si>
  <si>
    <t>DANIEL KAMIROSKI DE SIQUEIRA</t>
  </si>
  <si>
    <t>ANTONY KAUAN DAMAS</t>
  </si>
  <si>
    <t>av altair kerico, 2800 - parque industrial</t>
  </si>
  <si>
    <t>SERGIO</t>
  </si>
  <si>
    <t>4198803-9163 / 41 8458-5130</t>
  </si>
  <si>
    <t>ANA PAULA VIEIRA BELNIAK</t>
  </si>
  <si>
    <t>KAUA BEKER WERNER</t>
  </si>
  <si>
    <t xml:space="preserve">rua miguel komarchewski, 1216 - centro </t>
  </si>
  <si>
    <t>CAMPO DO TEN</t>
  </si>
  <si>
    <t>ARIVALDO</t>
  </si>
  <si>
    <t>41 8845-0707</t>
  </si>
  <si>
    <t>41-988450707 / 41988921563</t>
  </si>
  <si>
    <t>LORENA TREVISAN DE OLIVEIRA</t>
  </si>
  <si>
    <t>LORRANA CONCEIÇÃO BARBOSA STANSKI</t>
  </si>
  <si>
    <t>COMERCIAL IVAIPORÃ</t>
  </si>
  <si>
    <t>R. Francisco Neves Filho, 36 - São João do Triunfo, PR, 84150-000</t>
  </si>
  <si>
    <t>https://maps.app.goo.gl/i8v3JWR6tTrzVZ4u7</t>
  </si>
  <si>
    <t xml:space="preserve">MARCELA </t>
  </si>
  <si>
    <t>42 9115-4896</t>
  </si>
  <si>
    <t xml:space="preserve">LINK MAPA GERAL  -  https://maps.app.goo.gl/m6Q3jLSwN1sSqPoi6   </t>
  </si>
  <si>
    <t xml:space="preserve">QUITANDINHA </t>
  </si>
  <si>
    <t xml:space="preserve">HOSPEDAGEM </t>
  </si>
  <si>
    <t xml:space="preserve">CAMPO DO TENENTE </t>
  </si>
  <si>
    <t>SÃO JOÃO DO TRI</t>
  </si>
  <si>
    <t>HOSPEDAGEM - SÃO MATHEUS DO SUL</t>
  </si>
  <si>
    <t>Data da Visita 1</t>
  </si>
  <si>
    <t>Status Visita 1</t>
  </si>
  <si>
    <t>Data da Visita 2</t>
  </si>
  <si>
    <t xml:space="preserve">Status Visita </t>
  </si>
  <si>
    <t>Data da Visita 3</t>
  </si>
  <si>
    <t>TurDatIni</t>
  </si>
  <si>
    <t>TurDatFim</t>
  </si>
  <si>
    <t>CNPJ</t>
  </si>
  <si>
    <t>Link Mapa</t>
  </si>
  <si>
    <t>UF</t>
  </si>
  <si>
    <t>Atuação Senac</t>
  </si>
  <si>
    <t>Sup. Cadastrado</t>
  </si>
  <si>
    <t>Sup Telefone</t>
  </si>
  <si>
    <t>Teoria Hr Ini</t>
  </si>
  <si>
    <t>Pratica Hr Ini</t>
  </si>
  <si>
    <t>Situação</t>
  </si>
  <si>
    <t xml:space="preserve">Pendente </t>
  </si>
  <si>
    <t>JULIA GENEROSO</t>
  </si>
  <si>
    <t>APRENDIZAGEM PROFISSIONAL DE QUALIFICAÇÃO EM SERVIÇOS ADMINISTRATIVOS 4.0</t>
  </si>
  <si>
    <t>MUNICÍPIO DE LINDOESTE</t>
  </si>
  <si>
    <t>80.881.915/0001-92</t>
  </si>
  <si>
    <t>PREFEITURA MUNICIPAL DE LINDOESTE, R. Mal. Rondon, Lindoeste - PR, 85826-000</t>
  </si>
  <si>
    <t>https://maps.app.goo.gl/Y6fmqXQdjzd6wDcx8</t>
  </si>
  <si>
    <t>PR</t>
  </si>
  <si>
    <t>Clismara de Borba</t>
  </si>
  <si>
    <t>45-920013394</t>
  </si>
  <si>
    <t>clisassistencia@gmail.com</t>
  </si>
  <si>
    <t>normal</t>
  </si>
  <si>
    <t>LAURA MARIA GRANDO</t>
  </si>
  <si>
    <t>MARIA EDUARDA FIALHO</t>
  </si>
  <si>
    <t>EVELYN GABRIELLI DA COSTA</t>
  </si>
  <si>
    <t>KAUÃ GABRIEL DA SILVA</t>
  </si>
  <si>
    <t>CLISMARA DE BORBA</t>
  </si>
  <si>
    <t>EMILLY FERNANDA DA SILVA TALINI</t>
  </si>
  <si>
    <t>EDUARDO RIOS DA SILVA</t>
  </si>
  <si>
    <t>ANDRESSA SANTOS DE JESUS</t>
  </si>
  <si>
    <t>SOPHIA MENDES ALMEIDA</t>
  </si>
  <si>
    <t>COCAMAR COOPERATIVA AGROINDUSTRIAL</t>
  </si>
  <si>
    <t>79.114.450/0026-13</t>
  </si>
  <si>
    <t>Cocamar - Unidade Paranacity, Av. Brasil, 1496-1548, Paranacity - PR, 87660-000</t>
  </si>
  <si>
    <t>https://maps.app.goo.gl/GnE2m5LVKsBP27x3A</t>
  </si>
  <si>
    <t>LILIANE FIGUEIREDO UMBELINO</t>
  </si>
  <si>
    <t>44-999575197</t>
  </si>
  <si>
    <t>liliane.figueiredo@cocamar.com.br</t>
  </si>
  <si>
    <t>Segunda-feira: 08:00 às 10:00; Terça-feira: 08:00 às 10:00; Quarta-feira: 08:00 às 10:00; Quinta-feira: 08:00 às 10:00; Sexta-feira: 08:00 às 12:00</t>
  </si>
  <si>
    <t>JAMILLY SBELLUTTI DE ASSIS</t>
  </si>
  <si>
    <t>79.114.450/0249-35</t>
  </si>
  <si>
    <t>Cocamar - Unidade Prado Ferreira, Rod. Dr. Jacídio Correia, 2680, Prado Ferreira - PR, 86618-000</t>
  </si>
  <si>
    <t>https://maps.app.goo.gl/8By8Ut4do9SqT1SD9</t>
  </si>
  <si>
    <t>ROGERIO MACCARI DE MEIRELLES</t>
  </si>
  <si>
    <t>43-32441144</t>
  </si>
  <si>
    <t>44-998730257</t>
  </si>
  <si>
    <t>rogerio.meirelles@cocamar.com.br</t>
  </si>
  <si>
    <t>Segunda-feira: 10:00 às 12:00; Terça-feira: 10:00 às 12:00; Quarta-feira: 10:00 às 12:00; Quinta-feira: 10:00 às 12:00; Sexta-feira: 08:00 às 12:00</t>
  </si>
  <si>
    <t>JORDANA ANTONIELLY DOS SANTOS DE SOUZA</t>
  </si>
  <si>
    <t>79.114.450/0258-26</t>
  </si>
  <si>
    <t>Av. Brasil, 351 - CENTRO, Nova Londrina - PR, 87970-000</t>
  </si>
  <si>
    <t>https://maps.app.goo.gl/Vvod3yUPm3dTw2kW7</t>
  </si>
  <si>
    <t>PATRÍCIA DE SOUZA LUCAS</t>
  </si>
  <si>
    <t>44-998075187</t>
  </si>
  <si>
    <t>patricia.lucas@cocamar.com.br</t>
  </si>
  <si>
    <t>JANAINA DE OLIVEIRA DOS SANTOS</t>
  </si>
  <si>
    <t>COASUL COOPERATIVA AGROINDUSTRIAL</t>
  </si>
  <si>
    <t>79.863.569/0074-96</t>
  </si>
  <si>
    <t>Coasul Postos - Laranjeiras do Sul, BR-277 - Centro, Laranjeiras do Sul - PR, 85303-495</t>
  </si>
  <si>
    <t>https://maps.app.goo.gl/Ws7ffgWTYzWg3zqm7</t>
  </si>
  <si>
    <t>DAIANE MARIA BERRA</t>
  </si>
  <si>
    <t>46-999239052</t>
  </si>
  <si>
    <t>daiane.berra@coasul.com.br</t>
  </si>
  <si>
    <t>HELENA CAROLINA CHAVES SILVA</t>
  </si>
  <si>
    <t>79.114.450/0242-69</t>
  </si>
  <si>
    <t>Cocamar - Unidade Pitangueiras, Pitangueiras - PR, 86613-000</t>
  </si>
  <si>
    <t>https://maps.app.goo.gl/Nux4qBHj83Mm5PHu8</t>
  </si>
  <si>
    <t>LEVI DOS SANTOS LIMA JUNIOR</t>
  </si>
  <si>
    <t>44-999755085</t>
  </si>
  <si>
    <t>levi.junior@cocamar.com.br</t>
  </si>
  <si>
    <t>PEDRO HENRIQUE DE JESUS TELES</t>
  </si>
  <si>
    <t>COAMO AGROINDUSTRIAL COOPERATIVA</t>
  </si>
  <si>
    <t>75.904.383/0117-51</t>
  </si>
  <si>
    <t>Coamo Agroindustrial Cooperativa, R. Dr. Alberto Bartels, 600 - Faxinal, PR, 86840-000</t>
  </si>
  <si>
    <t>https://maps.app.goo.gl/q3gCbGVGoz92m64W6</t>
  </si>
  <si>
    <t>NEIMAR ALVES ROCHA</t>
  </si>
  <si>
    <t>43-34614412</t>
  </si>
  <si>
    <t>43-999169192</t>
  </si>
  <si>
    <t>nrocha@coamo.com.br</t>
  </si>
  <si>
    <t>Segunda-feira: 15:30 às 17:30; Terça-feira: 15:30 às 17:30; Quarta-feira: 15:30 às 17:30; Quinta-feira: 15:30 às 17:30; Sexta-feira: 13:30 às 17:30</t>
  </si>
  <si>
    <t>MARYA APARECIDA MAIA GIL</t>
  </si>
  <si>
    <t>INTEGRADA COOPERATIVA AGROINDUSTRIAL</t>
  </si>
  <si>
    <t>00.993.264/0078-72</t>
  </si>
  <si>
    <t>Integrada Cooperativa Agroindustrial - Unidade Industrial de Sucos, 17, PR-442, s/n - Uraí, PR, 86280-000</t>
  </si>
  <si>
    <t>https://maps.app.goo.gl/Rs9AkkEzoeUosdyf6</t>
  </si>
  <si>
    <t>JOSIANE CALDEIRA DE OLIVEIRA</t>
  </si>
  <si>
    <t>43-35236171</t>
  </si>
  <si>
    <t>43-996088100</t>
  </si>
  <si>
    <t>josiane.oliveira@integrada.coop.br</t>
  </si>
  <si>
    <t>PAULO ANTONIO CAVALCANTI CORDEIRO MACEDO</t>
  </si>
  <si>
    <t>75.904.383/0011-01</t>
  </si>
  <si>
    <t>Coamo - Unid. Boa Esperança, Rodovia PR 468 - KM 13 Zona Rural, Boa Esperança - PR, 87390-000</t>
  </si>
  <si>
    <t>https://maps.app.goo.gl/tES4bgVJEUyaXUoL7</t>
  </si>
  <si>
    <t>VALDECI DOS SANTOS</t>
  </si>
  <si>
    <t>44-35521622</t>
  </si>
  <si>
    <t>44-997636613</t>
  </si>
  <si>
    <t>vdsantos@coamo.com.br</t>
  </si>
  <si>
    <t>Segunda-feira: 13:30 às 15:30; Terça-feira: 13:30 às 15:30; Quarta-feira: 13:30 às 15:30; Quinta-feira: 13:30 às 15:30; Sexta-feira: 13:30 às 17:30</t>
  </si>
  <si>
    <t>GABRIELA VITÓRIA CORDEIRO BATISTA</t>
  </si>
  <si>
    <t>KAUELLY APARECIDA DA SILVA FERREIRA</t>
  </si>
  <si>
    <t>75.904.383/0087-00</t>
  </si>
  <si>
    <t>Primavera, Juranda - PR, 87355-000</t>
  </si>
  <si>
    <t>https://maps.app.goo.gl/i7ECNA7vSdMPBD6EA</t>
  </si>
  <si>
    <t>AIRTON PEREIRA DE ARAÚJO</t>
  </si>
  <si>
    <t>44-35661144</t>
  </si>
  <si>
    <t>44-999328165</t>
  </si>
  <si>
    <t>aaraujo@coamo.com.br</t>
  </si>
  <si>
    <t>ENZO GABRIEL ARTUZO</t>
  </si>
  <si>
    <t>79.863.569/0032-37</t>
  </si>
  <si>
    <t>R. Ângelo Moresche, 385-267 - Sede Progresso, Verê - PR, 85585-000</t>
  </si>
  <si>
    <t>https://maps.app.goo.gl/w4tnipc1a89jFaqu9</t>
  </si>
  <si>
    <t>DEISE CRISTINA VENTURIN DE MORAIS</t>
  </si>
  <si>
    <t>46-35671191</t>
  </si>
  <si>
    <t>46-999266017</t>
  </si>
  <si>
    <t>deise.cristina@coasul.com.br</t>
  </si>
  <si>
    <t>LAURA CASON SCHMITZ</t>
  </si>
  <si>
    <t>79.863.569/0034-07</t>
  </si>
  <si>
    <t>Coasul - Entreposto de Nova Prata do Iguaçu, Rua Dos Chimangos, S/N - Centro, Nova Prata do Iguaçu - PR, 85685-000</t>
  </si>
  <si>
    <t>https://maps.app.goo.gl/p5xn9UAeFzXBx7da6</t>
  </si>
  <si>
    <t>DANIEL LUNARDI</t>
  </si>
  <si>
    <t>46-991212976</t>
  </si>
  <si>
    <t>daniel.lunardi@coasul.com.br</t>
  </si>
  <si>
    <t>ALISSON GABRIEL DOS SANTOS OLIVEIRA</t>
  </si>
  <si>
    <t>75.904.383/0046-23</t>
  </si>
  <si>
    <t>Guarani, Mamborê - PR, 87340-000</t>
  </si>
  <si>
    <t>https://maps.app.goo.gl/1in39UoWSHkjfQc4A</t>
  </si>
  <si>
    <t>AUREO OSVALDO JOSE ZACARIAS JUNIOR</t>
  </si>
  <si>
    <t>44-35681280</t>
  </si>
  <si>
    <t>44-999857840</t>
  </si>
  <si>
    <t>ajunior@coamo.com.br</t>
  </si>
  <si>
    <t>VITOR GABRIEL PEREIRA</t>
  </si>
  <si>
    <t>79.863.569/0062-52</t>
  </si>
  <si>
    <t>Coasul Postos - São Jorge D' Oeste, Av. Pref. Adelarte Umiltro Debortoli - São Jorge d'Oeste, PR, 85575-000</t>
  </si>
  <si>
    <t>https://maps.app.goo.gl/fkK73xxFCdUX8Be7A</t>
  </si>
  <si>
    <t>CRISTINA RICHARDI</t>
  </si>
  <si>
    <t>46-999815426</t>
  </si>
  <si>
    <t>posto.saojorge@coasul.com.br</t>
  </si>
  <si>
    <t>RAIANI LUCKEMEIER</t>
  </si>
  <si>
    <t>79.863.569/0048-02</t>
  </si>
  <si>
    <t>Coasul - Entreposto de Flor da Serra do Sul e Palma Sola, Rodovia BR-280, km 295,7 - Rodovia, Flor da Serra do Sul - PR, 85618-000</t>
  </si>
  <si>
    <t>https://maps.app.goo.gl/yHY4EHYNv1Vp7REV9</t>
  </si>
  <si>
    <t>VOLNEI AUGUSTO PASQUETTI</t>
  </si>
  <si>
    <t>46-35641356</t>
  </si>
  <si>
    <t>46-999008520</t>
  </si>
  <si>
    <t>volnei.pasquetti@coasul.com.br</t>
  </si>
  <si>
    <t>LEANDRO KIRACH DOS SANTOS</t>
  </si>
  <si>
    <t>75.904.383/0029-22</t>
  </si>
  <si>
    <t>Coamo Ubs, Mamborê - PR, 87340-000</t>
  </si>
  <si>
    <t>https://maps.app.goo.gl/AVQ8bbee9mGvsHc96</t>
  </si>
  <si>
    <t>DHEYVIDY WESLEI DA SILVA PRUX</t>
  </si>
  <si>
    <t>79.863.569/0005-64</t>
  </si>
  <si>
    <t>PR-475 - São Jorge d'Oeste, PR, 85575-000</t>
  </si>
  <si>
    <t>https://maps.app.goo.gl/CbPK2jJyr47AykHS8</t>
  </si>
  <si>
    <t>HARISON JOAO HORDINA</t>
  </si>
  <si>
    <t>46-35341312</t>
  </si>
  <si>
    <t>46-999171981</t>
  </si>
  <si>
    <t>harison@coasul.com.br</t>
  </si>
  <si>
    <t>LUCAS DOS SANTOS MÉNDEZ</t>
  </si>
  <si>
    <t>DÉBORA ALMEIDA RUDNICK</t>
  </si>
  <si>
    <t>75.904.383/0003-93</t>
  </si>
  <si>
    <t>R. Ver. Lázaro Correia, 1539, Mamborê - PR, 87340-000</t>
  </si>
  <si>
    <t>https://maps.app.goo.gl/WAc6YQ1xrEBZQJVn8</t>
  </si>
  <si>
    <t>ADRIAN GUSTAVO UPENECK</t>
  </si>
  <si>
    <t>75.904.383/0016-08</t>
  </si>
  <si>
    <t>Coamo Cooperativa Agropecuária Mouraoense, Av. Pio XII, 250 - Iretama, PR, 87280-000</t>
  </si>
  <si>
    <t>https://maps.app.goo.gl/snwMshRiPrFY3CCGA</t>
  </si>
  <si>
    <t>VALDINEI RENAU BRILHADOR</t>
  </si>
  <si>
    <t>44-35731345</t>
  </si>
  <si>
    <t>43-996695699</t>
  </si>
  <si>
    <t>vbrilhador@coamo.com.br</t>
  </si>
  <si>
    <t>MATEUS RODLER OLIVEIRA</t>
  </si>
  <si>
    <t>75.904.383/0042-08</t>
  </si>
  <si>
    <t>SIDNEI SEMPRE BOM</t>
  </si>
  <si>
    <t>43-996221101</t>
  </si>
  <si>
    <t>sbom@coamo.com.br</t>
  </si>
  <si>
    <t>LAUANY APARECIDA DO NASCIMENTO</t>
  </si>
  <si>
    <t>75.904.383/0028-41</t>
  </si>
  <si>
    <t>Av. Brasil - Juranda, PR, 87355-000</t>
  </si>
  <si>
    <t>https://maps.app.goo.gl/gEJiDUiopRLjrptdA</t>
  </si>
  <si>
    <t>CLAUDEOMAR LOPES MENEZES</t>
  </si>
  <si>
    <t>44-35692000</t>
  </si>
  <si>
    <t>44-999907680</t>
  </si>
  <si>
    <t>cmenezes@coamo.com.br</t>
  </si>
  <si>
    <t>Segunda-feira: 15:30 às 17:30; Quarta-feira: 15:30 às 17:30; Quinta-feira: 15:30 às 17:30; Sexta-feira: 15:30 às 17:30; Sábado: 08:00 às 12:00</t>
  </si>
  <si>
    <t>ELOAH CARNEIRO GAZZI</t>
  </si>
  <si>
    <t>Coamo - Unid. Quinta do Sol - Q.ta do Sol, PR, 87265-000</t>
  </si>
  <si>
    <t>https://maps.app.goo.gl/fnDpKA14NiqT2BvU9</t>
  </si>
  <si>
    <t>MATEUS PROENÇA DA SILVA</t>
  </si>
  <si>
    <t>75.904.383/0019-50</t>
  </si>
  <si>
    <t>Av. Brasil, 2767 - Juranda, PR, 87355-000</t>
  </si>
  <si>
    <t>https://maps.app.goo.gl/9UDq4HXVp7sRe14j9</t>
  </si>
  <si>
    <t>JOSÉ ROBERTO ROZIO</t>
  </si>
  <si>
    <t>44-35691288</t>
  </si>
  <si>
    <t>42-999982929</t>
  </si>
  <si>
    <t>jorizio@coamo.com.br</t>
  </si>
  <si>
    <t>Segunda-feira: 09:30 às 11:30; Terça-feira: 09:30 às 11:30; Quarta-feira: 09:30 às 11:30; Quinta-feira: 09:30 às 11:30; Sexta-feira: 07:30 às 11:30</t>
  </si>
  <si>
    <t>ISADORA POZZERA RUDNICK</t>
  </si>
  <si>
    <t>79.863.569/0028-50</t>
  </si>
  <si>
    <t>Coasul - Entreposto de Marmeleiro, Rod. BR 373, Km 10 - Rodovia, Marmeleiro - PR, 85615-000</t>
  </si>
  <si>
    <t>https://maps.app.goo.gl/NVeqC33dPmcB8DFp6</t>
  </si>
  <si>
    <t>KARISSON LUCAS KARLING</t>
  </si>
  <si>
    <t>46-991083602</t>
  </si>
  <si>
    <t>karisson.lucas@coasul.com.br</t>
  </si>
  <si>
    <t>NÍSIA LEAL DUMA</t>
  </si>
  <si>
    <t>75.904.383/0056-03</t>
  </si>
  <si>
    <t>Coamo Luiziania, Luiziana - PR, 87290-000</t>
  </si>
  <si>
    <t>https://maps.app.goo.gl/dR5bcZXt44NA9iDL7</t>
  </si>
  <si>
    <t>WANDERSON APARECIDO FROES EDUARDO</t>
  </si>
  <si>
    <t>44-35711283</t>
  </si>
  <si>
    <t>weduardo@coamo.com.br</t>
  </si>
  <si>
    <t>ANA LIVIA KOMINEK</t>
  </si>
  <si>
    <t>COOPERATIVA DE PRODUTORES DE SEMENTES COPROSSEL</t>
  </si>
  <si>
    <t>84.861.145/0007-62</t>
  </si>
  <si>
    <t>Recebimento de Grãos Coprossel, Virmond - PR, 85390-000</t>
  </si>
  <si>
    <t>https://maps.app.goo.gl/MY7Qb9bjTRSkzdY27</t>
  </si>
  <si>
    <t>ADRIANO SOARES DE OLIVEIRA</t>
  </si>
  <si>
    <t>42-36181188</t>
  </si>
  <si>
    <t>42-998515340</t>
  </si>
  <si>
    <t>adriano.soares@coprossel.com.br</t>
  </si>
  <si>
    <t>HYGOR EDUARDO DARIO</t>
  </si>
  <si>
    <t>79.863.569/0075-77</t>
  </si>
  <si>
    <t>PR-281 - Parque Industrial II, Salto do Lontra - PR, 85670-000</t>
  </si>
  <si>
    <t>https://maps.app.goo.gl/iRPWUBX29jkv7WVi7</t>
  </si>
  <si>
    <t>DIEGO LUIS BORDIN</t>
  </si>
  <si>
    <t>46-988196944</t>
  </si>
  <si>
    <t>diego.bordin@coasul.com.br</t>
  </si>
  <si>
    <t>FABIANO AUGUSTO GRADE CORREIA</t>
  </si>
  <si>
    <t>84.861.145/0017-34</t>
  </si>
  <si>
    <t>Endereço não encontrado</t>
  </si>
  <si>
    <t>CICERO JEAN MACHADO DOS SANTOS</t>
  </si>
  <si>
    <t>42-999643085</t>
  </si>
  <si>
    <t>cicero.jean@coprossel.com.br</t>
  </si>
  <si>
    <t>Segunda-feira: 10:00 às 12:00; Terça-feira: 10:00 às 12:00; Quinta-feira: 10:00 às 12:00; Sexta-feira: 10:00 às 12:00; Sábado: 08:00 às 12:00</t>
  </si>
  <si>
    <t>MARIA FERNANDA CHELNE</t>
  </si>
  <si>
    <t>COAGRU COOPERATIVA AGROINDUSTRIAL UNIÃO</t>
  </si>
  <si>
    <t>77.198.794/0003-36</t>
  </si>
  <si>
    <t>Coagru Cooperativa Agroindustrial União, Estrada saida para roncador km 01, Nova Cantu - PR, 87330-000</t>
  </si>
  <si>
    <t>https://maps.app.goo.gl/BHehLFAXZDVwzfxk6</t>
  </si>
  <si>
    <t>ADRIANA APARECIDA DE LIMA</t>
  </si>
  <si>
    <t>44-35278300</t>
  </si>
  <si>
    <t>44-991352376</t>
  </si>
  <si>
    <t>adriana.lima@coagru.com.br</t>
  </si>
  <si>
    <t>LUCAS GABRIEL CLAK</t>
  </si>
  <si>
    <t>84.861.145/0014-91</t>
  </si>
  <si>
    <t>BR-277, Virmond - PR, 85390-000</t>
  </si>
  <si>
    <t>https://maps.app.goo.gl/mfEdALjD6Tr5vWwT8</t>
  </si>
  <si>
    <t>JOSE SANDRO PEREIRA</t>
  </si>
  <si>
    <t>Segunda-feira: 15:00 às 17:00; Terça-feira: 15:00 às 17:00; Quarta-feira: 15:00 às 17:00; Quinta-feira: 15:00 às 17:00; Sexta-feira: 13:00 às 17:00</t>
  </si>
  <si>
    <t>KAMILY DE OLIVEIRA MANCANO</t>
  </si>
  <si>
    <t>77.198.794/0011-46</t>
  </si>
  <si>
    <t>COAGRU COOPERATIVA AGROINDUSTRIAL UNIÃO, Rodovia PR 239, km 17, Campina da Lagoa - PR, 87345-000</t>
  </si>
  <si>
    <t>https://maps.app.goo.gl/8ub9gWrjcPMbQy5X7</t>
  </si>
  <si>
    <t>RICARDO MOREIRA DE OLIVEIRA</t>
  </si>
  <si>
    <t>44-35428100</t>
  </si>
  <si>
    <t>44-997039177</t>
  </si>
  <si>
    <t>ricardo@coagru.com.br</t>
  </si>
  <si>
    <t>PEDRO RODRIGUES DA SILVA</t>
  </si>
  <si>
    <t>77.198.794/0002-55</t>
  </si>
  <si>
    <t>PR-239, 17 - Campina da Lagoa, PR, 87345-000</t>
  </si>
  <si>
    <t>https://maps.app.goo.gl/UC3Qa8tA5L1R9brQ6</t>
  </si>
  <si>
    <t>LAUREN SANTOS</t>
  </si>
  <si>
    <t>00.993.264/0102-37</t>
  </si>
  <si>
    <t>Est. Joana Maria Pereira Rodrigues, Guapirama - PR, 86465-000</t>
  </si>
  <si>
    <t>https://maps.app.goo.gl/qxgvpSizDzZTpvL48</t>
  </si>
  <si>
    <t>ANA LUCIA PEREIRA BREVIGLIERI</t>
  </si>
  <si>
    <t>43-35731638</t>
  </si>
  <si>
    <t>43-999348399</t>
  </si>
  <si>
    <t>ana.lucia@integrada.coop.br</t>
  </si>
  <si>
    <t>NATHÁLIA CRISTINA FÁVERO</t>
  </si>
  <si>
    <t>FERNANDA VIANA LYCURGO</t>
  </si>
  <si>
    <t>77.198.794/0009-21</t>
  </si>
  <si>
    <t>COAGRU, R. Rio da Areia, s/n - Centro, Anahy - PR, 85425-000</t>
  </si>
  <si>
    <t>https://maps.app.goo.gl/StjrpsY1kRuzJrQEA</t>
  </si>
  <si>
    <t>SARA BORBA DEPIERI</t>
  </si>
  <si>
    <t>44-32491136</t>
  </si>
  <si>
    <t>45-988140716</t>
  </si>
  <si>
    <t>sara.depieri@coagru.com.br</t>
  </si>
  <si>
    <t>VINICIUS BERGAMIN DOBICZ</t>
  </si>
  <si>
    <t>ALEX GABRIEL KASINEI DE OLIVEIRA</t>
  </si>
  <si>
    <t>84.861.145/0003-39</t>
  </si>
  <si>
    <t>BR-158, Rio Bonito do Iguaçu - PR, 85340-000</t>
  </si>
  <si>
    <t>https://maps.app.goo.gl/Pa5R2LDJ7C3vuVVZ7</t>
  </si>
  <si>
    <t>DRAITON DE MENECH</t>
  </si>
  <si>
    <t>42-36531106</t>
  </si>
  <si>
    <t>42-984342041</t>
  </si>
  <si>
    <t>draiton.demenech@coprossel.com.br</t>
  </si>
  <si>
    <t>CÍNTHYA MONIK DE LARA</t>
  </si>
  <si>
    <t>MARIA EDUARDA JORRA DOS SANTOS</t>
  </si>
  <si>
    <t>79.114.450/0135-77</t>
  </si>
  <si>
    <t>Cocamar - Unidade Ourizona, Rua Gleba Ribeirão Condor, s/n, Lote 145/A 1, Ourizona - PR, 87170-000</t>
  </si>
  <si>
    <t>https://maps.app.goo.gl/1ueQhrYkPRxNcHAB8</t>
  </si>
  <si>
    <t>JANETE ROSADA MARQUES</t>
  </si>
  <si>
    <t>44-32781206</t>
  </si>
  <si>
    <t>janete.marques@cocamar.com.br</t>
  </si>
  <si>
    <t>EMILLY FERNANDA HERNANDES DA SILVA</t>
  </si>
  <si>
    <t>75.904.383/0172-88</t>
  </si>
  <si>
    <t>Av. Santos Dumont, 1470 - Zona Urbana, Goioerê - PR, 87360-000</t>
  </si>
  <si>
    <t>https://maps.app.goo.gl/kTkRE5wxp5Lhb5yZ7</t>
  </si>
  <si>
    <t>LEOCIR ANTUNES DE OLIVEIRA</t>
  </si>
  <si>
    <t>44-35228200</t>
  </si>
  <si>
    <t>44-998005144</t>
  </si>
  <si>
    <t>laoliveira@coamo.com.br</t>
  </si>
  <si>
    <t>LEONARDO XAVIER FAGUNDES</t>
  </si>
  <si>
    <t>79.863.569/0027-70</t>
  </si>
  <si>
    <t>Coasul - Entreposto de Rio Bonito do Iguaçu, BR-158, km 18, S/N - Centro, Rio Bonito do Iguaçu - PR, 85340-000</t>
  </si>
  <si>
    <t>https://maps.app.goo.gl/Eua1jmNtBdQsuaMd8</t>
  </si>
  <si>
    <t>DAIANA MAGALI ROMAN</t>
  </si>
  <si>
    <t>46-999042928</t>
  </si>
  <si>
    <t>daiana@coasul.com.br</t>
  </si>
  <si>
    <t>ADRYAN DE MENECH</t>
  </si>
  <si>
    <t>84.861.145/0005-09</t>
  </si>
  <si>
    <t>Campo do Bugre, Rio Bonito do Iguaçu - PR, 85340-000</t>
  </si>
  <si>
    <t>https://maps.app.goo.gl/Q4e5w9yi3ghYfPpN7</t>
  </si>
  <si>
    <t>RODRIGO GUILMAN</t>
  </si>
  <si>
    <t>42-984426702</t>
  </si>
  <si>
    <t>rodrigo.guilman@coprossel.com.br</t>
  </si>
  <si>
    <t>RAFAEL ALBANIO</t>
  </si>
  <si>
    <t>75.904.383/0104-37</t>
  </si>
  <si>
    <t>Coamo - Candói, Rod. BR 373 - km 402 Zona Rural, Candói - PR, 85140-000</t>
  </si>
  <si>
    <t>https://maps.app.goo.gl/aZnpQ7HqeTbUaxMHA</t>
  </si>
  <si>
    <t>JUNIOR CESAR DO NASCIMENTO</t>
  </si>
  <si>
    <t>42-36381133</t>
  </si>
  <si>
    <t>49-998251056</t>
  </si>
  <si>
    <t>juniorcesar@coamo.com.br</t>
  </si>
  <si>
    <t>AGHATA LETICIA BOSIO</t>
  </si>
  <si>
    <t>Terça-feira: 15:30 às 17:30; Quarta-feira: 15:30 às 17:30; Quinta-feira: 15:30 às 17:30; Sexta-feira: 15:30 às 17:30; Sábado: 08:00 às 12:00</t>
  </si>
  <si>
    <t>LARA SOBRAL REGINATO</t>
  </si>
  <si>
    <t>79.114.450/0234-59</t>
  </si>
  <si>
    <t>Cocamar - Unidade Querência do Norte, Av. Pôrto Alegre, 1613 - Querência do Norte, PR, 87930-000</t>
  </si>
  <si>
    <t>https://maps.app.goo.gl/S8z3uDEKfR8KS5Fq8</t>
  </si>
  <si>
    <t>LARISSA DE MORAIS CORREIA BELENTANI</t>
  </si>
  <si>
    <t>44-997213940</t>
  </si>
  <si>
    <t>44-999320874</t>
  </si>
  <si>
    <t>larissa.belentani@cocamar.com.br</t>
  </si>
  <si>
    <t>GABRIEL SCHELEDER DE QUADROS</t>
  </si>
  <si>
    <t>Segunda-feira: 15:30 às 17:30; Terça-feira: 15:30 às 17:30; Quinta-feira: 15:30 às 17:30; Sexta-feira: 15:30 às 17:30; Sábado: 08:00 às 12:00</t>
  </si>
  <si>
    <t>MICHELE APARECIDA DA SILVA</t>
  </si>
  <si>
    <t>75.904.383/0199-06</t>
  </si>
  <si>
    <t>Coamo - Cruzmaltina, Cruzmaltina - PR, 86855-000</t>
  </si>
  <si>
    <t>https://maps.app.goo.gl/jxEmkjftybhwNDAV9</t>
  </si>
  <si>
    <t>ATOS DE LIMA RIBEIRO</t>
  </si>
  <si>
    <t>43-34548000</t>
  </si>
  <si>
    <t>67-92875599</t>
  </si>
  <si>
    <t>alribeiro@coamo.com.br</t>
  </si>
  <si>
    <t>ANA CLARA DA SILVA EBERT</t>
  </si>
  <si>
    <t>84.861.145/0008-43</t>
  </si>
  <si>
    <t>Coprossel Cooperativa de Sementes, Porto Barreiro - PR, 85345-000</t>
  </si>
  <si>
    <t>https://maps.app.goo.gl/6xYxFZNRntatmHdC7</t>
  </si>
  <si>
    <t>REGINA BERNADETE FREDDI</t>
  </si>
  <si>
    <t>42-36611099</t>
  </si>
  <si>
    <t>42-999445064</t>
  </si>
  <si>
    <t>regina.freddi@coprossel.com.br</t>
  </si>
  <si>
    <t>Terça-feira: 15:00 às 17:00; Quarta-feira: 15:00 às 17:00; Quinta-feira: 15:00 às 17:00; Sexta-feira: 15:00 às 17:00; Sábado: 08:00 às 12:00</t>
  </si>
  <si>
    <t>GABRIEL ZANFRILLI SOARES</t>
  </si>
  <si>
    <t>79.114.450/0184-55</t>
  </si>
  <si>
    <t>Cocamar - Unidade Primeiro de Maio, Rod. João Tavares da Silva - Primeiro de Maio, PR, 86140-000</t>
  </si>
  <si>
    <t>https://maps.app.goo.gl/ptYGCue339hq6TARA</t>
  </si>
  <si>
    <t>CARLA FERNANDA FERRO</t>
  </si>
  <si>
    <t>43-36611120</t>
  </si>
  <si>
    <t>43-998203613</t>
  </si>
  <si>
    <t>carla.ferro@cocamar.com.br</t>
  </si>
  <si>
    <t>DANIEL LUCAS DE CASTRO RUBIM</t>
  </si>
  <si>
    <t>79.114.450/0010-56</t>
  </si>
  <si>
    <t>Cocamar - Unidade Floresta, PR-317 Estrada Maringá a Campo Mourão, Lts. 213-B e 214-A, Gleba Ribeirão Caxias - Jardim Cidade Alta, Floresta - PR, 87120-000</t>
  </si>
  <si>
    <t>https://maps.app.goo.gl/U81aTWvW2hkVRqvy6</t>
  </si>
  <si>
    <t>JONATHAN DOS SANTOS BORGES</t>
  </si>
  <si>
    <t>44-991154455</t>
  </si>
  <si>
    <t>jonathan.borges@cocamar.com.br</t>
  </si>
  <si>
    <t>LAURA MULLER</t>
  </si>
  <si>
    <t>79.863.569/0003-00</t>
  </si>
  <si>
    <t>R. Santos Dumont, 170-344 - São Jorge d'Oeste, PR, 85575-000</t>
  </si>
  <si>
    <t>https://maps.app.goo.gl/c4CW1YRPu7D6cSSj9</t>
  </si>
  <si>
    <t>GESSICA CRISTINA ZUCHI DE O PANASOLO</t>
  </si>
  <si>
    <t>46-999811948</t>
  </si>
  <si>
    <t>Gessicazuki@gmail.com</t>
  </si>
  <si>
    <t>VINICIUS VICENTINI DO REGO</t>
  </si>
  <si>
    <t>79.114.450/0015-60</t>
  </si>
  <si>
    <t>Cocamar - Unidade Altônia, Rod. Antônio Castro Lima (Saída para Iporã - Zona Rural, Altônia - PR, 87550-000</t>
  </si>
  <si>
    <t>https://maps.app.goo.gl/RLS8uju5BXbDH7b1A</t>
  </si>
  <si>
    <t>GRACIELI VIEIRA DA FONSECA</t>
  </si>
  <si>
    <t>44-32213007</t>
  </si>
  <si>
    <t>67-996165688</t>
  </si>
  <si>
    <t>gracieli.fonseca@cocamar.com.br</t>
  </si>
  <si>
    <t>RAFAEL BONATTI DA SILVA</t>
  </si>
  <si>
    <t>MARIANA VILATORO DA SILVA</t>
  </si>
  <si>
    <t>EDUARDO DAS NEVES RICKEN</t>
  </si>
  <si>
    <t>75.904.383/0125-61</t>
  </si>
  <si>
    <t>COAMO Manoel Ribas, Unnamed Road, 85260-000, Manoel Ribas - PR</t>
  </si>
  <si>
    <t>https://maps.app.goo.gl/H7HX72WqxbbTV5ySA</t>
  </si>
  <si>
    <t>SELMAR OLIVESKI SCHENKEL</t>
  </si>
  <si>
    <t>43-34351261</t>
  </si>
  <si>
    <t>43-999555522</t>
  </si>
  <si>
    <t>sschenkel@coamo.com.br</t>
  </si>
  <si>
    <t>MARIA LUIZA FIGUEIRÓ TEIXEIRA</t>
  </si>
  <si>
    <t>75.904.383/0027-60</t>
  </si>
  <si>
    <t>Coamo unidade Mangueirinha III - Mangueirinha, PR, 85540-000</t>
  </si>
  <si>
    <t xml:space="preserve">https://maps.app.goo.gl/omYWYixWayd1TuWW6 </t>
  </si>
  <si>
    <t>SILVIO SMUCZEK DE PAULA</t>
  </si>
  <si>
    <t>46-32431292</t>
  </si>
  <si>
    <t>42-999200781</t>
  </si>
  <si>
    <t>spaula@coamo.com.br</t>
  </si>
  <si>
    <t>PAULO EDUARDO DA SILVA</t>
  </si>
  <si>
    <t>79.114.450/0044-03</t>
  </si>
  <si>
    <t>Cocamar - Unidade Terra Boa, Rodovia PR 082 s/n, Terra Boa - PR, 87240-000</t>
  </si>
  <si>
    <t>https://maps.app.goo.gl/APj2DVmCKYtY6prv7</t>
  </si>
  <si>
    <t>LILIAN POLIZEL</t>
  </si>
  <si>
    <t>44-36411155</t>
  </si>
  <si>
    <t>44-999710743</t>
  </si>
  <si>
    <t>lilian.polizel@cocamar.com.br</t>
  </si>
  <si>
    <t>ARTHUR GUILHERME DORINI DOS SANTOS</t>
  </si>
  <si>
    <t>75.904.383/0015-27</t>
  </si>
  <si>
    <t>Coamo Mangueirinha - Mangueirinha, PR, 85540-000</t>
  </si>
  <si>
    <t>https://maps.app.goo.gl/HaeHR6KGBYkeoqwq6</t>
  </si>
  <si>
    <t>HENRIQUE SHINDI KAGIMURA</t>
  </si>
  <si>
    <t>46-988009823</t>
  </si>
  <si>
    <t>hskagimura@coamo.com.br</t>
  </si>
  <si>
    <t>VITÓRIA ELEUTÉRIO COGENEVSKI</t>
  </si>
  <si>
    <t>79.863.569/0057-95</t>
  </si>
  <si>
    <t>Coasul - Entreposto Quedas do Iguaçu, EST LINHA IGUAÇU Interior, Quedas do Iguaçu - PR, 85460-000</t>
  </si>
  <si>
    <t>https://maps.app.goo.gl/tv5aVyCnbK6NQ34H8</t>
  </si>
  <si>
    <t>MARCOS FRANCISCO DE ALMEIDA</t>
  </si>
  <si>
    <t>62-58826954</t>
  </si>
  <si>
    <t>marcos.almeida@coasul.com.br</t>
  </si>
  <si>
    <t>EDUARDO HENRIQUE CORREIA DORBERTO</t>
  </si>
  <si>
    <t>79.863.569/0016-17</t>
  </si>
  <si>
    <t>Coasul - Entreposto de Saudade do Iguaçu, BR 158 - Rodovia, Saudade do Iguaçu - PR, 85568-000</t>
  </si>
  <si>
    <t>https://maps.app.goo.gl/8ooj369UfZ7yjZPh8</t>
  </si>
  <si>
    <t>GELSON CARLOS XAVIER</t>
  </si>
  <si>
    <t>46-991211072</t>
  </si>
  <si>
    <t>xavier@coasul.com.br</t>
  </si>
  <si>
    <t>Segunda-feira: 15:30 às 17:30; Terça-feira: 15:30 às 17:30; Quarta-feira: 15:30 às 17:30; Quinta-feira: 15:30 às 17:30; Sexta-feira: 15:30 às 17:30</t>
  </si>
  <si>
    <t>MIGUEL VINÍCIUS IZIDRO PICOLOTO</t>
  </si>
  <si>
    <t>79.114.450/0163-20</t>
  </si>
  <si>
    <t>Cocamar - Unidade Sertaneja, PR-160, 35 - Sertaneja, PR, 86340-000</t>
  </si>
  <si>
    <t>https://maps.app.goo.gl/6qgHt4JwjysVp2hc9</t>
  </si>
  <si>
    <t>FLÁVIA CRISTINA DE OLIVEIRA</t>
  </si>
  <si>
    <t>43-35621087</t>
  </si>
  <si>
    <t>43-991420335</t>
  </si>
  <si>
    <t>flavia.oliveira@cocamar.com.br</t>
  </si>
  <si>
    <t>BRUNNO GATELLI DE OLIVEIRA</t>
  </si>
  <si>
    <t>84.861.145/0012-20</t>
  </si>
  <si>
    <t>COPROSSEL NOVA LARANJEIRAS, MFQ2+99 - Nova Laranjeiras, PR, 85350-000</t>
  </si>
  <si>
    <t>https://maps.app.goo.gl/MprcXusdDf93fMqF8</t>
  </si>
  <si>
    <t>JOICE ANDREIA PSZEBISZESKI</t>
  </si>
  <si>
    <t>42-999409832</t>
  </si>
  <si>
    <t>joice.andreia@coprossel.com.br</t>
  </si>
  <si>
    <t>Segunda-feira: 15:00 às 17:00; Terça-feira: 15:00 às 17:00; Quarta-feira: 15:00 às 17:00; Quinta-feira: 15:00 às 17:00; Sexta-feira: 15:00 às 17:00</t>
  </si>
  <si>
    <t>SABRINA NESELLO</t>
  </si>
  <si>
    <t>79.863.569/0065-03</t>
  </si>
  <si>
    <t>Coasul entreposto Tres Barras do Parana, Linha Rosario do Oeste, Três Barras do Paraná - PR, 85485-000</t>
  </si>
  <si>
    <t>https://maps.app.goo.gl/2Acjm7nwMW9nka6d7</t>
  </si>
  <si>
    <t>EMERSON OGLIARI</t>
  </si>
  <si>
    <t>46-984001319</t>
  </si>
  <si>
    <t>emerson.ogliari@coasul.com.br</t>
  </si>
  <si>
    <t>AMANDA RITHIELLE OLIVEIRA</t>
  </si>
  <si>
    <t>84.861.145/0002-58</t>
  </si>
  <si>
    <t>Coprossel Cooperativa, Av. Santos Dumont, 5235 - Parque Industrial, Laranjeiras do Sul - PR, 85303-140</t>
  </si>
  <si>
    <t>https://maps.app.goo.gl/z219tyUGnrxbeade6</t>
  </si>
  <si>
    <t>LEILA CRISTIANE BRECHMZ DAMAZIO</t>
  </si>
  <si>
    <t>42-999901453</t>
  </si>
  <si>
    <t>leila.brechmz@coprossel.com.br</t>
  </si>
  <si>
    <t>MURILO BALDISSERA</t>
  </si>
  <si>
    <t>79.863.569/0006-45</t>
  </si>
  <si>
    <t>Coasul - Entreposto de Sulina, Rua Comendador Araújo - Centro, Sulina - PR, 85565-000</t>
  </si>
  <si>
    <t>https://maps.app.goo.gl/85soGe2nBbMgsWi39</t>
  </si>
  <si>
    <t>MARCIO ROBERTO KLASSEN</t>
  </si>
  <si>
    <t>46-984070510</t>
  </si>
  <si>
    <t>klassen@coasul.com.br</t>
  </si>
  <si>
    <t>MAISA BEGNINE DELAZZARI</t>
  </si>
  <si>
    <t>79.863.569/0036-60</t>
  </si>
  <si>
    <t>Coasul - Entreposto de Boa Esperança do Iguaçu, Rua dos Ipes, SN, - Centro, Boa Esperança do Iguaçu - PR, 85680-000</t>
  </si>
  <si>
    <t>https://maps.app.goo.gl/nzqP81KiuQKxpqSC8</t>
  </si>
  <si>
    <t>LEOMAR GONCALVES</t>
  </si>
  <si>
    <t>46-999367156</t>
  </si>
  <si>
    <t>leomar.goncalves@coasul.com.br</t>
  </si>
  <si>
    <t>KELLIN GIOVANA FERREIRA DE JESUS</t>
  </si>
  <si>
    <t>79.863.569/0031-56</t>
  </si>
  <si>
    <t>Coasul - Entreposto de Cruzeiro do Iguaçu, Rua Pedro Fialkoski, 990 - Centro, Cruzeiro do Iguaçu - PR, 85598-000</t>
  </si>
  <si>
    <t>https://maps.app.goo.gl/bkw8h6M5HKYM2NBd8</t>
  </si>
  <si>
    <t>CRISTIANE HELFENSTEIN BOARETTO</t>
  </si>
  <si>
    <t>46-35362567</t>
  </si>
  <si>
    <t>cristiane@coasul.com.br</t>
  </si>
  <si>
    <t>ARTHUR COSTA FANTINELLI</t>
  </si>
  <si>
    <t>00.993.264/0058-29</t>
  </si>
  <si>
    <t>Av. Tsuneto Matsubara, 500, Cambará - PR, 86390-000</t>
  </si>
  <si>
    <t>https://maps.app.goo.gl/xCdgv7BH89UsQgx36</t>
  </si>
  <si>
    <t>LUIZ CARLOS SACOMAN</t>
  </si>
  <si>
    <t>43-31424938</t>
  </si>
  <si>
    <t>42-920003614</t>
  </si>
  <si>
    <t>luiz.sacoman@integrada.coop.br</t>
  </si>
  <si>
    <t>THAINÁ SOUSA FERNANDES DE JESUS</t>
  </si>
  <si>
    <t>MAISA ZANISKOSKI</t>
  </si>
  <si>
    <t>79.863.569/0012-93</t>
  </si>
  <si>
    <t>Supermercado Coasul, Rua Comendador Araújo, S/N - Centro, Sulina - PR, 85565-000</t>
  </si>
  <si>
    <t>https://maps.app.goo.gl/AynniHo76fc8owfMA</t>
  </si>
  <si>
    <t>KAUÃ MANOEL MELLUZZI MENDONÇA</t>
  </si>
  <si>
    <t>79.114.450/0045-86</t>
  </si>
  <si>
    <t>Cocamar - Unidade Japurá, 87225-000, Japurá - PR, 87225-000</t>
  </si>
  <si>
    <t>https://maps.app.goo.gl/DNLU3rSC6T6gpw7BA</t>
  </si>
  <si>
    <t>LIDIA ALVES FERREIRA SERAPHINI</t>
  </si>
  <si>
    <t>44-36358050</t>
  </si>
  <si>
    <t>44-999231518</t>
  </si>
  <si>
    <t>lidia.ferreira@cocamar.com.br</t>
  </si>
  <si>
    <t>RUAN KENEDY MELO BATISTA</t>
  </si>
  <si>
    <t>75.904.383/0074-87</t>
  </si>
  <si>
    <t>Coamo Agroindutrial Cooperativa, Estrada Pioneira, PR-586, S/N, São Pedro do Iguaçu - PR, 85929-000</t>
  </si>
  <si>
    <t>https://maps.app.goo.gl/5hugU4vvH4tYz8sc6</t>
  </si>
  <si>
    <t>AUDINO DA CRUZ</t>
  </si>
  <si>
    <t>45-32551144</t>
  </si>
  <si>
    <t>44-999668271</t>
  </si>
  <si>
    <t>acruz@coamo.com.br</t>
  </si>
  <si>
    <t>HENRIQUE DE SOUSA SILVA</t>
  </si>
  <si>
    <t>00.993.264/0016-70</t>
  </si>
  <si>
    <t>Av. Santos Dumont, 2000, Goioerê - PR, 87360-000</t>
  </si>
  <si>
    <t>https://maps.app.goo.gl/EDy8t4EiKHYLVk1s9</t>
  </si>
  <si>
    <t>NIVALDO APARECIDO JORDÃO</t>
  </si>
  <si>
    <t>44-35218800</t>
  </si>
  <si>
    <t>44-999939710</t>
  </si>
  <si>
    <t>nivaldo.jordao@integrada.coop.br</t>
  </si>
  <si>
    <t>CLEICIANE CUSTÓDIO DA SILVA</t>
  </si>
  <si>
    <t>PEDRO LUCAS MATOS JUNKE</t>
  </si>
  <si>
    <t>75.904.383/0169-82</t>
  </si>
  <si>
    <t>Coamo Agroindustrial Cooperativa, Pedro Alves - Avenida Brasília, 220 - Parque Industrial, Mariluz - PR, 87470-000</t>
  </si>
  <si>
    <t>https://maps.app.goo.gl/N6w6rEQn2f92FmxN6</t>
  </si>
  <si>
    <t>EDILSON DE OLIVEIRA CHAGAS</t>
  </si>
  <si>
    <t>44-35342367</t>
  </si>
  <si>
    <t>43-999116091</t>
  </si>
  <si>
    <t>echagas@coamo.com.br</t>
  </si>
  <si>
    <t>LUANA YASMIN EVARISTO</t>
  </si>
  <si>
    <t>00.993.264/0030-28</t>
  </si>
  <si>
    <t>Integrada Cooperativa Agroindustrial - Regional Uraí, R. Henrique Brusaini, S/N - Uraí, PR, 85445-000</t>
  </si>
  <si>
    <t>https://maps.app.goo.gl/QUJuwNx99XJY31AJ7</t>
  </si>
  <si>
    <t>CLAUDEMIR PEREIRA DOS SANTOS</t>
  </si>
  <si>
    <t>43-35411292</t>
  </si>
  <si>
    <t>43-999768337</t>
  </si>
  <si>
    <t>claudemir.santos@integrada.coop.br</t>
  </si>
  <si>
    <t>ROBERT WILLIAN DOS SANTOS ALVES</t>
  </si>
  <si>
    <t>00.993.264/0034-51</t>
  </si>
  <si>
    <t>Integrada Cooperativa Agroindustrial - UR Quarto Centenário, Zona Rural, 0,3, PR-317, Quarto Centenário - PR, 86220-000</t>
  </si>
  <si>
    <t>https://maps.app.goo.gl/rBfjzYc1S4jMMJ3TA</t>
  </si>
  <si>
    <t>FÁBIO PINTO DE LIMA</t>
  </si>
  <si>
    <t>44-35461500</t>
  </si>
  <si>
    <t>44-997454619</t>
  </si>
  <si>
    <t>fabio.lima@integrada.coop.br</t>
  </si>
  <si>
    <t>NICOLI BORGES DA CRUZ</t>
  </si>
  <si>
    <t>79.114.450/0137-39</t>
  </si>
  <si>
    <t>Cocamar - Unidade Tuneiras do Oeste, PR-479, s/n - Tuneiras do Oeste, PR, 87450-000</t>
  </si>
  <si>
    <t>https://maps.app.goo.gl/py972yUDgj9X6pzn7</t>
  </si>
  <si>
    <t>BRUNA DA SILVA ARAUJO</t>
  </si>
  <si>
    <t>44-36531392</t>
  </si>
  <si>
    <t>44-999746699</t>
  </si>
  <si>
    <t>bruna.araujo@cocamar.com.br</t>
  </si>
  <si>
    <t>BIANCA GABRIEL RUZYCKI</t>
  </si>
  <si>
    <t>79.863.569/0030-75</t>
  </si>
  <si>
    <t>R. Passo Fundo, 360 - Da Cooperativa, Salto do Lontra - PR, 85670-000</t>
  </si>
  <si>
    <t>https://maps.app.goo.gl/gVxxUXYpuJKqccSs5</t>
  </si>
  <si>
    <t>LELINA MARIA COMIRAN ROSA</t>
  </si>
  <si>
    <t>46-991161808</t>
  </si>
  <si>
    <t>lelina@coasul.com.br</t>
  </si>
  <si>
    <t>ANA CLARA DE SOUZA LEAL</t>
  </si>
  <si>
    <t>00.993.264/0043-42</t>
  </si>
  <si>
    <t>Integrada Cooperativa Agroindustrial - UR Santa Amélia II, Av. Carlírio Gomes dos Santos, 790 - CENTRO, Santa Amélia - PR, 86360-000</t>
  </si>
  <si>
    <t>https://maps.app.goo.gl/Cdtgz71MdA5uo9Jj8</t>
  </si>
  <si>
    <t>NATALIA LETICIA DE OLIVEIRA</t>
  </si>
  <si>
    <t>43-984610036</t>
  </si>
  <si>
    <t>natalia.oliveira@integrada.coop.br</t>
  </si>
  <si>
    <t>GABRIELA BONTORIN DA SILVA</t>
  </si>
  <si>
    <t>79.114.450/0165-92</t>
  </si>
  <si>
    <t>Cocamar - Unidade Rancho Alegre, Rua São Paulo, s / nº CentroCentro, Rancho Alegre - PR, 86290-000</t>
  </si>
  <si>
    <t>https://maps.app.goo.gl/63fWM2vT8XvXshoG7</t>
  </si>
  <si>
    <t>LAIS CRISTINE FRANCO FERREIRA PRADO</t>
  </si>
  <si>
    <t>43-35401401</t>
  </si>
  <si>
    <t>43-991430570</t>
  </si>
  <si>
    <t>lais.prado@cocamar.com.br</t>
  </si>
  <si>
    <t>PAULO HENRIQUE SILVA NEVES</t>
  </si>
  <si>
    <t>APRENDIZAGEM PROFISSIONAL DE QUALIFICAÇÃO EM SERVIÇOS DE VENDAS 4.0</t>
  </si>
  <si>
    <t>TRANSPORTADORA BLUM LTDA</t>
  </si>
  <si>
    <t>77.714.988/0001-85</t>
  </si>
  <si>
    <t>R. XV de Novembro, 01, Ipiranga - PR, 84450-000</t>
  </si>
  <si>
    <t>https://maps.app.goo.gl/NS4hHZ6TkjbiLEzJ6</t>
  </si>
  <si>
    <t>Caroline Meira Pusk</t>
  </si>
  <si>
    <t>42-988349486</t>
  </si>
  <si>
    <t>carol@distribuidorablum.com.br</t>
  </si>
  <si>
    <t>KAUAN VIEIRA TIMOTEO</t>
  </si>
  <si>
    <t>LOJAS QUERO-QUERO SA</t>
  </si>
  <si>
    <t>96.418.264/0656-99</t>
  </si>
  <si>
    <t>Lojas Quero-Quero: Materiais de Construção em Imbaú, PR, Av. Ivo Jangada, 488, Imbaú - PR, 84250-000</t>
  </si>
  <si>
    <t>https://maps.app.goo.gl/2t2yriroFEUYFQwbA</t>
  </si>
  <si>
    <t xml:space="preserve">OSMAR GUINMÃES </t>
  </si>
  <si>
    <t>42 9800-7970</t>
  </si>
  <si>
    <t>TEDLY CHARLES</t>
  </si>
  <si>
    <t>APRENDIZAGEM PROFISSIONAL DE QUALIFICAÇÃO EM SERVIÇOS DE SUPERMERCADOS 4.0</t>
  </si>
  <si>
    <t>IRMÃOS MUFFATO SA</t>
  </si>
  <si>
    <t>76.430.438/0114-59</t>
  </si>
  <si>
    <t>Av. Leopoldina, 1005, Cianorte - PR</t>
  </si>
  <si>
    <t>https://maps.app.goo.gl/GR6JMNGBeKqL5JZu6</t>
  </si>
  <si>
    <t>Sergio Samir Saptista</t>
  </si>
  <si>
    <t>43-998382493</t>
  </si>
  <si>
    <t>gerencia.114@muffatomax.com.br</t>
  </si>
  <si>
    <t>Segunda-feira: 16:00 às 18:00; Terça-feira: 16:00 às 18:00; Quarta-feira: 16:00 às 18:00; Quinta-feira: 16:00 às 18:00; Sexta-feira: 14:00 às 18:00;</t>
  </si>
  <si>
    <t>JOÃO PAULO CORREIA DE LIMA</t>
  </si>
  <si>
    <t>SUPERMERCADO MANFRON EIRELI</t>
  </si>
  <si>
    <t>01.632.317/0001-03</t>
  </si>
  <si>
    <t>R. Rio Branco, 85 - Ivaí, PR, 84460-000</t>
  </si>
  <si>
    <t>https://maps.app.goo.gl/RyDrqM6ADinybSWLA</t>
  </si>
  <si>
    <t>Vanessa Kometz</t>
  </si>
  <si>
    <t>42 9904-8989</t>
  </si>
  <si>
    <t>42-991280158</t>
  </si>
  <si>
    <t>gpeveraldomanfron@yahoo.com.br</t>
  </si>
  <si>
    <t>MARIA EDUARDA DE LIMA FRANCO</t>
  </si>
  <si>
    <t>96.418.264/0415-95</t>
  </si>
  <si>
    <t>Lojas Quero-Quero: Materiais de Construção em Itapejara d'Oeste PR, Av. Manoel Ribas, 1285 - Centro, Itapejara d'Oeste - PR, 85580-000</t>
  </si>
  <si>
    <t>https://maps.app.goo.gl/3RJRfTMcvxVJ7Zdd7</t>
  </si>
  <si>
    <t>JOSE BETELLI</t>
  </si>
  <si>
    <t>42-999471418</t>
  </si>
  <si>
    <t>ger396@quero-quero.com.br</t>
  </si>
  <si>
    <t xml:space="preserve">NÃO REALIZADA DEVIDO AO TÉRMINO DE CONTRATO </t>
  </si>
  <si>
    <t xml:space="preserve">NÃO SERÁ REALIZADA </t>
  </si>
  <si>
    <t>FLAVIA CHICOVIS LASKA</t>
  </si>
  <si>
    <t>96.418.264/0625-92</t>
  </si>
  <si>
    <t>Lojas Quero-Quero: Materiais de Construção em Tijucas do Sul PR, R. Quinze de Novembro, 1268 - Centro, Tijucas do Sul - PR, 83190-000</t>
  </si>
  <si>
    <t>https://maps.app.goo.gl/WeL6f6pR4ozzTYf49</t>
  </si>
  <si>
    <t>JANAINE VIEIRA DA MAIA</t>
  </si>
  <si>
    <t>41-999376964</t>
  </si>
  <si>
    <t>adm609@quero-quero.com.br</t>
  </si>
  <si>
    <t>BIANCA GONÇALVES DE SOUZA</t>
  </si>
  <si>
    <t>SERGIO SAMIR SAPTISTA</t>
  </si>
  <si>
    <t>GABRIELLY LUNA MORAIS</t>
  </si>
  <si>
    <t>HELOISA DE SOUZA ANDRADE</t>
  </si>
  <si>
    <t>KETLIN VITORIA DA SILVA ALVES</t>
  </si>
  <si>
    <t>LUCAS AURELIO FRANZONI FERNANDES</t>
  </si>
  <si>
    <t>MARIA EDUARDA DE OLIVEIRA</t>
  </si>
  <si>
    <t>96.418.264/0548-16</t>
  </si>
  <si>
    <t>Av. Pres. Castelo Branco, 224 - Terra Roxa, PR, 85990-000</t>
  </si>
  <si>
    <t>https://maps.app.goo.gl/zQDqqiu24xiYKJSWA</t>
  </si>
  <si>
    <t>CLEBER CORREIA DA SILVA</t>
  </si>
  <si>
    <t>44-988210774</t>
  </si>
  <si>
    <t>ger530@quero-quero.com.br</t>
  </si>
  <si>
    <t>INGRID BARBOSA DOS SANTOS</t>
  </si>
  <si>
    <t>J MARTINS SUPERMERCADOS PLANALTO LTDA</t>
  </si>
  <si>
    <t>76.361.807/0007-07</t>
  </si>
  <si>
    <t>Av. Raul Barbosa Dias, 720 - Icaraíma, PR, 87530-000</t>
  </si>
  <si>
    <t>https://maps.app.goo.gl/8tQVcSYcUmLDRCF18</t>
  </si>
  <si>
    <t>SILAS VAZ BEZERRA</t>
  </si>
  <si>
    <t>44-36651394</t>
  </si>
  <si>
    <t>44-997037652</t>
  </si>
  <si>
    <t>GERENCIAICARAIMA@MERCADOPLANALTO.COM.BR</t>
  </si>
  <si>
    <t>Segunda-feira: 16:00 às 18:00; Terça-feira: 16:00 às 18:00; Quarta-feira: 16:00 às 18:00; Quinta-feira: 16:00 às 18:00; Sexta-feira: 14:00 às 18:00</t>
  </si>
  <si>
    <t>GUSTAVO HENRIQUE DE ALMEIDA</t>
  </si>
  <si>
    <t>96.418.264/0663-18</t>
  </si>
  <si>
    <t>Lojas Quero-Quero: Materiais de Construção em Congonhinhas, PR, Av. Manoel Ribas, 346 - Congonhinhas, PR, 86320-000</t>
  </si>
  <si>
    <t>https://maps.app.goo.gl/dajv1EKdTEWn2NT8A</t>
  </si>
  <si>
    <t>DANIELE RIBEIRO DOS SANTOS</t>
  </si>
  <si>
    <t>43-988098204</t>
  </si>
  <si>
    <t>ger647@quero-quero.com.br</t>
  </si>
  <si>
    <t>DAVI FERNANDO FAGUNDES DE OLIVEIRA</t>
  </si>
  <si>
    <t>96.418.264/0487-60</t>
  </si>
  <si>
    <t>R. Almeida Taques, 333 - Centro, Tibagi - PR, 84300-000</t>
  </si>
  <si>
    <t>https://maps.app.goo.gl/WicNsoYZyXHbbCyH9</t>
  </si>
  <si>
    <t>LAURO</t>
  </si>
  <si>
    <t>41-998605632</t>
  </si>
  <si>
    <t>ger471@quero-quero.com.br</t>
  </si>
  <si>
    <t>Segunda-feira: 15:00 às 17:00; Terça-feira: 15:00 às 17:00; Quarta-feira: 15:00 às 17:00; Sexta-feira: 15:00 às 17:00; Sábado: 08:00 às 12:00</t>
  </si>
  <si>
    <t>https://maps.app.goo.gl/S9jcnDQXiGPjY3ms5</t>
  </si>
  <si>
    <t>FERNANDA APARECIDA GROSS PERARDT</t>
  </si>
  <si>
    <t>96.418.264/0657-70</t>
  </si>
  <si>
    <t>R. Concórdia, 416 - São Jorge d'Oeste, PR, 85575-000</t>
  </si>
  <si>
    <t>https://maps.app.goo.gl/N38uTc811K7qWeEX6</t>
  </si>
  <si>
    <t>RAFAEL GRAEBIN</t>
  </si>
  <si>
    <t>46-991416955</t>
  </si>
  <si>
    <t>46-999214474</t>
  </si>
  <si>
    <t>ger641@quero-quero.com.br</t>
  </si>
  <si>
    <t>LARISSA DE MATTOS BARZON</t>
  </si>
  <si>
    <t>Silas Vaz Bezerra</t>
  </si>
  <si>
    <t>MATHEUS ZUBACZ</t>
  </si>
  <si>
    <t>LEONARDO REINA DA SILVA</t>
  </si>
  <si>
    <t>GABRIEL RIBEIRO COSTA</t>
  </si>
  <si>
    <t>Bavaresco Atacado Ltda</t>
  </si>
  <si>
    <t>28.256.859/0002-66</t>
  </si>
  <si>
    <t>Rua 31 de Outubro, 111, Centro, Morretes, PR - Tarde</t>
  </si>
  <si>
    <t>https://maps.app.goo.gl/Ww6baf93B82iLTC96</t>
  </si>
  <si>
    <t>Priscila Gimenes Pereira</t>
  </si>
  <si>
    <t>41-34622880</t>
  </si>
  <si>
    <t>adm.morretes@supermercadosbavaresco.com.br</t>
  </si>
  <si>
    <t>Segunda-feira: 14:00 às 16:00; Terça-feira: 14:00 às 16:00; Quarta-feira: 14:00 às 16:00; Quinta-feira: 14:00 às 16:00; Sexta-feira: 14:00 às 18:00</t>
  </si>
  <si>
    <t xml:space="preserve">Não estava na empresa </t>
  </si>
  <si>
    <t>JOÃO ÁLVARO NÉPPEL</t>
  </si>
  <si>
    <t>SUPERMERCADOS BAVARESCO LTDA</t>
  </si>
  <si>
    <t>01.472.861/0007-20</t>
  </si>
  <si>
    <t>Rod. Eng. Argus Thá Heyn, 407 - Praia de Leste, Pontal do Paraná - PR, 83255-000</t>
  </si>
  <si>
    <t>https://maps.app.goo.gl/gHQ8GX9RemRKyqDx8</t>
  </si>
  <si>
    <t>MARCEL LEANDRO PRESTES</t>
  </si>
  <si>
    <t>41-34583961</t>
  </si>
  <si>
    <t>admpraialeste@supermercadosbavaresco.com.br</t>
  </si>
  <si>
    <t>LIVYA FIGUEIREDO OLIVEIRA</t>
  </si>
  <si>
    <t>MATEUS PAROLIN SENS</t>
  </si>
  <si>
    <t>96.418.264/0473-64</t>
  </si>
  <si>
    <t>Lojas Quero-Quero: Materiais de Construção em Capitão Leônidas Marques PR, Av. Iguaçu, 457 - Centro, Cap. Leônidas Marques - PR, 85790-000</t>
  </si>
  <si>
    <t>https://maps.app.goo.gl/VAynSkaL3uj2Xwta6</t>
  </si>
  <si>
    <t>KARINE KOEPSEL PICOLO MARIN</t>
  </si>
  <si>
    <t>45-32867550</t>
  </si>
  <si>
    <t>46-988116702</t>
  </si>
  <si>
    <t>ger458@quero-quero.com.br</t>
  </si>
  <si>
    <t>MARIA EDUARDA DA ROCHA</t>
  </si>
  <si>
    <t>96.418.264/0515-58</t>
  </si>
  <si>
    <t>R. Santa Catarina, 1605 - Centro, Nova Laranjeiras - PR, 85350-000</t>
  </si>
  <si>
    <t>https://maps.app.goo.gl/omVtZ5PTru86V4cG8</t>
  </si>
  <si>
    <t>RENAN FONTANA</t>
  </si>
  <si>
    <t>42-999800482</t>
  </si>
  <si>
    <t>fontanarenan17@gmail.com</t>
  </si>
  <si>
    <t>HELLEN MOTA</t>
  </si>
  <si>
    <t>96.418.264/0580-56</t>
  </si>
  <si>
    <t>Lojas Quero-Quero: Materiais de Construção em Assaí PR, Av. Rio de Janeiro, 510 - Centro, Assaí - PR, 86220-000</t>
  </si>
  <si>
    <t>https://maps.app.goo.gl/EfEATnoCuXodbWqz5</t>
  </si>
  <si>
    <t>PALOMA SOARES PEIXOTO</t>
  </si>
  <si>
    <t>43-996836145</t>
  </si>
  <si>
    <t>ger564@quero-quero.com.br</t>
  </si>
  <si>
    <t>LUIZ GUILHERME KANARSKI</t>
  </si>
  <si>
    <t>GIACOMEL E BERTUOL LTDA</t>
  </si>
  <si>
    <t>77.984.201/0001-03</t>
  </si>
  <si>
    <t>Av. Abilon de Souza Naves, 545 - Centro, Guaraniaçu - PR, 85400-000</t>
  </si>
  <si>
    <t>https://maps.app.goo.gl/hDDusMkpfbjJiu3W6</t>
  </si>
  <si>
    <t>DEBORA KARINA DOS SANTOS</t>
  </si>
  <si>
    <t>45-998359261</t>
  </si>
  <si>
    <t>pontocertorhgcu@gmail.com</t>
  </si>
  <si>
    <t>Segunda-feira: 16:00 às 18:00; Quarta-feira: 16:00 às 18:00; Quinta-feira: 16:00 às 18:00; Sexta-feira: 16:00 às 18:00; Sábado: 08:00 às 12:00</t>
  </si>
  <si>
    <t>MAILON JALASKO DE LIMA</t>
  </si>
  <si>
    <t>Debora Karina dos Santos</t>
  </si>
  <si>
    <t>Terça-feira: 10:00 às 12:00; Quarta-feira: 10:00 às 12:00; Quinta-feira: 10:00 às 12:00; Sexta-feira: 10:00 às 12:00; Sábado: 08:00 às 12:00</t>
  </si>
  <si>
    <t>SABRINA MIRANDA FABRICIO</t>
  </si>
  <si>
    <t>Segunda-feira: 10:00 às 12:00; Quarta-feira: 10:00 às 12:00; Quinta-feira: 10:00 às 12:00; Sexta-feira: 10:00 às 12:00; Sábado: 08:00 às 12:00</t>
  </si>
  <si>
    <t>MARIANA PRODOSIMO LIBERATO</t>
  </si>
  <si>
    <t>96.418.264/0630-50</t>
  </si>
  <si>
    <t>Av. Pres. Castelo Branco, 80 - Centro, Tupãssi - PR, 85945-000</t>
  </si>
  <si>
    <t>https://maps.app.goo.gl/zAuayaCZ1ery8mrc9</t>
  </si>
  <si>
    <t>WILLIAN ZAMPARONI JACINTO</t>
  </si>
  <si>
    <t>44-998218816</t>
  </si>
  <si>
    <t>willian.zamparoni10@gmail.com</t>
  </si>
  <si>
    <t>SABRINA FERREIRA CELEGUIM</t>
  </si>
  <si>
    <t>96.418.264/0659-31</t>
  </si>
  <si>
    <t>Praça Santos Dumont, 142, Terra Boa - PR, 87240-000</t>
  </si>
  <si>
    <t>https://maps.app.goo.gl/KwmAEu4AANQgFAWS8</t>
  </si>
  <si>
    <t>MAYKE DOUGLAS CAETANO</t>
  </si>
  <si>
    <t>44-991696535</t>
  </si>
  <si>
    <t>ger643@quero-quero.com</t>
  </si>
  <si>
    <t>Segunda-feira: 15:30 às 17:30; Terça-feira: 15:30 às 17:30; Quarta-feira: 15:30 às 17:30; Sexta-feira: 15:30 às 17:30; Sábado: 08:30 às 12:30</t>
  </si>
  <si>
    <t>YASMIN TEIXEIRA DE OLIVEIRA</t>
  </si>
  <si>
    <t>96.418.264/0665-80</t>
  </si>
  <si>
    <t>R. Heitor Safraider, 878 - Rio Bonito do Iguaçu, PR, 85340-000</t>
  </si>
  <si>
    <t>https://maps.app.goo.gl/LGg9iEyxGgGopqz59</t>
  </si>
  <si>
    <t>ALEXSANDER BALTAZAR</t>
  </si>
  <si>
    <t>42-999566729</t>
  </si>
  <si>
    <t>ger648@quero-quero.com.br</t>
  </si>
  <si>
    <t>LUIZ FELIPE DA SILVA</t>
  </si>
  <si>
    <t>96.418.264/0606-20</t>
  </si>
  <si>
    <t>Av. Getúlio Vargas, 49 - Centro, Califórnia - PR, 86820-000</t>
  </si>
  <si>
    <t>https://maps.app.goo.gl/naVdFXrwWSS7ixqZ6</t>
  </si>
  <si>
    <t>ADRIANA BURSOI MARQUES</t>
  </si>
  <si>
    <t>43-991376773</t>
  </si>
  <si>
    <t>ger590@quero-quero.com.br</t>
  </si>
  <si>
    <t xml:space="preserve">TÉRMINO DE CONTRATO </t>
  </si>
  <si>
    <t>05.593.000/0018-04</t>
  </si>
  <si>
    <t xml:space="preserve">JANETE PASCOALINA DA SILVA / Eduardo Martines </t>
  </si>
  <si>
    <t>41991797441 / 41 9270-7524</t>
  </si>
  <si>
    <t>dp@gruporioverde.com.br / Loja.020@gruporioverde.com.br</t>
  </si>
  <si>
    <t>AFASTAMENTO</t>
  </si>
  <si>
    <t xml:space="preserve">AFASTAMENTO </t>
  </si>
  <si>
    <t xml:space="preserve">AFASTAMENTO POR GRAVIDEZ </t>
  </si>
  <si>
    <t xml:space="preserve">EDUARDO FELIPE DE OLIVEIRA </t>
  </si>
  <si>
    <t>05.593.000/0017-23</t>
  </si>
  <si>
    <t>Supermercado Rio Verde - Itaperuçu, Av. Crispim Furquim Siqueira, 200 - Centro, Itaperuçu - PR, 83560-000</t>
  </si>
  <si>
    <t>https://maps.app.goo.gl/8UWmxfHt8Zn1TEAb7</t>
  </si>
  <si>
    <t>Itaperuçu</t>
  </si>
  <si>
    <t xml:space="preserve">JANETE </t>
  </si>
  <si>
    <t xml:space="preserve">PAMELLA FERNANDA </t>
  </si>
  <si>
    <t>41991797441 / 41 9757-9023</t>
  </si>
  <si>
    <t>dp@gruporioverde.com.br</t>
  </si>
  <si>
    <t xml:space="preserve">ELOYSE DOS SANTOS CORDEIRO </t>
  </si>
  <si>
    <t xml:space="preserve">Alteração de horário realizada para manhã </t>
  </si>
  <si>
    <t xml:space="preserve">HARMILYN OLIVEIRA DOS SANTOS </t>
  </si>
  <si>
    <t>Jovem não estava presente na 2º visita</t>
  </si>
  <si>
    <t xml:space="preserve">NÃO ESTAVA PRESENTE </t>
  </si>
  <si>
    <t xml:space="preserve">Não realizada </t>
  </si>
  <si>
    <t xml:space="preserve">PEDRO HENRIQUE APARECIDO DA SILVA PEDROSO </t>
  </si>
  <si>
    <t>Jovem estava de atestado no dia da visita 27/06/2025</t>
  </si>
  <si>
    <t>RAÍSSA APARECIDA FERREIRA DE LIMA</t>
  </si>
  <si>
    <t>SUPERMERCADOS BLUM LTDA</t>
  </si>
  <si>
    <t>77.680.213/0001-36</t>
  </si>
  <si>
    <t>R. Santos Dumont, 135 - Ivaí, PR, 84460-000</t>
  </si>
  <si>
    <t>https://maps.app.goo.gl/yWKDXRpj1AecJruL7</t>
  </si>
  <si>
    <t>CLÁUDIA</t>
  </si>
  <si>
    <t>42-32471263</t>
  </si>
  <si>
    <t>42 9127-8188</t>
  </si>
  <si>
    <t>FINANCEIRO.IVAI@SUPERMERCADOBLUM.COM.BR</t>
  </si>
  <si>
    <t>Segunda-feira: 17:00 às 19:00; Quarta-feira: 17:00 às 19:00; Quinta-feira: 17:00 às 19:00; Sexta-feira: 17:00 às 19:00; Sábado: 08:00 às 12:00</t>
  </si>
  <si>
    <t xml:space="preserve">CONTRATURNO NA TERÇA </t>
  </si>
  <si>
    <t>VICTORIA CRISTINA ANTUNES STEFANES</t>
  </si>
  <si>
    <t>LUCAS GABRIEL RODRIGUES</t>
  </si>
  <si>
    <t>CVALE COOPERATIVA AGROINDUSTRIAL</t>
  </si>
  <si>
    <t>77.863.223/0118-18</t>
  </si>
  <si>
    <t>Av. Pres. Castelo Branco, 312 - A, Terra Roxa - PR, 85990-000</t>
  </si>
  <si>
    <t>https://maps.app.goo.gl/BkdaWKmd5FRPJJEg9</t>
  </si>
  <si>
    <t>EDILAINE DE OLIVEIRA SILVA LIMA</t>
  </si>
  <si>
    <t>44-998260370</t>
  </si>
  <si>
    <t>edilaine.lima@cvale.com.br</t>
  </si>
  <si>
    <t>Segunda-feira: 10:00 às 12:00; Terça-feira: 10:00 às 12:00; Quarta-feira: 10:00 às 12:00; Quinta-feira: 10:00 às 12:00; Sexta-feira: 10:00 às 12:00;</t>
  </si>
  <si>
    <t>BIANCA DA SILVA PEREIRA</t>
  </si>
  <si>
    <t>79.114.450/0166-73</t>
  </si>
  <si>
    <t>ROD MELO PEIXOTO - BR 369, KM 80</t>
  </si>
  <si>
    <t>https://maps.app.goo.gl/Z9UUw8uzHdcMfwYw6</t>
  </si>
  <si>
    <t>MARCELO HENRIQUE AMADEI VOLPINI</t>
  </si>
  <si>
    <t>43-32557650</t>
  </si>
  <si>
    <t>43-991392698</t>
  </si>
  <si>
    <t>marcelo.volpini@cocamar.com.br</t>
  </si>
  <si>
    <t>Segunda-feira: 15:30 às 17:30; Terça-feira: 15:30 às 17:30; Quarta-feira: 15:30 às 17:30; Quinta-feira: 15:30 às 17:30; Sexta-feira: 13:30 às 17:30;</t>
  </si>
  <si>
    <t>ANGELA VITÓRIA SANGALLI</t>
  </si>
  <si>
    <t>COAGRO COOPERATIVA AGROINDUSTRIAL</t>
  </si>
  <si>
    <t>75.984.906/0025-64</t>
  </si>
  <si>
    <t>Coagro - Cooperativa Agroindustrial - Planalto, Paraná esquina com rua, R. Curitiba - Centro, Planalto - PR, 85750-000</t>
  </si>
  <si>
    <t>https://maps.app.goo.gl/em1xKT2QB7ariseVA</t>
  </si>
  <si>
    <t>Cleiton Emerson Schwanke</t>
  </si>
  <si>
    <t>46-999827198</t>
  </si>
  <si>
    <t>planalto@coagro.com.br</t>
  </si>
  <si>
    <t>GUILHERME APPEL GONZATTO</t>
  </si>
  <si>
    <t>75.984.906/0050-75</t>
  </si>
  <si>
    <t>R. XV de Novembro, 781 - Centro, Ampére - PR, 85640-000</t>
  </si>
  <si>
    <t>https://maps.app.goo.gl/RmZ1ex3PVSvRk1C6A</t>
  </si>
  <si>
    <t>Suzana Gabriel</t>
  </si>
  <si>
    <t>45-998448060</t>
  </si>
  <si>
    <t>ampere@coagro.com.br</t>
  </si>
  <si>
    <t>JHENIFER LUIZA POZZER</t>
  </si>
  <si>
    <t>75.984.906/0017-54</t>
  </si>
  <si>
    <t>R. Dionísio Wons, 258 - São Cristóvão, Capanema - PR, 85760-000</t>
  </si>
  <si>
    <t>https://maps.app.goo.gl/vKomBwEV7zpRLm2L6</t>
  </si>
  <si>
    <t>Cladir Sinesio Klein</t>
  </si>
  <si>
    <t>46-999234452</t>
  </si>
  <si>
    <t>faraday@coagro.com.br</t>
  </si>
  <si>
    <t>Segunda-feira: 10:00 às 12:00; Terça-feira: 10:00 às 12:00; Quarta-feira: 10:00 às 12:00; Quinta-feira: 10:00 às 12:00; Sexta-feira: 08:00 às 12:00;</t>
  </si>
  <si>
    <t>EVELYN MICHELLY RIBEIRO DA SILVA</t>
  </si>
  <si>
    <t>Segunda-feira: 07:30 às 09:30; Terça-feira: 07:30 às 09:30; Quarta-feira: 07:30 às 09:30; Quinta-feira: 07:30 às 09:30; Sexta-feira: 07:30 às 11:30;</t>
  </si>
  <si>
    <t>ALEX VENANCIO DA SILVA</t>
  </si>
  <si>
    <t>75.904.383/0007-17</t>
  </si>
  <si>
    <t>Coamo - Farol, BR-272, km 388 - Zona Rural, Farol - PR, 87325-000</t>
  </si>
  <si>
    <t>https://maps.app.goo.gl/6NPwCpZeJ1jrxH7z5</t>
  </si>
  <si>
    <t>JOSÉ AGNALDO COSTA</t>
  </si>
  <si>
    <t>44-32721345</t>
  </si>
  <si>
    <t>44-984089209</t>
  </si>
  <si>
    <t>jacosta@coamo.com.br</t>
  </si>
  <si>
    <t>Segunda-feira: 09:30 às 11:30; Terça-feira: 09:30 às 11:30; Quarta-feira: 09:30 às 11:30; Quinta-feira: 09:30 às 11:30; Sexta-feira: 07:30 às 11:30;</t>
  </si>
  <si>
    <t>NATAN GABRIEL CORREIA ALBUQUERQUE</t>
  </si>
  <si>
    <t>Segunda-feira: 13:30 às 15:30; Terça-feira: 13:30 às 15:30; Quarta-feira: 13:30 às 15:30; Quinta-feira: 13:30 às 15:30; Sexta-feira: 13:30 às 17:30;</t>
  </si>
  <si>
    <t>LUCAS FABRICIO PEDROSO GALVÃO</t>
  </si>
  <si>
    <t>LETÍCIA DOS SANTOS</t>
  </si>
  <si>
    <t>75.904.383/0018-70</t>
  </si>
  <si>
    <t>Coamo - Honório Serpa, Estrada de Santo Antonio a - Centro, Honório Serpa - PR, 85548-000</t>
  </si>
  <si>
    <t>https://maps.app.goo.gl/QgdC2uzixWMAyLfH7</t>
  </si>
  <si>
    <t>Edevar Luiz Rissi</t>
  </si>
  <si>
    <t>46-32451154</t>
  </si>
  <si>
    <t>43-996455291</t>
  </si>
  <si>
    <t>elrissi@coamo.com.br</t>
  </si>
  <si>
    <t>Segunda-feira: 09:30 às 11:30; Quarta-feira: 09:30 às 11:30; Quinta-feira: 09:30 às 11:30; Sexta-feira: 07:30 às 11:30;</t>
  </si>
  <si>
    <t>FELIPE RICARDO DE LIMA RODRIGUES</t>
  </si>
  <si>
    <t>75.904.383/0073-04</t>
  </si>
  <si>
    <t>Coamo - Bragantina - Estrada Principal - Distrito de Bragantina, Assis Chateaubriand - PR</t>
  </si>
  <si>
    <t>https://maps.app.goo.gl/GSB9tPAsv3Fmehyx5</t>
  </si>
  <si>
    <t>IVO FERREIRA COSTA</t>
  </si>
  <si>
    <t>44-35401145</t>
  </si>
  <si>
    <t>44-999050731</t>
  </si>
  <si>
    <t>IFCOSTA@COAMO.BR</t>
  </si>
  <si>
    <t>FELIPE AUGUSTO WAGNER ALLEBRANDT</t>
  </si>
  <si>
    <t>75.904.383/0078-00</t>
  </si>
  <si>
    <t>Coamo - Nova Santa Rosa - Nova Santa Rosa, PR, 85930-000</t>
  </si>
  <si>
    <t>https://maps.app.goo.gl/J3o6yWPb8MXdMVf36</t>
  </si>
  <si>
    <t>CHARLEI CIDINEI LOEBLAIN</t>
  </si>
  <si>
    <t>45-32531441</t>
  </si>
  <si>
    <t>45-998250424</t>
  </si>
  <si>
    <t>charlei@coamo.com.br</t>
  </si>
  <si>
    <t>MARIANA RAFAELA DIERINGS GARAI</t>
  </si>
  <si>
    <t>CRISTIAN DE CAMARGO SILVA</t>
  </si>
  <si>
    <t>AMANDA BUENO</t>
  </si>
  <si>
    <t>HERALDO HERMES GOES</t>
  </si>
  <si>
    <t>hgoes@coamo.com.br</t>
  </si>
  <si>
    <t>FABIO HENRIQUE VIDAL DOS SANTOS</t>
  </si>
  <si>
    <t>75.904.383/0012-84</t>
  </si>
  <si>
    <t>Coamo - Peabiru, PR-465, 1, Peabiru - PR, 87250-000</t>
  </si>
  <si>
    <t>https://maps.app.goo.gl/ixAJ34GrfJQfM5jTA</t>
  </si>
  <si>
    <t>DARCI LEMES DE PAULA</t>
  </si>
  <si>
    <t>44-35312244</t>
  </si>
  <si>
    <t>44-999608956</t>
  </si>
  <si>
    <t>dlpaula@coamo.com.br</t>
  </si>
  <si>
    <t>FELIPE PRIORI FERRO</t>
  </si>
  <si>
    <t>75.904.383/0036-51</t>
  </si>
  <si>
    <t>Av. Paraná, 752 - Araruna, PR, 87260-000</t>
  </si>
  <si>
    <t>https://maps.app.goo.gl/KBi8cZ5sTyZeRqmR7</t>
  </si>
  <si>
    <t>ROGERIO GERALDO DA SILVA</t>
  </si>
  <si>
    <t>44-35621382</t>
  </si>
  <si>
    <t>44-999584557</t>
  </si>
  <si>
    <t>rgdsilva@coamo.com.br</t>
  </si>
  <si>
    <t>ISABELLI RAMALHO ICSTCHUK</t>
  </si>
  <si>
    <t>JOÃO VITOR MAIA GEREMIAS</t>
  </si>
  <si>
    <t>Av. Altíno Arantes, 250 - Iretama, PR, 87280-000</t>
  </si>
  <si>
    <t>https://maps.app.goo.gl/tWyrWxBnnVgb8R5d7</t>
  </si>
  <si>
    <t>KAIKE SIEBER DOS SANTOS</t>
  </si>
  <si>
    <t>75.904.383/0088-82</t>
  </si>
  <si>
    <t>Coamo - Tupãssi Unid. Brasiliana, Estrada Brasiliana Planaltina, km 2, s/n - Brasiliana, Tupãssi - PR, 85945-000</t>
  </si>
  <si>
    <t>https://maps.app.goo.gl/qFHs3JUXZHybGEbFA</t>
  </si>
  <si>
    <t>MARIO VIEIRA DE SOUZA FILHO</t>
  </si>
  <si>
    <t>44-35361130</t>
  </si>
  <si>
    <t>45-999693027</t>
  </si>
  <si>
    <t>msfilho@coamo.com.br</t>
  </si>
  <si>
    <t>LARA KRULIKOSKI DAS NEVES</t>
  </si>
  <si>
    <t>75.904.383/0114-09</t>
  </si>
  <si>
    <t>Coamo - Coronel Domingos Soares, Cel. Domingos Soares - PR, 85557-000</t>
  </si>
  <si>
    <t>https://maps.app.goo.gl/mjnPtjYZLprUkRzMA</t>
  </si>
  <si>
    <t>CLEILTON DA SILVA PEDROSO</t>
  </si>
  <si>
    <t>46-32541189</t>
  </si>
  <si>
    <t>46-999080360</t>
  </si>
  <si>
    <t>cpedroso@coamo.com.br</t>
  </si>
  <si>
    <t>ANA CAROLINA ALVES DOS SANTOS</t>
  </si>
  <si>
    <t>75.904.383/0031-47</t>
  </si>
  <si>
    <t>Coamo - Altamira do Paraná, 239, Altamira do Paraná - PR, 85280-000</t>
  </si>
  <si>
    <t>https://maps.app.goo.gl/yE8kCShbwVAT8uck7</t>
  </si>
  <si>
    <t>LUCIANE MARTINS RIBEIRO</t>
  </si>
  <si>
    <t>44-37551187</t>
  </si>
  <si>
    <t>44-999654965</t>
  </si>
  <si>
    <t>lribeiro@coamo.com.br</t>
  </si>
  <si>
    <t>Segunda-feira: 09:30 às 11:30; Terça-feira: 09:30 às 11:30; Quarta-feira: 09:30 às 11:30; Sexta-feira: 09:30 às 11:30; Sábado: 07:30 às 11:30;</t>
  </si>
  <si>
    <t>MATEUS DE OLIVEIRA DO AMARAL</t>
  </si>
  <si>
    <t>75.904.383/0116-70</t>
  </si>
  <si>
    <t>Av. Epaminondas Fritz, Cantagalo - PR, 85160-000</t>
  </si>
  <si>
    <t>https://maps.app.goo.gl/XLMQGCXU5xKGFhFh8</t>
  </si>
  <si>
    <t>JOCEAM JOSE GOMES</t>
  </si>
  <si>
    <t>42-36362311</t>
  </si>
  <si>
    <t>jjgomes@coamo.com.br</t>
  </si>
  <si>
    <t>Segunda-feira: 15:30 às 17:30; Terça-feira: 15:30 às 17:30; Quinta-feira: 15:30 às 17:30; Sexta-feira: 15:30 às 17:30; Sábado: 08:00 às 12:00;</t>
  </si>
  <si>
    <t>PABLINI DE CASSIA VIANA</t>
  </si>
  <si>
    <t>75.904.383/0047-04</t>
  </si>
  <si>
    <t>Credicoamo - Boa Ventura, Rod. PR 460, s/n KM 51 Zona Rural, Boa Ventura de São Roque - PR, 85225-000</t>
  </si>
  <si>
    <t xml:space="preserve">https://maps.app.goo.gl/Decy3S1GW5TmLfck7 </t>
  </si>
  <si>
    <t>DIONATAN COLCHON DA ROSA</t>
  </si>
  <si>
    <t>42-36468500</t>
  </si>
  <si>
    <t>44-999982310</t>
  </si>
  <si>
    <t>dcrosa@coamo.com.br</t>
  </si>
  <si>
    <t>Segunda-feira: 15:30 às 17:30; Terça-feira: 15:30 às 17:30; Quarta-feira: 15:30 às 17:30; Quinta-feira: 15:30 às 17:30; Sábado: 08:00 às 12:00;</t>
  </si>
  <si>
    <t>JULIANA APARECIDA TEREZINHA PERETTI</t>
  </si>
  <si>
    <t>75.984.906/0001-97</t>
  </si>
  <si>
    <t>R. Padre Cirílo, 3221 - São Cristóvão, Capanema - PR, 85760-000</t>
  </si>
  <si>
    <t>https://maps.app.goo.gl/aMERQvb8EFcXJpoX6</t>
  </si>
  <si>
    <t>Quarta-feira: 15:30 às 17:30; Quinta-feira: 15:30 às 17:30; Sexta-feira: 15:30 às 17:30; Sábado: 08:00 às 12:00;</t>
  </si>
  <si>
    <t>ALAN JEISON DE BORBA HOFFMANN</t>
  </si>
  <si>
    <t>75.984.906/0044-27</t>
  </si>
  <si>
    <t>Avenida Brasil, 2480 - Centro, Santo Antônio do Sudoeste - PR, 85710-000</t>
  </si>
  <si>
    <t>https://maps.app.goo.gl/8oS13BZAC1ztUipx8</t>
  </si>
  <si>
    <t>Leandro Buzarski</t>
  </si>
  <si>
    <t>46-35528000</t>
  </si>
  <si>
    <t>46-988075590</t>
  </si>
  <si>
    <t>sas@coagro.com.br</t>
  </si>
  <si>
    <t>ISABELLA CORTEZE KERSCH</t>
  </si>
  <si>
    <t>75.984.906/0054-07</t>
  </si>
  <si>
    <t>Coagro Cooperativa Agroindustrial - Pérola D'Oeste Centro, Avenida Prefeito Ernesto Tonini, 325 - Centro, Pérola d'Oeste - PR, 85740-000</t>
  </si>
  <si>
    <t>https://maps.app.goo.gl/9Tnnd2BqhQTsviLn8</t>
  </si>
  <si>
    <t>Magnos Andrei Schab</t>
  </si>
  <si>
    <t>46-999033573</t>
  </si>
  <si>
    <t>perola@coagro.com.br</t>
  </si>
  <si>
    <t>Segunda-feira: 15:30 às 17:30; Terça-feira: 15:30 às 17:30; Quinta-feira: 15:30 às 17:30; Sexta-feira: 13:30 às 17:30;</t>
  </si>
  <si>
    <t>ADRIEL PEREIRA RIBEIRO</t>
  </si>
  <si>
    <t>75.984.906/0023-00</t>
  </si>
  <si>
    <t>R. Padre Anchieta, 97 - Conciolândia, Pérola d'Oeste - PR, 85740-000</t>
  </si>
  <si>
    <t>https://maps.app.goo.gl/ZNghqe4ojNSjUxas6</t>
  </si>
  <si>
    <t>Valmir Frescura</t>
  </si>
  <si>
    <t>46-999752292</t>
  </si>
  <si>
    <t>conciolandia@coagro.com.br</t>
  </si>
  <si>
    <t>GUSTAVO HENRIQUE FABRICIO</t>
  </si>
  <si>
    <t>46-34351312</t>
  </si>
  <si>
    <t>Terça-feira: 15:30 às 17:30; Quarta-feira: 15:30 às 17:30; Quinta-feira: 15:30 às 17:30; Sexta-feira: 15:30 às 17:30; Sábado: 08:00 às 12:00;</t>
  </si>
  <si>
    <t>NICKOLLAS MENEGUEL RIBEIRO</t>
  </si>
  <si>
    <t>COOPERATIVA AGROPECUARIA TRADICAO</t>
  </si>
  <si>
    <t>05.528.196/0017-72</t>
  </si>
  <si>
    <t>Coopertradição, 85140-000, Candói - PR, 85140-000</t>
  </si>
  <si>
    <t>https://maps.app.goo.gl/qxvRdwcyeJQjnnAA8</t>
  </si>
  <si>
    <t>JULIO CESAR GEISEL</t>
  </si>
  <si>
    <t>42-36381202</t>
  </si>
  <si>
    <t>julio.cesar@coopertradicao.com.br</t>
  </si>
  <si>
    <t>Segunda-feira: 15:30 às 17:30; Terça-feira: 15:30 às 17:30; Quarta-feira: 15:30 às 17:30; Quinta-feira: 15:30 às 17:30;</t>
  </si>
  <si>
    <t>HÉLIO DANIEL LEMES DOS SANTOS</t>
  </si>
  <si>
    <t>COASUL COOPERATIVA  AGROINDUSTRIAL</t>
  </si>
  <si>
    <t>79.863.569/0014-55</t>
  </si>
  <si>
    <t>Coasul - Entreposto Rio Tuna, Rodovia PR 475, S/N, km 01 - Comunidade Rio Tuna - Rodovia, Francisco Beltrão - PR, 85601-970</t>
  </si>
  <si>
    <t>https://maps.app.goo.gl/qke8mz4C32qdAhDG7</t>
  </si>
  <si>
    <t>LEANDRO GIACOMIN</t>
  </si>
  <si>
    <t>46-35271001</t>
  </si>
  <si>
    <t>46-999238348</t>
  </si>
  <si>
    <t>leandrobeltrao@coasul.com.br</t>
  </si>
  <si>
    <t>DANIELE VICTORIA BENTO FLAUZINO</t>
  </si>
  <si>
    <t>00.993.264/0045-04</t>
  </si>
  <si>
    <t>Av. Brasil (Br-369), 1025 - Andirá, 36, Andirá - PR, 86380-000</t>
  </si>
  <si>
    <t>https://maps.app.goo.gl/5Kjki3A1uSgA7NeN9</t>
  </si>
  <si>
    <t>KLEBER ADELINO CORDEIRO GODOY</t>
  </si>
  <si>
    <t>43-999753459</t>
  </si>
  <si>
    <t>kleber.godoy@integrada.coop.br</t>
  </si>
  <si>
    <t>GABRIEL OLIVEIRA HLADEZUK</t>
  </si>
  <si>
    <t>CREDICOAMO CREDITO RURAL COOPERATIVA</t>
  </si>
  <si>
    <t>81.723.108/0004-57</t>
  </si>
  <si>
    <t>Av. Brasil, 2683 - Juranda, PR, 87355-000</t>
  </si>
  <si>
    <t>https://maps.app.goo.gl/5QUnAsU4TqJdg9GYA</t>
  </si>
  <si>
    <t>Paulo Henrique Santiago</t>
  </si>
  <si>
    <t>44-997369044</t>
  </si>
  <si>
    <t>psantiago@credicoamo.com.br</t>
  </si>
  <si>
    <t>Segunda-feira: 09:30 às 11:30; Terça-feira: 09:30 às 11:30; Quarta-feira: 09:30 às 11:30; Quinta-feira: 09:30 às 11:30; Sexta-feira: 09:30 às 11:30;</t>
  </si>
  <si>
    <t>LUIZ ROGERIO DOS SANTOS KAMISIMA</t>
  </si>
  <si>
    <t>00.993.264/0008-60</t>
  </si>
  <si>
    <t>INTEGRADA COOPERATIVA AGROINDUSTRIAL UR Andirá I - Andirá, PR, 86380-000</t>
  </si>
  <si>
    <t>https://maps.app.goo.gl/eF6YLnHWMdg5CnRk6</t>
  </si>
  <si>
    <t>RAFAELA MITROVINI</t>
  </si>
  <si>
    <t>43-998126261</t>
  </si>
  <si>
    <t>rafaela.mitrovini@integrada.coopbr</t>
  </si>
  <si>
    <t>WESLEY HENRIQUE KOVALSKI</t>
  </si>
  <si>
    <t>79.863.569/0044-70</t>
  </si>
  <si>
    <t>Coasul - Entreposto de Ampére, Linha km 55 Zona Rural, Ampére - PR, 85640-000</t>
  </si>
  <si>
    <t>https://maps.app.goo.gl/jouXQdtTLaNNK8J16</t>
  </si>
  <si>
    <t>JULIANO FILL</t>
  </si>
  <si>
    <t>46-984154252</t>
  </si>
  <si>
    <t>juliano.fill@coasul.com.br</t>
  </si>
  <si>
    <t>VINÍCIUS ALVES DE OLIVEIRA</t>
  </si>
  <si>
    <t>00.993.264/0049-38</t>
  </si>
  <si>
    <t>Rod. Vitório Framcovig, 2336-2522, Tamarana - PR, 86125-000</t>
  </si>
  <si>
    <t>https://maps.app.goo.gl/V7wxdqkRcqkRr5Tx5</t>
  </si>
  <si>
    <t>JULIANA APARECIDA MONTEIRO</t>
  </si>
  <si>
    <t>43-33981404</t>
  </si>
  <si>
    <t>43-998421196</t>
  </si>
  <si>
    <t>juliana.monteiro@integrada.coop.br</t>
  </si>
  <si>
    <t>KAYQUE PERICO</t>
  </si>
  <si>
    <t>79.863.569/0052-80</t>
  </si>
  <si>
    <t>Coasul Cooperativa Agroindustrial- Entreposto Nova Laranjeiras, LINHA BEIRA RIO - ZONA RURAL, Nova Laranjeiras - PR, 85350-000</t>
  </si>
  <si>
    <t>https://maps.app.goo.gl/gXsF9YW892cWcdxF7</t>
  </si>
  <si>
    <t>FABIO BERNARDINI DE CRISTO</t>
  </si>
  <si>
    <t>46-35338100</t>
  </si>
  <si>
    <t>42-999438825</t>
  </si>
  <si>
    <t>fabio@coasul.com.br</t>
  </si>
  <si>
    <t>ANA CLARA TEIXEIRA DE SOUZA</t>
  </si>
  <si>
    <t>79.114.450/0281-75</t>
  </si>
  <si>
    <t>Cocamar - Unidade Santa Fé, PR-458, 18, Santa Fé - PR, 86770-000</t>
  </si>
  <si>
    <t>https://maps.app.goo.gl/52sH9sgJd5dr7fA68</t>
  </si>
  <si>
    <t>RENAN BRITO DE OLIVEIRA</t>
  </si>
  <si>
    <t>44-998998384</t>
  </si>
  <si>
    <t>renan.oliveira@cocamar.com.br</t>
  </si>
  <si>
    <t>ANA JULIA MARTINEZ</t>
  </si>
  <si>
    <t>79.114.450/0180-21</t>
  </si>
  <si>
    <t>Cocamar - Unidade Sertanópolis, PR 323 - Rod. Celso Garcia Cid, KM 31 - ZONA RURAL, Sertanópolis - PR, 86170-000</t>
  </si>
  <si>
    <t>https://maps.app.goo.gl/XP1xDbKuFgE5KU4s7</t>
  </si>
  <si>
    <t>MAIRA HELOISY SETTE SANTA ROSA</t>
  </si>
  <si>
    <t>43-32321896</t>
  </si>
  <si>
    <t>maira.silva@cocamar.com.br</t>
  </si>
  <si>
    <t>GUSTAVO HENRIQUE DA SILVA CAMARGO</t>
  </si>
  <si>
    <t>Segunda-feira: 15:30 às 17:30; Terça-feira: 15:30 às 17:30; Quarta-feira: 15:30 às 17:30; Quinta-feira: 15:30 às 17:30; Sexta-feira: 15:30 às 17:30;</t>
  </si>
  <si>
    <t>LETICIA MARIA FABIANE</t>
  </si>
  <si>
    <t>79.863.569/0055-23</t>
  </si>
  <si>
    <t>Coasul entreposto Barra Grande - Barra Grande, Itapejara d'Oeste - PR, 85580-000</t>
  </si>
  <si>
    <t>https://maps.app.goo.gl/EyqxEdQAaEpxL6Wu9</t>
  </si>
  <si>
    <t>ANDRESSA KLIMA ARIATI</t>
  </si>
  <si>
    <t>46-30331110</t>
  </si>
  <si>
    <t>46-999217515</t>
  </si>
  <si>
    <t>andressa.klima@coasul.com.br</t>
  </si>
  <si>
    <t>HIGOR GOMES DA SILVA</t>
  </si>
  <si>
    <t>77.863.223/0035-56</t>
  </si>
  <si>
    <t>Av. Farrapos, 1717 - Maripá, PR, 85955-000</t>
  </si>
  <si>
    <t>https://maps.app.goo.gl/wL16jT3FWKT747W47</t>
  </si>
  <si>
    <t>ROZANA BERNARDES FELIX KLAUCK</t>
  </si>
  <si>
    <t>44-998637500</t>
  </si>
  <si>
    <t>rozana.klauck@cvale.com.br</t>
  </si>
  <si>
    <t>ANGÉLICA CRISTINA DA SILVA PINHEIRO</t>
  </si>
  <si>
    <t>79.114.450/0286-80</t>
  </si>
  <si>
    <t>Cocamar - Unidade Ângulo 2, R. Antenor Ferreira Leite, n° 01 - Centro, Ângulo - PR, 86755-000</t>
  </si>
  <si>
    <t>https://maps.app.goo.gl/nHXaAQaqXS3neKXv6</t>
  </si>
  <si>
    <t>NATALIA ZAGUI BALINI DIAS</t>
  </si>
  <si>
    <t>44-32561129</t>
  </si>
  <si>
    <t>44-998238220</t>
  </si>
  <si>
    <t>natalia.dias@cocamar.com.br</t>
  </si>
  <si>
    <t>LAURA FURLAN RAMOS</t>
  </si>
  <si>
    <t>BIANCA AKEMI HONDA FERNANDES</t>
  </si>
  <si>
    <t>79.114.450/0164-01</t>
  </si>
  <si>
    <t>Cocamar - Unidade Nova Fátima, Nova Fátima - PR, 86310-000</t>
  </si>
  <si>
    <t>https://maps.app.goo.gl/YKZFqXK5TRddfLVX6</t>
  </si>
  <si>
    <t>EIRES APARECIDO DE MORAIS FILHO</t>
  </si>
  <si>
    <t>43-996124531</t>
  </si>
  <si>
    <t>eires.filho@cocamar.com.br</t>
  </si>
  <si>
    <t>NATANAELE VARGAS MATIAS</t>
  </si>
  <si>
    <t>PATRICIA GONCALVES DOS REIS</t>
  </si>
  <si>
    <t>VITÓRIA ZANELLA</t>
  </si>
  <si>
    <t>79.863.569/0073-05</t>
  </si>
  <si>
    <t>Av. Iguaçu, 643 - Centro, Nova Prata do Iguaçu - PR, 85685-000</t>
  </si>
  <si>
    <t>https://maps.app.goo.gl/DRR8rTHPGTXodQns9</t>
  </si>
  <si>
    <t>LUCAS VERONEZE</t>
  </si>
  <si>
    <t>46-999702341</t>
  </si>
  <si>
    <t>lucas.veroneze@coasul.com.br</t>
  </si>
  <si>
    <t>Segunda-feira: 08:00 às 10:00; Terça-feira: 08:00 às 10:00; Quarta-feira: 08:00 às 10:00; Quinta-feira: 08:00 às 10:00; Sexta-feira: 08:00 às 12:00;</t>
  </si>
  <si>
    <t>VINICIUS EDUARDO HIPÓLITO DE ARAÚJO</t>
  </si>
  <si>
    <t>CAMILA RODRIGUES ALMEIDA DA SILVA</t>
  </si>
  <si>
    <t>79.114.450/0170-50</t>
  </si>
  <si>
    <t>Cocamar - Unidade Santa Cecília do Pavão, Rodovia PR 090, s/n, KM 313, Santa Cecília do Pavão - PR, 86225-000</t>
  </si>
  <si>
    <t>https://maps.app.goo.gl/fmgkN3yUorzAdqXY7</t>
  </si>
  <si>
    <t>MAYARA REGINA DOMINGUES FROES</t>
  </si>
  <si>
    <t>43-33057094</t>
  </si>
  <si>
    <t>43-991142156</t>
  </si>
  <si>
    <t>mayara.froes@cocamar.com.br</t>
  </si>
  <si>
    <t>CAMILI LIBERI BERNARDO</t>
  </si>
  <si>
    <t>79.114.450/0189-60</t>
  </si>
  <si>
    <t>cocamar, São Sebastião da Amoreira - PR, 86220-000</t>
  </si>
  <si>
    <t>https://maps.app.goo.gl/2DF8HfVWQM1pSBpS8</t>
  </si>
  <si>
    <t>JEFERSON LEANDRO DE SOUZA</t>
  </si>
  <si>
    <t>43-33057095</t>
  </si>
  <si>
    <t>43-999504115</t>
  </si>
  <si>
    <t>jeferson.souza@cocamar.com.br</t>
  </si>
  <si>
    <t>CAMILA LAMPERT</t>
  </si>
  <si>
    <t>75.984.906/0014-01</t>
  </si>
  <si>
    <t>Coagro Cooperativa Agroindustrial - Bela Vista da Caroba, Av. Rio Grande do Sul, S/N - Centro, Bela Vista da Caroba - PR, 85745-000</t>
  </si>
  <si>
    <t>https://maps.app.goo.gl/bSxXGxqiyCDB5CyY7</t>
  </si>
  <si>
    <t>Lizandro Jahn</t>
  </si>
  <si>
    <t>46-999088676</t>
  </si>
  <si>
    <t>belavista@coagro.com.br</t>
  </si>
  <si>
    <t>RAFAELA SEVILHA MACHADO</t>
  </si>
  <si>
    <t>79.114.450/0260-40</t>
  </si>
  <si>
    <t>Cocamar - Unidade Terra Rica, PR-180 - Terra Rica, PR, 87890-000</t>
  </si>
  <si>
    <t>https://maps.app.goo.gl/rmQjbh3kjYyrZTUY6</t>
  </si>
  <si>
    <t>HELEN PATRICIA ANDRE TORRES</t>
  </si>
  <si>
    <t>44-991781747</t>
  </si>
  <si>
    <t>helen.torres@cocamar.com.br</t>
  </si>
  <si>
    <t>CAROLINE SUGANUMA KIHARA</t>
  </si>
  <si>
    <t>79.114.450/0200-00</t>
  </si>
  <si>
    <t xml:space="preserve">NÃO IDENTIFICADO </t>
  </si>
  <si>
    <t>FERNANDA MINCHUERRI</t>
  </si>
  <si>
    <t>43-996640865</t>
  </si>
  <si>
    <t>fernanda.minchuerri@cocamar.com.br</t>
  </si>
  <si>
    <t>EMANUELE AMARAL DE LIMA</t>
  </si>
  <si>
    <t>79.114.450/0236-10</t>
  </si>
  <si>
    <t>Cocamar - Unidade Lupionópolis, Unnamed Road, Lupionópolis - PR, 86635-000</t>
  </si>
  <si>
    <t>https://maps.app.goo.gl/hTBtfxgFrjjXe8U28</t>
  </si>
  <si>
    <t>Igor de Lima</t>
  </si>
  <si>
    <t>44-998094953</t>
  </si>
  <si>
    <t>igor.lima@cocamar.com.br</t>
  </si>
  <si>
    <t>RENAN VINÍCIUS PEDROSO</t>
  </si>
  <si>
    <t>79.863.569/0069-29</t>
  </si>
  <si>
    <t>Coasul - Itapejara D'Oeste, 25GC+4J - Itapejara d'Oeste, PR, 85580-000</t>
  </si>
  <si>
    <t>https://maps.app.goo.gl/MAqcY2maaaYZHPeX8</t>
  </si>
  <si>
    <t>GABRIELI ARAÚJO SANCHES</t>
  </si>
  <si>
    <t>79.114.450/0185-36</t>
  </si>
  <si>
    <t>Cocamar - Unidade Bela Vista do Paraíso, PR-090, 421 - Santa Margarida, Bela Vista do Paraíso - PR, 86135-000</t>
  </si>
  <si>
    <t>https://maps.app.goo.gl/8DvunFbyEFDxcUxW6</t>
  </si>
  <si>
    <t>EVANDRO JUNIOR DA SILVA</t>
  </si>
  <si>
    <t>43-998110420</t>
  </si>
  <si>
    <t>evandro.silva@cocamar.com.br</t>
  </si>
  <si>
    <t>NATHALY CLARO DOS SANTOS</t>
  </si>
  <si>
    <t>79.114.450/0253-11</t>
  </si>
  <si>
    <t>Cocamar - Unidade Centenário do Sul, Rod. Issa Jabur, 17, Centenário do Sul - PR, 86630-000</t>
  </si>
  <si>
    <t>https://maps.app.goo.gl/uxk8pkVoD4Gva27Y8</t>
  </si>
  <si>
    <t>JEFERSON COELHO ROCHA SANTOS</t>
  </si>
  <si>
    <t>43-36751284</t>
  </si>
  <si>
    <t>43-999856427</t>
  </si>
  <si>
    <t>jeferson.santos@cocamar.com.br</t>
  </si>
  <si>
    <t>KARINE FERREIRA GHIRALDI</t>
  </si>
  <si>
    <t>79.114.450/0011-37</t>
  </si>
  <si>
    <t>Cocamar - Unidade Doutor Camargo, Rod. João Jorge Saad, Dr. Camargo - PR, 87155-000</t>
  </si>
  <si>
    <t>https://maps.app.goo.gl/DkPwGGGdaLLeKKHv6</t>
  </si>
  <si>
    <t>CLEVENICE GERVONI ARAÚJO</t>
  </si>
  <si>
    <t>44-32381248</t>
  </si>
  <si>
    <t>44-988389293</t>
  </si>
  <si>
    <t>clevenice.araujo@cocamar.com.br</t>
  </si>
  <si>
    <t>ESTEFANE MARIANA AZEVEDO DOMINGOS</t>
  </si>
  <si>
    <t>79.114.450/0152-78</t>
  </si>
  <si>
    <t>Cocamar - Unidade Icaraíma, Av. Hermes Vissoto - Icaraíma, PR, 87530-000</t>
  </si>
  <si>
    <t>https://maps.app.goo.gl/Dz27DV7SKFVstPuw5</t>
  </si>
  <si>
    <t>GISELE APARECIDA DE PAULA DOS SANTOS</t>
  </si>
  <si>
    <t>44-36652285</t>
  </si>
  <si>
    <t>44-997728155</t>
  </si>
  <si>
    <t>gisele.santos@cocamar.com.br</t>
  </si>
  <si>
    <t>MARIANE MENDES FERNANDES</t>
  </si>
  <si>
    <t>79.114.450/0141-15</t>
  </si>
  <si>
    <t>Cocamar - Unidade Ivatuba, PR-551, Ivatuba - PR, 87130-000</t>
  </si>
  <si>
    <t>https://maps.app.goo.gl/yeEpdjgReRbuREcz9</t>
  </si>
  <si>
    <t>Angélica Cristina Bacon Vicentini</t>
  </si>
  <si>
    <t>44-32731112</t>
  </si>
  <si>
    <t>44-988573032</t>
  </si>
  <si>
    <t>angelica.vicentini@cocamar.com.br</t>
  </si>
  <si>
    <t>GUILHERME GOMES DE AMORIM VIEIRA</t>
  </si>
  <si>
    <t>79.114.450/0192-65</t>
  </si>
  <si>
    <t>EDIJANE DE OLIVEIRA SOUZA</t>
  </si>
  <si>
    <t>43-32351770</t>
  </si>
  <si>
    <t>43-991967543</t>
  </si>
  <si>
    <t>edijane.souza@cocamar.com.br</t>
  </si>
  <si>
    <t>JHULIA BEGA RIBEIRO</t>
  </si>
  <si>
    <t>KAUÃ RESENDE MOURA</t>
  </si>
  <si>
    <t>79.114.450/0136-58</t>
  </si>
  <si>
    <t>Cocamar - Unidade São Jorge do Ivaí 2 - São Jorge do Ivaí, PR, 87190-000</t>
  </si>
  <si>
    <t>https://maps.app.goo.gl/BE1KKnMuo76rApreA</t>
  </si>
  <si>
    <t>LUCIANE VANÇAN DE SOUZA</t>
  </si>
  <si>
    <t>44-32431121</t>
  </si>
  <si>
    <t>44-999855980</t>
  </si>
  <si>
    <t>luciane.vancan@cocamar.com.br</t>
  </si>
  <si>
    <t>JOAO VITOR FURLAN DE OLIVEIRA</t>
  </si>
  <si>
    <t>FERNANDA AMARAL</t>
  </si>
  <si>
    <t>Comercio de Medicamentos Brair Ltda</t>
  </si>
  <si>
    <t>88.212.113/1204-23</t>
  </si>
  <si>
    <t>Av. Independência, 618 - Bela Vista do Paraíso, PR, 86130-000</t>
  </si>
  <si>
    <t>https://maps.app.goo.gl/mR9kGPRZ8fjkFxJE8</t>
  </si>
  <si>
    <t>TALITA TATIANE SILVA</t>
  </si>
  <si>
    <t>43-996483943</t>
  </si>
  <si>
    <t>talyta.tatiane@hotmail.com</t>
  </si>
  <si>
    <t xml:space="preserve">Por questão de data, não foi realizada as visitas </t>
  </si>
  <si>
    <t>VICTOR HUGO DE BRITTO KOWALSKY FAUSTINO</t>
  </si>
  <si>
    <t>EQUAGRIL EQUIPAMENTOS AGRICOLAS LTDA</t>
  </si>
  <si>
    <t>77.310.589/0008-25</t>
  </si>
  <si>
    <t>Av. Santos Dumont, 1557, Goioerê - PR, 87360-000</t>
  </si>
  <si>
    <t>https://maps.app.goo.gl/gkJiReAJ9QYywemw8</t>
  </si>
  <si>
    <t>Celso Prezzoto</t>
  </si>
  <si>
    <t>44-999939360</t>
  </si>
  <si>
    <t>goioere.cnh@equagril.com.br</t>
  </si>
  <si>
    <t>EVELYN EDUARDA DA COSTA LINS</t>
  </si>
  <si>
    <t>96.418.264/0573-27</t>
  </si>
  <si>
    <t>Av. Independência, 612 - Centro, Bela Vista do Paraíso - PR, 86130-000</t>
  </si>
  <si>
    <t>https://maps.app.goo.gl/qmKdyweMY5Ur2BqA8</t>
  </si>
  <si>
    <t>CLAUDIO ROGERIO MATIAS</t>
  </si>
  <si>
    <t>43-988354530</t>
  </si>
  <si>
    <t>ger556@quero-quero.com.br</t>
  </si>
  <si>
    <t>Segunda-feira: 15:00 às 17:00; Terça-feira: 15:00 às 17:00; Quarta-feira: 15:00 às 17:00; Quinta-feira: 15:00 às 17:00; Sexta-feira: 13:00 às 17:00;</t>
  </si>
  <si>
    <t>NICOLI CAROLINE VIEIRA</t>
  </si>
  <si>
    <t>96.418.264/0616-00</t>
  </si>
  <si>
    <t>R. Juvenal Portela, 725, Peabiru - PR, 87250-000</t>
  </si>
  <si>
    <t>https://maps.app.goo.gl/MFNPuD2ykSenSE1x9</t>
  </si>
  <si>
    <t>JANE KELLY BONANCIN</t>
  </si>
  <si>
    <t>44-999863189</t>
  </si>
  <si>
    <t>ADM600@QUERO-QUERO.COM.BR</t>
  </si>
  <si>
    <t>KAUANY DA SILVA CRUZ</t>
  </si>
  <si>
    <t>LOJAS COLOMBO SA</t>
  </si>
  <si>
    <t>89.848.543/0850-67</t>
  </si>
  <si>
    <t>Lojas Colombo, Rua Dr. Genaro Resende, 1094 - Centro, Cambará - PR, 86390-000</t>
  </si>
  <si>
    <t>https://maps.app.goo.gl/u2o4VgcDsPoMmCkE8</t>
  </si>
  <si>
    <t>WESLEY MARCELO BRIZOLA</t>
  </si>
  <si>
    <t>43-991156488</t>
  </si>
  <si>
    <t>43-998487008</t>
  </si>
  <si>
    <t>gerente569@colombo.com.br</t>
  </si>
  <si>
    <t>Segunda-feira: 14:00 às 16:00; Terça-feira: 14:00 às 16:00; Quarta-feira: 14:00 às 16:00; Quinta-feira: 14:00 às 16:00; Sexta-feira: 12:00 às 16:00;</t>
  </si>
  <si>
    <t>EDUARDA DE JESUS KINTSCHNER</t>
  </si>
  <si>
    <t>88.212.113/1166-63</t>
  </si>
  <si>
    <t>Av. Brasil, 787 - Centro, Faxinal - PR, 86840-000</t>
  </si>
  <si>
    <t>https://maps.app.goo.gl/yWygdbQRJW52mTD47</t>
  </si>
  <si>
    <t>LEONARDO SCHEMBERGER DOS SANTOS</t>
  </si>
  <si>
    <t>43-998680211</t>
  </si>
  <si>
    <t>leonardoschemberger2@gmail.com</t>
  </si>
  <si>
    <t>GIOVANNA ANTONELLY PALHANO DA SILVA</t>
  </si>
  <si>
    <t>SUPERMERCADOS DORLA LTDA</t>
  </si>
  <si>
    <t>01.447.569/0002-43</t>
  </si>
  <si>
    <t>Brasão Supermercado, R. José Nicolau Abagge, 497 - Centro, Guaratuba - PR, 83280-000</t>
  </si>
  <si>
    <t>https://maps.app.goo.gl/oT87b5aEaQ4Z5bkV9</t>
  </si>
  <si>
    <t>Jonatas Rodrigo Borges dos Reis</t>
  </si>
  <si>
    <t>41-334431339</t>
  </si>
  <si>
    <t>49-988344677</t>
  </si>
  <si>
    <t>apoiorh@supermercadobrasao.com.br</t>
  </si>
  <si>
    <t>BRYANN PEDROTTI</t>
  </si>
  <si>
    <t>01.447.569/0003-24</t>
  </si>
  <si>
    <t>Av. Visc. do Rio Branco, 850 - Brejatuba, Guaratuba - PR, 83240-000</t>
  </si>
  <si>
    <t>https://maps.app.goo.gl/3fHgUWu36UwJCzcs5</t>
  </si>
  <si>
    <t>JONATAS RODRIGO BORGES DOS REIS</t>
  </si>
  <si>
    <t>LUIZ FERNANDO SANTOS</t>
  </si>
  <si>
    <t>LOJAS COLOMBO SA COMERCIO DE UTILIDADES DOMESTICAS</t>
  </si>
  <si>
    <t>89.848.543/0335-04</t>
  </si>
  <si>
    <t>R. xv de Novembro, 2178 - Centro, Campo Largo - PR, 83601-030</t>
  </si>
  <si>
    <t>https://maps.app.goo.gl/5A2GYQKvEZg4HWhs7</t>
  </si>
  <si>
    <t>ALEXANDRE OLIVEIRA FARIAS</t>
  </si>
  <si>
    <t>41-995714469</t>
  </si>
  <si>
    <t>servicos189@colombo.com.br</t>
  </si>
  <si>
    <t>NICOLI CRISTINA ALVES DE CARVALHO</t>
  </si>
  <si>
    <t>GRICZINSKI ATACADO E VAREJO LTDA</t>
  </si>
  <si>
    <t>48.907.504/0002-05</t>
  </si>
  <si>
    <t>R. João Negrão Júnior, 28 - Teixeira Soares, PR, 84530-000</t>
  </si>
  <si>
    <t>https://maps.app.goo.gl/ZNsA2SUdvuq5mLXv9</t>
  </si>
  <si>
    <t>Diego Aparecido Almeida</t>
  </si>
  <si>
    <t>42-34601233</t>
  </si>
  <si>
    <t>rh@gcenter.com.br</t>
  </si>
  <si>
    <t>Segunda-feira: 12:00 às 14:00; Terça-feira: 12:00 às 14:00; Quarta-feira: 12:00 às 14:00; Quinta-feira: 12:00 às 14:00; Sexta-feira: 10:00 às 14:00;</t>
  </si>
  <si>
    <t>NATAN BARBOSA DE ALMEIDA</t>
  </si>
  <si>
    <t>SANCHES E VECCHIATE LTDA</t>
  </si>
  <si>
    <t>03.644.587/0009-17</t>
  </si>
  <si>
    <t>Av. Amazonas, 1556 - Jardim Parana, Mandaguari - PR, 86975-000</t>
  </si>
  <si>
    <t>https://maps.app.goo.gl/XLQEPsFk5QoJvhub6</t>
  </si>
  <si>
    <t>Mayara da Silva Louven</t>
  </si>
  <si>
    <t>44-31331100</t>
  </si>
  <si>
    <t>financeiro.loja10@veronasupermercados.com.br</t>
  </si>
  <si>
    <t>JOANA MACHADO RODOVANSKI</t>
  </si>
  <si>
    <t>MERCADOMOVEIS LTDA</t>
  </si>
  <si>
    <t>77.500.049/0065-00</t>
  </si>
  <si>
    <t>R. Telêmaco Carneiro, 1134 - CENTRO, Arapoti - PR, 84990-000</t>
  </si>
  <si>
    <t>https://maps.app.goo.gl/9DVs9s2XhcSNskJH6</t>
  </si>
  <si>
    <t>Fernando José Batista</t>
  </si>
  <si>
    <t>43-998123972</t>
  </si>
  <si>
    <t>fernando.batista@email.lojasmm.com.br</t>
  </si>
  <si>
    <t>Segunda-feira: 10:00 às 13:00; Terça-feira: 11:00 às 13:00; Quarta-feira: 11:00 às 13:00; Quinta-feira: 11:00 às 13:00; Sexta-feira: 09:00 às 13:00;</t>
  </si>
  <si>
    <t>MATEUS AMORIM</t>
  </si>
  <si>
    <t>89.848.543/0287-72</t>
  </si>
  <si>
    <t>R. XV de Novembro, 2450 - Centro, Laranjeiras do Sul - PR, 85301-050</t>
  </si>
  <si>
    <t>https://maps.app.goo.gl/SqYxZ8JwjaAZSzPP7</t>
  </si>
  <si>
    <t>ADRIANA DOS REIS</t>
  </si>
  <si>
    <t>42-998629881</t>
  </si>
  <si>
    <t>ADRYREISSILVA@GMAIL.COM</t>
  </si>
  <si>
    <t>AMANDA CAROLINE DOS SANTOS NEVES</t>
  </si>
  <si>
    <t>03.644.587/0016-46</t>
  </si>
  <si>
    <t>Av. Pres. Epitácio, 778 - centro, Astorga - PR, 86730-000</t>
  </si>
  <si>
    <t>https://maps.app.goo.gl/k2DAomHr1JhyVJXE6</t>
  </si>
  <si>
    <t>ENILDA YUKIE KITANISHI</t>
  </si>
  <si>
    <t>44-31341100</t>
  </si>
  <si>
    <t>financeiro.loja14@veronasupermercados.com.br</t>
  </si>
  <si>
    <t>ANDRE LUIS MOREIRA</t>
  </si>
  <si>
    <t>82.382.458/0001-17</t>
  </si>
  <si>
    <t>avenida parana, 45 - centro</t>
  </si>
  <si>
    <t>https://maps.app.goo.gl/U2BTrkrz1ctDh2i66</t>
  </si>
  <si>
    <t>ANDERSON MARCELO DE ASSIS</t>
  </si>
  <si>
    <t>41-988565449</t>
  </si>
  <si>
    <t>MARCELO@SUPERASSIS.COM.BR</t>
  </si>
  <si>
    <t>EDUARDO HENRIQUE DOS SANTOS NUNES</t>
  </si>
  <si>
    <t>Anderson Marcelo de Assis</t>
  </si>
  <si>
    <t>VICTOR VENTURA</t>
  </si>
  <si>
    <t xml:space="preserve">Não será realizada devida a logistica </t>
  </si>
  <si>
    <t>JOÃO DAVI FIRST</t>
  </si>
  <si>
    <t>assis supermercados ltda</t>
  </si>
  <si>
    <t>82.382.458/0002-06</t>
  </si>
  <si>
    <t>R. Amazonas, 89 - Centro, Piên - PR, 83860-000</t>
  </si>
  <si>
    <t>https://maps.app.goo.gl/zjnGLGuwfNqe9CD47</t>
  </si>
  <si>
    <t>LEANDRO ZIONEIDE SOARES</t>
  </si>
  <si>
    <t>41-988202693</t>
  </si>
  <si>
    <t>leandro@superassis.com.br</t>
  </si>
  <si>
    <t>Segunda-feira: 15:00 às 17:00; Terça-feira: 15:00 às 17:00; Quinta-feira: 15:00 às 17:00; Sexta-feira: 15:00 às 17:00; Sábado: 08:00 às 12:00;</t>
  </si>
  <si>
    <t>GABRIELA CORREIA</t>
  </si>
  <si>
    <t>COMERCIAL DE CEREAIS BLUM LTDA</t>
  </si>
  <si>
    <t>78.127.529/0001-68</t>
  </si>
  <si>
    <t>Rua XV de Novembro, 23, Centro, Ipiranga, PR</t>
  </si>
  <si>
    <t xml:space="preserve">https://maps.app.goo.gl/NxvisLLKNZGq3yBv8 </t>
  </si>
  <si>
    <t>MARIANA BLUM MAYER</t>
  </si>
  <si>
    <t>42-988672769</t>
  </si>
  <si>
    <t>rhsupermercadoblum@gmail.com</t>
  </si>
  <si>
    <t>Segunda-feira: 16:00 às 18:00; Terça-feira: 16:00 às 18:00; Quarta-feira: 16:00 às 18:00; Sexta-feira: 16:00 às 18:00; Sábado: 08:00 às 12:00;</t>
  </si>
  <si>
    <t>JOÃO VINICIUS DE AVILA LEMES</t>
  </si>
  <si>
    <t>Segunda-feira: 15:00 às 17:00; Terça-feira: 15:00 às 17:00; Quarta-feira: 15:00 às 17:00; Sexta-feira: 15:00 às 17:00; Sábado: 08:00 às 12:00;</t>
  </si>
  <si>
    <t>IGOR NATAN FERREIRA</t>
  </si>
  <si>
    <t>Segunda-feira: 15:00 às 17:00; Terça-feira: 15:00 às 17:00; Quarta-feira: 15:00 às 17:00; Quinta-feira: 15:00 às 17:00; Sábado: 08:00 às 12:00;</t>
  </si>
  <si>
    <t>ALAN VICTOR LOPES NUNES</t>
  </si>
  <si>
    <t>AGRICASE EQUIPAMENTOS AGRÍCOLAS LTDA</t>
  </si>
  <si>
    <t>05.444.853/0018-84</t>
  </si>
  <si>
    <t>Agricase Equipamentos Agrícolas Ltda. (Filial Palotina), A - Av. Pres. Kenedy, 1038A - Bela Vista, Palotina - PR, 85950-000</t>
  </si>
  <si>
    <t>https://maps.app.goo.gl/9oVJe6KXBCMy9Vd59</t>
  </si>
  <si>
    <t>Marinez Nava</t>
  </si>
  <si>
    <t>44-998542826</t>
  </si>
  <si>
    <t>palotina.adm@agricase.com.br</t>
  </si>
  <si>
    <t>MARIANY DE ANDRADE VIEIRA</t>
  </si>
  <si>
    <t>05.444.853/0011-08</t>
  </si>
  <si>
    <t>R. Osvaldo Cruz, 1330 - Centro, Guaíra - PR, 85980-000</t>
  </si>
  <si>
    <t>https://maps.app.goo.gl/2QayW4gLU2jNx6rx5</t>
  </si>
  <si>
    <t>GISELE TONELLI DORNELLES MARTINS</t>
  </si>
  <si>
    <t>44-36420500</t>
  </si>
  <si>
    <t>44-991062708</t>
  </si>
  <si>
    <t>guaira.adm@agricase.com.br</t>
  </si>
  <si>
    <t>MARCOS EDUARDO ANTUNES</t>
  </si>
  <si>
    <t>RENAN DA SILVA</t>
  </si>
  <si>
    <t>Terça-feira: 17:00 às 19:00; Quarta-feira: 17:00 às 19:00; Quinta-feira: 17:00 às 19:00; Sexta-feira: 17:00 às 19:00; Sábado: 08:00 às 12:00;</t>
  </si>
  <si>
    <t>TAILANE CAMILE MARTINS</t>
  </si>
  <si>
    <t>Segunda-feira: 17:00 às 19:00; Terça-feira: 17:00 às 19:00; Quarta-feira: 17:00 às 19:00; Quinta-feira: 17:00 às 19:00; Sexta-feira: 15:00 às 19:00;</t>
  </si>
  <si>
    <t>KEZIA CRISTINA PADILHA</t>
  </si>
  <si>
    <t>DIEGO APARECIDO ALMEIDA</t>
  </si>
  <si>
    <t>Segunda-feira: 14:00 às 16:00; Terça-feira: 14:00 às 16:00; Quarta-feira: 14:00 às 16:00; Quinta-feira: 14:00 às 16:00; Sexta-feira: 14:00 às 18:00;</t>
  </si>
  <si>
    <t>MARIA ANTONIA SILVA SANFELICE</t>
  </si>
  <si>
    <t>JCC MIRANDA E CIA LTDA</t>
  </si>
  <si>
    <t>75.774.034/0001-32</t>
  </si>
  <si>
    <t>Av. Pres. Getúlio Vargas, 190 - Astorga, PR, 86730-000</t>
  </si>
  <si>
    <t>https://maps.app.goo.gl/HVtdoodKzfKys6Vc9</t>
  </si>
  <si>
    <t>ANGELA MARIA MEIRA DE QUADROS</t>
  </si>
  <si>
    <t>44-32343422</t>
  </si>
  <si>
    <t>44-999385977</t>
  </si>
  <si>
    <t>angela.saojose1@gmail.com</t>
  </si>
  <si>
    <t>JULIA LOPES DOS SANTOS FELIPE</t>
  </si>
  <si>
    <t>75.774.034/0003-02</t>
  </si>
  <si>
    <t>Av. Dr. José Soares de Azevedo, 955 - Astorga, PR, 86730-000</t>
  </si>
  <si>
    <t>https://maps.app.goo.gl/6SDvWX1qDtQjcKBz9</t>
  </si>
  <si>
    <t>Fernanda Escola Rodrigues</t>
  </si>
  <si>
    <t>44-31348015</t>
  </si>
  <si>
    <t>44-999661175</t>
  </si>
  <si>
    <t>saojoserh75@gmail.com</t>
  </si>
  <si>
    <t>SABRINA VIEIRA DA SILVA</t>
  </si>
  <si>
    <t>05.444.853/0012-99</t>
  </si>
  <si>
    <t>Av. Santos Dumont, 1201 - Jardim Curitiba, Goioerê - PR, 87360-000</t>
  </si>
  <si>
    <t>https://maps.app.goo.gl/6H4S8SwbMPQYt7tQ7</t>
  </si>
  <si>
    <t>REGIANE BORGES BENTO</t>
  </si>
  <si>
    <t>44-35218500</t>
  </si>
  <si>
    <t>44-933001058</t>
  </si>
  <si>
    <t>goioere.adm@agricase.com.br</t>
  </si>
  <si>
    <t>BEATRIZ MALAQUIAS NUNES</t>
  </si>
  <si>
    <t>75.774.034/0004-85</t>
  </si>
  <si>
    <t>Av. São João, 727 - Astorga, PR, 86730-000</t>
  </si>
  <si>
    <t>https://maps.app.goo.gl/n141kaiNyGSatP2E8</t>
  </si>
  <si>
    <t>ROSELENA NUNES DA SILVA</t>
  </si>
  <si>
    <t>44-31348050</t>
  </si>
  <si>
    <t>44-981598500</t>
  </si>
  <si>
    <t>roselena.ns@gmail.com</t>
  </si>
  <si>
    <t>EMELLY KAMILLE DE FRANCA</t>
  </si>
  <si>
    <t>Roselena Nunes da Silva</t>
  </si>
  <si>
    <t>FELIPE AUGUSTO GOMES</t>
  </si>
  <si>
    <t>PEDRO AUGUSTO GARCIA MARQUETTI</t>
  </si>
  <si>
    <t>ALDECO-COMÉRCIO DE DERIVADOS DE PETRÓLEO LTDA</t>
  </si>
  <si>
    <t>79.069.753/0001-03</t>
  </si>
  <si>
    <t>Av. Trifon Hanycz, 122 - Pinhão, PR, 85170-000</t>
  </si>
  <si>
    <t>https://maps.app.goo.gl/rHPVMbS2YNGc3N128</t>
  </si>
  <si>
    <t>ORILENE ERREIRA DA CRUZ</t>
  </si>
  <si>
    <t>42-36771383</t>
  </si>
  <si>
    <t>42-999320620</t>
  </si>
  <si>
    <t>postodoalceu@yahoo.com.br</t>
  </si>
  <si>
    <t>Segunda-feira: 15:00 às 17:00; Terça-feira: 15:00 às 17:00; Quarta-feira: 15:00 às 17:00; Quinta-feira: 15:00 às 07:00; Sexta-feira: 13:00 às 17:00;</t>
  </si>
  <si>
    <t>Não foi realizada, jovem foi para os jogos escolares</t>
  </si>
  <si>
    <t>MAISA APARECIDA VIEIRA</t>
  </si>
  <si>
    <t>MINIMERCADO JVRT LTDA</t>
  </si>
  <si>
    <t>10.445.239/0001-29</t>
  </si>
  <si>
    <t>R. Uberlândia, 95 - Avencal, Piên - PR, 83860-000</t>
  </si>
  <si>
    <t>https://maps.app.goo.gl/6tm3eEP5bLMzGPoFA</t>
  </si>
  <si>
    <t>Verediane Aparecida Vieira da Maia</t>
  </si>
  <si>
    <t>41-36322339</t>
  </si>
  <si>
    <t>41-987533743</t>
  </si>
  <si>
    <t>veredianevieira@gmail.com</t>
  </si>
  <si>
    <t>JULIO CEZAR LOPES FERREIRA</t>
  </si>
  <si>
    <t>79.069.753/0002-94</t>
  </si>
  <si>
    <t>Av. Trifon Hanycz, 215-159 - Pinhão, PR, 85170-000</t>
  </si>
  <si>
    <t>https://maps.app.goo.gl/wtNyyb4bweVYomBw5</t>
  </si>
  <si>
    <t>ORILENE FERREIRA DA CRUZ</t>
  </si>
  <si>
    <t>Por questão de data e prazo não foram realizadas as prox visitas</t>
  </si>
  <si>
    <t>VITOR GABRIEL DOS SANTOS</t>
  </si>
  <si>
    <t>JEZEMATTOS LTDA</t>
  </si>
  <si>
    <t>04.595.700/0001-27</t>
  </si>
  <si>
    <t>Av. Trifon Hanycz, 197 - Pinhão, PR, 85170-000</t>
  </si>
  <si>
    <t>https://maps.app.goo.gl/rTjwvpV6ZGCKNist5</t>
  </si>
  <si>
    <t>Jonirce Aparecida Ferreira</t>
  </si>
  <si>
    <t>42-36771052</t>
  </si>
  <si>
    <t>42-984281518</t>
  </si>
  <si>
    <t>jezemattosjm@gmail.com</t>
  </si>
  <si>
    <t>Segunda-feira: 11:00 às 13:00; Terça-feira: 11:00 às 13:00; Quarta-feira: 11:00 às 13:00; Quinta-feira: 11:00 às 13:00; Sexta-feira: 09:00 às 13:00;</t>
  </si>
  <si>
    <t>JOÃO AUGUSTO GARCIA ALVES</t>
  </si>
  <si>
    <t>BELA SEMENTES INDÚSTRIA E COMÉRCIO DE SEMENTES LTDA</t>
  </si>
  <si>
    <t>24.692.714/0001-76</t>
  </si>
  <si>
    <t>Bela Sementes, PR-445, Tamarana - PR, 86125-000</t>
  </si>
  <si>
    <t>https://maps.app.goo.gl/d4WHr9MWGsFcGr2d8</t>
  </si>
  <si>
    <t>RAFAEL LUZ FERREIRA ALVES BALECHE</t>
  </si>
  <si>
    <t>43-991223934</t>
  </si>
  <si>
    <t>rafael.baleche@belagricola.com.br</t>
  </si>
  <si>
    <t>LEONARDO ROSA MEDEIROS</t>
  </si>
  <si>
    <t>BELAGRICOLA COMERCIO E REPRESENTACOES DE PRODUTOS AGRICOLAS SA</t>
  </si>
  <si>
    <t>79.038.097/0025-59</t>
  </si>
  <si>
    <t>Av. Independência, 1090 - Centro, Bela Vista do Paraíso - PR, 86130-000</t>
  </si>
  <si>
    <t>https://maps.app.goo.gl/AFSLJTMWGMY85qXp6</t>
  </si>
  <si>
    <t>JEFFERSON RODRIGO MESSIAS DE MELO</t>
  </si>
  <si>
    <t>43-999085762</t>
  </si>
  <si>
    <t>jeferson.melo@belagricola.com.br</t>
  </si>
  <si>
    <t>RITA DE CÁSSIA GUILMAN</t>
  </si>
  <si>
    <t>79.038.097/0061-12</t>
  </si>
  <si>
    <t>R. José Antônio Bordgnon, 5 - Palmeira, PR, 84130-000</t>
  </si>
  <si>
    <t>https://maps.app.goo.gl/huPDD4zazETNAi129</t>
  </si>
  <si>
    <t>MAITE GABRIELA MENDES</t>
  </si>
  <si>
    <t>42-999512041</t>
  </si>
  <si>
    <t>maite.mendes@belagricola.com.br</t>
  </si>
  <si>
    <t>NÃO FOI POSSÍVEL ATENDER ( DEMANDA )</t>
  </si>
  <si>
    <t>GABRIELA APARECIDA GIEHL</t>
  </si>
  <si>
    <t>79.038.097/0084-09</t>
  </si>
  <si>
    <t>Belagricola - Guaraúna, Teixeira Soares - PR, 84530-000</t>
  </si>
  <si>
    <t>https://maps.app.goo.gl/sFWcjvgxAyJMwVHW9</t>
  </si>
  <si>
    <t>EMANUEL DE MELLO DE SOUZA</t>
  </si>
  <si>
    <t>88.212.113/1324-30</t>
  </si>
  <si>
    <t>Farmácia São João, Av. Bruno Zuttion, 3439 - Nossa Sra. Aparecida, Realeza - PR, 85770-000</t>
  </si>
  <si>
    <t>https://maps.app.goo.gl/n2SeAQ9YFPxJCrwx6</t>
  </si>
  <si>
    <t>ALEX SANDERPACHECO DELFIM</t>
  </si>
  <si>
    <t>54-997016786</t>
  </si>
  <si>
    <t>alexdelfim@farmaciassaojoao.com.br</t>
  </si>
  <si>
    <t>EZEQUIEL HENRIQUE TOBLER</t>
  </si>
  <si>
    <t>LEONARDO MARTINS JUNGLES</t>
  </si>
  <si>
    <t>FELIPE DE OLIVEIRA ASSUNÇÃO</t>
  </si>
  <si>
    <t>88.212.113/1104-60</t>
  </si>
  <si>
    <t>Av. Roberto Conceição, 77 - Centro, Cambé - PR, 86192-550</t>
  </si>
  <si>
    <t>https://maps.app.goo.gl/ccwiNKsa6NE7d7cb6</t>
  </si>
  <si>
    <t>NATHALIA GONÇALVES DA SILVA</t>
  </si>
  <si>
    <t>43-999210873</t>
  </si>
  <si>
    <t>gsnathalia@hotmail.com</t>
  </si>
  <si>
    <t>HEITOR APARECIDO COSTA SILVA</t>
  </si>
  <si>
    <t>88.212.113/1205-04</t>
  </si>
  <si>
    <t>Farmácias São João, Av. Bolívar, 138 - Centro, Japurá - PR, 87225-000</t>
  </si>
  <si>
    <t>https://maps.app.goo.gl/7NW7AUCsPHtrSvva7</t>
  </si>
  <si>
    <t>DAIANE CRISTINA DA SILVA</t>
  </si>
  <si>
    <t>44-998775060</t>
  </si>
  <si>
    <t>daianecristinadasilva24@gmail.com</t>
  </si>
  <si>
    <t>GABRIEL PAULINO JORDAO</t>
  </si>
  <si>
    <t>MAYARA DA SILVA LOUVEN</t>
  </si>
  <si>
    <t>DANIEL DOS SANTOS LUCAS</t>
  </si>
  <si>
    <t>88.212.113/1207-76</t>
  </si>
  <si>
    <t>Av. Dr. Vacyr Gonçalves Pereira, 268 - Centro, Sertanópolis - PR, 86170-000</t>
  </si>
  <si>
    <t>https://maps.app.goo.gl/e5TSAzw6bkcBThy17</t>
  </si>
  <si>
    <t>RHAYELLE THAYSSA POLIZEL</t>
  </si>
  <si>
    <t>43-991278584</t>
  </si>
  <si>
    <t>rhayelle.polizel@uel.br</t>
  </si>
  <si>
    <t>MANUELA CAMARGO INFANTE</t>
  </si>
  <si>
    <t>03.644.587/0012-12</t>
  </si>
  <si>
    <t>R. Pedro Navarro Gutierres, 360 - Jardim Nova Itália, Sabáudia - PR, 86720-000</t>
  </si>
  <si>
    <t>https://maps.app.goo.gl/BNhES6EYXDeXLUSa7</t>
  </si>
  <si>
    <t>ALINE CRISTINA DA SILVA MIRANDA</t>
  </si>
  <si>
    <t>44-32512205</t>
  </si>
  <si>
    <t>financeiro.loja8@veronasupermercados.com.br</t>
  </si>
  <si>
    <t>NATALY GABRIELLI DE FIGUEIREDO</t>
  </si>
  <si>
    <t>Aline Cristina da Silva Miranda</t>
  </si>
  <si>
    <t>RYAN LEONARDO PEREIRA DA CRUZ</t>
  </si>
  <si>
    <t>CRISTINA SANCHES DE OLIVEIRA</t>
  </si>
  <si>
    <t>88.212.113/1208-57</t>
  </si>
  <si>
    <t>Av. Rui Barbosa, 397 - Tapejara, PR, 87430-000</t>
  </si>
  <si>
    <t>https://maps.app.goo.gl/1d8JcyL99E16BvU38</t>
  </si>
  <si>
    <t>DYELLY MARIA DOS REIS</t>
  </si>
  <si>
    <t>44-984336103</t>
  </si>
  <si>
    <t>DYELLYMARIA@OUTLOOK.COM</t>
  </si>
  <si>
    <t>RENAN EMANOEL PRUDENTE DA CRUZ</t>
  </si>
  <si>
    <t>88.212.113/0817-70</t>
  </si>
  <si>
    <t>Av. Trifon Hanycz, 163 - CENTRO, Pinhão - PR, 85170-000</t>
  </si>
  <si>
    <t>https://maps.app.goo.gl/ySydTqbnktwgtKGH8</t>
  </si>
  <si>
    <t>Gessica Aparecida Prudente Penteado</t>
  </si>
  <si>
    <t>42-999594822</t>
  </si>
  <si>
    <t>aparecidajessica39@gmail.com</t>
  </si>
  <si>
    <t>AFASTAMENTO 90 DIAS A PARTIR 11/07/2025</t>
  </si>
  <si>
    <t>LARA IZABELY GOMES VALDEZ</t>
  </si>
  <si>
    <t>88.212.113/1027-94</t>
  </si>
  <si>
    <t>Farmácia São João, R. Paraná, 825 - Cruzeiro do Oeste, PR, 87400-000</t>
  </si>
  <si>
    <t>https://maps.app.goo.gl/nEvzDp3PH6wfDDQn7</t>
  </si>
  <si>
    <t>GESSICA NOEMI GOMES VALDEZ</t>
  </si>
  <si>
    <t>54-996659816</t>
  </si>
  <si>
    <t>gessicaduarte95@gmail.com</t>
  </si>
  <si>
    <t>BRUNO ALVES BUENO</t>
  </si>
  <si>
    <t>88.212.113/1230-15</t>
  </si>
  <si>
    <t>Av. Brasil, 1286 - CENTRO, Cambará - PR, 86390-000</t>
  </si>
  <si>
    <t>https://maps.app.goo.gl/7Fq3664yqBXcfp9x6</t>
  </si>
  <si>
    <t>BRUNA GUIMARAES BALDINO</t>
  </si>
  <si>
    <t>43-998125371</t>
  </si>
  <si>
    <t>BRUNAGUIMARAES1973@HOTMAIL.COM</t>
  </si>
  <si>
    <t>GABRIEL DOS SANTOS</t>
  </si>
  <si>
    <t>88.212.113/1339-16</t>
  </si>
  <si>
    <t>R. Primeiro de Maio, 444 - Centro, Santa Terezinha de Itaipu - PR, 85875-000</t>
  </si>
  <si>
    <t>https://maps.app.goo.gl/r6AcX95VYiSE68Jv7</t>
  </si>
  <si>
    <t>Matheus Felipe de Queiroz</t>
  </si>
  <si>
    <t>45-999591722</t>
  </si>
  <si>
    <t>matheusqueiroz__@hotmail.com</t>
  </si>
  <si>
    <t>TIAGO GABRIEL MONTEIRO</t>
  </si>
  <si>
    <t>96.418.264/0383-73</t>
  </si>
  <si>
    <t>R. Mal. Deodoro, 100 - Centro, Mangueirinha - PR, 85540-000</t>
  </si>
  <si>
    <t>https://maps.app.goo.gl/Gpftdp7gBv9gr9TF8</t>
  </si>
  <si>
    <t>DANIELI LOPES DOS SANTOS</t>
  </si>
  <si>
    <t>46-32430350</t>
  </si>
  <si>
    <t>46-991123926</t>
  </si>
  <si>
    <t>ger367@quero-quero.com.br</t>
  </si>
  <si>
    <t>DHENNYFER KAUANE POLI PIMENTEL</t>
  </si>
  <si>
    <t>Enilda Yukie Kitanishi</t>
  </si>
  <si>
    <t>GUSTAVO CESAR CAMPOS</t>
  </si>
  <si>
    <t>ROSANGELA FARIAS PEDRO</t>
  </si>
  <si>
    <t>THAIS FERNANDA VIEIRA</t>
  </si>
  <si>
    <t>JENIFER APARECIDA PEREIRA DE MATOS</t>
  </si>
  <si>
    <t>03.644.587/0020-22</t>
  </si>
  <si>
    <t>Box Atacadista, R. Irineu Gobbo, 275 - Centro, Tibagi - PR, 84300-000</t>
  </si>
  <si>
    <t>https://maps.app.goo.gl/cR4LBmfuiwgY5cLX9</t>
  </si>
  <si>
    <t>Elizete Soares da Silva</t>
  </si>
  <si>
    <t>43-31721100</t>
  </si>
  <si>
    <t>rh.loja18@boxatacadista.com.br</t>
  </si>
  <si>
    <t>MILENA CORDEIRO BANKS</t>
  </si>
  <si>
    <t>NATHANAEL BLONSKI KUTZ</t>
  </si>
  <si>
    <t>CAMILA GROCHOSKI</t>
  </si>
  <si>
    <t>42-991126474</t>
  </si>
  <si>
    <t>SELSO DANIEL DO NASCIMENTO KOJURA</t>
  </si>
  <si>
    <t>Camila Grochoski</t>
  </si>
  <si>
    <t>Segunda-feira: 17:00 às 19:00; Terça-feira: 17:00 às 19:00; Quarta-feira: 17:00 às 19:00; Sexta-feira: 17:00 às 19:00; Sábado: 08:00 às 12:00;</t>
  </si>
  <si>
    <t>VITOR EDUARDO ZATCERKONEY SOARES</t>
  </si>
  <si>
    <t>Segunda-feira: 15:30 às 17:30; Terça-feira: 15:30 às 17:30; Quarta-feira: 15:30 às 17:30; Sexta-feira: 15:30 às 17:30; Sábado: 08:00 às 12:00;</t>
  </si>
  <si>
    <t>DAYVID DOS SANTOS PADILHA ZANELLA</t>
  </si>
  <si>
    <t>SUPERMERCADO SUPERPAO SA</t>
  </si>
  <si>
    <t>77.883.320/0002-42</t>
  </si>
  <si>
    <t>Av. Manoel Ribas, 390 - Centro, Guaraniaçu - PR, 85400-000</t>
  </si>
  <si>
    <t>https://maps.app.goo.gl/oxKmEHacAZDirxQU8</t>
  </si>
  <si>
    <t>ELAINE OLIVEIRA DE SOUZA</t>
  </si>
  <si>
    <t>45-32321237</t>
  </si>
  <si>
    <t>45-999114122</t>
  </si>
  <si>
    <t>rh02@superpao.com.br</t>
  </si>
  <si>
    <t>WILYAN GUILHERME GOMES DOS SANTOS DA SILVA</t>
  </si>
  <si>
    <t>Elaine Oliveira de Souza</t>
  </si>
  <si>
    <t>YGOR ZAGO MAZUREK</t>
  </si>
  <si>
    <t>ALANA JULIA DA SILVA MOREIRA</t>
  </si>
  <si>
    <t>88.212.113/1242-59</t>
  </si>
  <si>
    <t>Av. Pres. Getúlio Vargas, 1037, Santa Fé - PR, 86770-000</t>
  </si>
  <si>
    <t>https://maps.app.goo.gl/tF6s4hHvovSe1cNx7</t>
  </si>
  <si>
    <t>TICIANE PONTIN DA SILVA</t>
  </si>
  <si>
    <t>44-999555000</t>
  </si>
  <si>
    <t>TICIANEPONTIN@GMAIL.COM</t>
  </si>
  <si>
    <t>GUSTAVO HENRIQUE GOMES DE JESUS</t>
  </si>
  <si>
    <t>88.212.113/1059-71</t>
  </si>
  <si>
    <t>Av. Pedro Viriato P. de Souza, 31 - Chácara Manella, Cambé - PR, 86186-020</t>
  </si>
  <si>
    <t>https://maps.app.goo.gl/HtkSmSEzBoxXGz7Z8</t>
  </si>
  <si>
    <t>ALISON MACHADO FREITAS</t>
  </si>
  <si>
    <t>54-997119039</t>
  </si>
  <si>
    <t>alison.freitas@farmaciassaojoao.com.br</t>
  </si>
  <si>
    <t>HEVERTON MOREIRA DA SILVA</t>
  </si>
  <si>
    <t>77.883.320/0017-29</t>
  </si>
  <si>
    <t>Av. Pres. Getúlio Vargas, 920 - Pitanga, PR, 85200-000</t>
  </si>
  <si>
    <t xml:space="preserve">https://maps.app.goo.gl/AeVAuowtkdxm96xf9 </t>
  </si>
  <si>
    <t>Eluciane de Fatima Rosa</t>
  </si>
  <si>
    <t>42-36463275</t>
  </si>
  <si>
    <t>42-998208868</t>
  </si>
  <si>
    <t>rh17@superpao.com.br</t>
  </si>
  <si>
    <t>CARLOS EDUARDO DE CASTRO CABRAL</t>
  </si>
  <si>
    <t>SUPERMERCADO SUPERPAO LTDA</t>
  </si>
  <si>
    <t>77.883.320/0020-24</t>
  </si>
  <si>
    <t>Superpão Compre Mais, R. Duque de Caxias, 81-273 - Jardim Santa Cecilia, Manoel Ribas - PR, 85260-000</t>
  </si>
  <si>
    <t>https://maps.app.goo.gl/UAqqz3ZmFnHfB5WE8</t>
  </si>
  <si>
    <t>FABRICIO DE ALMEIDA DA SILVA ANTUNES</t>
  </si>
  <si>
    <t>42-36213200</t>
  </si>
  <si>
    <t>43-999548414</t>
  </si>
  <si>
    <t>rh20@superpao.com.br</t>
  </si>
  <si>
    <t>ELOISE DUARTE DA SILVA</t>
  </si>
  <si>
    <t>77.883.320/0028-81</t>
  </si>
  <si>
    <t>Av. Trifon Hanycz, 70 - Centro, Pinhão - PR, 85170-000</t>
  </si>
  <si>
    <t>https://maps.app.goo.gl/hYrZmGFrVysGypRT7</t>
  </si>
  <si>
    <t>JOÃO RENATO DA SILVA</t>
  </si>
  <si>
    <t>42-36771283</t>
  </si>
  <si>
    <t>42-984390341</t>
  </si>
  <si>
    <t>rh30@superpao.com.br</t>
  </si>
  <si>
    <t xml:space="preserve">DESLIGADO </t>
  </si>
  <si>
    <t>FERNANDA PRESTES PEREIRA</t>
  </si>
  <si>
    <t>João Renato da Silva</t>
  </si>
  <si>
    <t>WILLYAN JARDEL CALDAS</t>
  </si>
  <si>
    <t>BRIAN GUALDEZI BRUSTOLIN</t>
  </si>
  <si>
    <t>JEAN LUIZ CASSI MOREIRA</t>
  </si>
  <si>
    <t>MAIARA VALOSKI CARNEIRO DE LIMA</t>
  </si>
  <si>
    <t>Jean Luiz Cassi Moreira</t>
  </si>
  <si>
    <t>RAYSSA CRISTINA DE CASTRO FERREIRA</t>
  </si>
  <si>
    <t>88.212.113/1263-83</t>
  </si>
  <si>
    <t>Assis Chateaubriand, PR, 85935-000</t>
  </si>
  <si>
    <t>https://maps.app.goo.gl/wCZUApt5rcZL42QBA</t>
  </si>
  <si>
    <t>MAYCON CALOI DE SOUZA</t>
  </si>
  <si>
    <t>44-999354274</t>
  </si>
  <si>
    <t>mayconcaloi91@gmail.com</t>
  </si>
  <si>
    <t>LUCAS MIGUEL RODRIGUES KRSYSIGUSKI</t>
  </si>
  <si>
    <t>CARLOS AUGUSTO SANTOS</t>
  </si>
  <si>
    <t>LUIZ FELIPE SKARABA</t>
  </si>
  <si>
    <t>88.212.113/0867-30</t>
  </si>
  <si>
    <t>Av. Fernandes Andrade, 1484 - Centro, Quitandinha - PR, 83840-000</t>
  </si>
  <si>
    <t>https://maps.app.goo.gl/8UAETXqUdsBDKzza9</t>
  </si>
  <si>
    <t>RUFINO EDUARDO DA SILVA</t>
  </si>
  <si>
    <t>41-998917819</t>
  </si>
  <si>
    <t>RUFINO-EDUARDO-SILVA@OUTLOOK.COM</t>
  </si>
  <si>
    <t>RHAYANE MOTA TABORDA DA SILVEIRA</t>
  </si>
  <si>
    <t>Carlos Augusto Santos</t>
  </si>
  <si>
    <t>VITOR ALVES DE OLIVEIRA SIKOSKI MOURA</t>
  </si>
  <si>
    <t>FRANCILEIA FERREIRA BORGES</t>
  </si>
  <si>
    <t>01.909.243/0001-00</t>
  </si>
  <si>
    <t>R. Duque de Caxias, 771 - São Francisco, Ampére - PR, 85640-000</t>
  </si>
  <si>
    <t>https://maps.app.goo.gl/PZqZJSYDrbHW5kgt7</t>
  </si>
  <si>
    <t>KELLEN CRISTINA DE CAMARGO BERNARDI</t>
  </si>
  <si>
    <t>46-999789263</t>
  </si>
  <si>
    <t>kelcesca@hotmail.com</t>
  </si>
  <si>
    <t>BRENO LUIZ BOIA DA SILVA</t>
  </si>
  <si>
    <t>IRMAOS MOSOLI LTDA</t>
  </si>
  <si>
    <t>75.880.328/0001-49</t>
  </si>
  <si>
    <t>Av. Pres. Vargas, 681 - Centro, Araruna - PR, 87260-000</t>
  </si>
  <si>
    <t>https://maps.app.goo.gl/7K5UWHyXcskUXTaD6</t>
  </si>
  <si>
    <t>Carla Mosoli Turazi</t>
  </si>
  <si>
    <t>44-35621280</t>
  </si>
  <si>
    <t>44-998705086</t>
  </si>
  <si>
    <t>mosolinhoadm@gmail.com</t>
  </si>
  <si>
    <t>LUCAS FERREIRA DA CRUZ</t>
  </si>
  <si>
    <t>88.212.113/1169-06</t>
  </si>
  <si>
    <t>Av. Brasil, 963 - Vila Salome, Cambé - PR, 86192-000</t>
  </si>
  <si>
    <t>https://maps.app.goo.gl/vHX4DzYAX8BbNAh88</t>
  </si>
  <si>
    <t>RAFAEL MORGUETE</t>
  </si>
  <si>
    <t>43-999103854</t>
  </si>
  <si>
    <t>rafaelmorguete@gmail.com</t>
  </si>
  <si>
    <t>ELIEZER SOARES</t>
  </si>
  <si>
    <t>DANIEL GRABOSKI DA SILVA</t>
  </si>
  <si>
    <t>KOLTUN &amp; COLATUSSO LTDA</t>
  </si>
  <si>
    <t>84.897.313/0001-84</t>
  </si>
  <si>
    <t>NÃO ESTÁ MAIS NO EAD</t>
  </si>
  <si>
    <t>GABRIELLY MORGES GONÇALVES</t>
  </si>
  <si>
    <t>41-30547631</t>
  </si>
  <si>
    <t>41-991965106</t>
  </si>
  <si>
    <t>GABRIELLYGONCALVES@GRUPOSJ.COM.BR</t>
  </si>
  <si>
    <t>ISABELLA DA ROCHA GONÇALVES</t>
  </si>
  <si>
    <t>COMÉRCIO DE MEDICAMENTOS BRAIR LTDA</t>
  </si>
  <si>
    <t>88.212.113/1097-05</t>
  </si>
  <si>
    <t>Av. Cristóvão Colombo, 1055 - Centro, Marialva - PR, 86990-000</t>
  </si>
  <si>
    <t>https://maps.app.goo.gl/6cUdmrHgXQbnUM9G8</t>
  </si>
  <si>
    <t>ELAINE CRISTINA DE OLIVEIRA SILVA</t>
  </si>
  <si>
    <t>44-997706545</t>
  </si>
  <si>
    <t>marialva2@farmaciassaojoao.com.br</t>
  </si>
  <si>
    <t>MARIA EDUARDA ANDRADE BARROS</t>
  </si>
  <si>
    <t>PONTO RURAL COMÉRCIO E DISTRIBUICAO DE INSUMOS AGRICOLAS LTDA (AMOREIRA LOJA)</t>
  </si>
  <si>
    <t>86.960.945/0002-51</t>
  </si>
  <si>
    <t>Ponto Rural, Rod PR 218 km 149, Seção Amoreira, São Sebastião da Amoreira - PR, 86240-000</t>
  </si>
  <si>
    <t>https://maps.app.goo.gl/RVGmpLjcSB34XfWH8</t>
  </si>
  <si>
    <t>ELIDO APARECIDO PEREIRA</t>
  </si>
  <si>
    <t>43-32651224</t>
  </si>
  <si>
    <t>ELIDO@PONTORURALAGRO.COM.BR</t>
  </si>
  <si>
    <t>RAFAEL CASTILHO DE QUEIROZ</t>
  </si>
  <si>
    <t>PONTO RURAL COMÉRCIO E DISTR DE INSUMOS AGRICOLAS LTDA -  (SILO)</t>
  </si>
  <si>
    <t>86.960.945/0007-66</t>
  </si>
  <si>
    <t>https://maps.app.goo.gl/eLhp1RtwZj4ghXte8</t>
  </si>
  <si>
    <t>CAMILA YUKARI OUBA</t>
  </si>
  <si>
    <t>43-32652381</t>
  </si>
  <si>
    <t>CAMILA.OUBA@PONTORURALAGRO.COM.BR</t>
  </si>
  <si>
    <t>JOÃO EMANUEL OLIVEIRA DA ROCHA</t>
  </si>
  <si>
    <t>77.883.320/0030-04</t>
  </si>
  <si>
    <t>R. Francisco Delle, 30 - Pinhão, PR, 85170-000</t>
  </si>
  <si>
    <t>https://maps.app.goo.gl/NWac9WTxhrCF8mcP8</t>
  </si>
  <si>
    <t>LIAN MATHEUS FARIAS</t>
  </si>
  <si>
    <t>ANTÔNIO FREDERICO BORGES CARLOTTO</t>
  </si>
  <si>
    <t>77.883.320/0031-87</t>
  </si>
  <si>
    <t>R. Juazeiro, 1429 - Centro, Quedas do Iguaçu - PR, 85460-000</t>
  </si>
  <si>
    <t>https://maps.app.goo.gl/baKafCazjv4sXBnG9</t>
  </si>
  <si>
    <t>ANGELA MARINA DEMBINSKI</t>
  </si>
  <si>
    <t>46-35321185</t>
  </si>
  <si>
    <t>45-991460728</t>
  </si>
  <si>
    <t>rh31@superpao.com.br</t>
  </si>
  <si>
    <t>Segunda-feira: 16:00 às 18:00; Terça-feira: 16:00 às 18:00; Quinta-feira: 16:00 às 18:00; Sexta-feira: 16:00 às 18:00; Sábado: 08:00 às 12:00;</t>
  </si>
  <si>
    <t>JOÃO GABRIEL DE MORAES ALVES</t>
  </si>
  <si>
    <t>77.883.320/0034-20</t>
  </si>
  <si>
    <t>R. Santa Catarina, 260 - São Luiz, Cel. Vivida - PR, 85550-000</t>
  </si>
  <si>
    <t>https://maps.app.goo.gl/pVnTMgGYSYgtY2CZ6</t>
  </si>
  <si>
    <t>SILVANA SILVEIRA</t>
  </si>
  <si>
    <t>46-32321626</t>
  </si>
  <si>
    <t>46-999113923</t>
  </si>
  <si>
    <t>RH34@SUPERPAO.COM.BR</t>
  </si>
  <si>
    <t>GUILHERME ALVES DOS SANTOS</t>
  </si>
  <si>
    <t>84.897.313/0004-27</t>
  </si>
  <si>
    <t>Gabrielly Morges Gonçalves</t>
  </si>
  <si>
    <t>MATHEUS WILLES FRANCO RUTZ</t>
  </si>
  <si>
    <t>VINICIUS SCHUERTS GALVAN</t>
  </si>
  <si>
    <t>AMANDA EVELLYN ARRIOLA</t>
  </si>
  <si>
    <t>84.897.313/0006-99</t>
  </si>
  <si>
    <t>PEDRO ARTHUR ROCHA DE LIMA</t>
  </si>
  <si>
    <t>WELLINGTON RAPHAEL FERREIRA DA COSTA</t>
  </si>
  <si>
    <t>M P SOARES E CIA LTDA</t>
  </si>
  <si>
    <t>76.159.573/0001-24</t>
  </si>
  <si>
    <t>Av. Pres. Getúlio Vargas, 751 - Centro, Pitanga - PR, 85200-000</t>
  </si>
  <si>
    <t>https://maps.app.goo.gl/M6pvg8ievkhhfB7r9</t>
  </si>
  <si>
    <t>FELIPE GUIMARÃES</t>
  </si>
  <si>
    <t>42-36463435</t>
  </si>
  <si>
    <t>mpsoarescialtda@hotmail.com</t>
  </si>
  <si>
    <t>LUCAS DA SILVA BATISTA</t>
  </si>
  <si>
    <t>PAVAN E MARTON LTDA</t>
  </si>
  <si>
    <t>86.732.518/0001-35</t>
  </si>
  <si>
    <t>R. Ver. Aparecido Scandelai, 2027, Santa Fé - PR, 86770-000</t>
  </si>
  <si>
    <t>https://maps.app.goo.gl/1b6VeDdJPBs3uie58</t>
  </si>
  <si>
    <t>GISELDA CRISTINA TELES GALILEA</t>
  </si>
  <si>
    <t>44-32471288</t>
  </si>
  <si>
    <t>44-997020597</t>
  </si>
  <si>
    <t>admpavan@supermercadosbomdia.com.br</t>
  </si>
  <si>
    <t>EVELIN CRISTINA NUNES</t>
  </si>
  <si>
    <t>SUPER MERCOSUL LTDA</t>
  </si>
  <si>
    <t>10.995.373/0001-01</t>
  </si>
  <si>
    <t>R. Oitava Constituinte, 245-147 - Centro, Chopinzinho - PR, 85560-000</t>
  </si>
  <si>
    <t>https://maps.app.goo.gl/zzLvbtNYy7vYnhZ57</t>
  </si>
  <si>
    <t>TAIRINI SOZO</t>
  </si>
  <si>
    <t>46-32422612</t>
  </si>
  <si>
    <t>46-999072509</t>
  </si>
  <si>
    <t>rh.supermercosul@gmail.com</t>
  </si>
  <si>
    <t>Terça-feira: 10:00 às 12:00; Quarta-feira: 10:00 às 12:00; Quinta-feira: 10:00 às 12:00; Sexta-feira: 10:00 às 12:00; Sábado: 08:00 às 12:00;</t>
  </si>
  <si>
    <t>AMANDA DE OLIVEIRA SPENGLER</t>
  </si>
  <si>
    <t>96.418.264/0371-30</t>
  </si>
  <si>
    <t>R. Arnaldo Busato, 3031 - Centro, Realeza - PR, 85770-000</t>
  </si>
  <si>
    <t>https://maps.app.goo.gl/2LPBCSr1fExJEQFp9</t>
  </si>
  <si>
    <t>CLOVIS BONATTI</t>
  </si>
  <si>
    <t>46-35438550</t>
  </si>
  <si>
    <t>46-991057399</t>
  </si>
  <si>
    <t>clovis.bonatti@quero-quero.com.br</t>
  </si>
  <si>
    <t>LUIS CLAUDIO DOS SANTOS BAROTTO</t>
  </si>
  <si>
    <t>VENDRAMINI FILHOS LTDA</t>
  </si>
  <si>
    <t>78.455.607/0002-34</t>
  </si>
  <si>
    <t>Av. Brasil, 597 - Eng. Beltrão, PR, 87270-000</t>
  </si>
  <si>
    <t>https://maps.app.goo.gl/T2YFSebQrS9uRt6h6</t>
  </si>
  <si>
    <t>Erika Vanessa Spala Vicentini</t>
  </si>
  <si>
    <t>44-997252989</t>
  </si>
  <si>
    <t>erika.bomdia@hotmail.com</t>
  </si>
  <si>
    <t>MATHEUS HENRIQUE NERIS DA SILVA</t>
  </si>
  <si>
    <t>JOÃO VITOR MEDEIROS SILVA</t>
  </si>
  <si>
    <t>78.455.607/0005-87</t>
  </si>
  <si>
    <t>Av. Dr. Cícero de Morães, 760 - São Pedro do Ivaí, PR, 86945-000</t>
  </si>
  <si>
    <t>https://maps.app.goo.gl/yFuLe3HW8vQHBL1k7</t>
  </si>
  <si>
    <t>ERIKA VANESSA SPALA VICENTINI</t>
  </si>
  <si>
    <t>VICTOR HUGO DA SILVA MOREIRA</t>
  </si>
  <si>
    <t>FELIPE BERNARDI AGOSTINIS</t>
  </si>
  <si>
    <t>78.455.607/0007-49</t>
  </si>
  <si>
    <t>Av. Curitiba, 1040 - Centro, Peabiru - PR, 87250-000</t>
  </si>
  <si>
    <t>https://maps.app.goo.gl/7dKzFi19Q7yfNi6w7</t>
  </si>
  <si>
    <t>HELLEN OLINDINA DE BRITO</t>
  </si>
  <si>
    <t>89.848.543/0300-84</t>
  </si>
  <si>
    <t>Av. Manoel Ribas, 88 - Centro, Astorga - PR, 86730-000</t>
  </si>
  <si>
    <t>https://maps.app.goo.gl/wAM2d3kzBRMJh9Fv7</t>
  </si>
  <si>
    <t>ADRIANA DE SANTANA</t>
  </si>
  <si>
    <t>44-32343246</t>
  </si>
  <si>
    <t>44-999337416</t>
  </si>
  <si>
    <t>GERENTE167@cOLOMBO.COM.BR</t>
  </si>
  <si>
    <t>MICHELY FRANCISCA ANTUNES DE SOUZA</t>
  </si>
  <si>
    <t>VICTTOR GABRIEL DE OLIVEIRA</t>
  </si>
  <si>
    <t>78.455.607/0010-44</t>
  </si>
  <si>
    <t>Av. Vinte e Nove de Novembro, 330 - Centro, Araruna - PR, 87260-000</t>
  </si>
  <si>
    <t>https://maps.app.goo.gl/oHWm6BpJJw2tVh25A</t>
  </si>
  <si>
    <t>JOSÉ HENRIQUE HERMIDA</t>
  </si>
  <si>
    <t>96.418.264/0519-81</t>
  </si>
  <si>
    <t>Av. Pres. Castelo Branco, 1841 - Iporã, PR, 87560-000</t>
  </si>
  <si>
    <t>https://maps.app.goo.gl/pvSE7CXuzJqLUDDC7</t>
  </si>
  <si>
    <t>JHONATAN DOS SANTOS VIOTI</t>
  </si>
  <si>
    <t>44-36528650</t>
  </si>
  <si>
    <t>44-998194088</t>
  </si>
  <si>
    <t>ger503@quero-quero.com.br</t>
  </si>
  <si>
    <t>Terça-feira: 15:00 às 17:00; Quarta-feira: 15:00 às 17:00; Quinta-feira: 15:00 às 17:00; Sexta-feira: 15:00 às 17:00; Sábado: 08:00 às 12:00;</t>
  </si>
  <si>
    <t>IRAN AUGUSTINHO MALANOTE</t>
  </si>
  <si>
    <t>96.418.264/0621-69</t>
  </si>
  <si>
    <t>Av. João Teotônio Moreira Sáles Neto, 1057 - Moreira Sales, PR, 87370-000</t>
  </si>
  <si>
    <t>https://maps.app.goo.gl/4KSw5XpULmJgDs2m7</t>
  </si>
  <si>
    <t>DIONI LISIERO</t>
  </si>
  <si>
    <t>45-999530741</t>
  </si>
  <si>
    <t>GER607@QUERO-QUERO.COM.BR</t>
  </si>
  <si>
    <t>GUILHERME HENRIQUE VERDI</t>
  </si>
  <si>
    <t>96.418.264/0465-54</t>
  </si>
  <si>
    <t>Av. XV de Novembro, 3663 - Centro, Chopinzinho - PR, 85560-000</t>
  </si>
  <si>
    <t>https://maps.app.goo.gl/ifmNkZwSRy4nrVvF8</t>
  </si>
  <si>
    <t>FABIANO DOS SANTOS</t>
  </si>
  <si>
    <t>46-32428100</t>
  </si>
  <si>
    <t>46-999229423</t>
  </si>
  <si>
    <t>ger453@quero-quero.com.br</t>
  </si>
  <si>
    <t>YASMIN ABREU DOS SANTOS</t>
  </si>
  <si>
    <t>96.418.264/0367-53</t>
  </si>
  <si>
    <t>R. Gervásio Hitóchi Dói, 280, Candói - PR, 85140-000</t>
  </si>
  <si>
    <t>https://maps.app.goo.gl/RJhSs5zLcCo63sbs8</t>
  </si>
  <si>
    <t>Nelson Zelinski</t>
  </si>
  <si>
    <t>42-36388100</t>
  </si>
  <si>
    <t>42-988083947</t>
  </si>
  <si>
    <t>ger353@quero-quero.com.br</t>
  </si>
  <si>
    <t>Segunda-feira: 15:00 às 17:00; Quarta-feira: 15:00 às 17:00; Quinta-feira: 15:00 às 17:00; Sexta-feira: 15:00 às 17:00; Sábado: 08:00 às 12:00;</t>
  </si>
  <si>
    <t>EDINEI DE OLIVEIRA RIBEIRO</t>
  </si>
  <si>
    <t>96.418.264/0570-84</t>
  </si>
  <si>
    <t>R. Telêmaco Carneiro, 1096 - Centro, Arapoti - PR, 84990-000</t>
  </si>
  <si>
    <t>https://maps.app.goo.gl/smYVwLsdrsfeC8Ab6</t>
  </si>
  <si>
    <t>Maciel Galdino Da Silva</t>
  </si>
  <si>
    <t>43-35578600</t>
  </si>
  <si>
    <t>43-999679412</t>
  </si>
  <si>
    <t>ger554@quero-quero.com.br</t>
  </si>
  <si>
    <t>ERICK VINICIUS RAVANELLO</t>
  </si>
  <si>
    <t>96.418.264/0397-79</t>
  </si>
  <si>
    <t>R. Alzira de Abreu, 759 - Centro, Cantagalo - PR, 85160-000</t>
  </si>
  <si>
    <t>https://maps.app.goo.gl/qdhG25GBr5a3afcw6</t>
  </si>
  <si>
    <t>LETICIA DA ROSA FAGUNDES</t>
  </si>
  <si>
    <t>42-36368150</t>
  </si>
  <si>
    <t>42-991068539</t>
  </si>
  <si>
    <t>adm381@querp-quero.com.br</t>
  </si>
  <si>
    <t>BRUNO DA SILVA MEDEIROS TOMAZ</t>
  </si>
  <si>
    <t>96.418.264/0612-78</t>
  </si>
  <si>
    <t>R. Assis Brasil, 132 - Centro, Matelândia - PR, 85887-000</t>
  </si>
  <si>
    <t>https://maps.app.goo.gl/VaByQkZRXJA2XnmW6</t>
  </si>
  <si>
    <t>Marilete Camilo</t>
  </si>
  <si>
    <t>45-999328826</t>
  </si>
  <si>
    <t>45-991517644</t>
  </si>
  <si>
    <t>ger595@quero-quero.com.br</t>
  </si>
  <si>
    <t>KAMILLI DE SOUZA FERREIRA</t>
  </si>
  <si>
    <t>96.418.264/0526-00</t>
  </si>
  <si>
    <t>R. Gen. Osório, 379 - Centro, Campina da Lagoa - PR, 87345-000</t>
  </si>
  <si>
    <t>https://maps.app.goo.gl/NFdWPjmCpSgbgMaLA</t>
  </si>
  <si>
    <t>NADLA CAROLINA DE MEDEIROS PINTO</t>
  </si>
  <si>
    <t>44-35428150</t>
  </si>
  <si>
    <t>44-998802589</t>
  </si>
  <si>
    <t>ger514@quero-quero.com.br</t>
  </si>
  <si>
    <t>LUIZ FELIPE DE SOUZA MARINHO</t>
  </si>
  <si>
    <t>96.418.264/0632-11</t>
  </si>
  <si>
    <t>Av. Brasil, 755, Cambira - PR, 86890-000</t>
  </si>
  <si>
    <t>https://maps.app.goo.gl/3RYUjpKcRusFnCL69</t>
  </si>
  <si>
    <t>GILSON JOSE FONSECA</t>
  </si>
  <si>
    <t>43-999818885</t>
  </si>
  <si>
    <t>ger616@quero-quero.com.br</t>
  </si>
  <si>
    <t>ARIEL EDUARDO ROSSETTO ZAMARCHI</t>
  </si>
  <si>
    <t>96.418.264/0252-04</t>
  </si>
  <si>
    <t>R. Clevelândia, 154 - Centro, Cel. Vivida - PR, 85550-000</t>
  </si>
  <si>
    <t>https://maps.app.goo.gl/dCWdSEMusEbFf9xJ6</t>
  </si>
  <si>
    <t>INDRIA PELLIN MENEGUZZO</t>
  </si>
  <si>
    <t>46-32328600</t>
  </si>
  <si>
    <t>46-999738515</t>
  </si>
  <si>
    <t>indriapm@hotmail.com</t>
  </si>
  <si>
    <t>JOSMARA IRONI MENDES</t>
  </si>
  <si>
    <t>96.418.264/0554-64</t>
  </si>
  <si>
    <t>R. Getúlio Vargas, 664 - Centro, Imbituva - PR, 84430-000</t>
  </si>
  <si>
    <t>https://maps.app.goo.gl/JWou2oxPeXNxCyyj7</t>
  </si>
  <si>
    <t>LERON GOMES BIDA</t>
  </si>
  <si>
    <t>42-34365100</t>
  </si>
  <si>
    <t>42-991244806</t>
  </si>
  <si>
    <t>ADM536@QUERO.QUERO.COM.BR</t>
  </si>
  <si>
    <t>PEDRO HENRIQUE OLIVEIRA DOS SANTOS</t>
  </si>
  <si>
    <t>96.418.264/0459-06</t>
  </si>
  <si>
    <t>Av. Antônio Cunha, 763 - Centro, Curiúva - PR, 84280-000</t>
  </si>
  <si>
    <t>https://maps.app.goo.gl/DLuHFSmnu5hvuTBNA</t>
  </si>
  <si>
    <t>ALEXIA DA SILVA RODRIGUES</t>
  </si>
  <si>
    <t>43-35458307</t>
  </si>
  <si>
    <t>43-988201947</t>
  </si>
  <si>
    <t>ger448@quero-quero.com.br</t>
  </si>
  <si>
    <t>ANDRESSA POZAROSKI</t>
  </si>
  <si>
    <t>96.418.264/0560-02</t>
  </si>
  <si>
    <t>Lojas Quero-Quero: Materiais de Construção em Cruz Machado PR, Av. Interventor Manoel Ribas, 491 - Centro, Cruz Machado - PR, 84620-000</t>
  </si>
  <si>
    <t>https://maps.app.goo.gl/tuimDttmtVbXYSza9</t>
  </si>
  <si>
    <t>Alexandre Antoniczei Junior</t>
  </si>
  <si>
    <t>42-998446618</t>
  </si>
  <si>
    <t>ALEXANDREANTONICZEIJUNIOR@GMAIL.COM</t>
  </si>
  <si>
    <t>ARTHUR DA SILVA LINS</t>
  </si>
  <si>
    <t>96.418.264/0561-93</t>
  </si>
  <si>
    <t>Av. Pres. Vargas, 1012, Loanda - PR, 87900-000</t>
  </si>
  <si>
    <t>https://maps.app.goo.gl/KZ6t1h8V43FPYfrj7</t>
  </si>
  <si>
    <t>GABRIELLY MARQUES DA SILVA</t>
  </si>
  <si>
    <t>44-998840882</t>
  </si>
  <si>
    <t>GABRIELLLY.1999@OUTLOOK.COM</t>
  </si>
  <si>
    <t>ELEN PRISCILA OZELAME</t>
  </si>
  <si>
    <t>96.418.264/0271-77</t>
  </si>
  <si>
    <t>R. XV de Novembro, 925 - Centro, Ampére - PR, 85640-000</t>
  </si>
  <si>
    <t>https://maps.app.goo.gl/damiF9rqEp7XrHnv5</t>
  </si>
  <si>
    <t>Maristela Angelita Faganello Wolf</t>
  </si>
  <si>
    <t>46-35478400</t>
  </si>
  <si>
    <t>46-991139278</t>
  </si>
  <si>
    <t>adm256@quero-quero.com.br</t>
  </si>
  <si>
    <t>MARIA LAURA PATERA RODRIGUES</t>
  </si>
  <si>
    <t>96.418.264/0574-08</t>
  </si>
  <si>
    <t>R. Sete de Setembro, 112 - Centro, Manoel Ribas - PR, 85260-000</t>
  </si>
  <si>
    <t>https://maps.app.goo.gl/TwA98DiKDH7gWyze9</t>
  </si>
  <si>
    <t>Paulo Henrique Dos Santos</t>
  </si>
  <si>
    <t>42 99931-2189</t>
  </si>
  <si>
    <t>ger558@quero-quero.com.br</t>
  </si>
  <si>
    <t>CLAUDIO HENRIQUE DIAS MENDES</t>
  </si>
  <si>
    <t>96.418.264/0476-07</t>
  </si>
  <si>
    <t>R. Mal. Deodoro da Fonseca, 924 - Centro, Barbosa Ferraz - PR, 86960-000</t>
  </si>
  <si>
    <t>https://maps.app.goo.gl/ybT6snCBuFxPuy2a9</t>
  </si>
  <si>
    <t>VITOR HUGO MORAES DA SILVA</t>
  </si>
  <si>
    <t>44-35285300</t>
  </si>
  <si>
    <t>44-996555470</t>
  </si>
  <si>
    <t>ger463@quero-quero.com.br</t>
  </si>
  <si>
    <t>Segunda-feira: 10:15 às 12:15; Terça-feira: 10:15 às 12:15; Quarta-feira: 10:15 às 12:15; Quinta-feira: 10:15 às 12:15; Sexta-feira: 08:15 às 12:15;</t>
  </si>
  <si>
    <t>GUSTAVO MORAES DOS SANTOS</t>
  </si>
  <si>
    <t>96.418.264/0579-12</t>
  </si>
  <si>
    <t>R. Duque de Caxias, 276 - Centro, Inácio Martins - PR, 85155-000</t>
  </si>
  <si>
    <t>https://maps.app.goo.gl/cQQpecY4vJmMas9X9</t>
  </si>
  <si>
    <t>ROSIMERI GROCHEVICZ</t>
  </si>
  <si>
    <t>42-999037798</t>
  </si>
  <si>
    <t>ROSEMERIGROCHEVICZ@2020GMAIL.COM</t>
  </si>
  <si>
    <t>HELBA KHERIENNY SILVA CABRAL</t>
  </si>
  <si>
    <t>96.418.264/0384-54</t>
  </si>
  <si>
    <t>Av. Nossa Sra. da Luz, 866 - Centro, Clevelândia - PR, 85530-000</t>
  </si>
  <si>
    <t>https://maps.app.goo.gl/FgdFA2mqTCHBWKX56</t>
  </si>
  <si>
    <t>LUCAS PAIM ARRUDA</t>
  </si>
  <si>
    <t>46-32528150</t>
  </si>
  <si>
    <t>46-999713125</t>
  </si>
  <si>
    <t>GER368@QUERO-QUERO.COM.BR</t>
  </si>
  <si>
    <t>AMANDA APARECIDA BROSKO</t>
  </si>
  <si>
    <t>COPINI COMERCIO IMPORTACAO E EXPORTACAO LTDA</t>
  </si>
  <si>
    <t>10.842.044/0012-75</t>
  </si>
  <si>
    <t>R. 4, 1202 - Industrial, Planalto - PR, 85750-000</t>
  </si>
  <si>
    <t>https://maps.app.goo.gl/fn5W5mj6Qb42aZRF9</t>
  </si>
  <si>
    <t>TAIS CARDOSO DO AMARAL</t>
  </si>
  <si>
    <t>46-999282968</t>
  </si>
  <si>
    <t>rh1@copinigroup.com</t>
  </si>
  <si>
    <t>ÉRICA RAFAELLY BATISTA FERENSOVICZ</t>
  </si>
  <si>
    <t>96.418.264/0493-08</t>
  </si>
  <si>
    <t>Av. João Pessoa, 622 - Centro, Mallet - PR, 84570-000</t>
  </si>
  <si>
    <t>https://maps.app.goo.gl/NhzBBbwNdJTjXYaW9</t>
  </si>
  <si>
    <t>PETERSON HRUBA</t>
  </si>
  <si>
    <t>42-35428300</t>
  </si>
  <si>
    <t>42-999739191</t>
  </si>
  <si>
    <t>PETERSONHRUBA@GMAIL.COM</t>
  </si>
  <si>
    <t>ISADHORA CRISTHYNA SANTOS DA COSTA</t>
  </si>
  <si>
    <t>Lojas Quero-Quero SA</t>
  </si>
  <si>
    <t>96.418.264/0498-12</t>
  </si>
  <si>
    <t>R. Milton Heinz, 1799 - Centro, Cidade Gaúcha - PR, 87820-000</t>
  </si>
  <si>
    <t>https://maps.app.goo.gl/mJuEGLHcC44pqs1aA</t>
  </si>
  <si>
    <t>IGOR DA SILVA NISHIGAWA</t>
  </si>
  <si>
    <t>44-36754000</t>
  </si>
  <si>
    <t>44-997730330</t>
  </si>
  <si>
    <t>NISHIGAWAIGORR@HOTMAIL.COM</t>
  </si>
  <si>
    <t>LAURA VITÓRIA CHRISTMANN</t>
  </si>
  <si>
    <t>Tais Cardoso do Amaral</t>
  </si>
  <si>
    <t>LUAN MATEUS PARREIRA</t>
  </si>
  <si>
    <t>OTAVIO DE SIQUEIRA BAGGIO</t>
  </si>
  <si>
    <t>LUIZ MARIO DE ALMEIDA SILVA</t>
  </si>
  <si>
    <t>96.418.264/0495-70</t>
  </si>
  <si>
    <t>Av. Paraná, 53 - Nova Aurora, PR, 85410-000</t>
  </si>
  <si>
    <t>https://maps.app.goo.gl/JRVsW4Q3vmFX2YRs9</t>
  </si>
  <si>
    <t>Marina Vieira Alves</t>
  </si>
  <si>
    <t>45-32438350</t>
  </si>
  <si>
    <t>45-999332206</t>
  </si>
  <si>
    <t>adm480@quero-quero.com.br</t>
  </si>
  <si>
    <t>Segunda-feira: 10:00 às 12:00; Terça-feira: 10:00 às 12:00; Quinta-feira: 10:00 às 12:00; Sexta-feira: 10:00 às 12:00; Sábado: 08:00 às 12:00;</t>
  </si>
  <si>
    <t>PEDRO HENRIQUE DE OLIVEIRA SILVA</t>
  </si>
  <si>
    <t>COPINI COMERCIO, IMPORTACAO E EXPORTACAO LTDA</t>
  </si>
  <si>
    <t>10.842.044/0004-65</t>
  </si>
  <si>
    <t>COPINI ALIMENTOS, RUA JOÃO CAMILO DE SOUZA, 123 - OURO VERDE, Mandaguaçu - PR, 87160-000</t>
  </si>
  <si>
    <t>https://maps.app.goo.gl/z8TdkxpWogRHys8k8</t>
  </si>
  <si>
    <t>JULIANA KOVALSKI DIAS</t>
  </si>
  <si>
    <t>CELSO PREZZOTO</t>
  </si>
  <si>
    <t>44-999454778</t>
  </si>
  <si>
    <t>ISABELLA SOUZA PEDROSO</t>
  </si>
  <si>
    <t>77.310.589/0018-05</t>
  </si>
  <si>
    <t>Av. Pres. Kenedy, 2397 - Osvaldo Cruz, Palotina - PR, 85950-000</t>
  </si>
  <si>
    <t>https://maps.app.goo.gl/fYWCaELgVZog1Tyu7</t>
  </si>
  <si>
    <t>MIRIANI CARLA GONÇALVES</t>
  </si>
  <si>
    <t>44-998582230</t>
  </si>
  <si>
    <t>palotina.adm@equagril.com.br</t>
  </si>
  <si>
    <t>LAURA ARAUJO PICCIN</t>
  </si>
  <si>
    <t>Miriani Carla Gonçalves</t>
  </si>
  <si>
    <t>STEPHANIE BEATRIZ DE OLIVEIRA</t>
  </si>
  <si>
    <t>FELIPE GABRIEL APARECIDO DA SILVA</t>
  </si>
  <si>
    <t>77.310.589/0029-50</t>
  </si>
  <si>
    <t>Equagril Equipamentos Agrícolas Ltda, Via Ver. Djalma Magalhães Barros, 7180 - BAIRRO ZONA 11ª, Cianorte - PR, 87211-400</t>
  </si>
  <si>
    <t>https://maps.app.goo.gl/eG3L9v9Fy2d9zJfVA</t>
  </si>
  <si>
    <t>ANDRESA DA SILVA VILAROUCA</t>
  </si>
  <si>
    <t>44-998412637</t>
  </si>
  <si>
    <t>cianorte.adm@equagril.com.br</t>
  </si>
  <si>
    <t>GUILHERME ZORZATO SANTOS</t>
  </si>
  <si>
    <t>GAZIN INDUSTRIA E COMERCIO DE MOVEIS E ELETRODOMESTICOS SA</t>
  </si>
  <si>
    <t>77.941.490/0001-55</t>
  </si>
  <si>
    <t>Grupo Gazin, de Macedo e Silva - R. Pedrelina Macedo e Silva, 100 - Centro, Douradina - PR, 87485-000</t>
  </si>
  <si>
    <t>https://maps.app.goo.gl/qeVY5t23BpbYbt9i7</t>
  </si>
  <si>
    <t>Vinicius Ramos da Silva</t>
  </si>
  <si>
    <t>44-999654954</t>
  </si>
  <si>
    <t>vinicius.ramos@gazin.com.br</t>
  </si>
  <si>
    <t>JOSÉ GUSTAVO DOS SANTOS</t>
  </si>
  <si>
    <t>MARIA EDUARDA MARCHIORE</t>
  </si>
  <si>
    <t>NATHALIA DE SOUZA FREITAS</t>
  </si>
  <si>
    <t>88.212.113/0870-35</t>
  </si>
  <si>
    <t>Av. Pres. Getúlio Vargas, 280 - Centro, Astorga - PR, 86730-000</t>
  </si>
  <si>
    <t>https://maps.app.goo.gl/oqYfQj1sfqeU1gQQA</t>
  </si>
  <si>
    <t>REINALDO DOS SANTOS</t>
  </si>
  <si>
    <t>43-996976058</t>
  </si>
  <si>
    <t>reinaldinho100@gmail.com</t>
  </si>
  <si>
    <t>ANDRE GABRIEL FERREIRA</t>
  </si>
  <si>
    <t>84.897.313/0003-46</t>
  </si>
  <si>
    <t>GABRIEL DE PADUA DIAS</t>
  </si>
  <si>
    <t>Comércio de Medicamentos Brair</t>
  </si>
  <si>
    <t>88.212.113/1179-88</t>
  </si>
  <si>
    <t>Farmácia São João, Av. Felipe Camarão, 278 - Los Angeles, Nova Esperança - PR, 87600-000</t>
  </si>
  <si>
    <t>https://maps.app.goo.gl/dRxuLJStM8WS42tV7</t>
  </si>
  <si>
    <t>PEDRO HENRIQUE PASSAFARO</t>
  </si>
  <si>
    <t>44-997231233</t>
  </si>
  <si>
    <t>PEDROHENRIQUE25061999@OUTLOOK.COM</t>
  </si>
  <si>
    <t>ANA CAROLINA CARTONI LOPES</t>
  </si>
  <si>
    <t>COMERCIO DE MEDICAMENTOS BRAIR LTDA</t>
  </si>
  <si>
    <t>88.212.113/0885-11</t>
  </si>
  <si>
    <t>Av. Cuiabá, 1001 - Jardim Gralha Azul, Sarandi - PR, 87112-000</t>
  </si>
  <si>
    <t>https://maps.app.goo.gl/corWGsqn5xXffD6RA</t>
  </si>
  <si>
    <t>RAMINE VIEIRA</t>
  </si>
  <si>
    <t>44-999849377</t>
  </si>
  <si>
    <t>ramineph05@gmail.com</t>
  </si>
  <si>
    <t>LAURA GUEDIS MILLEO FERRETTE</t>
  </si>
  <si>
    <t>88.212.113/0886-00</t>
  </si>
  <si>
    <t>Av. Quatorze de Dezembro, 186 - Nova Esperança, PR, 87600-000</t>
  </si>
  <si>
    <t>https://maps.app.goo.gl/pQPx2nnGXZksQqMM6</t>
  </si>
  <si>
    <t>BRUNO HENRIQUE DO ANGELO</t>
  </si>
  <si>
    <t>44-999671243</t>
  </si>
  <si>
    <t>brunodoangelo@gmail.com</t>
  </si>
  <si>
    <t>MATHEUS HENRIQUE ALMEIDA DOS SANTOS</t>
  </si>
  <si>
    <t>88.212.113/0988-27</t>
  </si>
  <si>
    <t>Av. Paraná, 1010, Loanda - PR, 87900-000</t>
  </si>
  <si>
    <t>https://maps.app.goo.gl/HGNNaoXG1z9Tg7Sv6</t>
  </si>
  <si>
    <t>ROBERTA CRISTINA ARAGAO</t>
  </si>
  <si>
    <t>54-996403604</t>
  </si>
  <si>
    <t>roberta.aragao.f@gmail.com</t>
  </si>
  <si>
    <t>KARINE OLIVEIRA MENDES</t>
  </si>
  <si>
    <t>88.212.113/0893-21</t>
  </si>
  <si>
    <t>R. Getúlio Vargas, 357 - Centro, Imbituva - PR, 84430-000</t>
  </si>
  <si>
    <t>https://maps.app.goo.gl/gtMYGSfxFkbKbKJX6</t>
  </si>
  <si>
    <t>ANDRE BORK</t>
  </si>
  <si>
    <t>42-998219586</t>
  </si>
  <si>
    <t>imbituva@farmaciassaojoao.com.br</t>
  </si>
  <si>
    <t>BRUNA HELOISA AMARAL MICHELIN</t>
  </si>
  <si>
    <t>96.418.264/0517-10</t>
  </si>
  <si>
    <t>Av. Ivaí, 1412 - Centro, Paiçandu - PR, 87140-000</t>
  </si>
  <si>
    <t>https://maps.app.goo.gl/cGHuC2mKrAemLTbd7</t>
  </si>
  <si>
    <t>JESSE JAVA DE FARIAS</t>
  </si>
  <si>
    <t>44-32440900</t>
  </si>
  <si>
    <t>42-998169171</t>
  </si>
  <si>
    <t>JESSEMULLERFARIAS@GMAIL.COM</t>
  </si>
  <si>
    <t>ISABELLY NUNES CARDOSO</t>
  </si>
  <si>
    <t>96.418.264/0522-87</t>
  </si>
  <si>
    <t>Av. dos Pinheiros, 896 - Centro, Santa Izabel do Oeste - PR, 85650-000</t>
  </si>
  <si>
    <t>https://maps.app.goo.gl/y8cBpuW7hH1a2Mne7</t>
  </si>
  <si>
    <t>LUIZ HENRIQUE BATISTA DE CAMPOS</t>
  </si>
  <si>
    <t>46-35428400</t>
  </si>
  <si>
    <t>46-991255721</t>
  </si>
  <si>
    <t>GER507@QUERO-QUERO.COM.BR</t>
  </si>
  <si>
    <t>NILSON RYAN FRANÇA TABORDA</t>
  </si>
  <si>
    <t>96.418.264/0627-54</t>
  </si>
  <si>
    <t>Av. Fernandes Andrade, 1445 - Centro, Quitandinha - PR, 83840-000</t>
  </si>
  <si>
    <t>https://maps.app.goo.gl/gUEUMPkWA2M1ekoD9</t>
  </si>
  <si>
    <t xml:space="preserve">JEFERSON MELO CHUVES </t>
  </si>
  <si>
    <t>ger610@quero-quero.com.br</t>
  </si>
  <si>
    <t>NAYLANE CAMILI DE OLIVEIRA VICENTIN</t>
  </si>
  <si>
    <t>96.418.264/0433-77</t>
  </si>
  <si>
    <t>Av. Tapejara, 643 - Centro, Paraíso do Norte - PR, 87780-000</t>
  </si>
  <si>
    <t>https://maps.app.goo.gl/K77dHJo63saeT1TQ6</t>
  </si>
  <si>
    <t>SARA CRISTINA PEREIRA DE OLIVEIRA</t>
  </si>
  <si>
    <t>44-34318150</t>
  </si>
  <si>
    <t>44-998090786</t>
  </si>
  <si>
    <t>ger417@quero-quero.com.br</t>
  </si>
  <si>
    <t>OTAVIO SILVA FERNANDES</t>
  </si>
  <si>
    <t>Alex Coronado dos Santos</t>
  </si>
  <si>
    <t>44-988211906</t>
  </si>
  <si>
    <t>alex.santos@gazin.com.br</t>
  </si>
  <si>
    <t>Segunda-feira: 16:00 às 18:00; Terça-feira: 16:00 às 18:00; Quarta-feira: 16:00 às 18:00; Quinta-feira: 16:00 às 18:00;</t>
  </si>
  <si>
    <t>CARLOS EDUARDO RODRIGUES FERREIRA</t>
  </si>
  <si>
    <t>96.418.264/0534-10</t>
  </si>
  <si>
    <t>Av. Paraná, 237 - Centro, Telêmaco Borba - PR, 84261-060</t>
  </si>
  <si>
    <t>https://maps.app.goo.gl/ZRyZ1JwABqYBRwaC8</t>
  </si>
  <si>
    <t>ELIEZER POMPEL</t>
  </si>
  <si>
    <t>42 8402-9593</t>
  </si>
  <si>
    <t>STEPHANY DE ARAUJO BEZERRA</t>
  </si>
  <si>
    <t>Priscila Giomo</t>
  </si>
  <si>
    <t>44-999452782</t>
  </si>
  <si>
    <t>priscila.giomo@gazin.com.br</t>
  </si>
  <si>
    <t>GUSTAVO PADILHA NARDELLO</t>
  </si>
  <si>
    <t>96.418.264/0347-00</t>
  </si>
  <si>
    <t>Av. Brasil, 2050 - Centro, Santa Helena - PR, 85892-000</t>
  </si>
  <si>
    <t>https://maps.app.goo.gl/V36zVmpjS6ZRCK9Q7</t>
  </si>
  <si>
    <t>Alex Junior da Silva</t>
  </si>
  <si>
    <t>45-32688450</t>
  </si>
  <si>
    <t>49-999206821</t>
  </si>
  <si>
    <t>ger329@quero-quero.com.br</t>
  </si>
  <si>
    <t>EVILYN CRISTINY DOS REIS</t>
  </si>
  <si>
    <t>96.418.264/0348-90</t>
  </si>
  <si>
    <t>Lojas Quero-Quero, Avenida Brasil, 2052 - Centro, Santo Antônio do Sudoeste - PR, 85710-000</t>
  </si>
  <si>
    <t>https://maps.app.goo.gl/atu8MXD4ERBZLfYe9</t>
  </si>
  <si>
    <t>Marlei Ribeiro</t>
  </si>
  <si>
    <t>46-991264814</t>
  </si>
  <si>
    <t>ger328@quero-quero.com.br</t>
  </si>
  <si>
    <t>JOÃO GABRIEL DOS SANTOS BOCKLORNI</t>
  </si>
  <si>
    <t>MITRA DIOCESANA DE CAMPO MOURÃO</t>
  </si>
  <si>
    <t>75.903.880/0006-10</t>
  </si>
  <si>
    <t>Igreja Matriz de Santa Teresinha, R. Salvador Ananias, 592 - Centro, Campina da Lagoa - PR, 87345-000</t>
  </si>
  <si>
    <t>https://maps.app.goo.gl/TaRWXzMUvJrJzV86A</t>
  </si>
  <si>
    <t>JIANI DANIELA ZANDONATTO OLIVEIRA</t>
  </si>
  <si>
    <t>44-35421616</t>
  </si>
  <si>
    <t>financeiro.parstateresinha@gmail.com</t>
  </si>
  <si>
    <t>ISABELA GABRIELLE DOS SANTOS FERREIRA FERNANDES</t>
  </si>
  <si>
    <t>75.903.880/0009-62</t>
  </si>
  <si>
    <t>Farmácia São João, R. José Bonifácio, 590 - CENTRO, Goioerê - PR, 87360-000</t>
  </si>
  <si>
    <t>https://maps.app.goo.gl/YoSms3wA6kagsnaRA</t>
  </si>
  <si>
    <t>MARCIA VALÉRIA ZANQUETTA</t>
  </si>
  <si>
    <t>44-999292093</t>
  </si>
  <si>
    <t>candeiasgoiore@gmail.com</t>
  </si>
  <si>
    <t>ROBERTA VITORIA DE PAULA CASTRO</t>
  </si>
  <si>
    <t>75.903.880/0018-53</t>
  </si>
  <si>
    <t>Paróquia Nossa Senhora de Fátima, Av. Cantu, 576 - Nova Cantu, PR, 87330-000</t>
  </si>
  <si>
    <t>https://maps.app.goo.gl/tHEDu93dBdZyPPjJ8</t>
  </si>
  <si>
    <t>MAGNA FRANCIELI DA COSTA</t>
  </si>
  <si>
    <t>44-991093390</t>
  </si>
  <si>
    <t>paronsfatimanc@gmail.com</t>
  </si>
  <si>
    <t>JULIANE CRISTOJAVORSKI</t>
  </si>
  <si>
    <t>MITRA DIOCESANA DE CAMPO MOURAO</t>
  </si>
  <si>
    <t>75.903.880/0021-59</t>
  </si>
  <si>
    <t>Av. São Pedro, 313 - Roncador, PR, 87320-000</t>
  </si>
  <si>
    <t>https://maps.app.goo.gl/B9atv2qTZt1ML9xG8</t>
  </si>
  <si>
    <t>SIMONE APARECIDA THOME DA SILVA</t>
  </si>
  <si>
    <t>44-999030354</t>
  </si>
  <si>
    <t>par.saopedroroncador@gmail.com</t>
  </si>
  <si>
    <t>HELOISA VITORIA RAMOS SOUZA</t>
  </si>
  <si>
    <t>75.903.880/0023-10</t>
  </si>
  <si>
    <t>Igreja Matriz Santo Antonio, R. Nossa Sra. Aparecida, 567 - Ubiratã, PR, 85440-000</t>
  </si>
  <si>
    <t>https://maps.app.goo.gl/MJY9nE3EAn3rceq4A</t>
  </si>
  <si>
    <t>NILDA DE ALMEIDA MELLO</t>
  </si>
  <si>
    <t>44-998400248</t>
  </si>
  <si>
    <t>paroquiadeubirata@gmail.com</t>
  </si>
  <si>
    <t>STHÉFANY APARECIDA ARLINDO DA SILVA</t>
  </si>
  <si>
    <t>SERVIÇO SOCIAL DO COMÉRCIO - SESC - AR PARANÁ</t>
  </si>
  <si>
    <t>03.584.427/0048-36</t>
  </si>
  <si>
    <t>Sesc Bela Vista do Paraíso, Praça Brasílio de Araújo Filho, 41 - Centro, Bela Vista do Paraíso - PR, 86130-000</t>
  </si>
  <si>
    <t>https://maps.app.goo.gl/FoMXSvx4tFca3Wkk6</t>
  </si>
  <si>
    <t>PEDRO HENRIQUE ALMEIDA HEREMANN</t>
  </si>
  <si>
    <t>43-984179120</t>
  </si>
  <si>
    <t>pedro.heremann@sescpr.com.br</t>
  </si>
  <si>
    <t>VINICIUS ALEXANDRE DOS SANTOS</t>
  </si>
  <si>
    <t>POSTO GRID LTDA</t>
  </si>
  <si>
    <t>07.063.295/0007-80</t>
  </si>
  <si>
    <t>MARCOS EURIPEDES FERREIRA BELLO JUNIOR</t>
  </si>
  <si>
    <t>03.584.427/0018-10</t>
  </si>
  <si>
    <t>Hotel Sesc Caiobá - Centro de Turismo e Lazer, Rua Dr. José Pinto Rebelo Júnior, 91, Matinhos - PR, 83260-000</t>
  </si>
  <si>
    <t>https://maps.app.goo.gl/w3WNUe3p5fEdHtnv8</t>
  </si>
  <si>
    <t>Maria Regina Mattos</t>
  </si>
  <si>
    <t>41-995818918</t>
  </si>
  <si>
    <t>maria.mattos@sescpr.com.br</t>
  </si>
  <si>
    <t>PAOLA RAFAELA DOS SANTOS AMARAL</t>
  </si>
  <si>
    <t>ALINE BAISER BENATTO</t>
  </si>
  <si>
    <t>VISAO AGRICOLA LTDA</t>
  </si>
  <si>
    <t>11.257.356/0001-21</t>
  </si>
  <si>
    <t>Visão Agrícola, Estrada Vicinal do Cemitério - Centro, Mamborê - PR, 87340-000</t>
  </si>
  <si>
    <t>https://maps.app.goo.gl/PKAWbinU7MUxhLZ66</t>
  </si>
  <si>
    <t>MARIO APARECIDO BORGO</t>
  </si>
  <si>
    <t>44-999580867</t>
  </si>
  <si>
    <t>visaoagricolamambore@gmail.com</t>
  </si>
  <si>
    <t>JULIANE BUENO DA LUZ</t>
  </si>
  <si>
    <t>96.418.264/0480-93</t>
  </si>
  <si>
    <t>R. Barão do Rio Branco, 355 - Centro, Rio Azul - PR, 84560-000</t>
  </si>
  <si>
    <t>https://maps.app.goo.gl/vbGPTxGCD4m487wN8</t>
  </si>
  <si>
    <t>VANESSA KRUK</t>
  </si>
  <si>
    <t>42-998054853</t>
  </si>
  <si>
    <t>ger465@quero-quero.com.br</t>
  </si>
  <si>
    <t>NICOLI APARECIDA LASKOWSKI MIRI</t>
  </si>
  <si>
    <t>96.418.264/0260-14</t>
  </si>
  <si>
    <t>Av. Pinheirais, 1061 - Centro, Quedas do Iguaçu - PR, 85460-000</t>
  </si>
  <si>
    <t>https://maps.app.goo.gl/JVCoarCLtyQdZVy19</t>
  </si>
  <si>
    <t>EDMAR HASLVANTER CONRADI</t>
  </si>
  <si>
    <t>46-35328250</t>
  </si>
  <si>
    <t>46-988017179</t>
  </si>
  <si>
    <t>ger248@quero-quero.com.br</t>
  </si>
  <si>
    <t>VÍTOR HUGO DOS SANTOS DE MELO</t>
  </si>
  <si>
    <t>96.418.264/0578-31</t>
  </si>
  <si>
    <t>Av. São Paulo, 1036 - Centro, Terra Rica - PR, 87890-000</t>
  </si>
  <si>
    <t>https://maps.app.goo.gl/GXTgiMX6h7Awd7fw6</t>
  </si>
  <si>
    <t>IODOMIR DOS SANTOS BORBA FILHO</t>
  </si>
  <si>
    <t>44-34418159</t>
  </si>
  <si>
    <t>44-991385163</t>
  </si>
  <si>
    <t>ger563@quero-quero.com.br</t>
  </si>
  <si>
    <t>Segunda-feira: 14:00 às 16:00; Quarta-feira: 14:00 às 16:00; Quinta-feira: 14:00 às 16:00; Sexta-feira: 12:00 às 16:00;</t>
  </si>
  <si>
    <t>ALEX SANDRO SANTELLI JUNIOR</t>
  </si>
  <si>
    <t>DECARLI COMERCIO DE CEREAIS LTDA</t>
  </si>
  <si>
    <t>00.827.208/0002-60</t>
  </si>
  <si>
    <t>Rio Bonito do Iguaçu, PR, 85340-000</t>
  </si>
  <si>
    <t>https://maps.app.goo.gl/SG7B8PxoE9aLTV4x8</t>
  </si>
  <si>
    <t>CATIANE DOS SANTOS</t>
  </si>
  <si>
    <t>46-999307948</t>
  </si>
  <si>
    <t>riobonito@crealistadecarli.com.br</t>
  </si>
  <si>
    <t>Segunda-feira: 15:30 às 17:30; Quarta-feira: 15:30 às 17:30; Quinta-feira: 15:30 às 17:30; Sexta-feira: 15:30 às 17:30; Sábado: 08:00 às 12:00;</t>
  </si>
  <si>
    <t>JOSÉ GABRIEL DE ANDRADE</t>
  </si>
  <si>
    <t>96.418.264/0485-06</t>
  </si>
  <si>
    <t>Lojao TudoAki, R. José Afonso Vieira Lopes, 651, Rebouças - PR, 84550-000</t>
  </si>
  <si>
    <t>https://maps.app.goo.gl/eHomBAbY7nAqsy8dA</t>
  </si>
  <si>
    <t>NEIVA DO CARMO BATISTA STRUGALA</t>
  </si>
  <si>
    <t>42-34578150</t>
  </si>
  <si>
    <t>42-999287425</t>
  </si>
  <si>
    <t>ADM470@QUERO-QUERO.COM.BR</t>
  </si>
  <si>
    <t>AMANDA RAMOS DE ALMEIDA</t>
  </si>
  <si>
    <t>96.418.264/0587-22</t>
  </si>
  <si>
    <t>Lojas Quero-Quero: Materiais de Construção em Reserva PR, R. Gen. Osório, 652 - Centro, Reserva - PR, 84320-000</t>
  </si>
  <si>
    <t>https://maps.app.goo.gl/FqJRuU4ea4pGpTRF6</t>
  </si>
  <si>
    <t>Cassiane Silva Carvalho</t>
  </si>
  <si>
    <t>42-991340756</t>
  </si>
  <si>
    <t>42-988021424</t>
  </si>
  <si>
    <t>cassianecarvalhocorporativo@gmail.com</t>
  </si>
  <si>
    <t>MARIA LUIZA MIRANDA PANHO</t>
  </si>
  <si>
    <t>96.418.264/0389-69</t>
  </si>
  <si>
    <t>R. Pedro Paulo Koerig, 329 - Centro, Salto do Lontra - PR, 85670-000</t>
  </si>
  <si>
    <t>https://maps.app.goo.gl/PVNhWdmHpENEwSmX7</t>
  </si>
  <si>
    <t>SONIA REGINA DE OLIVEIRA</t>
  </si>
  <si>
    <t>46-353883504</t>
  </si>
  <si>
    <t>46-999754531</t>
  </si>
  <si>
    <t>GER370@QUERO-QUERO.COM.BR</t>
  </si>
  <si>
    <t>NATYELE SOARES DA SILVA</t>
  </si>
  <si>
    <t>96.418.264/0491-46</t>
  </si>
  <si>
    <t>Av. Pôrto Alegre, 520 - Querência do Norte, PR, 87930-000</t>
  </si>
  <si>
    <t>https://maps.app.goo.gl/QvWSDeQtfD4PbcFL8</t>
  </si>
  <si>
    <t>SILVANIA APARECIDA BARBOSA DE SOUZA</t>
  </si>
  <si>
    <t>44-34628150</t>
  </si>
  <si>
    <t>44-991450862</t>
  </si>
  <si>
    <t>adm476@quero-quero.com.br</t>
  </si>
  <si>
    <t>JULYANE FÊO DE PAULA</t>
  </si>
  <si>
    <t>96.418.264/0430-24</t>
  </si>
  <si>
    <t>Av. Ulisses Faria, 850 - Centro, São Mateus do Sul - PR, 83900-000</t>
  </si>
  <si>
    <t>Milene Bueno Moreira</t>
  </si>
  <si>
    <t>42-35201759</t>
  </si>
  <si>
    <t>42-988685728 /  42 933004419</t>
  </si>
  <si>
    <t>adm415@quero-quero.com.br</t>
  </si>
  <si>
    <t>KAUAN ZOLET MODESTO</t>
  </si>
  <si>
    <t>Mercadomoveis Ltda - 95</t>
  </si>
  <si>
    <t>77.500.049/0087-08</t>
  </si>
  <si>
    <t>Loja MM Candói: Home Center, Eletrodomésticos, Móveis, Celulares, Cama Box, Candói PR, R. Gervásio Hitóchi Dói, 149 - CENTRO, Candói - PR, 85140-000</t>
  </si>
  <si>
    <t>https://maps.app.goo.gl/R8c58dSNvuv9gSnV9</t>
  </si>
  <si>
    <t>Jose Eleandro Dalmaso</t>
  </si>
  <si>
    <t>42-99322110</t>
  </si>
  <si>
    <t>jose.dalmaso@email.lojasmm.com.br</t>
  </si>
  <si>
    <t>DIEGO SAGGIORATO KOCZINSKI</t>
  </si>
  <si>
    <t>FISTAROL &amp; CIA LTDA</t>
  </si>
  <si>
    <t>77.817.674/0001-08</t>
  </si>
  <si>
    <t>Av. das Missões, 595 - Ampere, Ampére - PR, 85640-000</t>
  </si>
  <si>
    <t>https://maps.app.goo.gl/o1EnhzBkJEXdjj9t7</t>
  </si>
  <si>
    <t>MARTA TUBIANA</t>
  </si>
  <si>
    <t>46-999173640</t>
  </si>
  <si>
    <t>ctbfistarol@gmail.com</t>
  </si>
  <si>
    <t>EMANOELLA MOTA ESPOLADOR</t>
  </si>
  <si>
    <t>Rafael Marques da Silva</t>
  </si>
  <si>
    <t>44-91623794</t>
  </si>
  <si>
    <t>rafael.marques@gazin.com.br</t>
  </si>
  <si>
    <t>HEITOR MARTINS RODRIGUES</t>
  </si>
  <si>
    <t>ANA BEATRIZ DOS SANTOS HENNING</t>
  </si>
  <si>
    <t>COMERCIAL IVAIPORA LTDA</t>
  </si>
  <si>
    <t>75.274.423/0034-67</t>
  </si>
  <si>
    <t>Av. Pres. Getúlio Vargas, 1614 - Centro, Rolândia - PR, 86600-099</t>
  </si>
  <si>
    <t>https://maps.app.goo.gl/Kw83tSCGoQnHG7x99</t>
  </si>
  <si>
    <t>CLOVIS JOSE CERQUEIRA</t>
  </si>
  <si>
    <t>43-32560060</t>
  </si>
  <si>
    <t>43-999659452</t>
  </si>
  <si>
    <t>financeiro.rolandia@comercialivaipora.com.br</t>
  </si>
  <si>
    <t>PEDRO HENRIQUE ALVES DA LUZ</t>
  </si>
  <si>
    <t>SANDRIELY VITÓRIA DE SOUZA CERQUEIRA</t>
  </si>
  <si>
    <t>Hagatha Leticia Zuchinalli Nogueira</t>
  </si>
  <si>
    <t>44-999055323</t>
  </si>
  <si>
    <t>hagatha.zuchinalli@gazin.com.br</t>
  </si>
  <si>
    <t>ISABELLY DA ROSA GOMES</t>
  </si>
  <si>
    <t>89.848.543/0313-07</t>
  </si>
  <si>
    <t>R. Cláudio W Morreira, 332 - Arapoti, PR, 84990-000</t>
  </si>
  <si>
    <t>https://maps.app.goo.gl/cYUtXvFEezqwUTmV9</t>
  </si>
  <si>
    <t>LEANDRO FIRMINO DA SILVA</t>
  </si>
  <si>
    <t>43-999890568</t>
  </si>
  <si>
    <t>GERENTE177@COLOMBO.COM.BR</t>
  </si>
  <si>
    <t>ANA PAULA BLUMATTE DOS SANTOS ALMEIDA</t>
  </si>
  <si>
    <t>LOJAS COLOMBO SA  COMERCIO DE UTILIDADES DOMESTICAS</t>
  </si>
  <si>
    <t>89.848.543/0317-22</t>
  </si>
  <si>
    <t>Lojas Colombo, Av. Brasil, 1374 - Centro, Loanda - PR, 87900-000</t>
  </si>
  <si>
    <t>https://maps.app.goo.gl/n9vTyeLwkwCSntqN8</t>
  </si>
  <si>
    <t>ELIENE DO NASCIMENTO SILVA</t>
  </si>
  <si>
    <t>44-98564367</t>
  </si>
  <si>
    <t>ELIENEDARWIN123@GMAIL.COM</t>
  </si>
  <si>
    <t>MARCOS ZARO FERREIRA JUNIOR</t>
  </si>
  <si>
    <t>LOJAS COLOMBO SA (LOJA 182)</t>
  </si>
  <si>
    <t>89.848.543/0322-90</t>
  </si>
  <si>
    <t>Av. Goiás, 702 - Zona 01, Cianorte - PR, 87200-268</t>
  </si>
  <si>
    <t>https://maps.app.goo.gl/z17VLCRawJHW2KT27</t>
  </si>
  <si>
    <t>MOACIR FERREIRA DE LIMA</t>
  </si>
  <si>
    <t>44-984561223</t>
  </si>
  <si>
    <t>GERENTE182@COLOMBO.COM</t>
  </si>
  <si>
    <t>MARIA JULIA VIEIRA PIRES</t>
  </si>
  <si>
    <t>89.848.543/0841-76</t>
  </si>
  <si>
    <t>Lojas Colombo, R. São Paulo, 448 - Centro, Andirá - PR, 86380-000</t>
  </si>
  <si>
    <t>https://maps.app.goo.gl/2iL4Ju6HXEyeRkG77</t>
  </si>
  <si>
    <t>Silmara Aparecida Canova Félix</t>
  </si>
  <si>
    <t>43-991262966</t>
  </si>
  <si>
    <t>silmaraenge@gmail.com</t>
  </si>
  <si>
    <t>MARIA EDUARDA LOPES</t>
  </si>
  <si>
    <t>LOJAS COLOMBO SA COMÉRCIO DE UTILIDADES DOMÉSTICAS</t>
  </si>
  <si>
    <t>89.848.543/0349-00</t>
  </si>
  <si>
    <t>R. Benjamin Caetano Zambon, 128 - Centro, Bandeirantes - PR, 86360-000</t>
  </si>
  <si>
    <t>https://maps.app.goo.gl/T5yR3KDZAgkna1Ch9</t>
  </si>
  <si>
    <t>MARIA LUIZA GARCIA</t>
  </si>
  <si>
    <t>43-35423586</t>
  </si>
  <si>
    <t>43-988405690</t>
  </si>
  <si>
    <t>GERENTE199@COLOMBO.COM.BR</t>
  </si>
  <si>
    <t>PEDRO HENRIQUE MIGUEL</t>
  </si>
  <si>
    <t>89.848.543/0853-00</t>
  </si>
  <si>
    <t>Lojas Colombo, R. Barão do Rio Branco, 295, Wenceslau Braz - PR, 84950-000</t>
  </si>
  <si>
    <t>https://maps.app.goo.gl/hJDdJqLQr8CaxX9b6</t>
  </si>
  <si>
    <t>Lucas</t>
  </si>
  <si>
    <t>43-976021234</t>
  </si>
  <si>
    <t>gerente572@colombo.com.br</t>
  </si>
  <si>
    <t>ANA BEATRIZ BONANI</t>
  </si>
  <si>
    <t>LOJAS COLOMBO S/A</t>
  </si>
  <si>
    <t>89.848.543/0854-90</t>
  </si>
  <si>
    <t>R. Pe Jonas Vaz Santos, 469 - Centro, Sertanópolis - PR, 86170-000</t>
  </si>
  <si>
    <t>https://maps.app.goo.gl/x6KhaJN2e41j5XUN9</t>
  </si>
  <si>
    <t>Eduardo Rodolfo De Souza</t>
  </si>
  <si>
    <t>43-991692704</t>
  </si>
  <si>
    <t>eduardors@colombo.com.br</t>
  </si>
  <si>
    <t>STEFANY LIARA ESPINDOLA FOGASSA DA SILVA</t>
  </si>
  <si>
    <t>LOJAS COLOMBO SA - COMÉRCIO DE UTILIDADES DOMÉSTICAS</t>
  </si>
  <si>
    <t>89.848.543/0464-01</t>
  </si>
  <si>
    <t>Tv. Dr. Arnaldo Busato, 145 - Centro, Dois Vizinhos - PR, 85660-000</t>
  </si>
  <si>
    <t>https://maps.app.goo.gl/RhToMNgw33vDa8fx6</t>
  </si>
  <si>
    <t>ALINE DOS SANTOS ALCIDES</t>
  </si>
  <si>
    <t>46-35361245</t>
  </si>
  <si>
    <t>46-999092697</t>
  </si>
  <si>
    <t>alinee.alcides@hotmail.com</t>
  </si>
  <si>
    <t>FELIPE EMANUEL DE OLIVEIRA BARROS</t>
  </si>
  <si>
    <t>89.848.543/0789-58</t>
  </si>
  <si>
    <t>Lojas Colombo, R. Mal. Deodoro da Fonseca, 522 Bairro - CENTRO, Barbosa Ferraz - PR, 86960-000</t>
  </si>
  <si>
    <t>https://maps.app.goo.gl/6puRt7U6pjzzawhD8</t>
  </si>
  <si>
    <t>RODRIGO DOS SANTOS OLIVEIRA</t>
  </si>
  <si>
    <t>44-998111796</t>
  </si>
  <si>
    <t>l509-gerente@colombo.com.br</t>
  </si>
  <si>
    <t>FELIPE VOLSKI</t>
  </si>
  <si>
    <t>89.848.543/0295-82</t>
  </si>
  <si>
    <t>R. Visc. de Guarapuava, 140 - Centro, Pitanga - PR, 85200-000</t>
  </si>
  <si>
    <t>https://maps.app.goo.gl/XRmGFo8vnXtJwhGb6</t>
  </si>
  <si>
    <t>José Carlos Lupepsa</t>
  </si>
  <si>
    <t>42-36463242</t>
  </si>
  <si>
    <t>42-999322728</t>
  </si>
  <si>
    <t>gerente026@colombo.com.br</t>
  </si>
  <si>
    <t>GABRIEL RUFINO DOS SANTOS</t>
  </si>
  <si>
    <t>89.848.543/0296-63</t>
  </si>
  <si>
    <t>Av. Moisés Lupion, 560 - Centro, Goioerê - PR, 87360-000</t>
  </si>
  <si>
    <t>https://maps.app.goo.gl/zoovuPCLZkP3ossi6</t>
  </si>
  <si>
    <t>ANISIO GONÇALVES DE LIMA</t>
  </si>
  <si>
    <t>44-35223440</t>
  </si>
  <si>
    <t>44-997302171</t>
  </si>
  <si>
    <t>gerente165@colombo.com.br</t>
  </si>
  <si>
    <t>MARIA EDUARDA DOS SANTOS</t>
  </si>
  <si>
    <t>Mercadomoveis Ltda</t>
  </si>
  <si>
    <t>77.500.049/0120-63</t>
  </si>
  <si>
    <t>Av. Horácio Klabin, 649 - Centro, Telêmaco Borba - PR, 84261-000</t>
  </si>
  <si>
    <t>https://maps.app.goo.gl/edPmWRAqYtLuiK5d9</t>
  </si>
  <si>
    <t>Irene Palczuk</t>
  </si>
  <si>
    <t>42-32738420</t>
  </si>
  <si>
    <t>42-998087761</t>
  </si>
  <si>
    <t>irene.palczuk@email.lojasmm.com.br</t>
  </si>
  <si>
    <t>11:00 às 13:00</t>
  </si>
  <si>
    <t>LILIANE DE MELO CORRÊA</t>
  </si>
  <si>
    <t>77.500.049/0023-43</t>
  </si>
  <si>
    <t>Av. Antônio Cunha, 318 - Jaguariaíva, PR, 84200-000</t>
  </si>
  <si>
    <t>https://maps.app.goo.gl/i6c1QKRnTSXeVPmL8</t>
  </si>
  <si>
    <t>Sandra Do Prado Oliveira</t>
  </si>
  <si>
    <t>43-999897070</t>
  </si>
  <si>
    <t>sandra.oliveira@email.lojasmm.com.br</t>
  </si>
  <si>
    <t>Segunda-feira: 12:30 às 14:30; Terça-feira: 12:30 às 14:30; Quarta-feira: 12:30 às 14:30; Quinta-feira: 12:30 às 14:30; Sexta-feira: 12:30 às 16:30;</t>
  </si>
  <si>
    <t>VICTÓRIA SANTOS RAMOS</t>
  </si>
  <si>
    <t>77.500.049/0026-96</t>
  </si>
  <si>
    <t>Av. Caetano Munhoz da Rocha, 1420 - Centro, Lapa - PR, 83750-000</t>
  </si>
  <si>
    <t>https://maps.app.goo.gl/C2EoT2v31nvymFem8</t>
  </si>
  <si>
    <t xml:space="preserve">Jocelaine Estoqueiro Gonçalves </t>
  </si>
  <si>
    <t>41-998649512</t>
  </si>
  <si>
    <t>jocelaine_goncalves@email.lojasmm.com.br</t>
  </si>
  <si>
    <t>NATALIA BARRETO DOS SANTOS</t>
  </si>
  <si>
    <t>77.500.049/0035-87</t>
  </si>
  <si>
    <t>Av. Cinco de Março, 462, Piraí do Sul - PR, 84240-000</t>
  </si>
  <si>
    <t>https://maps.app.goo.gl/duGnJr5Wb3P9zsGP8</t>
  </si>
  <si>
    <t>Jennifer Gabriel de Oliveira</t>
  </si>
  <si>
    <t>42-991345464</t>
  </si>
  <si>
    <t>jennifer.oliveira@email.lojasmm.com.br</t>
  </si>
  <si>
    <t>Segunda-feira: 10:45 às 12:45; Terça-feira: 10:45 às 12:45; Quarta-feira: 10:45 às 12:45; Quinta-feira: 10:45 às 12:45; Sexta-feira: 08:45 às 12:45;</t>
  </si>
  <si>
    <t>JHENIFER MIRELLA KOSTRZEVICZ</t>
  </si>
  <si>
    <t>77.500.049/0039-00</t>
  </si>
  <si>
    <t>R. Conceição, 300 - CENTRO, Palmeira - PR, 84130-000</t>
  </si>
  <si>
    <t>https://maps.app.goo.gl/3ntoxymwnjdjSw9i7</t>
  </si>
  <si>
    <t>Aginaldo Moreira Da Silva</t>
  </si>
  <si>
    <t>42-999801918</t>
  </si>
  <si>
    <t>aginaldo.silva@email.lojasmm.com.br</t>
  </si>
  <si>
    <t>Segunda-feira: 10:30 às 12:30; Terça-feira: 10:30 às 12:30; Quarta-feira: 10:30 às 12:30; Quinta-feira: 10:30 às 12:30; Sexta-feira: 08:30 às 12:30;</t>
  </si>
  <si>
    <t>INGRID RAYANE DE OLIVEIRA</t>
  </si>
  <si>
    <t>Mercado Moveis Ltda - 44</t>
  </si>
  <si>
    <t>77.500.049/0046-30</t>
  </si>
  <si>
    <t>Av. Sete de Setembro, 232 - Centro, Imbituva - PR, 84430-000</t>
  </si>
  <si>
    <t>https://maps.app.goo.gl/VVwywiR2ysQKiLEH9</t>
  </si>
  <si>
    <t>Valdenei Luiz Bobato Junior</t>
  </si>
  <si>
    <t>42-999674725</t>
  </si>
  <si>
    <t>valdenei.junior@email.lojasmm.com.br</t>
  </si>
  <si>
    <t>RHYAN AUGUSTHO PIETROSKI</t>
  </si>
  <si>
    <t>75.274.423/0016-85</t>
  </si>
  <si>
    <t>R. XV de Novembro, 1027 - Centro, Palmital - PR, 85270-000</t>
  </si>
  <si>
    <t>https://maps.app.goo.gl/32rXzyCJR9B1pgV9A</t>
  </si>
  <si>
    <t>EDILAINE GIGOSKI ZUCONELLI</t>
  </si>
  <si>
    <t>42-36571491</t>
  </si>
  <si>
    <t>42-999762241</t>
  </si>
  <si>
    <t>palmital@comercialivaipora.com.br</t>
  </si>
  <si>
    <t>REBECCA ANELISE CARPINE</t>
  </si>
  <si>
    <t>ELIANE CRISTINA RIEDO ROMERO</t>
  </si>
  <si>
    <t>44-35438300</t>
  </si>
  <si>
    <t>44-999328246</t>
  </si>
  <si>
    <t>ubirata.adm@equagril.com.br</t>
  </si>
  <si>
    <t>ISADORA PIRES</t>
  </si>
  <si>
    <t>96.418.264/0505-86</t>
  </si>
  <si>
    <t>Lojas Quero-Quero: Materiais de Construção em Pitanga PR, R. Interventor Manoel Ribas, 131 - Centro, Pitanga - PR, 85200-000</t>
  </si>
  <si>
    <t>GRAZIELLY BOTTINI</t>
  </si>
  <si>
    <t>42-36468150</t>
  </si>
  <si>
    <t>44-999842149</t>
  </si>
  <si>
    <t>ger489@quero-quero.com.br</t>
  </si>
  <si>
    <t>PIETTRA PEREIRA RAMOS</t>
  </si>
  <si>
    <t>88.212.113/0862-25</t>
  </si>
  <si>
    <t>Av. Dr. Getúlio Vargas, 1135 - Jandaia do Sul, PR, 86900-000</t>
  </si>
  <si>
    <t>https://maps.app.goo.gl/uYrbUYRfYdCQb3VCA</t>
  </si>
  <si>
    <t>FABIELE CAMARGO BATTALLINI</t>
  </si>
  <si>
    <t>43-991280368</t>
  </si>
  <si>
    <t>fabiele.battallini@gmail.com</t>
  </si>
  <si>
    <t>BRUNO RIBEIRO DA SILVA</t>
  </si>
  <si>
    <t>75.274.423/0003-60</t>
  </si>
  <si>
    <t>Av. Brasil, 550 - Pitanga, PR, 85200-000</t>
  </si>
  <si>
    <t>https://maps.app.goo.gl/iGZJNa2TkBcgqADJ8</t>
  </si>
  <si>
    <t>GILVANA BUENO DA ROSA BIELLA</t>
  </si>
  <si>
    <t>42-36461239</t>
  </si>
  <si>
    <t>42-999478507</t>
  </si>
  <si>
    <t>pitanga@comercialivaipora.com.br</t>
  </si>
  <si>
    <t>Segunda-feira: 13:00 às 15:00; Terça-feira: 13:00 às 15:00; Quarta-feira: 13:00 às 15:00; Quinta-feira: 13:00 às 15:00; Sexta-feira: 13:00 às 17:00;</t>
  </si>
  <si>
    <t>KAUANE SCHEIFER GAVRONSKI</t>
  </si>
  <si>
    <t>Segunda-feira: 09:00 às 11:00; Terça-feira: 09:00 às 11:00; Quarta-feira: 09:00 às 11:00; Quinta-feira: 09:00 às 11:00; Sexta-feira: 09:00 às 13:00;</t>
  </si>
  <si>
    <t>GABRIEL PEREIRA DE OLIVEIRA</t>
  </si>
  <si>
    <t>CLARA OLIVEIRA NUNES DE CARVALHO</t>
  </si>
  <si>
    <t>96.418.264/0494-99</t>
  </si>
  <si>
    <t>Av. Caetano Munhoz da Rocha, 1297 - Centro, Lapa - PR, 83750-000</t>
  </si>
  <si>
    <t>https://maps.app.goo.gl/qi87e6ZqFaKwoiNo7</t>
  </si>
  <si>
    <t>BIANCA ROBERTA</t>
  </si>
  <si>
    <t>41-35473150</t>
  </si>
  <si>
    <t>41-999450051</t>
  </si>
  <si>
    <t>ADM478@QUERO-QUERO.COM.BR</t>
  </si>
  <si>
    <t>KAUANY GABRIELLY RIBEIRO DA SILVA</t>
  </si>
  <si>
    <t>82.382.458/0005-40</t>
  </si>
  <si>
    <t>Jean Carlos Peres da Cruz</t>
  </si>
  <si>
    <t>41-36331922</t>
  </si>
  <si>
    <t>41-996188677</t>
  </si>
  <si>
    <t>jeanperesdacruz@gmail.com</t>
  </si>
  <si>
    <t>ARISSON JOSÉ ASSIS DA PAZ</t>
  </si>
  <si>
    <t>JEAN CARLOS PERES DA CRUZ</t>
  </si>
  <si>
    <t>RIKELME SOLDATI RAZERA</t>
  </si>
  <si>
    <t>41-997725294</t>
  </si>
  <si>
    <t>LEONARDO BORGES DOS SANTOS ROSA</t>
  </si>
  <si>
    <t>ERICK RYAN BUENO</t>
  </si>
  <si>
    <t>42-988858429</t>
  </si>
  <si>
    <t>gerenciapraia@supermercadosbavaresco.com.br</t>
  </si>
  <si>
    <t>RUAN EDUARDO MOREIRA PADILHA</t>
  </si>
  <si>
    <t>GUSTAVO HENRIQUE SANTOS KUROVSKI</t>
  </si>
  <si>
    <t>NATALIA RAMOS ALVES</t>
  </si>
  <si>
    <t>PHELIPE PAITER</t>
  </si>
  <si>
    <t>75.274.423/0027-38</t>
  </si>
  <si>
    <t>Comercial Ivaiporã Ltda, PR-402, Km 07 - nº 7405 - Balneário Grajaú, Pontal do Paraná - PR, 83255-000</t>
  </si>
  <si>
    <t>Cesar Henrique</t>
  </si>
  <si>
    <t>41-34579379</t>
  </si>
  <si>
    <t>41 9857-4210</t>
  </si>
  <si>
    <t>financeiro.grajau@comercialivaipora.com.br</t>
  </si>
  <si>
    <t>CC</t>
  </si>
  <si>
    <t>Supermercadomanfron@gmail.com</t>
  </si>
  <si>
    <t xml:space="preserve">1º VISITA </t>
  </si>
  <si>
    <t>DEISE EDUARDA SEIDLER</t>
  </si>
  <si>
    <t>JOHN LENON PINHEIRO</t>
  </si>
  <si>
    <t>financeiro.ivai@supermercadoblum.com.br</t>
  </si>
  <si>
    <t>JOAO GABRIEL NASCIMENTO</t>
  </si>
  <si>
    <t>ERIKA TAUANY ANDRADE RODRIGUES</t>
  </si>
  <si>
    <t>25/09/2025 - 09:30</t>
  </si>
  <si>
    <t>ALCEU COMINESI NETTO</t>
  </si>
  <si>
    <t>R. Santos Dumont, 168 - Ivaí, PR, 84460-000</t>
  </si>
  <si>
    <t xml:space="preserve">https://maps.app.goo.gl/tpMKcCzxbc8PJoYT9 </t>
  </si>
  <si>
    <t>Willian Koçouski</t>
  </si>
  <si>
    <t>42 99980-8009</t>
  </si>
  <si>
    <t>ger525@quero-quero.com.br</t>
  </si>
  <si>
    <t xml:space="preserve">LINK MAPA GERAL  </t>
  </si>
  <si>
    <t>https://maps.app.goo.gl/EuQsVwDGqHWFgkNs7</t>
  </si>
  <si>
    <t xml:space="preserve">Observações da viajem: PRIMEIRA  VISITA </t>
  </si>
  <si>
    <t xml:space="preserve">HOSPEDAGEM - IVAÍ </t>
  </si>
  <si>
    <t xml:space="preserve">IVAÍ </t>
  </si>
  <si>
    <t xml:space="preserve">PEDÁGIO DEU 53 REAIS </t>
  </si>
  <si>
    <t>THAISA ALESSANDRA DOS SANTOS BRUN</t>
  </si>
  <si>
    <t>42-98426782</t>
  </si>
  <si>
    <t>ok</t>
  </si>
  <si>
    <t>CT - Terça 13:00:00</t>
  </si>
  <si>
    <t>LOHUAMA VERNER DE AQUINO</t>
  </si>
  <si>
    <t>Tv. Expedicionários, 217 - Teixeira Soares, PR, 84530-000</t>
  </si>
  <si>
    <t>https://maps.app.goo.gl/po2fYuJ9ogrzga938</t>
  </si>
  <si>
    <t>PRICILIA DOMANOSKI</t>
  </si>
  <si>
    <t>42-998015667</t>
  </si>
  <si>
    <t>GER655@QUERO-QUERO.COM.BR</t>
  </si>
  <si>
    <t>CT - Terça 14:00:00</t>
  </si>
  <si>
    <t>MATHEUS TOZETTO ALVES</t>
  </si>
  <si>
    <t>AUTO POSTO ANILA EIRELI</t>
  </si>
  <si>
    <t>Anila Hotel e Restaurante, BR 277 - Km 233, S/N Zona Rural, Fernandes Pinheiro - PR, 84535-000</t>
  </si>
  <si>
    <t>https://maps.app.goo.gl/8YRQM3bdCtzdj22m9</t>
  </si>
  <si>
    <t>RAFAEL FELIPE SCHUCK</t>
  </si>
  <si>
    <t>42-999122803</t>
  </si>
  <si>
    <t>rafaelanila@gmail.com</t>
  </si>
  <si>
    <t>BRENDA ISABELLY RIBEIRO</t>
  </si>
  <si>
    <t>HOTEL E  RESTAURANTE ANILA LTDA</t>
  </si>
  <si>
    <t>https://maps.app.goo.gl/9cKPi8PWirU87nUJA</t>
  </si>
  <si>
    <t>GUSTAVO FABRICIO SCHUCK</t>
  </si>
  <si>
    <t>42-999122698</t>
  </si>
  <si>
    <t>gustavo@anila.com.br</t>
  </si>
  <si>
    <t>ANA CAROLINA DE PAULA DA CONCEIÇÃO</t>
  </si>
  <si>
    <t>TÂNIA APARECIDA GOBOR MATIAS</t>
  </si>
  <si>
    <t>42-34578162</t>
  </si>
  <si>
    <t>adm470@quero-quero.com.br</t>
  </si>
  <si>
    <t>EMANOEL OLIVEIRA MARCOWICZ</t>
  </si>
  <si>
    <t>GIRARDI E PALOSCHI LTDA</t>
  </si>
  <si>
    <t>Rua Getúlio Vargas 40</t>
  </si>
  <si>
    <t>https://maps.app.goo.gl/ogiDtoBh2ouxmKxw9</t>
  </si>
  <si>
    <t>ANGELITA MARIA PALOSCHI</t>
  </si>
  <si>
    <t>42-991318503</t>
  </si>
  <si>
    <t>GIRARDIFINANCEIRO@GMAIL.COM</t>
  </si>
  <si>
    <t>NAYARA CAROLINE BORBA CORDEIRO</t>
  </si>
  <si>
    <t>DANIELE PRZYBISZEWSKI</t>
  </si>
  <si>
    <t>42-988458893</t>
  </si>
  <si>
    <t>przybiszewskidaniele11@gmail.com</t>
  </si>
  <si>
    <t xml:space="preserve">HOSPEDAGEM - MALLET </t>
  </si>
  <si>
    <t>DEIVIDI RYAN RIBEIRO</t>
  </si>
  <si>
    <t>CENTER SUL COMERCIO E DISTRIBUICAO LTDA</t>
  </si>
  <si>
    <t>Av. dos Trabalhadores, 1136-1162 - Vila Caroline, Mallet - PR, 84570-000</t>
  </si>
  <si>
    <t>https://maps.app.goo.gl/o7UUKpQ53nVQHYBR7</t>
  </si>
  <si>
    <t>EDUARDA HYLLARI JURASZECK</t>
  </si>
  <si>
    <t>42-998372075</t>
  </si>
  <si>
    <t>gerencia05@bahniuk.com.br</t>
  </si>
  <si>
    <t>ALEX GABRIEL DE QUADROS</t>
  </si>
  <si>
    <t>SARA LUIZA KOCZAK</t>
  </si>
  <si>
    <t>EDUARDA SOBANSKI KARBOWSKI</t>
  </si>
  <si>
    <t>petersonhruba@gmail.com</t>
  </si>
  <si>
    <t>ANDDRIEL EDUARD KMITA</t>
  </si>
  <si>
    <t>R. João Gualberto, 180 - Centro, Mallet - PR, 84570-000</t>
  </si>
  <si>
    <t>https://maps.app.goo.gl/fdp6qZZnxhi2kNQm7</t>
  </si>
  <si>
    <t>ANA APARECIDA HAZIAK</t>
  </si>
  <si>
    <t>42-999156031</t>
  </si>
  <si>
    <t>GERENCIA06@BAHNIUK.COM.BR</t>
  </si>
  <si>
    <t>GABRIELLY NICOLI MACHADO</t>
  </si>
  <si>
    <t>YURI EDUARDO PEDROSO WIERZBICKI</t>
  </si>
  <si>
    <t>FABIO KALISZEWSKI TESLUK</t>
  </si>
  <si>
    <t>TONI CEREALISTA LTDA</t>
  </si>
  <si>
    <t>R. Sete de Setembro, 406 - Mariana, Mallet - PR, 84570-000</t>
  </si>
  <si>
    <t>TATIANE KRINSKI FACIONI</t>
  </si>
  <si>
    <t>42-999411408</t>
  </si>
  <si>
    <t>tati_krinski@hotmail.com</t>
  </si>
  <si>
    <t>Jovem não estava no local</t>
  </si>
  <si>
    <t>JOÃO VITOR DA LUZ ALVES</t>
  </si>
  <si>
    <t>R. XV de Novembro, 491 - Centro, Mallet - PR, 84570-000</t>
  </si>
  <si>
    <t>https://maps.app.goo.gl/VFgPsLzvEmYWv4d8A</t>
  </si>
  <si>
    <t>RENILSON PEDROSO</t>
  </si>
  <si>
    <t>42-999107945</t>
  </si>
  <si>
    <t>gerencia02@bahniuk.com.br</t>
  </si>
  <si>
    <t>NICOLY MIRANDA RATUSNIAK</t>
  </si>
  <si>
    <t>DEIVIDY LUIS KSIOSEK</t>
  </si>
  <si>
    <t>08/10/2025 - 08:30</t>
  </si>
  <si>
    <t>STHEFANY GABRIELA CALDAS DOS SANTOS</t>
  </si>
  <si>
    <t>rosemerigrochevicz2020@gmail.com.br</t>
  </si>
  <si>
    <t xml:space="preserve">07/10/2025 - </t>
  </si>
  <si>
    <t>JOÃO GABRIEL ANICHESKI DOS SANTOS</t>
  </si>
  <si>
    <t>R. Duque de Caxias, 412, Inácio Martins - PR, 85155-000</t>
  </si>
  <si>
    <t xml:space="preserve">Suelen </t>
  </si>
  <si>
    <t>42-991444708</t>
  </si>
  <si>
    <t>gerente637@colombo.com.br</t>
  </si>
  <si>
    <t>Para a 2º Visita, realizar verificação para desvio de função, pois contou que está organizando estoque, montando biscicleta</t>
  </si>
  <si>
    <t xml:space="preserve">HOSPEDAGEM - INÁCIO MARTINS </t>
  </si>
  <si>
    <r>
      <rPr>
        <b/>
        <sz val="11"/>
        <color rgb="FF000000"/>
        <rFont val="Aptos Narrow"/>
      </rPr>
      <t>LINK MAPA GERAL</t>
    </r>
    <r>
      <rPr>
        <sz val="11"/>
        <color rgb="FF000000"/>
        <rFont val="Aptos Narrow"/>
      </rPr>
      <t xml:space="preserve"> </t>
    </r>
    <r>
      <rPr>
        <b/>
        <sz val="11"/>
        <color rgb="FF000000"/>
        <rFont val="Aptos Narrow"/>
      </rPr>
      <t xml:space="preserve"> </t>
    </r>
  </si>
  <si>
    <t>https://maps.app.goo.gl/w4MgTaJEdiMbbJRr5</t>
  </si>
  <si>
    <t>TEIXEIRA</t>
  </si>
  <si>
    <t xml:space="preserve">Observações da viajem: PRIMEIRA VISITA </t>
  </si>
  <si>
    <t xml:space="preserve">TEIXEIRA </t>
  </si>
  <si>
    <t xml:space="preserve">REBOLÇAS </t>
  </si>
  <si>
    <t xml:space="preserve">RIO AZUL </t>
  </si>
  <si>
    <t xml:space="preserve">MALLET </t>
  </si>
  <si>
    <t xml:space="preserve">INÁCIO MARTINS </t>
  </si>
  <si>
    <t>?</t>
  </si>
  <si>
    <t>CT - Quinta13:00:00</t>
  </si>
  <si>
    <t>Lauro</t>
  </si>
  <si>
    <t>MIRELLA APARECIDA DE JESUS BUENO</t>
  </si>
  <si>
    <t>43-998588166</t>
  </si>
  <si>
    <t>Rh.loja18@boxatacadista.com.br</t>
  </si>
  <si>
    <t>MATHEUS HENRIQUE LEMES PEDROSO</t>
  </si>
  <si>
    <t>ANA CLARA APARECIDA PACHECO</t>
  </si>
  <si>
    <t>ELIZETE SOARES DA SILVA</t>
  </si>
  <si>
    <t>EVELYN YASMIN ALVES DOS SANTOS</t>
  </si>
  <si>
    <t>MARIA FERNANDA XAVIER CARNEIRO</t>
  </si>
  <si>
    <t>gerente177@colombo.com.br</t>
  </si>
  <si>
    <t>GUILHERME PONTES LIMA</t>
  </si>
  <si>
    <t>R. Santos Dumont, 17 - Centro, Sengés - PR, 84220-000</t>
  </si>
  <si>
    <t>https://maps.app.goo.gl/hTtMBgxrmAYYx4nB9</t>
  </si>
  <si>
    <t xml:space="preserve">ESMERI </t>
  </si>
  <si>
    <t>15 99601-8674</t>
  </si>
  <si>
    <t>GER592@QUERO-QUERO.COM.BR</t>
  </si>
  <si>
    <t>EVILYN VICTORIA NASCIMENTO DA SILVA</t>
  </si>
  <si>
    <t>LUCAS OLIVEIRA DE CAMPOS</t>
  </si>
  <si>
    <t>43-991118449</t>
  </si>
  <si>
    <t>https://maps.app.goo.gl/mKykTiuueCLECmn87</t>
  </si>
  <si>
    <t xml:space="preserve">TIBAGI </t>
  </si>
  <si>
    <t xml:space="preserve">Observações da viajem: PRIMEIRA E SEGUNDA VISITA </t>
  </si>
  <si>
    <t xml:space="preserve">ARAPOTI </t>
  </si>
  <si>
    <t xml:space="preserve">SENGÉS </t>
  </si>
  <si>
    <t>DAFNEH EMILY DA SILVA</t>
  </si>
  <si>
    <t>LOJAS QUERO-QUERO</t>
  </si>
  <si>
    <t>Rua XV de Novembro, 438, Centro, Ipiranga, PR</t>
  </si>
  <si>
    <t>CRISTIANE GRUDYSZ</t>
  </si>
  <si>
    <t>42-998589829</t>
  </si>
  <si>
    <t>ger622@quero-quero.com.br</t>
  </si>
  <si>
    <t>LORAINE CAXAK</t>
  </si>
  <si>
    <t>RIKELMI JALLA</t>
  </si>
  <si>
    <t>BIANCA IKERT HARTMANN</t>
  </si>
  <si>
    <t>DIEGO DE OLIVEIRA MARTINS</t>
  </si>
  <si>
    <t xml:space="preserve">https://maps.app.goo.gl/NxvisLLKNZGq3yBv8    </t>
  </si>
  <si>
    <t xml:space="preserve">1º VISITA  - analisar situação de desvio de função </t>
  </si>
  <si>
    <t>GUILHERME HUGNER CAMARGO</t>
  </si>
  <si>
    <t>JOÃO VICTOR DE OLIVEIRA MARTINS</t>
  </si>
  <si>
    <t>2º VISITA - analisar situação de desvio de função</t>
  </si>
  <si>
    <t>DAVI GILBERTO MORESCO</t>
  </si>
  <si>
    <t>NICOLY VIDAL DO PRADO</t>
  </si>
  <si>
    <t>WELLIGTON RENAN VASCO</t>
  </si>
  <si>
    <t>ROBERTY RAILLÃN RODRIGUES</t>
  </si>
  <si>
    <t>ELIESER ANTONIO VANDOSKI RIBEIRO</t>
  </si>
  <si>
    <t>LUANA DA SILVA PINHEIRO</t>
  </si>
  <si>
    <t>Rodovia PR 239, KM 214, Zona Rural, Reserva, PR</t>
  </si>
  <si>
    <t xml:space="preserve">https://maps.app.goo.gl/7JxfndbCUcdhQFED7 </t>
  </si>
  <si>
    <t>FABIO SCHMIDT DE MOURA</t>
  </si>
  <si>
    <t>42-999570737</t>
  </si>
  <si>
    <t>fsmoura@coamo.com.br</t>
  </si>
  <si>
    <t>LUCAS KAUAN GATTO</t>
  </si>
  <si>
    <t>ELISA GUEDES KOBI</t>
  </si>
  <si>
    <t>NICOLE RAMOS DE MELO</t>
  </si>
  <si>
    <t>Av. Cel. Rogerio Borba, 852 - Centro, Reserva - PR, 84320-000</t>
  </si>
  <si>
    <t>GIOVANE LUIS</t>
  </si>
  <si>
    <t>42 9872-6735</t>
  </si>
  <si>
    <t>giovanneluis455@gmail.com</t>
  </si>
  <si>
    <t>GUSTAVO DOS REIS WEBSKY</t>
  </si>
  <si>
    <t>Av. Cel. Rogerio Borba, 597 - Centro, Reserva - PR, 84320-000</t>
  </si>
  <si>
    <t xml:space="preserve">https://maps.app.goo.gl/WXB6MHStnFekvUL97 </t>
  </si>
  <si>
    <t xml:space="preserve">Luiz Felipe Holleben </t>
  </si>
  <si>
    <t>42-988657244</t>
  </si>
  <si>
    <t>LUCAS.CORREA6@FARMACIASSAOJOAO.COM.BR</t>
  </si>
  <si>
    <t>JHONATAN DELGADO</t>
  </si>
  <si>
    <t>Comercial Ivaiporã Ltda, R. Benjamin Constant, 339 - Centro, Reserva - PR, 84320-000</t>
  </si>
  <si>
    <t>https://maps.app.goo.gl/Usb7BQGaPkhaKHRM8</t>
  </si>
  <si>
    <t>Luiz Roberto Pedroso</t>
  </si>
  <si>
    <t>44 9876-9335</t>
  </si>
  <si>
    <t>reserva@comercialivaipora.com.br</t>
  </si>
  <si>
    <t>BEATRIZ ALVES RIBEIRO</t>
  </si>
  <si>
    <t>CASSIANE SILVA CARVALHO</t>
  </si>
  <si>
    <t>42-988021424 / 42-998050164</t>
  </si>
  <si>
    <t>cassicarvalhocorporativo@gmail.com</t>
  </si>
  <si>
    <t>HOSPEDAGEM - RESERVA Hotel Celmar</t>
  </si>
  <si>
    <t>41 9757-9023</t>
  </si>
  <si>
    <t>BRUNO PALMEIRAS DA CRUZ</t>
  </si>
  <si>
    <t>Leandro@superassis.com.br</t>
  </si>
  <si>
    <t>NICOLAS EMANUEL SOARES</t>
  </si>
  <si>
    <t>MURILO DA CONCEICAO</t>
  </si>
  <si>
    <t xml:space="preserve">LINK GERAL: https://maps.app.goo.gl/XEXCfHFRB7X9wBHf6 </t>
  </si>
  <si>
    <t>DEFINIR</t>
  </si>
  <si>
    <t xml:space="preserve">PIÊN </t>
  </si>
  <si>
    <t>Status Visita 2</t>
  </si>
  <si>
    <t>DAYANA APARECIDA FALLER NOGUEIRA</t>
  </si>
  <si>
    <t>APRENDIZAGEM PROFISSIONAL TÉCNICA EM ADMINISTRAÇÃO</t>
  </si>
  <si>
    <t>https://maps.app.goo.gl/Sj5R5vo4PA8pU6FKA</t>
  </si>
  <si>
    <t>MARISTELA ANGELITA FAGANELLO</t>
  </si>
  <si>
    <t>43-996400021</t>
  </si>
  <si>
    <t>Normal</t>
  </si>
  <si>
    <t>LEA VELOSO TEIXEIRA</t>
  </si>
  <si>
    <t>96.418.264/0409-47</t>
  </si>
  <si>
    <t>R. Pres. Costa e Silva, 640 - Centro, Assis Chateaubriand - PR, 85935-000</t>
  </si>
  <si>
    <t>https://maps.app.goo.gl/uRLN2LPU79qw9Yvs5</t>
  </si>
  <si>
    <t>SILVANA DOMINGOS</t>
  </si>
  <si>
    <t>44-35280700</t>
  </si>
  <si>
    <t>ger391@quero-quero.com.br</t>
  </si>
  <si>
    <t>ALEHANDRO ILES FRIEDEMANN</t>
  </si>
  <si>
    <t>96.418.264/0449-34</t>
  </si>
  <si>
    <t>Av. Gov. Moisés Lupion, 535 - Centro, Cafelândia - PR, 85415-000</t>
  </si>
  <si>
    <t>https://maps.app.goo.gl/joGN18srEeikK4t48</t>
  </si>
  <si>
    <t>MANFRED HENNIG</t>
  </si>
  <si>
    <t>45-32414100</t>
  </si>
  <si>
    <t>43-99897070</t>
  </si>
  <si>
    <t>GER433@QUERO-QUERO.COM.BR</t>
  </si>
  <si>
    <t>MARIA PAULA LINCK AREND</t>
  </si>
  <si>
    <t>96.418.264/0256-38</t>
  </si>
  <si>
    <t>R. Padre Cirílo, 1510 - Centro, Capanema - PR, 85760-000</t>
  </si>
  <si>
    <t>https://maps.app.goo.gl/N3ae5xxE8K19To6QA</t>
  </si>
  <si>
    <t>PAULO GUILHERME KAFER ESCHER</t>
  </si>
  <si>
    <t>43-999084512</t>
  </si>
  <si>
    <t>adm245@quero.quero.com.br</t>
  </si>
  <si>
    <t>EVANDRO GALLETT RECKZIEGEL</t>
  </si>
  <si>
    <t>KRAEMER E KRAEMER LTDA</t>
  </si>
  <si>
    <t>75.133.611/0001-07</t>
  </si>
  <si>
    <t>Av. Sete de Setembro, 549 - São Cristóvão, Capanema - PR, 85760-000</t>
  </si>
  <si>
    <t>https://maps.app.goo.gl/piWQdBvnXMrMKBsc9</t>
  </si>
  <si>
    <t>ALECSANDRA CHAGAS ROST</t>
  </si>
  <si>
    <t>46-999805003</t>
  </si>
  <si>
    <t>43-99084512</t>
  </si>
  <si>
    <t>alecsandrachagasrost@hotmail.com</t>
  </si>
  <si>
    <t>EMELLY VITÓRIA FERREIRA</t>
  </si>
  <si>
    <t>https://maps.app.goo.gl/Yh2TgWqBagGom2kG9</t>
  </si>
  <si>
    <t>42-991294542</t>
  </si>
  <si>
    <t>TAYNÁ VITÓRIA CAMILO DE SOUSA DE OLIVEIRA</t>
  </si>
  <si>
    <t>M DE SOUZA CRAVEIRO &amp; CRAVEIRO LTDA</t>
  </si>
  <si>
    <t>12.934.302/0001-16</t>
  </si>
  <si>
    <t>Av. Maranhão, 1974 - Zona 7, Cianorte - PR, 87200-000</t>
  </si>
  <si>
    <t>https://maps.app.goo.gl/mxYnhCmnj9fqwozY8</t>
  </si>
  <si>
    <t>CARLOS ROBERTO ANDRADE</t>
  </si>
  <si>
    <t>44-36291052</t>
  </si>
  <si>
    <t>44-991530382</t>
  </si>
  <si>
    <t>carlinhoscne@gmail.com</t>
  </si>
  <si>
    <t>DAVI TORRES BRAGA DE OLIVEIRA</t>
  </si>
  <si>
    <t>96.418.264/0454-00</t>
  </si>
  <si>
    <t>Av. América, 4712 - Zona de Armazém, Cianorte - PR, 87209-004</t>
  </si>
  <si>
    <t>https://maps.app.goo.gl/6X8Ga11b8qMpqmZy8</t>
  </si>
  <si>
    <t>ROSANGELA DOS SANTOS</t>
  </si>
  <si>
    <t>46-988051623</t>
  </si>
  <si>
    <t>45-920009944</t>
  </si>
  <si>
    <t>ger440@quero-quero.com.br</t>
  </si>
  <si>
    <t>JOÃO PEDRO RAMPI</t>
  </si>
  <si>
    <t>https://maps.app.goo.gl/B36DxRJN5GvqhdAC9</t>
  </si>
  <si>
    <t>42-988283130</t>
  </si>
  <si>
    <t>ger240@quero-quero.com.br</t>
  </si>
  <si>
    <t>CAROLINI DEVECHIALVES</t>
  </si>
  <si>
    <t>96.418.264/0402-70</t>
  </si>
  <si>
    <t>Av. Brasil, 2322 - Centro, Cruzeiro do Oeste - PR, 87400-000</t>
  </si>
  <si>
    <t>https://maps.app.goo.gl/5EaFvWgB8QZkD7Qf7</t>
  </si>
  <si>
    <t>FABIANA DE ARAUJO</t>
  </si>
  <si>
    <t>44-36768650</t>
  </si>
  <si>
    <t>44-997667965</t>
  </si>
  <si>
    <t>ADM386@QUERO-QUERO.COM.BR</t>
  </si>
  <si>
    <t>JULIA CAROLINE BORTOLOSSI VIEIRA</t>
  </si>
  <si>
    <t>96.418.264/0374-82</t>
  </si>
  <si>
    <t>R. Heitor Ferrari Hablich, 32 - Centro, Dois Vizinhos - PR, 85660-000</t>
  </si>
  <si>
    <t>https://maps.app.goo.gl/4WnBZAdxRYXYZph69</t>
  </si>
  <si>
    <t>DANIELA SILVA DOS PASSOS</t>
  </si>
  <si>
    <t>44-991558387</t>
  </si>
  <si>
    <t>DANIELA.PASSOS@EDU.UNIPAR.BR</t>
  </si>
  <si>
    <t>DIONATHAN DIEGO MARTINS JUNIOR</t>
  </si>
  <si>
    <t>Brasão Supermercado - Guaratuba Centro, R. José Nicolau Abagge, 497 - Centro, Guaratuba - PR, 83280-000</t>
  </si>
  <si>
    <t>https://maps.app.goo.gl/pLi9FMKV1hijQMPc6</t>
  </si>
  <si>
    <t>41-34431339</t>
  </si>
  <si>
    <t>ARTUR SCHINEIDER BATISTA</t>
  </si>
  <si>
    <t>01.447.569/0001-62</t>
  </si>
  <si>
    <t>R. Dr. Caetano Munhóz da Rocha, 1499-1321 - Guaratuba, PR, 83280-000</t>
  </si>
  <si>
    <t>https://maps.app.goo.gl/7noRcru9PJG6hkzh8</t>
  </si>
  <si>
    <t>GABRIELA PEREIRA TITAO</t>
  </si>
  <si>
    <t>Brasão Supermercado Guaratuba, Av. Visc. do Rio Branco, 850 - Brejatuba, Guaratuba - PR, 83240-000</t>
  </si>
  <si>
    <t>https://maps.app.goo.gl/SifDk2fJcM2NXfa38</t>
  </si>
  <si>
    <t>NATHALIA SIMOES MANUEL</t>
  </si>
  <si>
    <t>JOAO VINICIUS ARRUDA DOS SANTOS</t>
  </si>
  <si>
    <t>DANIEL HENRIQUE GUIMARÃES</t>
  </si>
  <si>
    <t>96.418.264/0514-77</t>
  </si>
  <si>
    <t>Lojas Quero-Quero, R. Rui Barbosa, 600 - Centro, Ibaiti - PR, 84900-000</t>
  </si>
  <si>
    <t>https://maps.app.goo.gl/BETV3ns8d6AhrSPfA</t>
  </si>
  <si>
    <t>ALEXANDRO MARTINS DA CRUZ</t>
  </si>
  <si>
    <t>43-35460400</t>
  </si>
  <si>
    <t>42-991278482</t>
  </si>
  <si>
    <t>GER498@QUERO-QUERO.COM.BR</t>
  </si>
  <si>
    <t>JENIFFER SCHEMBERGUES</t>
  </si>
  <si>
    <t>https://maps.app.goo.gl/FvBz36ANam1AYYA98</t>
  </si>
  <si>
    <t>LUIS ADRIANO FREIRE DOS SANTOS</t>
  </si>
  <si>
    <t>42-91049858</t>
  </si>
  <si>
    <t>GER536@QUERO-QUERO.COM.BR</t>
  </si>
  <si>
    <t>GUSTAVO FELIPE OLIVEIRA FERREIRA</t>
  </si>
  <si>
    <t>Av. Pres. Castelo Branco, 1841 - Centro, Iporã - PR, 87560-000</t>
  </si>
  <si>
    <t>https://maps.app.goo.gl/yqScbqMepfWNftp9A</t>
  </si>
  <si>
    <t>jhonatan dos santos vioti</t>
  </si>
  <si>
    <t>42-99007083</t>
  </si>
  <si>
    <t>LEONARDO BARON ASTRISSI</t>
  </si>
  <si>
    <t>96.418.264/0636-45</t>
  </si>
  <si>
    <t>Av. Tôrres, 2056 - Centro, Itaipulândia - PR, 85880-000</t>
  </si>
  <si>
    <t>https://maps.app.goo.gl/7J3ohX2W99Wzg4Nb7</t>
  </si>
  <si>
    <t>AUREA STELLA PATRICIO</t>
  </si>
  <si>
    <t>45-991256663</t>
  </si>
  <si>
    <t>42-99318499</t>
  </si>
  <si>
    <t>ADM619@QUERO-QUERO.COM.BR</t>
  </si>
  <si>
    <t>MATHEUS CARRARA DE SOUZA</t>
  </si>
  <si>
    <t>COMERCIAL CEREALISTA SAO RAFAEL LTDA</t>
  </si>
  <si>
    <t>76.193.770/0001-60</t>
  </si>
  <si>
    <t>Av. Bandeirantes, 270, Jaguapitã - PR, 86610-000</t>
  </si>
  <si>
    <t>https://maps.app.goo.gl/AZyJF3fHwvzwqAWR7</t>
  </si>
  <si>
    <t>LIVIA DA SILVA AMARO</t>
  </si>
  <si>
    <t>43-32721587</t>
  </si>
  <si>
    <t>42-88180640</t>
  </si>
  <si>
    <t>CONTABILIDADESAORAFAEL@GMAIL.COM</t>
  </si>
  <si>
    <t>KETLEN RAFAELLA XAVIER DA SILVA</t>
  </si>
  <si>
    <t>Livia da Silva Amaro</t>
  </si>
  <si>
    <t>42-99440335</t>
  </si>
  <si>
    <t>GABRIELE BARBOSA SANTOS</t>
  </si>
  <si>
    <t>https://maps.app.goo.gl/iNV7WVkmT7Y6W6V2A</t>
  </si>
  <si>
    <t>SANDRA DO PRADO OLIVEIRA</t>
  </si>
  <si>
    <t>42-991644143</t>
  </si>
  <si>
    <t>ISABELA BORBA DOS SANTOS</t>
  </si>
  <si>
    <t>96.418.264/0567-89</t>
  </si>
  <si>
    <t>R. Dr. Lincoln Graça, 303 - Centro, Joaquim Távora - PR, 86455-000</t>
  </si>
  <si>
    <t>https://maps.app.goo.gl/7ZJGrXGsDmuUsLyT6</t>
  </si>
  <si>
    <t>kaique Barreto gabriel</t>
  </si>
  <si>
    <t>42-91348797</t>
  </si>
  <si>
    <t>barretok50@gmail.com</t>
  </si>
  <si>
    <t>FERNANDO RAMOS MENEZES DOS SANTOS</t>
  </si>
  <si>
    <t>96.418.264/0559-79</t>
  </si>
  <si>
    <t>Av. Amazonas, 1180 - Centro, Mandaguari - PR, 86975-000</t>
  </si>
  <si>
    <t>https://maps.app.goo.gl/CYHK8j6ssiMqsD8X7</t>
  </si>
  <si>
    <t>ANA RAQUEL DOS SANTOS VERRONE</t>
  </si>
  <si>
    <t>44-33221200</t>
  </si>
  <si>
    <t>45-999957290</t>
  </si>
  <si>
    <t>adm543@quero-quero.com.br</t>
  </si>
  <si>
    <t>HELOISA ALVES VIANA</t>
  </si>
  <si>
    <t>https://maps.app.goo.gl/DJb2RdFHSsR8FMXc9</t>
  </si>
  <si>
    <t>Calinca Alves de Carvalho</t>
  </si>
  <si>
    <t>42-991464481</t>
  </si>
  <si>
    <t>alvescalinca1707@gmail.com</t>
  </si>
  <si>
    <t>LEONARDO TONELLO MARQUES</t>
  </si>
  <si>
    <t>LOJAS QUERO QUERO SA</t>
  </si>
  <si>
    <t>96.418.264/0441-87</t>
  </si>
  <si>
    <t>R. Argentina, 998 - Centro, Medianeira - PR, 85884-000</t>
  </si>
  <si>
    <t>https://maps.app.goo.gl/LRYoPnfuicw239cbA</t>
  </si>
  <si>
    <t>42-98087761</t>
  </si>
  <si>
    <t>ger426@quero-quero.com.br</t>
  </si>
  <si>
    <t>GUSTAVO HENRIQUE MARTINS DE JESUS</t>
  </si>
  <si>
    <t>96.418.264/0455-82</t>
  </si>
  <si>
    <t>Av. Paraná, 493 - Jardim São José, Ortigueira - PR, 84350-000</t>
  </si>
  <si>
    <t>https://maps.app.goo.gl/S41g33W8Js4UbShb9</t>
  </si>
  <si>
    <t>THALIA GARCEZ OLIVEIRA BANACH</t>
  </si>
  <si>
    <t>42-32778050</t>
  </si>
  <si>
    <t>47-996228479</t>
  </si>
  <si>
    <t>adm439@quero-quero.com.br</t>
  </si>
  <si>
    <t>LUCAS GABRIEL MELO DE OLIVEIRA</t>
  </si>
  <si>
    <t>https://maps.app.goo.gl/GRsavmmjUEQjibK16</t>
  </si>
  <si>
    <t>AMANDA DA SILVA ANTÔNIO</t>
  </si>
  <si>
    <t>44-35438600</t>
  </si>
  <si>
    <t>ger502@quero-quero.com.br</t>
  </si>
  <si>
    <t>MARIA EDUARDA BRUNOSKY COVALSKI</t>
  </si>
  <si>
    <t>Belagrícola, Rodovia Deputado João Chede, 3659-3843 - Palmeira, PR, 84130-000</t>
  </si>
  <si>
    <t>https://maps.app.goo.gl/gfLFUeUNYRDvF8DU9</t>
  </si>
  <si>
    <t>MEYRILISE MAYUMI YAMAGUCHI</t>
  </si>
  <si>
    <t>meyrilise.yamaguchi@belagricola.com.br</t>
  </si>
  <si>
    <t>MARIA EDUARDA WELKE</t>
  </si>
  <si>
    <t>https://maps.app.goo.gl/KPtZg1i3EK1L2myM6</t>
  </si>
  <si>
    <t>Maria Carolina Franco Quintino da Cruz</t>
  </si>
  <si>
    <t>44-36498686</t>
  </si>
  <si>
    <t>44-988424506</t>
  </si>
  <si>
    <t>BRUNO HACHMANN MENDES</t>
  </si>
  <si>
    <t>https://maps.app.goo.gl/5711GANE1irMr94c6</t>
  </si>
  <si>
    <t>MARINEZ NAVA</t>
  </si>
  <si>
    <t>44-36497050</t>
  </si>
  <si>
    <t>44-999117671</t>
  </si>
  <si>
    <t>JOÃO GABRIEL DE OLIVEIRA</t>
  </si>
  <si>
    <t>VITOR HUGO ROSSATO EVANGELISTA</t>
  </si>
  <si>
    <t>LAVINIA GABRIELLE LINO</t>
  </si>
  <si>
    <t>MARIA CAROLINA FRANCO QUINTINO DA CRUZ</t>
  </si>
  <si>
    <t>PHELIPE PACHECO RODRIGUES</t>
  </si>
  <si>
    <t>https://maps.app.goo.gl/CdxFCJsFkHqGB5Hs7</t>
  </si>
  <si>
    <t>LORHANY GABRIELY MAINARDES DE QUEIROZ</t>
  </si>
  <si>
    <t>96.418.264/0581-37</t>
  </si>
  <si>
    <t>R. João Lupion de Troia, 56 - Centro, Piraí do Sul - PR, 84240-000</t>
  </si>
  <si>
    <t>https://maps.app.goo.gl/PpGbHarrBuZ2tVYz7</t>
  </si>
  <si>
    <t>STEPHANY DAMONY SOARES DOS SANTOS</t>
  </si>
  <si>
    <t>adm566@quero-quero.com.br</t>
  </si>
  <si>
    <t>CAMILA DE PAULA DA SILVA</t>
  </si>
  <si>
    <t>Auto Posto Motivação Ltda</t>
  </si>
  <si>
    <t>01.569.967/0004-02</t>
  </si>
  <si>
    <t>R. Ébano Pereira, 211 - Centro, Pitanga - PR, 85200-000</t>
  </si>
  <si>
    <t>https://maps.app.goo.gl/74QuKwd6q8VqQ7c48</t>
  </si>
  <si>
    <t>LUIS HENRIQUE POTERIKO DA LUZ</t>
  </si>
  <si>
    <t>42-34223030</t>
  </si>
  <si>
    <t>dp@ivasko.com.br</t>
  </si>
  <si>
    <t>ARIELLE RODRIGUES</t>
  </si>
  <si>
    <t>https://maps.app.goo.gl/Y9FRxdCsfyWv9Cwj6</t>
  </si>
  <si>
    <t>DAYVID CONOR RODRIGUES</t>
  </si>
  <si>
    <t>MercadoMoveis LTDA</t>
  </si>
  <si>
    <t>77.500.049/0010-29</t>
  </si>
  <si>
    <t>Av. Horácio Klabin, 44 - Centro, Telêmaco Borba - PR, 84261-000</t>
  </si>
  <si>
    <t>https://maps.app.goo.gl/1Kvb2iuaxb1dSHDq5</t>
  </si>
  <si>
    <t>Aldo Pauliki Solek</t>
  </si>
  <si>
    <t>aldo.solek@email.lojasmm.com.br</t>
  </si>
  <si>
    <t>LOHANNY BEATRIZ BUENO</t>
  </si>
  <si>
    <t>https://maps.app.goo.gl/n15ZDeSG17HgY9mS9</t>
  </si>
  <si>
    <t>AGINALDO MOREIRA DA SILVA</t>
  </si>
  <si>
    <t>MARIA EDUARDA PRESTES BARBOSA</t>
  </si>
  <si>
    <t>Av. Cinco de Março, 462 - Centro, Piraí do Sul - PR, 84240-000</t>
  </si>
  <si>
    <t>https://maps.app.goo.gl/b6bWG7isNNKUMtKB8</t>
  </si>
  <si>
    <t>JENNIFER GABRIEL DE OLIVEIRA</t>
  </si>
  <si>
    <t>BRENDA EDUARDA KLOSOVSKI</t>
  </si>
  <si>
    <t>96.418.264/0464-73</t>
  </si>
  <si>
    <t>Av. São João, 2050 - Centro, Prudentópolis - PR, 84400-000</t>
  </si>
  <si>
    <t>https://maps.app.goo.gl/D27BeV4jVPhHkeBf6</t>
  </si>
  <si>
    <t>ADRIANO CEZAR MARTINS</t>
  </si>
  <si>
    <t>adriano.martins@quero-quero.com.br</t>
  </si>
  <si>
    <t>MARIA ELOISE MICHALOWSKI</t>
  </si>
  <si>
    <t>77.500.049/0009-95</t>
  </si>
  <si>
    <t>Av. São João, 2402-2468 - Prudentópolis, PR, 84400-000</t>
  </si>
  <si>
    <t>https://maps.app.goo.gl/LQMEufsbJDpA13ji9</t>
  </si>
  <si>
    <t>GERALDO FEDASZ</t>
  </si>
  <si>
    <t>geraldo.fedasz@email.lojasmm.com.br</t>
  </si>
  <si>
    <t>PEDRO AUGUSTO ARGENTE</t>
  </si>
  <si>
    <t>https://maps.app.goo.gl/Bv72reeCJtGqSzHw7</t>
  </si>
  <si>
    <t>ALEX JUNIOR DA SILVA</t>
  </si>
  <si>
    <t>BRUNO HENRIQUE TONINI</t>
  </si>
  <si>
    <t>96.418.264/0591-09</t>
  </si>
  <si>
    <t>Av. XV de Novembro, 279 - Centro, São João - PR, 85570-000</t>
  </si>
  <si>
    <t>https://maps.app.goo.gl/r7FbNEUcbzQntkx29</t>
  </si>
  <si>
    <t>YANCA DA COSTA PRUCH</t>
  </si>
  <si>
    <t>46-999312654</t>
  </si>
  <si>
    <t>ger575@quero-quero.com.br</t>
  </si>
  <si>
    <t>LUKAS OTAVIO SILVA DE QUEIROZ</t>
  </si>
  <si>
    <t>https://maps.app.goo.gl/ZS1buQTgNroahbgBA</t>
  </si>
  <si>
    <t>VITOR ALVES DE SOUZA</t>
  </si>
  <si>
    <t>ADM518@QUERO-QUERO.COM.BR</t>
  </si>
  <si>
    <t>MARIA EDUARDA VIDAL VELOSO</t>
  </si>
  <si>
    <t>https://maps.app.goo.gl/RiwWpcTUMDzEGNHZ6</t>
  </si>
  <si>
    <t>IRENE PALCZUK</t>
  </si>
  <si>
    <t>RAYSSA MACENA DOS SANTOS</t>
  </si>
  <si>
    <t>https://maps.app.goo.gl/gHpHneWvEQnHEoEX6</t>
  </si>
  <si>
    <t>GER643@QUERO-QUERO.COM.BR</t>
  </si>
  <si>
    <t>KETLYN MAIARA RODRIGUES LIMA</t>
  </si>
  <si>
    <t>05.444.853/0008-02</t>
  </si>
  <si>
    <t>Av. Marcilio Daltro, 201 - Centro, Ubiratã - PR, 85440-000</t>
  </si>
  <si>
    <t>https://maps.app.goo.gl/xyPhv3xuvNdGDPKY7</t>
  </si>
  <si>
    <t>KELLY RAIANE DEODATO OTAVO</t>
  </si>
  <si>
    <t>UBIRATA.ADM@AGRICASE.COM.BR</t>
  </si>
  <si>
    <t>ISADORA SALUSTIANO VAZ</t>
  </si>
  <si>
    <t>77.310.589/0031-74</t>
  </si>
  <si>
    <t>Av. João Medeiros, 365 - Zona Industrial, Ubiratã - PR, 85440-000</t>
  </si>
  <si>
    <t>https://maps.app.goo.gl/xSHgxemQPtfruo678</t>
  </si>
  <si>
    <t>NICOLAS MATHEUS DE SOUZA SAMPAIO</t>
  </si>
  <si>
    <t>96.418.264/0362-49</t>
  </si>
  <si>
    <t>Av. Nilza Oliveira Pepino, 1489 - Centro, Ubiratã - PR, 85440-000</t>
  </si>
  <si>
    <t>https://maps.app.goo.gl/kuM7JpRV6y4tepAz5</t>
  </si>
  <si>
    <t>EVELYN FERREIRA DOS SANTOS</t>
  </si>
  <si>
    <t>44-35438700</t>
  </si>
  <si>
    <t>GER342@QUERO-QUERO.COM.BR</t>
  </si>
  <si>
    <t>GABRIELLY SOUZA MENON</t>
  </si>
  <si>
    <t>Paróquia Santo Antônio, R. Nossa Sra. Aparecida, 567 - Ubiratã, PR, 85440-000</t>
  </si>
  <si>
    <t>https://maps.app.goo.gl/4rYPgmPxNTX49NbY7</t>
  </si>
  <si>
    <t>44-35431456</t>
  </si>
  <si>
    <t>nildamelloalmeida@hotmail.com</t>
  </si>
  <si>
    <t>GUILHERME DE OLIVEIRA CICHORSKI</t>
  </si>
  <si>
    <t>Coamo - Bragantina, Estrada Principal, s/n - Distrito de Bragantina, Assis Chateaubriand - PR, 85937-000</t>
  </si>
  <si>
    <t>https://maps.app.goo.gl/UYnJMYULPn88QsPR8</t>
  </si>
  <si>
    <t>JOSÉ LUIZ BRAZ</t>
  </si>
  <si>
    <t>44-999772925</t>
  </si>
  <si>
    <t>42-999386200</t>
  </si>
  <si>
    <t>jlbraz@coamo.com.br</t>
  </si>
  <si>
    <t>ALANA CRISTINA MALAQUIAS</t>
  </si>
  <si>
    <t>JOSÉ ANTONIO FAUSTINO NETO</t>
  </si>
  <si>
    <t>ARIADNE DOS SANTOS LOPES</t>
  </si>
  <si>
    <t>COOPERANTE - COOPERATIVA AGRICOLA CAMPO DO TENENTE</t>
  </si>
  <si>
    <t>02.788.151/0001-81</t>
  </si>
  <si>
    <t>R. Andre Valenga, 360, Campo do Ten. - PR, 83870-000</t>
  </si>
  <si>
    <t>https://maps.app.goo.gl/PE6GYcgeCYuMYJh29</t>
  </si>
  <si>
    <t>DILMARA DE FATIMA GROSSKOPF</t>
  </si>
  <si>
    <t>41-36281308</t>
  </si>
  <si>
    <t>41-987599651</t>
  </si>
  <si>
    <t>gestorrh@cooperante.com.br</t>
  </si>
  <si>
    <t>Segunda-feira: 15:00 às 17:00; Terça-feira: 15:00 às 17:00; Quinta-feira: 15:00 às 17:00; Sexta-feira: 15:00 às 17:00; Sábado: 10:00 às 12:00</t>
  </si>
  <si>
    <t>THOMAZ LEONARDO DA SILVA MOREIRA</t>
  </si>
  <si>
    <t>RUBENS CARVALHO DE LIMA JUNIOR</t>
  </si>
  <si>
    <t>75.984.906/0002-78</t>
  </si>
  <si>
    <t>Coagro Cooperativa Agroindustrial - Matriz, R. Padre Cirílo, 3221 - São Cristóvão, Capanema - PR, 85760-000</t>
  </si>
  <si>
    <t>https://maps.app.goo.gl/W1EigpLdrGt56fjE9</t>
  </si>
  <si>
    <t>RAFAEL TIAGO SONAI</t>
  </si>
  <si>
    <t>46-999030549</t>
  </si>
  <si>
    <t>SAOLUIZ@COAGRO.COM.BR</t>
  </si>
  <si>
    <t>Segunda-feira: 15:30 às 17:30; Terça-feira: 15:30 às 17:30; Quinta-feira: 15:30 às 17:30; Sexta-feira: 15:30 às 17:30; Sábado: 10:00 às 12:00</t>
  </si>
  <si>
    <t>ANA LUISA SILVA DA ROSA</t>
  </si>
  <si>
    <t>75.984.906/0020-50</t>
  </si>
  <si>
    <t>R. Dionísio Wons, 249-107 - São Cristóvão, Capanema - PR, 85760-000</t>
  </si>
  <si>
    <t>https://maps.app.goo.gl/A5fviXFMkv3UQicE8</t>
  </si>
  <si>
    <t>NADIR GIBOSKI</t>
  </si>
  <si>
    <t>46-999011801</t>
  </si>
  <si>
    <t>CAPANEMA@COAGRO.COM.BR</t>
  </si>
  <si>
    <t>FLAVIA ALESSANDRA BIAZUSSI</t>
  </si>
  <si>
    <t>75.984.906/0049-31</t>
  </si>
  <si>
    <t>RAKEL MARTINS</t>
  </si>
  <si>
    <t>46-999039283</t>
  </si>
  <si>
    <t>FABRICAQUALIDADE@COAGRO.COM.BR</t>
  </si>
  <si>
    <t>MATHEUS HENRIQUE BUENO HERMANN</t>
  </si>
  <si>
    <t>Segunda-feira: 15:30 às 17:30; Terça-feira: 15:30 às 17:30; Quarta-feira: 15:30 às 17:30; Quinta-feira: 15:30 às 17:30; Sábado: 10:00 às 12:00</t>
  </si>
  <si>
    <t>LUIZA HENRICA PONTIN HARTMANN</t>
  </si>
  <si>
    <t>75.984.906/0039-60</t>
  </si>
  <si>
    <t>CARLA TATIANE MALDANER</t>
  </si>
  <si>
    <t>46-999180707</t>
  </si>
  <si>
    <t>CARLA.RH@COAGRO.COM.BR</t>
  </si>
  <si>
    <t>PAMELA REGINA DAVID RAUBER</t>
  </si>
  <si>
    <t>ANTHONY GABRIEL GRADE BELLONI</t>
  </si>
  <si>
    <t>COOPERATIVA DE ELETRIFICAÇÃO RURAL DE CHOPINZINHO LTDA</t>
  </si>
  <si>
    <t>76.995.232/0001-99</t>
  </si>
  <si>
    <t>Cercho, Av. XV de Novembro, 5384 - Cristo Rei, Chopinzinho - PR, 85560-000</t>
  </si>
  <si>
    <t>https://maps.app.goo.gl/UzDvWmLu5LZbb8vQ8</t>
  </si>
  <si>
    <t>Ana Paula Boeno Lerias</t>
  </si>
  <si>
    <t>46-32421130</t>
  </si>
  <si>
    <t>46-991350555</t>
  </si>
  <si>
    <t>paula@cercho.com.br</t>
  </si>
  <si>
    <t>EMANUEL FELIPE BALANSIN</t>
  </si>
  <si>
    <t>Segunda-feira: 14:00 às 16:00; Terça-feira: 14:00 às 16:00; Quinta-feira: 14:00 às 16:00; Sexta-feira: 14:00 às 16:00; Sábado: 08:00 às 10:00</t>
  </si>
  <si>
    <t>JAQUELINE VACHIN</t>
  </si>
  <si>
    <t>75.904.383/0110-85</t>
  </si>
  <si>
    <t>Coamo - Vista Alegre, Rod. PR 562 - km 71 Vista Alegre Zona Rural, Cel. Vivida - PR, 85550-000</t>
  </si>
  <si>
    <t>https://maps.app.goo.gl/1UY565oDt33ws6wZ7</t>
  </si>
  <si>
    <t>DANIEL LUCIANO ZANELLA</t>
  </si>
  <si>
    <t>46-32331177</t>
  </si>
  <si>
    <t>46-999183018</t>
  </si>
  <si>
    <t>DZANELLA@COAMO.COM.BR</t>
  </si>
  <si>
    <t>LARISSA DA SILVA LIMA</t>
  </si>
  <si>
    <t>Segunda-feira: 15:30 às 17:30; Terça-feira: 15:30 às 17:30; Quarta-feira: 15:30 às 17:30; Sexta-feira: 15:30 às 17:30; Sábado: 09:30 às 11:30</t>
  </si>
  <si>
    <t>LUIZ FELIPE GOUVEIA</t>
  </si>
  <si>
    <t>75.904.383/0085-30</t>
  </si>
  <si>
    <t>Coamo Agroindustrial Cooperativa, BR-373, s/n - Zona Rural, Cel. Vivida - PR, 85550-000</t>
  </si>
  <si>
    <t>https://maps.app.goo.gl/198boThMmJVppM1k6</t>
  </si>
  <si>
    <t>GILBERTO CARLOS MEDEIROS</t>
  </si>
  <si>
    <t>46-32321133</t>
  </si>
  <si>
    <t>GCMEDEIROS@COAMO.COM.BR</t>
  </si>
  <si>
    <t>EMANUEL THOBIAS BALBINOT DA SILVA</t>
  </si>
  <si>
    <t>EDUARDO SILVA LIMA</t>
  </si>
  <si>
    <t>75.904.383/0231-72</t>
  </si>
  <si>
    <t>Coamo agroindustrial Cooperativa Jardin Alegre, Q8Q4+X6, Jardim Alegre - PR, 86860-000</t>
  </si>
  <si>
    <t>https://maps.app.goo.gl/b4B2naSDiWhRmHBFA</t>
  </si>
  <si>
    <t>VILSON SCHERPINSKI</t>
  </si>
  <si>
    <t>43-34711500</t>
  </si>
  <si>
    <t>43-34721813</t>
  </si>
  <si>
    <t>VSCHERPINSKI@COAMO.COM.BR</t>
  </si>
  <si>
    <t>JOAO VITOR ANDRÉ DE LIMA</t>
  </si>
  <si>
    <t>75.904.383/0101-94</t>
  </si>
  <si>
    <t>Coamo Agroindustrial Cooperativa, PR-466, Jardim Alegre - PR, 86860-000</t>
  </si>
  <si>
    <t>https://maps.app.goo.gl/USgeM2aphMvFMvCW7</t>
  </si>
  <si>
    <t>vscherpinski@coamo.com.br</t>
  </si>
  <si>
    <t>NICOLY IACOMO GONCALVES</t>
  </si>
  <si>
    <t>79.114.450/0205-14</t>
  </si>
  <si>
    <t>Av. Paraná, 1400 - Jaguapita, Jaguapitã - PR, 86610-000</t>
  </si>
  <si>
    <t>https://maps.app.goo.gl/dMs8NaBnvPeLRqWy7</t>
  </si>
  <si>
    <t>ELIANA URIAS DA SILVA</t>
  </si>
  <si>
    <t>43-32721291</t>
  </si>
  <si>
    <t>43-996085419</t>
  </si>
  <si>
    <t>eliana.silva@cocamar.com.br</t>
  </si>
  <si>
    <t>KAUÃ PADILHA DE GODOY</t>
  </si>
  <si>
    <t>COOPERATIVA DE CREDITO POUPANCA E INVESTIMENTO IGUACU - SICREDI IGUACU PR SC E REGIAO METROPOLITANA</t>
  </si>
  <si>
    <t>84.974.278/0009-07</t>
  </si>
  <si>
    <t>R. São Francisco, 583 - São João, PR, 85570-000</t>
  </si>
  <si>
    <t>https://maps.app.goo.gl/K2DbQB7kQdDUPNyu9</t>
  </si>
  <si>
    <t>CELIA ARCELI SCHREINER</t>
  </si>
  <si>
    <t>46-991152457</t>
  </si>
  <si>
    <t>CELIA_SCHREINER@SICREDI.COM.BR</t>
  </si>
  <si>
    <t>MARIA EDUARDA RIBEIRO</t>
  </si>
  <si>
    <t>COOPERATIVA DE CREDITO, POUPANCA E INVESTIMENTO IGUACU - SICREDI IGUACU PR/SC E REGIAO METROPOLITANA</t>
  </si>
  <si>
    <t>84.974.278/0019-89</t>
  </si>
  <si>
    <t>Av. XV de Novembro, 374 - São João, PR, 85570-000</t>
  </si>
  <si>
    <t>https://maps.app.goo.gl/Vt2ELX3oj2xgsdox8</t>
  </si>
  <si>
    <t>ELEANE ZUCONELLI</t>
  </si>
  <si>
    <t>46-991156395</t>
  </si>
  <si>
    <t>eleane_zuconelli@sicredi.com.br</t>
  </si>
  <si>
    <t>BRENDA DOMINIQUE POPLASKI MACEDO</t>
  </si>
  <si>
    <t>PEDRO AUGUSTO ZIMMER</t>
  </si>
  <si>
    <t>75.904.383/0115-90</t>
  </si>
  <si>
    <t>Coamo Dois Irmãos - Dois Irmãos, Toledo - PR</t>
  </si>
  <si>
    <t>https://maps.app.goo.gl/6rTbi4ftz5ymnn4C6</t>
  </si>
  <si>
    <t>VANDERLEI EUCLIDES JONER</t>
  </si>
  <si>
    <t>45-32522278</t>
  </si>
  <si>
    <t>45-998389332</t>
  </si>
  <si>
    <t>vjoner@coamo.com.br</t>
  </si>
  <si>
    <t>BRUNA GABRIELA NARDI</t>
  </si>
  <si>
    <t>KAUAN LEANDRO CORDOVA SOARES</t>
  </si>
  <si>
    <t>75.904.383/0077-20</t>
  </si>
  <si>
    <t>Av. Rio Pardo, 3110 - Vila Nova, Toledo - PR</t>
  </si>
  <si>
    <t>https://maps.app.goo.gl/C18cTnt6qsJg1qwYA</t>
  </si>
  <si>
    <t>JUCINEI HILLMANN ROHLING</t>
  </si>
  <si>
    <t>44-999023017</t>
  </si>
  <si>
    <t>JHROLING@COAMO.COM.BR</t>
  </si>
  <si>
    <t>WESLEY GABRIEL LEMES DE OLIVEIRA DA SILVA</t>
  </si>
  <si>
    <t>JHROHLING@COAMO.COM.BR</t>
  </si>
  <si>
    <t>DIOGO RAFAEL MENDES SCHOSSLER</t>
  </si>
  <si>
    <t>MARIA FERNANDA SILVA AZEVEDO</t>
  </si>
  <si>
    <t>COAGRU - COOPERATIVA AGROINDUSTRIAL UNIAO LTDA</t>
  </si>
  <si>
    <t>77.198.794/0001-74</t>
  </si>
  <si>
    <t>COAGRU - Ração Bovinos, Estr. das Indústrias, Km 01 - Industrial, Ubiratã - PR, 85440-000</t>
  </si>
  <si>
    <t>https://maps.app.goo.gl/EFmQeF7sR3Yg5Afw9</t>
  </si>
  <si>
    <t>KAMILA SILVA ABOU EL HOSSN RICCO BONE</t>
  </si>
  <si>
    <t>44-35438800</t>
  </si>
  <si>
    <t>44-988049545</t>
  </si>
  <si>
    <t>kamila.hossn@coagru.com.br</t>
  </si>
  <si>
    <t>KAIO BONDEZAM ALMEIDA</t>
  </si>
  <si>
    <t>RAYANNE FRANCIOSI DE ALMEIDA</t>
  </si>
  <si>
    <t>KARLA KAMILY DO PRADO MOURA</t>
  </si>
  <si>
    <t>MAX ANTUNES CAVALHEIRO</t>
  </si>
  <si>
    <t>51-992522210</t>
  </si>
  <si>
    <t>max.cavalheiro@gazin.com.br</t>
  </si>
  <si>
    <t>ISADORA CARMONA SOUZA</t>
  </si>
  <si>
    <t>JANAINA KASHIWAYA</t>
  </si>
  <si>
    <t>44-988037616</t>
  </si>
  <si>
    <t>janaina.kashiwaya@gazin.com.br</t>
  </si>
  <si>
    <t>FELIPE CAIRES DA SILVA</t>
  </si>
  <si>
    <t>77.941.490/0096-16</t>
  </si>
  <si>
    <t>GABRIEL AUGUSTO THOMAZINI</t>
  </si>
  <si>
    <t>44-991086033</t>
  </si>
  <si>
    <t>gabriel.thomazini@gazin.com.br</t>
  </si>
  <si>
    <t>DÉBORA CRISTAL DE SOUZA JESUS JORGE</t>
  </si>
  <si>
    <t>ELAINE CRISTINA BERNARDO</t>
  </si>
  <si>
    <t>44-988131269</t>
  </si>
  <si>
    <t>relacionamento@gazin.com.br</t>
  </si>
  <si>
    <t>DÁFINY ALESSANDRA NUNES DO NASCIMENTO</t>
  </si>
  <si>
    <t>FERNANDO MENDONÇA</t>
  </si>
  <si>
    <t>44-991685794</t>
  </si>
  <si>
    <t>fernando.mendonca@gazin.com.br</t>
  </si>
  <si>
    <t>GABRIEL AUGUSTO DO SANTOS</t>
  </si>
  <si>
    <t>ANA CAROLINI PASCUTI</t>
  </si>
  <si>
    <t>44-998807644</t>
  </si>
  <si>
    <t>ana.pascuti@gazin.com.br</t>
  </si>
  <si>
    <t>JOÃO EMANUEL DOS SANTOS</t>
  </si>
  <si>
    <t>VALMIR ALVES FEITOSA</t>
  </si>
  <si>
    <t>44-991011385</t>
  </si>
  <si>
    <t>valmir.feitosa@gazin.com.br</t>
  </si>
  <si>
    <t>JULIA ANDRELINA DA SILVA</t>
  </si>
  <si>
    <t>ANGELA CRISTINA MERTZ RIBEIRO</t>
  </si>
  <si>
    <t>44-998362846</t>
  </si>
  <si>
    <t>angela.ribeiro@gazin.com.br</t>
  </si>
  <si>
    <t>JÚLIA BONFIM FORASTIERE</t>
  </si>
  <si>
    <t>RENATA AGRELA BASSI</t>
  </si>
  <si>
    <t>44-997179202</t>
  </si>
  <si>
    <t>renatabassi1202@gmail.com</t>
  </si>
  <si>
    <t>WESLEY WAGNER NUNES SILVA</t>
  </si>
  <si>
    <t>ANDERSON FERNANDES GIMENEZ</t>
  </si>
  <si>
    <t>44-999327588</t>
  </si>
  <si>
    <t>anderson.gimenez@gazin.com.br</t>
  </si>
  <si>
    <t>WESLEY GABRIEL DA CRUZ MOURA</t>
  </si>
  <si>
    <t>HAGATHA LETICIA ZUCHINALLI NOGUEIRA</t>
  </si>
  <si>
    <t>KAUÃ VITORINO FERREIRA</t>
  </si>
  <si>
    <t>JOÃO GABRIEL GASPAR DOS SANTOS</t>
  </si>
  <si>
    <t>MARTA MARCHI BINATTI</t>
  </si>
  <si>
    <t>44-999919469</t>
  </si>
  <si>
    <t>marta.binatti@gazin.com.br</t>
  </si>
  <si>
    <t>LUCAS SILVA MASSAROTO</t>
  </si>
  <si>
    <t>44-36638000</t>
  </si>
  <si>
    <t>RENAN YUKIO ARIDA</t>
  </si>
  <si>
    <t>ANDERSON FERNANDES</t>
  </si>
  <si>
    <t>RAFAELA MARCHI AFONSO</t>
  </si>
  <si>
    <t>renata.bassi@gazin.com.br</t>
  </si>
  <si>
    <t>MARIA HELOISA ANDRADE DE ALMEIDA</t>
  </si>
  <si>
    <t>RONALDO SILVA DA COSTA</t>
  </si>
  <si>
    <t>44-991169364</t>
  </si>
  <si>
    <t>ronaldo.costa@gazin.com.br</t>
  </si>
  <si>
    <t>NICOLAS EVANGELISTA DA SILVA</t>
  </si>
  <si>
    <t>ADELAINE FERRARO</t>
  </si>
  <si>
    <t>44-988381101</t>
  </si>
  <si>
    <t>adelaine.ferraro@gazin.com.br</t>
  </si>
  <si>
    <t>MURILO GASTALDI DOS SANTOS</t>
  </si>
  <si>
    <t>Max Antunes Cavalheiro</t>
  </si>
  <si>
    <t>NAYARA DOS SANTOS BOCATO</t>
  </si>
  <si>
    <t>VANDERLEI DE SOUZA GONÇALO</t>
  </si>
  <si>
    <t>44-988170232</t>
  </si>
  <si>
    <t>vanderlei.goncalo@gazin.com.br</t>
  </si>
  <si>
    <t>PAULO RICARDO ALVES DA SILVA</t>
  </si>
  <si>
    <t>MARCELO DE SOUZA RODRIGUES</t>
  </si>
  <si>
    <t>44-999027239</t>
  </si>
  <si>
    <t>marcelo.rodrigues@gazin.com.br</t>
  </si>
  <si>
    <t>NICOLAS FELIPE FERREIRA MORANDO</t>
  </si>
  <si>
    <t>LAUANA GOMES DA SILVA</t>
  </si>
  <si>
    <t>44-997078034</t>
  </si>
  <si>
    <t>lauana.gomes@gazin.com.br</t>
  </si>
  <si>
    <t>RAFAEL AKIRA KASHIWAYA RODRIGUES</t>
  </si>
  <si>
    <t>AUGUSTO FARDIN GIOMO</t>
  </si>
  <si>
    <t>77.941.490/0331-69</t>
  </si>
  <si>
    <t>JESSICA FERNANDA DE SOUZA</t>
  </si>
  <si>
    <t>44-991432181</t>
  </si>
  <si>
    <t>jessica.souza@gazin.com.br</t>
  </si>
  <si>
    <t>HIAGO DOS SANTOS MARTINS</t>
  </si>
  <si>
    <t>REGINA SABEDRA DOS ANJOS</t>
  </si>
  <si>
    <t>44-984512874</t>
  </si>
  <si>
    <t>GRAZIELI MIYAMURA BELINE</t>
  </si>
  <si>
    <t>REGIANE CUSTÓDIO</t>
  </si>
  <si>
    <t>regiane.custodio@gazin.com.br</t>
  </si>
  <si>
    <t>KAYKY TORQUATO MACIEL</t>
  </si>
  <si>
    <t>VICTOR EMANUEL DA SILVA MORAES</t>
  </si>
  <si>
    <t>ENZO HISSASHI HAMADA</t>
  </si>
  <si>
    <t>HEROS EMANUEL QUEIROZ DA COSTA</t>
  </si>
  <si>
    <t>ANGELA RIBEIRO</t>
  </si>
  <si>
    <t>EMILY CARVALHO LIMA</t>
  </si>
  <si>
    <t>96.418.264/0429-90</t>
  </si>
  <si>
    <t>R. José Bonifácio, 611 - Centro, Goioerê - PR, 87360-000</t>
  </si>
  <si>
    <t>JÉSSICA PAOLA FERNANDES DE SOUZA</t>
  </si>
  <si>
    <t>44-35211450</t>
  </si>
  <si>
    <t>44-999933084</t>
  </si>
  <si>
    <t>JESSICA.PAOLA79@OUTLOOK.COM</t>
  </si>
  <si>
    <t>NICOLE DO CARMO MORAES</t>
  </si>
  <si>
    <t>96.418.264/0647-06</t>
  </si>
  <si>
    <t>Lojas Quero-Quero: Materiais de Construção em Abatiá SC, R. José Carvalho de Oliveira, 325 - Abatia, Abatiá - PR, 86460-000</t>
  </si>
  <si>
    <t>https://maps.app.goo.gl/cf3UrPbsDoDjjJdT6</t>
  </si>
  <si>
    <t>Elias Ferreira Cordeiro</t>
  </si>
  <si>
    <t>43-991036411</t>
  </si>
  <si>
    <t>ger632@quero-quero.com.br</t>
  </si>
  <si>
    <t>96.418.264/0638-07</t>
  </si>
  <si>
    <t>ALESSANDRA DE SOUZA IANKOVSKI</t>
  </si>
  <si>
    <t>42-988725693</t>
  </si>
  <si>
    <t>iankovskialessandra@gmail.com</t>
  </si>
  <si>
    <t>FRANCIELE DAFNE GUNDIN DE PAULA</t>
  </si>
  <si>
    <t>96.418.264/0481-74</t>
  </si>
  <si>
    <t>Lojas Quero-Quero: Materiais de Construção em Corbélia PR, Av. Santa Catarina, 57 - Centro, Corbélia - PR, 85420-000</t>
  </si>
  <si>
    <t>https://maps.app.goo.gl/mBhetizdtdcaMotk9</t>
  </si>
  <si>
    <t>Dalbiane Prediger</t>
  </si>
  <si>
    <t>45-999371295</t>
  </si>
  <si>
    <t>dalbiane.prediger@quero-quero.com.br</t>
  </si>
  <si>
    <t>NATHIÉLLY PEREIRA</t>
  </si>
  <si>
    <t>96.418.264/0527-91</t>
  </si>
  <si>
    <t>Av. Joaquim Bento Alves de Lima, 852 - Centro, Alvorada do Sul - PR, 86150-000</t>
  </si>
  <si>
    <t>https://maps.app.goo.gl/8QWcng351FSreSXo6</t>
  </si>
  <si>
    <t>KELLY CRISTINA KOPCESKI</t>
  </si>
  <si>
    <t>45-998473237</t>
  </si>
  <si>
    <t>GER511@QUERO-QUERO.COM.BR</t>
  </si>
  <si>
    <t>RUANDA COUTINHO GOMES</t>
  </si>
  <si>
    <t>96.418.264/0590-28</t>
  </si>
  <si>
    <t>R. São Paulo, 458 - Centro, Sertanópolis - PR, 86170-000</t>
  </si>
  <si>
    <t>https://maps.app.goo.gl/JrtdNRDhY6qt9co99</t>
  </si>
  <si>
    <t>CHAIANY PISSINATTI BARBIERI DE SOUZA</t>
  </si>
  <si>
    <t>43-991077200</t>
  </si>
  <si>
    <t>GER574@QUERO-QUERO.COM.BR</t>
  </si>
  <si>
    <t>AMÁBILE MIRANDA DA SILVA</t>
  </si>
  <si>
    <t>96.418.264/0607-00</t>
  </si>
  <si>
    <t>Av. Pres. Getúlio Vargas, 1203, Santa Fé - PR, 86770-000</t>
  </si>
  <si>
    <t>GUSTAVO DOS SANTOS VENICIO GARDIN</t>
  </si>
  <si>
    <t>44-920006128</t>
  </si>
  <si>
    <t>GER591@QUERO-QUERO.COM.BR</t>
  </si>
  <si>
    <t>KAUAN BASTOS DE SOUSA</t>
  </si>
  <si>
    <t>96.418.264/0452-30</t>
  </si>
  <si>
    <t>Av. Doná Pérola Byington, 1295 - Centro, Pérola - PR, 87540-000</t>
  </si>
  <si>
    <t>https://maps.app.goo.gl/Y6XHrNMkbHDiTN779</t>
  </si>
  <si>
    <t>Cristhians Rodrigo Cortonezi</t>
  </si>
  <si>
    <t>44-999012980</t>
  </si>
  <si>
    <t>ger437@quero-quero.com.br</t>
  </si>
  <si>
    <t>LUIZ OTAVIO DOS SANTOS</t>
  </si>
  <si>
    <t>96.418.264/0475-26</t>
  </si>
  <si>
    <t>Lojas Quero-Quero: Materiais de Construção em General Carneiro PR, Av. Pres. Getúlio Vargas, 29 - Centro, Gen. Carneiro - PR, 84660-000</t>
  </si>
  <si>
    <t>https://maps.app.goo.gl/qecbASY6bmEJxqVe6</t>
  </si>
  <si>
    <t>Peterson Budnhak</t>
  </si>
  <si>
    <t>42-988460765</t>
  </si>
  <si>
    <t>ger461@quero-quero.com.br</t>
  </si>
  <si>
    <t>KAUÃ FELLIPE GUALBERTO VASCONCELOS</t>
  </si>
  <si>
    <t>96.418.264/0525-20</t>
  </si>
  <si>
    <t>Av. Paraná - Alto Paraná, PR, 87750-000</t>
  </si>
  <si>
    <t>https://maps.app.goo.gl/Q5wsCLFjMsyeYAHt9</t>
  </si>
  <si>
    <t>Eder César Velasco</t>
  </si>
  <si>
    <t>44-34478500</t>
  </si>
  <si>
    <t>44-999415594</t>
  </si>
  <si>
    <t>ger510@quero-quero.com.br</t>
  </si>
  <si>
    <t>GRAZIELI MARCOLIN WANTS</t>
  </si>
  <si>
    <t>96.418.264/0605-49</t>
  </si>
  <si>
    <t>Av. Paulo Libânio, 767 - Centro, Santa Cruz de Monte Castelo - PR, 87920-000</t>
  </si>
  <si>
    <t>https://maps.app.goo.gl/vvnPmcb4obivqyrs7</t>
  </si>
  <si>
    <t>ANDERSON BERTACHINI</t>
  </si>
  <si>
    <t>44-991499850</t>
  </si>
  <si>
    <t>anderson.bertachini38@gmail.com</t>
  </si>
  <si>
    <t>ALISSON CHRISTIAN CÔRTES DOS SANTOS</t>
  </si>
  <si>
    <t>96.418.264/0549-05</t>
  </si>
  <si>
    <t>Av. São Pedro, 1104 - Centro, Roncador - PR, 87320-000</t>
  </si>
  <si>
    <t>https://maps.app.goo.gl/Wr7ZFSRCnxZbsSAg7</t>
  </si>
  <si>
    <t>ELTON OSSAK DE LIMA</t>
  </si>
  <si>
    <t>44-35750300</t>
  </si>
  <si>
    <t>44-997195947</t>
  </si>
  <si>
    <t>ger532@quero-quero.com.br</t>
  </si>
  <si>
    <t>NATANAEL AMARAL DE ALCANTARA FILHO</t>
  </si>
  <si>
    <t>96.418.264/0528-72</t>
  </si>
  <si>
    <t>R. Costa e Silva, 447 - Centro, Nova Prata do Iguaçu - PR, 85685-000</t>
  </si>
  <si>
    <t>https://maps.app.goo.gl/fjXkX2dk5Y1WipAY9</t>
  </si>
  <si>
    <t>JORGE ANTONIO ZANCO</t>
  </si>
  <si>
    <t>46-35458300</t>
  </si>
  <si>
    <t>46-988031098</t>
  </si>
  <si>
    <t>JORGEZANCO94@GMAIL.COM</t>
  </si>
  <si>
    <t>NATHALY SARA RIBEIRO DE ANDRADE</t>
  </si>
  <si>
    <t>96.418.264/0531-78</t>
  </si>
  <si>
    <t>Av. Quatro de Dezembro, 1395 - Centro, Paranacity - PR, 87660-000</t>
  </si>
  <si>
    <t>https://maps.app.goo.gl/Mz5hhSjYJuo6bXBr8</t>
  </si>
  <si>
    <t>VITORIA MARIA DOS SANTOS</t>
  </si>
  <si>
    <t>44-34638400</t>
  </si>
  <si>
    <t>44-998832705</t>
  </si>
  <si>
    <t>ADM517@QUERO-QUERO.COM.BR</t>
  </si>
  <si>
    <t>GUILHERME DUARTE DE FREITAS RAMOS</t>
  </si>
  <si>
    <t>96.418.264/0635-64</t>
  </si>
  <si>
    <t>Av. Brasil, 153 - Centro, Três Barras do Paraná - PR, 85485-000</t>
  </si>
  <si>
    <t>https://maps.app.goo.gl/mPcA5tUg7dUpGKka7</t>
  </si>
  <si>
    <t>LUCIANO DA SILVA DE OLIVEIRA</t>
  </si>
  <si>
    <t>45-98136475</t>
  </si>
  <si>
    <t>GER620@QUERO-QUERO.COM.BR</t>
  </si>
  <si>
    <t>NATALIA FERREIRA STRAZZA</t>
  </si>
  <si>
    <t>96.418.264/0602-04</t>
  </si>
  <si>
    <t>Av. Guiomar Gaspar Batista, 629 - Jardim Novo Horizonte, Japurá - PR, 87225-000</t>
  </si>
  <si>
    <t>https://maps.app.goo.gl/3nPe1T4QHh2ctztN7</t>
  </si>
  <si>
    <t>JACQUELINE PESSOA RIBEIRO</t>
  </si>
  <si>
    <t>11-984165079</t>
  </si>
  <si>
    <t>GER586@QUERO-QUERO.COM.BR</t>
  </si>
  <si>
    <t>ANA CAROLINA ANDRADE DE CASTRO</t>
  </si>
  <si>
    <t>DALBIANE PREDIGER</t>
  </si>
  <si>
    <t>Erivaldo Faria de Lima</t>
  </si>
  <si>
    <t>42-32471233</t>
  </si>
  <si>
    <t>42-998424403</t>
  </si>
  <si>
    <t>HERIVALDO@LIVE.COM</t>
  </si>
  <si>
    <t>LUAN DE JESUS RODRIGUES</t>
  </si>
  <si>
    <t>96.418.264/0597-02</t>
  </si>
  <si>
    <t>Av. Brasil, 2363 - Centro, Juranda - PR, 87355-000</t>
  </si>
  <si>
    <t>BRUNA MAYARA SANTANA DE OLIVEIRA</t>
  </si>
  <si>
    <t>44-997007329</t>
  </si>
  <si>
    <t>ADM582@QUERO-QUERO.COM.BR</t>
  </si>
  <si>
    <t>JOAO GUILHERME HANAU</t>
  </si>
  <si>
    <t>96.418.264/0369-15</t>
  </si>
  <si>
    <t>Av. Trifon Hanycz, 205 - Pinhão, PR, 85170-000</t>
  </si>
  <si>
    <t xml:space="preserve">https://maps.app.goo.gl/eoB5X3JuNewmTJQ58  </t>
  </si>
  <si>
    <t>ANDERSON ELIAS SOTT</t>
  </si>
  <si>
    <t>42-998269709</t>
  </si>
  <si>
    <t>ger354@quero-quero.com.br</t>
  </si>
  <si>
    <t>MARIA VITORIA MIRANDA CONRADO</t>
  </si>
  <si>
    <t>Realizar termo aditivo jornada de trabalho - 14:00 às 18:00</t>
  </si>
  <si>
    <t>SOFIA DUARTE ZIPPI</t>
  </si>
  <si>
    <t>96.418.264/0643-74</t>
  </si>
  <si>
    <t>Av. Brasil, 443 - Jardim Padre Ivo, Douradina - PR, 87485-000</t>
  </si>
  <si>
    <t>MÉRCIO DANILO RODRIGUES PEREIRA</t>
  </si>
  <si>
    <t>44-984352689</t>
  </si>
  <si>
    <t>MERCIO-DANILO@HOTMAIL.COM</t>
  </si>
  <si>
    <t>FABIULA EDUARDA GODOY DA MATA</t>
  </si>
  <si>
    <t>96.418.264/0410-80</t>
  </si>
  <si>
    <t>Av. Sete de Setembro, 120 - Centro, Altônia - PR, 87550-000</t>
  </si>
  <si>
    <t>https://maps.app.goo.gl/yaRuAT3TQX3jDPBS6</t>
  </si>
  <si>
    <t>Valderes de Brito Feitosa</t>
  </si>
  <si>
    <t>44-36598003</t>
  </si>
  <si>
    <t>44-999883023</t>
  </si>
  <si>
    <t>gabrielyrhyan@gmail.com</t>
  </si>
  <si>
    <t>LORIANE RAMOS SCHENK</t>
  </si>
  <si>
    <t>96.418.264/0604-68</t>
  </si>
  <si>
    <t>Av. Paraná, 589 - Jardim Bela Vista, Cândido de Abreu - PR, 84470-000</t>
  </si>
  <si>
    <t xml:space="preserve">https://maps.app.goo.gl/66vnUju84Q72Gz2z6 </t>
  </si>
  <si>
    <t>Rosandra Bochinski</t>
  </si>
  <si>
    <t>43-996949656</t>
  </si>
  <si>
    <t>ger588@quero-quero.com.br</t>
  </si>
  <si>
    <t>KESSYE MOREIRA ALVES</t>
  </si>
  <si>
    <t>96.418.264/0642-93</t>
  </si>
  <si>
    <t>Av. Pref. Wanderley A. de Moraes, 80 - Centro, Centenário do Sul - PR, 86630-000</t>
  </si>
  <si>
    <t>https://maps.app.goo.gl/b2jZgGU8uBWG5e5fA</t>
  </si>
  <si>
    <t>JOÃO PEDRO DE OLIVEIRA SILVA</t>
  </si>
  <si>
    <t>43-988092966</t>
  </si>
  <si>
    <t>joaopoliveira33@gmail.com</t>
  </si>
  <si>
    <t>DIOGO GALVES FABRÍCIO</t>
  </si>
  <si>
    <t>96.418.264/0645-36</t>
  </si>
  <si>
    <t>Av. Padre Anchieta, 457 - Centro, Jesuítas - PR, 85835-000</t>
  </si>
  <si>
    <t>https://maps.app.goo.gl/D82VdGMyK7tqSVaa9</t>
  </si>
  <si>
    <t>RAFAELA SENTURION CABANAS</t>
  </si>
  <si>
    <t>44-991091195</t>
  </si>
  <si>
    <t>adm627@quero-quero.com.br</t>
  </si>
  <si>
    <t>MATHEUS SEEMANN DE OLIVEIRA</t>
  </si>
  <si>
    <t>96.418.264/0611-97</t>
  </si>
  <si>
    <t>Av. Santo Cristo, 1237 - Centro, Nova Santa Rosa - PR, 85930-000</t>
  </si>
  <si>
    <t>https://maps.app.goo.gl/sAoz5d8vavrmcqWg7</t>
  </si>
  <si>
    <t>EMELLY ISABELY LIMA DE OLIVEIRA</t>
  </si>
  <si>
    <t>45-999600535</t>
  </si>
  <si>
    <t>EMMYLLYISABELY@ICLOUD.COM</t>
  </si>
  <si>
    <t>GUILHERME QUEIROZ DOS SANTOS</t>
  </si>
  <si>
    <t>96.418.264/0593-70</t>
  </si>
  <si>
    <t>Coamo - Santa Maria do Oeste, R. E Três - Santa Maria do Oeste, PR, 85230-000</t>
  </si>
  <si>
    <t xml:space="preserve">https://maps.app.goo.gl/eweAQKnivhuULGmk8 </t>
  </si>
  <si>
    <t>Eliane cardoso de oliveira</t>
  </si>
  <si>
    <t>42-91169429</t>
  </si>
  <si>
    <t>ger577@quero-quero.com.br</t>
  </si>
  <si>
    <t>RAFAEL SILVEIRA</t>
  </si>
  <si>
    <t>96.418.264/0422-14</t>
  </si>
  <si>
    <t>Lojas Quero-Quero: Materiais de Construção em Planalto PR, Av. Rio Grande do Sul, 1269 - Centro, Planalto - PR, 85750-000</t>
  </si>
  <si>
    <t>Maiara de Moraes Camargo</t>
  </si>
  <si>
    <t>46-991178459</t>
  </si>
  <si>
    <t>ger407@quero-quero.com.br</t>
  </si>
  <si>
    <t>NATHAN AUGUSTO CASTILHO FERNANDES</t>
  </si>
  <si>
    <t>SUPERMERCADO LUIZ LTDA</t>
  </si>
  <si>
    <t>11.117.161/0001-86</t>
  </si>
  <si>
    <t>Supermercado Luiz, R. Mal. Deodoro, 1245 - Centro, Altônia - PR, 87550-000</t>
  </si>
  <si>
    <t>IRACI LIMA DOS SANTOS</t>
  </si>
  <si>
    <t>44-36592127</t>
  </si>
  <si>
    <t>44-997202127</t>
  </si>
  <si>
    <t>SUPERMERCADO_LUIZ@HOTMAIL.COM</t>
  </si>
  <si>
    <t>82.382.458/0003-89</t>
  </si>
  <si>
    <t>https://maps.app.goo.gl/RRCYVWk8bkvcbKQH8</t>
  </si>
  <si>
    <t>ARIVALDO BRIANA DA PAZ</t>
  </si>
  <si>
    <t xml:space="preserve">ANA PAULA </t>
  </si>
  <si>
    <t>41-936281628</t>
  </si>
  <si>
    <t>BRIANADAPAZ@SUPERASSIS.COM.BR</t>
  </si>
  <si>
    <t>82.382.458/0004-60</t>
  </si>
  <si>
    <t xml:space="preserve">JOSE LUIZ KUREK </t>
  </si>
  <si>
    <t>SIMONE</t>
  </si>
  <si>
    <t>ZEZO@SUPERASSIS.COM.BR</t>
  </si>
  <si>
    <t>GUSTAVO HENRIQUE MOURA AMORIM</t>
  </si>
  <si>
    <t>CRIPA &amp; FILHO LTDA</t>
  </si>
  <si>
    <t>10.864.060/0001-06</t>
  </si>
  <si>
    <t>Supermercado Casa Gaúcha, Av. Paraná, 2449 - Alto Paraná, PR, 87750-000</t>
  </si>
  <si>
    <t>DANIELLE LUCI MUSCOVIK CRIPA</t>
  </si>
  <si>
    <t>44-34471163</t>
  </si>
  <si>
    <t>44-999984835</t>
  </si>
  <si>
    <t>DANIELLELMC78@GMAIL.COM</t>
  </si>
  <si>
    <t>FELIPE RODRIGUES DE OLIVEIRA</t>
  </si>
  <si>
    <t>Giselda Cristina Teles Galilea</t>
  </si>
  <si>
    <t>BRYAN SAMUEL DA SILVA SANTOS</t>
  </si>
  <si>
    <t>ANA VITORIA DA SILVA</t>
  </si>
  <si>
    <t>03.644.587/0003-21</t>
  </si>
  <si>
    <t>Av. Ponta Grossa, 850 - Centro, Mauá da Serra - PR, 86828-000</t>
  </si>
  <si>
    <t>https://maps.app.goo.gl/KR5yT4F55pv1XuZp8</t>
  </si>
  <si>
    <t>CRISTINA DE OLIVEIRA LOPES</t>
  </si>
  <si>
    <t>analista3.dp@veronasupermercados.com.br</t>
  </si>
  <si>
    <t>82.382.458/0006-21</t>
  </si>
  <si>
    <t>JOSE LUIZ KUREK</t>
  </si>
  <si>
    <t>VICTOR JUNIOR GOMES NASCIMENTO</t>
  </si>
  <si>
    <t>Danielle Luci Muscovik Cripa</t>
  </si>
  <si>
    <t>EMILY MAYARA PATRICIO BARBOZA</t>
  </si>
  <si>
    <t>Cristina de Oliveira Lopes</t>
  </si>
  <si>
    <t xml:space="preserve">Realizado mudança de horário </t>
  </si>
  <si>
    <t>YASMIN KAMILY DOS SANTOS</t>
  </si>
  <si>
    <t>JOSÉ ROBERTO ORÍZIO</t>
  </si>
  <si>
    <t>MARIA GABRIELLY DA ROCHA CARRERO</t>
  </si>
  <si>
    <t>EVANDRO LUIZ CÂMARA</t>
  </si>
  <si>
    <t>44-997645708</t>
  </si>
  <si>
    <t>elcamara@coamo.com.br</t>
  </si>
  <si>
    <t>YARA FERNANDA PUTTKAMER</t>
  </si>
  <si>
    <t>44-984390719</t>
  </si>
  <si>
    <t>JOÃO EMANUELL CARRIEL DUTRA</t>
  </si>
  <si>
    <t>75.904.383/0030-66</t>
  </si>
  <si>
    <t>R. Dr. João Ferreira Neves, 1744-1850, Palmital - PR, 85270-000</t>
  </si>
  <si>
    <t>https://maps.app.goo.gl/tiEjqZZCfMf9eCNu9</t>
  </si>
  <si>
    <t>IRIO RODRIGO MAXIMINO DA SILVA</t>
  </si>
  <si>
    <t>42-36571431</t>
  </si>
  <si>
    <t>42-999225080</t>
  </si>
  <si>
    <t>iriosilva@coamo.com.br</t>
  </si>
  <si>
    <t>75.904.383/0192-21</t>
  </si>
  <si>
    <t>42-32761582</t>
  </si>
  <si>
    <t>ALISSON MATEUS ARAUJO DA SILVA</t>
  </si>
  <si>
    <t>EDEVAR LUIZ RISSI</t>
  </si>
  <si>
    <t>ELRISSI@COAMO.COM.BR</t>
  </si>
  <si>
    <t>HUGO FIORDERIZE</t>
  </si>
  <si>
    <t>75.904.383/0035-70</t>
  </si>
  <si>
    <t>R. Tocantins, 775 - Centro, Corumbataí do Sul - PR, 86970-000</t>
  </si>
  <si>
    <t>https://maps.app.goo.gl/RVmdg4psxz5v3zwD7</t>
  </si>
  <si>
    <t>SERGIO APARECIDO DOS SANTOS MATIAS</t>
  </si>
  <si>
    <t>44-32771138</t>
  </si>
  <si>
    <t>44-998033395</t>
  </si>
  <si>
    <t>smatias@coamo.com.br</t>
  </si>
  <si>
    <t>MIRIAN NEVES DE ANDRADE</t>
  </si>
  <si>
    <t>ANA KAROLINA DA SILVA LEITE</t>
  </si>
  <si>
    <t>ECHAGAS@COAMO.COM.BR</t>
  </si>
  <si>
    <t>NATHAN PIERRY DE SOUZA</t>
  </si>
  <si>
    <t>75.904.383/0069-10</t>
  </si>
  <si>
    <t>https://maps.app.goo.gl/fR5bk9PNiEoSWx4u6</t>
  </si>
  <si>
    <t>JEFFERSON JOSE LULA DE LIMA</t>
  </si>
  <si>
    <t>44-35532389</t>
  </si>
  <si>
    <t>44-998102492</t>
  </si>
  <si>
    <t>JJLIMA@COAMO.COM.BR</t>
  </si>
  <si>
    <t>ADRYAN KAWAN SILVA DO NASCIMENTO</t>
  </si>
  <si>
    <t>MURILO PESKE FERREIRA</t>
  </si>
  <si>
    <t>75.904.383/0205-80</t>
  </si>
  <si>
    <t>Rua Generoso Karpinski, 628 - Vila Oliveira, Santa Maria do Oeste - PR</t>
  </si>
  <si>
    <t>DANILO PANOSSO</t>
  </si>
  <si>
    <t>42-36448300</t>
  </si>
  <si>
    <t>42-998219689</t>
  </si>
  <si>
    <t>DPANOSSO@COAMO.COM.BR</t>
  </si>
  <si>
    <t>KEMILLY DE JESUS SILVA</t>
  </si>
  <si>
    <t>75.904.383/0111-66</t>
  </si>
  <si>
    <t>COAMO Moreira Sales/PR, Unnamed Road, Moreira Sales - PR, 87370-000</t>
  </si>
  <si>
    <t>https://maps.app.goo.gl/YAuWMpQmokuQXQdT7</t>
  </si>
  <si>
    <t>TIAGO ANDRE SCHAEFER</t>
  </si>
  <si>
    <t>44-35328400</t>
  </si>
  <si>
    <t>45-999467148</t>
  </si>
  <si>
    <t>tschaefer@coamo.com.br</t>
  </si>
  <si>
    <t>HALLAN VICTOR VIEIRA DE CARVALHO</t>
  </si>
  <si>
    <t>KAUE HATTORI BRITO</t>
  </si>
  <si>
    <t>MARIA FERNANDA SUSKI CHALIKO</t>
  </si>
  <si>
    <t>75.904.383/0017-99</t>
  </si>
  <si>
    <t>Coamo - Roncador, R. Curitiba, 1306 - Zona Urbana, Roncador - PR, 87320-000</t>
  </si>
  <si>
    <t>WILLIAN ANDRE BLASIUS RIBEIRO</t>
  </si>
  <si>
    <t>43-996435072</t>
  </si>
  <si>
    <t>willianribeiro@coamo.com.br</t>
  </si>
  <si>
    <t>LUIS FERNANDO DE OLIVEIRA ARANTES</t>
  </si>
  <si>
    <t>BIANCA LAERA FERREIRA DE CASTRO</t>
  </si>
  <si>
    <t>JOSÉ EDUARDO CARDOSO DE OLIVEIRA</t>
  </si>
  <si>
    <t>75.904.383/0100-03</t>
  </si>
  <si>
    <t>https://maps.app.goo.gl/LGqaEqNTgx2towuEA</t>
  </si>
  <si>
    <t>PAULO CESAR THEODORO MOREIRA</t>
  </si>
  <si>
    <t>44-991620434</t>
  </si>
  <si>
    <t>ptheodoro@coamo.com.br</t>
  </si>
  <si>
    <t>PATRICK DA SILVA CARDOSO JÚNIOR</t>
  </si>
  <si>
    <t>FLAVIANA FERNANDES CARDOZO</t>
  </si>
  <si>
    <t>HELOISA SOTTI DAVID</t>
  </si>
  <si>
    <t>75.904.383/0118-32</t>
  </si>
  <si>
    <t>BR-376, 269 - Marilândia do Sul, PR, 86825-000</t>
  </si>
  <si>
    <t>ANDRE LUIZ ANTUNES</t>
  </si>
  <si>
    <t>43-34282122</t>
  </si>
  <si>
    <t>43-999058520</t>
  </si>
  <si>
    <t>ALANTUNES@COAMO.COM.BR</t>
  </si>
  <si>
    <t>GUSTAVO BIL MARCONDES</t>
  </si>
  <si>
    <t>JOAO VITOR LIMA DUARTE</t>
  </si>
  <si>
    <t>ANDREY PEREIRA DE JESUS</t>
  </si>
  <si>
    <t>75.904.383/0050-00</t>
  </si>
  <si>
    <t>Coamo Agroindustrial Cooperativa, 158, Luiziana - PR, 87290-000</t>
  </si>
  <si>
    <t>WEDUARDO@COAMO.COM.BR</t>
  </si>
  <si>
    <t>HALISSON RYAN DOS SANTOS</t>
  </si>
  <si>
    <t>KAMILLE BORGES PEREIRA</t>
  </si>
  <si>
    <t>LUANA RODRIGUES</t>
  </si>
  <si>
    <t>ALAN HENRIQUE RODRIGUES</t>
  </si>
  <si>
    <t>42-36463500</t>
  </si>
  <si>
    <t>MARIA EDUARDA DE SOUZA MARGOTTI</t>
  </si>
  <si>
    <t>ANDRÉ FELIPE NASCIMENTO SILVA</t>
  </si>
  <si>
    <t>75.904.383/0179-54</t>
  </si>
  <si>
    <t>Coamo - Janiópolis, Rod. BR 272 - km 402 Zona Rural, Janiópolis - PR, 87380-000</t>
  </si>
  <si>
    <t>https://maps.app.goo.gl/oNNbSzEzy3jNkjgp7</t>
  </si>
  <si>
    <t>JAQUELINE DA SILVA VERGUTZ</t>
  </si>
  <si>
    <t>MATEUS SCHMITZ HERDT</t>
  </si>
  <si>
    <t>75.904.383/0045-42</t>
  </si>
  <si>
    <t>Coamo - Entreposto Furnas, Rodovia PR-466, Km 128, S/N - Zona Rural, Manoel Ribas - PR, 85260-000</t>
  </si>
  <si>
    <t>46-999768192</t>
  </si>
  <si>
    <t>DIELLEN STRESSER RIBEIRO</t>
  </si>
  <si>
    <t>JULIA DA SILVA MATTEI</t>
  </si>
  <si>
    <t>75.904.383/0043-80</t>
  </si>
  <si>
    <t>Av. Itaipú - São João do Ivaí, PR, 86930-000</t>
  </si>
  <si>
    <t xml:space="preserve">https://maps.app.goo.gl/TPwpi15ZPBghBsKd6 </t>
  </si>
  <si>
    <t>NILTON CEZAR PAVONI GRADICI</t>
  </si>
  <si>
    <t>44-998215392</t>
  </si>
  <si>
    <t>ngradici@coamo.com.br</t>
  </si>
  <si>
    <t>JUAN PABLO RAFAEL BELLINE BRUGNER</t>
  </si>
  <si>
    <t>MARCOS SHAWARSKI</t>
  </si>
  <si>
    <t>43-999066444</t>
  </si>
  <si>
    <t>mshawarski@coamo.com.br</t>
  </si>
  <si>
    <t>PALOMA DE CASSIA VASQUES QUEIROZ</t>
  </si>
  <si>
    <t>75.904.383/0195-74</t>
  </si>
  <si>
    <t>Coamo Unidade Rio Ivaí - São João do Ivaí, PR, 86930-000</t>
  </si>
  <si>
    <t>FÁBIO DE ALMEIDA HAUENSTEIN</t>
  </si>
  <si>
    <t>42-984276934</t>
  </si>
  <si>
    <t>FHAUENSTEIN@COAMO.COM.BR</t>
  </si>
  <si>
    <t>AMANDA DA SILVA MACHADO</t>
  </si>
  <si>
    <t>LUIS EDUARDO STENDER SOARES</t>
  </si>
  <si>
    <t>Coamo Agroindustrial Cooperativa</t>
  </si>
  <si>
    <t>75.904.383/0134-52</t>
  </si>
  <si>
    <t>Coamo Agroindustrial Cooperativa Quarto Centenário, Rodovia PR 317 s/n Km 277, Quarto Centenário - PR, 87365-000</t>
  </si>
  <si>
    <t>https://maps.app.goo.gl/2qgQ2NS1oSJsMQNZ6</t>
  </si>
  <si>
    <t>RONYERISSON PORTO NOVAIS</t>
  </si>
  <si>
    <t>44-35461750</t>
  </si>
  <si>
    <t>45-999830899</t>
  </si>
  <si>
    <t>RPNOVAIS@COAMO.COM.BR</t>
  </si>
  <si>
    <t>ALINE TAIS WOZNIAK</t>
  </si>
  <si>
    <t>75.904.383/0075-68</t>
  </si>
  <si>
    <t>Ouro Verde do Oeste, Paraná, 85933-000</t>
  </si>
  <si>
    <t>https://maps.app.goo.gl/ocLDuBZYSWuVbSDLA</t>
  </si>
  <si>
    <t>JOSE CARLOS MARTINS</t>
  </si>
  <si>
    <t>45-32511241</t>
  </si>
  <si>
    <t>45-998960428</t>
  </si>
  <si>
    <t>jcmartins@coamo.com.br</t>
  </si>
  <si>
    <t>ERICA PROENÇA DE LIMA</t>
  </si>
  <si>
    <t>VITOR MATHEUS DOS SANTOS SCALCO</t>
  </si>
  <si>
    <t>LOJAS BECKER LTDA</t>
  </si>
  <si>
    <t>04.415.928/0232-10</t>
  </si>
  <si>
    <t>Av. Santa Catarina, 34 - Centro, Barracão - PR, 85700-000</t>
  </si>
  <si>
    <t>https://maps.app.goo.gl/G2ZfaZ5waXbHqE1W8</t>
  </si>
  <si>
    <t>SIDNEI GILBERTO MULLER</t>
  </si>
  <si>
    <t>55-999656774</t>
  </si>
  <si>
    <t>SIDNEI.MULLER@LOJABECKER.COM</t>
  </si>
  <si>
    <t>ANA PAULA MENON CARBONERA</t>
  </si>
  <si>
    <t>75.903.880/0004-58</t>
  </si>
  <si>
    <t>Paróquia Nossa Senhora da Guia, R. Sergipe, 17-135, Boa Esperança - PR, 87390-000</t>
  </si>
  <si>
    <t>ALESSANDRA DA SILVA GUIMARAES AZEVEDO</t>
  </si>
  <si>
    <t>44-35521218</t>
  </si>
  <si>
    <t>44-997570218</t>
  </si>
  <si>
    <t>paroquiansg08@gmail.com</t>
  </si>
  <si>
    <t>JOAO PEDRO FERNANDES FABRIS</t>
  </si>
  <si>
    <t>CASCAVEL MAQUINAS AGRICOLAS LTDA</t>
  </si>
  <si>
    <t>76.075.118/0019-70</t>
  </si>
  <si>
    <t>Camagril - Cascavel Máquinas Agrícolas - Realeza, Rodovia PR 483, Rod. Guilherme Kantor, KM 281 - S/N, Realeza - PR, 85770-000</t>
  </si>
  <si>
    <t>R. Antonio Ciechanowski, 2946 - Centro, Realeza - PR, 85770-000</t>
  </si>
  <si>
    <t>LIDIANE MARIA BREMBATI GEHLEN</t>
  </si>
  <si>
    <t>46-988329140</t>
  </si>
  <si>
    <t>realeza@camagril.com.br</t>
  </si>
  <si>
    <t>RAFAEL HENRIQUE FASSIOLI DIOTTO</t>
  </si>
  <si>
    <t>75.903.880/0022-30</t>
  </si>
  <si>
    <t>Estúdio Pascom Paróquia São Judas Tadeu, R. Pres. Dr. Tancredo de Almeida Neves, 660-752, Terra Boa - PR, 87240-000</t>
  </si>
  <si>
    <t>https://maps.app.goo.gl/rXrAhgV3YaXQVB487</t>
  </si>
  <si>
    <t>PATRICIA BIANCHINI</t>
  </si>
  <si>
    <t>41-36411603</t>
  </si>
  <si>
    <t>44-997020042</t>
  </si>
  <si>
    <t>paroquiasjtterraboa@gmail.com</t>
  </si>
  <si>
    <t>MARCO ANTONIO GOMES VINDOCA BRANCO</t>
  </si>
  <si>
    <t>GAZIN AUTO POSTO LTDA</t>
  </si>
  <si>
    <t>03.199.828/0001-09</t>
  </si>
  <si>
    <t>Gazin Auto Posto, Rodovia Antônio Pedroso KM01, PR-082, 115, Douradina - PR, 87485-000</t>
  </si>
  <si>
    <t>ALINE PEREIRA</t>
  </si>
  <si>
    <t>44-998149180</t>
  </si>
  <si>
    <t>aline.silva@gazin.com.br</t>
  </si>
  <si>
    <t>ANDRESSA DE ALMEIDA MARQUES</t>
  </si>
  <si>
    <t>GAZIN LOG TRANSPORTE E LOGISTICA LTDA</t>
  </si>
  <si>
    <t>26.519.585/0001-44</t>
  </si>
  <si>
    <t>regina.anjos@gazin.com.br</t>
  </si>
  <si>
    <t>NICOLAS EDUARDO DA SILVA RANGEL</t>
  </si>
  <si>
    <t>GAZIN INDUSTRIA E COMERCIO DE MOLAS LTDA</t>
  </si>
  <si>
    <t>13.348.112/0001-80</t>
  </si>
  <si>
    <t>R. Catanduvas, 2-96 - Jardim Brussioli, Douradina - PR, 87485-000</t>
  </si>
  <si>
    <t>EDUARDO XAVIER</t>
  </si>
  <si>
    <t>44-999117600</t>
  </si>
  <si>
    <t>eduardo.xavier@gazin.com.br</t>
  </si>
  <si>
    <t>FABIO RAFAEL FIGUEIREDO GUION</t>
  </si>
  <si>
    <t>GAZIN AGROPECUARIA LTDA</t>
  </si>
  <si>
    <t>07.812.531/0001-28</t>
  </si>
  <si>
    <t>estrada pereirinha km 04, SN, FAZENDA IRMAOS GAZIN - rural</t>
  </si>
  <si>
    <t>MATEUS EZEQUIEL MARTHOS</t>
  </si>
  <si>
    <t>44-997314252</t>
  </si>
  <si>
    <t>mateus.souza@gazin.com.br</t>
  </si>
  <si>
    <t>GUSTAVO ALEXANDRE DA SILVA</t>
  </si>
  <si>
    <t>44-98149180</t>
  </si>
  <si>
    <t>JHENIFER SANTOS DA SILVA</t>
  </si>
  <si>
    <t>DANIEL LUNA DE ALMEIDA</t>
  </si>
  <si>
    <t>44-988161320</t>
  </si>
  <si>
    <t>daniel.lunadla1@gmail.com</t>
  </si>
  <si>
    <t>KAUÃ KEIRI SILVA</t>
  </si>
  <si>
    <t>MARCIANA RAMOS</t>
  </si>
  <si>
    <t>44-999747371</t>
  </si>
  <si>
    <t>marciana.ramos@gazin.com.br</t>
  </si>
  <si>
    <t>LETICIA DO CARMO PATUSSI</t>
  </si>
  <si>
    <t>CLEITON BIANCHINI</t>
  </si>
  <si>
    <t>69-992593389</t>
  </si>
  <si>
    <t>cleito.bianchini@gazin.com.br</t>
  </si>
  <si>
    <t>KAUE RENAN SILVA DOS SANTOS</t>
  </si>
  <si>
    <t>CHARLES GUILHERME SILVA SAMANIEGO</t>
  </si>
  <si>
    <t>44-988282317</t>
  </si>
  <si>
    <t>charles.samaniego@gazin.com.br</t>
  </si>
  <si>
    <t>THALISSON PEDRO CARLOS LÔR</t>
  </si>
  <si>
    <t>44-988065665</t>
  </si>
  <si>
    <t>MARIA ELOIZA FERNANDES KEIRI</t>
  </si>
  <si>
    <t>MURILO HENRIQUE SANTOS PEREIRA</t>
  </si>
  <si>
    <t>SERGIO HENRIQUE</t>
  </si>
  <si>
    <t>44-997496349</t>
  </si>
  <si>
    <t>sergio.junior@gazin.com.br</t>
  </si>
  <si>
    <t>NATHAN JARDIM DOS SANTOS</t>
  </si>
  <si>
    <t>ADMINISTRADORA DE CONSORCIO NACIONAL GAZIN LTDA</t>
  </si>
  <si>
    <t>06.044.551/0001-33</t>
  </si>
  <si>
    <t>R. Pedrelina Macedo e Silva, 100 - Jd Leoni, Douradina - PR, 87485-000</t>
  </si>
  <si>
    <t>RENATA APARECIDA BERTAGGI</t>
  </si>
  <si>
    <t>44-988515515</t>
  </si>
  <si>
    <t>renata.bertaggi@gazin.com.br</t>
  </si>
  <si>
    <t>NICOLLAS SANTOS OLIVEIRA</t>
  </si>
  <si>
    <t>SAMIRA DA SILVA SÃO MIGUEL</t>
  </si>
  <si>
    <t>DANILO MOUREIRA NIZA DA SILVA</t>
  </si>
  <si>
    <t>44-998315491</t>
  </si>
  <si>
    <t>danilo.moreira@gazin.com.br</t>
  </si>
  <si>
    <t>INGRID SOPHIA DOS SANTOS NOVAIS</t>
  </si>
  <si>
    <t>FRANCIELE SILVA</t>
  </si>
  <si>
    <t>44-998608166</t>
  </si>
  <si>
    <t>franciele.silva@gazin.com.br</t>
  </si>
  <si>
    <t>JOSÉ HENRICK DE LIMA DA SILVA</t>
  </si>
  <si>
    <t>VANDERLEI FERREIRA</t>
  </si>
  <si>
    <t>44-991808287</t>
  </si>
  <si>
    <t>vanderlei.ferreira@gazin.com.br</t>
  </si>
  <si>
    <t>MATHEUS MARTINS MATUMOTO</t>
  </si>
  <si>
    <t>SUPERMERCADO ALVORADA LTDA</t>
  </si>
  <si>
    <t>80.008.170/0001-51</t>
  </si>
  <si>
    <t>Supermercado Bom Dia, R. Vega, 567 - Centro, Q.ta do Sol - PR, 87265-000</t>
  </si>
  <si>
    <t>https://maps.app.goo.gl/3UFVriV5fwk98Xw4A</t>
  </si>
  <si>
    <t>Fabio Alcides de Souza</t>
  </si>
  <si>
    <t>44-35671212</t>
  </si>
  <si>
    <t>44-997153960</t>
  </si>
  <si>
    <t>escritorioalvoradaqds@hotmail.com</t>
  </si>
  <si>
    <t>JULYANY ALVES STURION</t>
  </si>
  <si>
    <t>FABIO ALCIDES DE SOUZA</t>
  </si>
  <si>
    <t>77.500.049/0005-61</t>
  </si>
  <si>
    <t>Avenida Cel. Rogério Borba, 852, Centro, Reserva, PR</t>
  </si>
  <si>
    <t xml:space="preserve">GIOVANE </t>
  </si>
  <si>
    <t>JÚLIA PAZ FAUSTINO</t>
  </si>
  <si>
    <t>PAULO ANTONIO DOS SANTOS LIMA</t>
  </si>
  <si>
    <t>TIAGO SANTOS DE OLIVEIRA</t>
  </si>
  <si>
    <t>Renata Aparecida Bertaggi</t>
  </si>
  <si>
    <t>CARLOS EDUARDO ALVES MARIA</t>
  </si>
  <si>
    <t>75.274.423/0011-70</t>
  </si>
  <si>
    <t>R. José Martins Viêira, 375 - Faxinal, PR, 86840-000</t>
  </si>
  <si>
    <t>SANDRA ARIANE PERACINI</t>
  </si>
  <si>
    <t>43-34611215</t>
  </si>
  <si>
    <t>43-999087060</t>
  </si>
  <si>
    <t>financeiro.faxinal@comercialivaipora.com.br</t>
  </si>
  <si>
    <t>GIOVANNA MONSON GRISS</t>
  </si>
  <si>
    <t>SIVIERO CEREAIS INSUMOS AGRICOLAS E TRANSPORTES LTDA</t>
  </si>
  <si>
    <t>81.673.808/0001-31</t>
  </si>
  <si>
    <t>Av. Nossa Sra. da Luz, 2005 - Vale do Sol, Clevelândia - PR, 85530-000</t>
  </si>
  <si>
    <t xml:space="preserve">https://maps.app.goo.gl/ZUuQ84MHE4W4g2x58 </t>
  </si>
  <si>
    <t>Juliano de Souza</t>
  </si>
  <si>
    <t>46-32528350</t>
  </si>
  <si>
    <t>46-991152785</t>
  </si>
  <si>
    <t>juliano@sivierocereais.com.br</t>
  </si>
  <si>
    <t xml:space="preserve">Aguardando documentação para desligamento </t>
  </si>
  <si>
    <t>08.112.780/0001-73</t>
  </si>
  <si>
    <t>42-34211000</t>
  </si>
  <si>
    <t>https://maps.app.goo.gl/eWMni9V3gfiP2Hti8</t>
  </si>
  <si>
    <t>MARIA RITA SILVA GOMES</t>
  </si>
  <si>
    <t>JRFARDIN &amp; CIA LTDA</t>
  </si>
  <si>
    <t>10.910.326/0001-00</t>
  </si>
  <si>
    <t>PR-554 - Vilas Neves, São Jorge do Ivaí - PR, 87190-000</t>
  </si>
  <si>
    <t>https://maps.app.goo.gl/agLvXxWT7SzRJC7G6</t>
  </si>
  <si>
    <t>MÔNICA CALDEIRA</t>
  </si>
  <si>
    <t>44-32432040</t>
  </si>
  <si>
    <t>44-988371891</t>
  </si>
  <si>
    <t>contabilidade@jrfardin.com.br</t>
  </si>
  <si>
    <t>ADRIAN FELIPE MESSIAS BALBINO</t>
  </si>
  <si>
    <t>75.274.423/0004-41</t>
  </si>
  <si>
    <t>R. Gen. Carneiro - São João do Ivaí, PR, 86930-000</t>
  </si>
  <si>
    <t>SIRLEI MARIA DA SILVA</t>
  </si>
  <si>
    <t>43-34771420</t>
  </si>
  <si>
    <t>41-999054176</t>
  </si>
  <si>
    <t>financeiro.sji@comercialivaipora.com.br</t>
  </si>
  <si>
    <t>comercial ivaipora ltda</t>
  </si>
  <si>
    <t>75.274.423/0025-76</t>
  </si>
  <si>
    <t>BARBARA NISSEN JARONSKI</t>
  </si>
  <si>
    <t>42-34471292</t>
  </si>
  <si>
    <t>42-999239903</t>
  </si>
  <si>
    <t>FINANCEIRO.TRIUNFO@COMERCIALIVAIPORA.COM.BR</t>
  </si>
  <si>
    <t>MURILLO SANTOS DA SILVA</t>
  </si>
  <si>
    <t>88.212.113/0911-48</t>
  </si>
  <si>
    <t>Av. Munhoz da Rocha, 1034 - CENTRO, Mandaguaçu - PR, 87160-000</t>
  </si>
  <si>
    <t>https://maps.app.goo.gl/BGHpR6vGU5HmWw9x7</t>
  </si>
  <si>
    <t>LUCAS MARCHI GROSSI</t>
  </si>
  <si>
    <t>44-998166967</t>
  </si>
  <si>
    <t>lucasgrossi032531@gmail.com</t>
  </si>
  <si>
    <t>KAWAN GOMES SIQUEIRA</t>
  </si>
  <si>
    <t>Bruno Pozzobom Pinto</t>
  </si>
  <si>
    <t>43-999125666</t>
  </si>
  <si>
    <t>bruno@belasementes.com.br</t>
  </si>
  <si>
    <t>SAMUEL OLIVEIRA PERES</t>
  </si>
  <si>
    <t>MARIA EDUARDA VILELA DITZEL</t>
  </si>
  <si>
    <t>ISABELLA DE SOUSA RIBEIRO DA SILVA</t>
  </si>
  <si>
    <t>88.212.113/1095-35</t>
  </si>
  <si>
    <t>R. José Bonifácio, 590, Goioerê - PR, 87360-000</t>
  </si>
  <si>
    <t>https://maps.app.goo.gl/eDB8drrWtWYRpmHL9</t>
  </si>
  <si>
    <t>MARLON DA SILVA VIEIRA</t>
  </si>
  <si>
    <t>44-31445155</t>
  </si>
  <si>
    <t>44-998048427</t>
  </si>
  <si>
    <t>vendas.marlonvieira@hotmail.com</t>
  </si>
  <si>
    <t>Aguardando parecer da empresa para contraturno</t>
  </si>
  <si>
    <t>LUISA SCARIOT PERIM</t>
  </si>
  <si>
    <t>88.212.113/0822-38</t>
  </si>
  <si>
    <t>R. Jacarandá, 530 - Centro, Quedas do Iguaçu - PR, 85460-000</t>
  </si>
  <si>
    <t>https://maps.app.goo.gl/Ch7BuwzirVdzCXpt6</t>
  </si>
  <si>
    <t>BIANCARLA NACONESKI MONDO</t>
  </si>
  <si>
    <t>45-991252848</t>
  </si>
  <si>
    <t>quedasdoiguacu@farmaciassaojoao.com.br</t>
  </si>
  <si>
    <t>KAUÃ MALAGUTTI MARTINES SALVADOR</t>
  </si>
  <si>
    <t>CEOLATO &amp; CIA LTDA</t>
  </si>
  <si>
    <t>03.588.640/0001-52</t>
  </si>
  <si>
    <t>R. Norte do Paraná, 945, Goioerê - PR, 87360-000</t>
  </si>
  <si>
    <t>FERNANDA THAIS BARBIERI DOMINICE</t>
  </si>
  <si>
    <t>44-35222703</t>
  </si>
  <si>
    <t>44-999020749</t>
  </si>
  <si>
    <t>ceolatogre@hotmail.com</t>
  </si>
  <si>
    <t>BIANCA FURQUIM BATISTA</t>
  </si>
  <si>
    <t>BRUNO POZZOBOM PINTO</t>
  </si>
  <si>
    <t>KAMILLY VITORIA DOS SANTOS</t>
  </si>
  <si>
    <t>75.274.423/0018-47</t>
  </si>
  <si>
    <t>Av. São Pedro, 357 - Roncador, PR, 87320-000</t>
  </si>
  <si>
    <t>IAGO LUIZ</t>
  </si>
  <si>
    <t>44-35752000</t>
  </si>
  <si>
    <t>44-988143970</t>
  </si>
  <si>
    <t>iago.luiz@gazin.com.br</t>
  </si>
  <si>
    <t>KAYK JUNIOR MARTINS DOS SANTOS</t>
  </si>
  <si>
    <t>75.274.423/0006-03</t>
  </si>
  <si>
    <t>Av. Paraná, 1035 - Cândido de Abreu, PR, 84470-000</t>
  </si>
  <si>
    <t>PEDRO PAULO FERREIRA DANTAS</t>
  </si>
  <si>
    <t>43-34761261</t>
  </si>
  <si>
    <t>43-999373377</t>
  </si>
  <si>
    <t>CANDIDO@COMERCIALIVAIPORA.COM.BR</t>
  </si>
  <si>
    <t>RYAN JASKULSKI DA SILVA</t>
  </si>
  <si>
    <t>75.274.423/0022-23</t>
  </si>
  <si>
    <t>R. Eucalina Nunes, 601, Turvo - PR, 85150-000</t>
  </si>
  <si>
    <t xml:space="preserve">https://maps.app.goo.gl/bRkoSaKev6uiv8EW7 </t>
  </si>
  <si>
    <t>Adenilson Ribeiro Delgado</t>
  </si>
  <si>
    <t>42-36422410</t>
  </si>
  <si>
    <t>42 998178603</t>
  </si>
  <si>
    <t>adenilson.rdelgado@gmail.com</t>
  </si>
  <si>
    <t>IAN SANTOS FERREIRA SILVA</t>
  </si>
  <si>
    <t>89.848.543/0329-66</t>
  </si>
  <si>
    <t>R. Sete de Setembro, 809 - Centro, Guaíra - PR, 85980-000</t>
  </si>
  <si>
    <t>https://maps.app.goo.gl/V1afKkCu6xFpNLNe9</t>
  </si>
  <si>
    <t>Vanessa Nunes Bezerra</t>
  </si>
  <si>
    <t>44-88249857</t>
  </si>
  <si>
    <t>gerente186@colombo.com.br</t>
  </si>
  <si>
    <t>BERNARDO TRIDA DE ALMEIDA</t>
  </si>
  <si>
    <t>77.941.490/0077-53</t>
  </si>
  <si>
    <t>EDILENE ZACARONI</t>
  </si>
  <si>
    <t>44-997416929</t>
  </si>
  <si>
    <t>edilene.zacaroni@gazin.com.br</t>
  </si>
  <si>
    <t>ANA CLARA DE ALMEIDA VIEIRA</t>
  </si>
  <si>
    <t>AMABILY VITORIA CARMONA SANTOS</t>
  </si>
  <si>
    <t>GAZIN INDUSTRIA DE COLCHOES LTDA</t>
  </si>
  <si>
    <t>28.411.905/0001-73</t>
  </si>
  <si>
    <t>R. Dep. Antônio Lustosa, 420 - Centro, Douradina - PR, 87485-000</t>
  </si>
  <si>
    <t>PATRICIA MAEN</t>
  </si>
  <si>
    <t>44-999439828</t>
  </si>
  <si>
    <t>patricia.men@gazin.com.br</t>
  </si>
  <si>
    <t>BRUNA VITORIA ELIAS DE SOUZA</t>
  </si>
  <si>
    <t>GAZIN SEGUROS SA</t>
  </si>
  <si>
    <t>28.414.401/0001-07</t>
  </si>
  <si>
    <t>ANA LYVIA BIDOIA MARIA</t>
  </si>
  <si>
    <t>EDUARDA SANTANA MARTINS</t>
  </si>
  <si>
    <t>EDNALDO NETO RABELO MONTEIRO</t>
  </si>
  <si>
    <t>FERNANDA VALERIA DELLA VALENTINA</t>
  </si>
  <si>
    <t>44-988454931</t>
  </si>
  <si>
    <t>fernanda.valeria@gazin.com.br</t>
  </si>
  <si>
    <t>GABRIELLY FERREIRA DOS SANTOS</t>
  </si>
  <si>
    <t>ELIANE MOREIRA</t>
  </si>
  <si>
    <t>44-991059942</t>
  </si>
  <si>
    <t>eliane.moreira@gazin.com.br</t>
  </si>
  <si>
    <t>GUSTAVO ARANHA DE ANDRADE PEREIRA</t>
  </si>
  <si>
    <t>KAILLAINY ISABELLY GUDIANO CAIRES</t>
  </si>
  <si>
    <t>Afastamento por gravidez</t>
  </si>
  <si>
    <t>LARA KAUANY SILVA</t>
  </si>
  <si>
    <t>PAOLLA MOREIRA</t>
  </si>
  <si>
    <t>44-997539875</t>
  </si>
  <si>
    <t>paolla.fonzar@gazin.com.br</t>
  </si>
  <si>
    <t>VICTOR GABRIEL DA SILVA SANTOS</t>
  </si>
  <si>
    <t>ANDREIA PATUSSI</t>
  </si>
  <si>
    <t>44-997073498</t>
  </si>
  <si>
    <t>andreia.patussi@gazin.com.br</t>
  </si>
  <si>
    <t>LUCAS GABRIEL DA SILVA SOUZA</t>
  </si>
  <si>
    <t>JESSICA AFONSO</t>
  </si>
  <si>
    <t>44-997208216</t>
  </si>
  <si>
    <t>jessica.afonso@gazin.com.br</t>
  </si>
  <si>
    <t>KEMILLY VICTÓRIA DA SILVA PEREIRA REZENDE</t>
  </si>
  <si>
    <t>IAGO FERNANDO LUIZ</t>
  </si>
  <si>
    <t>RHUAM PABLO PEREIRA DOS SANTOS</t>
  </si>
  <si>
    <t>LUIZ HENRIQUE LUNA TROMBETA</t>
  </si>
  <si>
    <t>LUCAS MATHEUS SOUZA ROSA</t>
  </si>
  <si>
    <t>EVALDO BARBOSA CAVALCANTE</t>
  </si>
  <si>
    <t>44-988169727</t>
  </si>
  <si>
    <t>evaldo.cavalcante@gazin.com.br</t>
  </si>
  <si>
    <t>MATEUS FERNANDES RIBEIRO</t>
  </si>
  <si>
    <t>Iago Fernando Luiz</t>
  </si>
  <si>
    <t>MATHEUS CAMPANA</t>
  </si>
  <si>
    <t>77.941.490/0005-89</t>
  </si>
  <si>
    <t>SUELI MAZIERO</t>
  </si>
  <si>
    <t>44-991157449</t>
  </si>
  <si>
    <t>sueli.maziero@gazin.com.br</t>
  </si>
  <si>
    <t>KAUÊ KEIRI SILVA</t>
  </si>
  <si>
    <t>GABRIEL THOMAZINI</t>
  </si>
  <si>
    <t>PAULO GONÇALVES DA SILVA NETO</t>
  </si>
  <si>
    <t>VALDIRENE HONÓRIO</t>
  </si>
  <si>
    <t>44-999756876</t>
  </si>
  <si>
    <t>valdirene.moretti@gazin.com.br</t>
  </si>
  <si>
    <t>MARIA VITORIA GARCIA LIPPERT</t>
  </si>
  <si>
    <t>MARCIELI DA S. AFONSO</t>
  </si>
  <si>
    <t>44-991684396</t>
  </si>
  <si>
    <t>marcieli.afonso@gazin.com.br</t>
  </si>
  <si>
    <t>THAYLA VITORIA DOS SANTOS NOVAIS</t>
  </si>
  <si>
    <t>TAILINE ANTUNES</t>
  </si>
  <si>
    <t>44-997067448</t>
  </si>
  <si>
    <t>tailine.santos@gazin.com.br</t>
  </si>
  <si>
    <t>BRUNA DOS SANTOS RODRIGUES</t>
  </si>
  <si>
    <t>HEITOR DE OLIVEIRA CAPELINI</t>
  </si>
  <si>
    <t>EDUARDO GIACOMETTI XAVIER</t>
  </si>
  <si>
    <t>KAWANE GABRIELY FABRICIO SANTANA FERREIRA</t>
  </si>
  <si>
    <t>MARCOS RENAN ALVES DE SOUZA</t>
  </si>
  <si>
    <t>Fernanda Valeria Della Valentina</t>
  </si>
  <si>
    <t>GEOVANA DA SILVA COSTA</t>
  </si>
  <si>
    <t>MARCOS LEITE</t>
  </si>
  <si>
    <t>44-984012377</t>
  </si>
  <si>
    <t>marcos.leite@gazin.com.br</t>
  </si>
  <si>
    <t>GRAZIELI VINIK PORTO DE SOUZA</t>
  </si>
  <si>
    <t>EDUARDO HENRIQUE PEREIRA DOS SANTOS</t>
  </si>
  <si>
    <t>ERIKA ROMAO</t>
  </si>
  <si>
    <t>44-998415923</t>
  </si>
  <si>
    <t>erika.romao@gazin.com.br</t>
  </si>
  <si>
    <t>LARA FABIAN SIQUEIRA CRUZ</t>
  </si>
  <si>
    <t>EDUARDO HENRIQUE LUIZ BARBOSA</t>
  </si>
  <si>
    <t>https://maps.app.goo.gl/hyzs4qbRkWSqcqhp9</t>
  </si>
  <si>
    <t>44-35371658</t>
  </si>
  <si>
    <t>CAUÃ CAMARGO</t>
  </si>
  <si>
    <t>42-998179912</t>
  </si>
  <si>
    <t>MILENA EDUARDA GUIMARÃES SANTINI</t>
  </si>
  <si>
    <t>Angela Marina Dembinski</t>
  </si>
  <si>
    <t>LUANA RIQUERME DA SILVA</t>
  </si>
  <si>
    <t>GABRIEL SANTANA</t>
  </si>
  <si>
    <t>JOAO RENATO DA SILVA</t>
  </si>
  <si>
    <t>42-998199987</t>
  </si>
  <si>
    <t>VITOR KAUÃ DA SILVA CORREA</t>
  </si>
  <si>
    <t>ADRIANA SEBOT KORCZAK</t>
  </si>
  <si>
    <t>42-984403684</t>
  </si>
  <si>
    <t>LUAN EDUARDO PEREIRA DOS SANTOS</t>
  </si>
  <si>
    <t>Adriana Sebot Korczak</t>
  </si>
  <si>
    <t>MARIA HELOISA KAROLUS DOS SANTOS</t>
  </si>
  <si>
    <t>Fabricio de Almeida da Silva Antunes</t>
  </si>
  <si>
    <t>42-999548414</t>
  </si>
  <si>
    <t>SARA EMANUELE GONÇALVES MIRANDA</t>
  </si>
  <si>
    <t xml:space="preserve">Na 2º Visita realizar análise sobre desvio de função </t>
  </si>
  <si>
    <t>THELMA CRISTINA BRONHOLO</t>
  </si>
  <si>
    <t>JOSÉ CARLOS BITTENCOURT SCHNEIDER</t>
  </si>
  <si>
    <t>KAUAN GABRIEL WALECKI</t>
  </si>
  <si>
    <t>RAFAELA DA CRUZ</t>
  </si>
  <si>
    <t>https://maps.app.goo.gl/MFZcrbW73MkCLYXJ9</t>
  </si>
  <si>
    <t>RENAN AUGUSTO FERREIRA</t>
  </si>
  <si>
    <t>GABRIEL DA VEIGA SILVA</t>
  </si>
  <si>
    <t>JOSE GABRIEL OENING DA ROSA</t>
  </si>
  <si>
    <t>LETICIA CARAMANICO MARTINS</t>
  </si>
  <si>
    <t>Sanches e Vecchiate LTDA</t>
  </si>
  <si>
    <t>03.644.587/0015-65</t>
  </si>
  <si>
    <t>R. Ismael Pinto Siqueira, 490 - Centro, Faxinal - PR, 86840-970</t>
  </si>
  <si>
    <t>NATHALIA CORREA DE OLIVEIRA BARBOSA</t>
  </si>
  <si>
    <t>rh.loja12@boxatacadista.com.br</t>
  </si>
  <si>
    <t>ANA PAULA VALERIO PINTO</t>
  </si>
  <si>
    <t>Nathalia Correa de Oliveira Barbosa</t>
  </si>
  <si>
    <t>GABRIELY DA LUZ PEREIRA</t>
  </si>
  <si>
    <t>KEREM GABRIELLY SANTANA CONRADO</t>
  </si>
  <si>
    <t>LUCAS HENRIQUE DEBASTIANI MACHADO</t>
  </si>
  <si>
    <t>COOPERATIVA DE CREDITO POUPANCA E INVESTIMENTO FRONTEIRAS DO PARANA SANTA CATARINA E SAO PAULO</t>
  </si>
  <si>
    <t>82.527.557/0011-11</t>
  </si>
  <si>
    <t>Av. Iguaçu, 281 - Cap. Leônidas Marques, PR, 85790-000</t>
  </si>
  <si>
    <t>LUCINEIA FATIMA GOCKS SCHMIDT</t>
  </si>
  <si>
    <t>45-999192036</t>
  </si>
  <si>
    <t>lucineia_gocks@sicredi.com.br</t>
  </si>
  <si>
    <t>HELOISA KAWANY ALVES MAZINI</t>
  </si>
  <si>
    <t>75.904.383/0002-02</t>
  </si>
  <si>
    <t>Coamo - Engenheiro Beltrão, Rodovia da Hortelã - s/n Km 1, PR-082, 278 - Castelo Branco, Eng. Beltrão - PR, 87270-000</t>
  </si>
  <si>
    <t>Valdir Xavier de Oliveira</t>
  </si>
  <si>
    <t>44-35371136</t>
  </si>
  <si>
    <t>44-998941742</t>
  </si>
  <si>
    <t>vxoliveira@coamo.com.br</t>
  </si>
  <si>
    <t>DANIELA FERREIRA</t>
  </si>
  <si>
    <t>82.527.557/0010-30</t>
  </si>
  <si>
    <t>Sicredi, R. Tapajós, 31 - Pranchita, PR, 85730-000</t>
  </si>
  <si>
    <t>https://maps.app.goo.gl/KtfWCQzpZLd93mSS8</t>
  </si>
  <si>
    <t>RAKEL TAVARES SBARDELOTTO</t>
  </si>
  <si>
    <t>46-999000600</t>
  </si>
  <si>
    <t>rakel_sbardelotto@sicredi.com.br</t>
  </si>
  <si>
    <t>AILTON FERREIRA DOS SANTOS JUNIOR</t>
  </si>
  <si>
    <t>75.904.383/0211-29</t>
  </si>
  <si>
    <t>Coamo Ivailândia, PR-317, 1697 - Ivailândia, Eng. Beltrão - PR, 87270-000</t>
  </si>
  <si>
    <t>MARCOS APARECIDO SOARES SOUZA</t>
  </si>
  <si>
    <t>44-35388100</t>
  </si>
  <si>
    <t>44-998698049</t>
  </si>
  <si>
    <t>MARCOSSOUZA@COAMO.COM.BR</t>
  </si>
  <si>
    <t>MARIA GABRIELA MARIOT</t>
  </si>
  <si>
    <t>75.904.383/0132-90</t>
  </si>
  <si>
    <t>COAMO - Unidade Figueira D'Oeste, Rodovia PR 082, Km 218, s/n - Distrito Figueira Do Oeste, Eng. Beltrão - PR, 87277-000</t>
  </si>
  <si>
    <t>JUVENAL MATIAS FERNANDES</t>
  </si>
  <si>
    <t>44-99800912</t>
  </si>
  <si>
    <t>JMFERNANDES@COAMO.COM.BR</t>
  </si>
  <si>
    <t>MARIA FERNANDA DE JESUS</t>
  </si>
  <si>
    <t>IZADORA CORDEIRO ALLEBRANDT PEITER</t>
  </si>
  <si>
    <t>82.527.557/0008-16</t>
  </si>
  <si>
    <t>Sicredi, Avenida Brasil, 1430 - Centro, Santo Antônio do Sudoeste - PR, 85710-000</t>
  </si>
  <si>
    <t>https://maps.app.goo.gl/zkxmmdQRDKNHcubS6</t>
  </si>
  <si>
    <t>LUIZ PEDRO FEDRIGO</t>
  </si>
  <si>
    <t>46-35632020</t>
  </si>
  <si>
    <t>46-999041944</t>
  </si>
  <si>
    <t>luiz_fedrigo@sicredi.com.br</t>
  </si>
  <si>
    <t>VIVIANI ISABELLI MUNARO</t>
  </si>
  <si>
    <t>82.527.557/0007-35</t>
  </si>
  <si>
    <t>Av. dos Pinheiros, 1600 - Centro, Santa Izabel do Oeste - PR, 85650-000</t>
  </si>
  <si>
    <t>https://maps.app.goo.gl/gCZWVimbXB9c4mYS8</t>
  </si>
  <si>
    <t>JOSIANE PAULA POMAGERSKI</t>
  </si>
  <si>
    <t>46-35421464</t>
  </si>
  <si>
    <t>46-999187825</t>
  </si>
  <si>
    <t>josiane_pomagerski@sicredi.com.br</t>
  </si>
  <si>
    <t>PAOLA FERNANDA NARESSI</t>
  </si>
  <si>
    <t>75.984.906/0013-20</t>
  </si>
  <si>
    <t>Coagro Cooperativa - Bela Vista da Caropa - PR, Estr. Vicinal, 655-531, Bela Vista da Caroba - PR, 85745-000</t>
  </si>
  <si>
    <t>https://maps.app.goo.gl/6PHtrEymbJhRXxRe9</t>
  </si>
  <si>
    <t>LIZANDRO JAHN</t>
  </si>
  <si>
    <t>BELAVISTA@COAGRO.COM.BR</t>
  </si>
  <si>
    <t>MATEUS ALEXANDRE MATTEI</t>
  </si>
  <si>
    <t>75.984.906/0022-11</t>
  </si>
  <si>
    <t>Coagro Cooperativa Agroindustrial - Pérola D'Oeste, R. Paraná, 583 - Pérola d'Oeste, PR, 85740-000</t>
  </si>
  <si>
    <t>https://maps.app.goo.gl/CWdxQcxb7bbYYWMo9</t>
  </si>
  <si>
    <t>MAGNOS ANDREI SCHAAB</t>
  </si>
  <si>
    <t>PEROLA@COAGRO.COM.BR</t>
  </si>
  <si>
    <t>CAIO FERNANDO BATISTA DOS REIS</t>
  </si>
  <si>
    <t>75.904.383/0039-02</t>
  </si>
  <si>
    <t>Cooperativa Coamo, Mamborê - PR, 87340-000</t>
  </si>
  <si>
    <t>AUREO OSVALDO JOSÉ ZACARIAS JUNIOR</t>
  </si>
  <si>
    <t>RAYANE SANTOS SPRENGOVSKI</t>
  </si>
  <si>
    <t>ISABELE LUARA DA LUZ FREITAS</t>
  </si>
  <si>
    <t>VITOR GABRIEL DE OLIVEIRA CORDEIRO</t>
  </si>
  <si>
    <t>BIANCA RUDNICK DE PAULA</t>
  </si>
  <si>
    <t>TAYNÁ FÁTIMA FAVA</t>
  </si>
  <si>
    <t>82.527.557/0003-01</t>
  </si>
  <si>
    <t>DAIANA RAGAZZON</t>
  </si>
  <si>
    <t>46-35431208</t>
  </si>
  <si>
    <t>46-999131145</t>
  </si>
  <si>
    <t>daiana_ragazzon@sicredi.com.br</t>
  </si>
  <si>
    <t>SAMUEL VINICIUS MANZKE</t>
  </si>
  <si>
    <t>CLEITON EMERSON SCHWANKE</t>
  </si>
  <si>
    <t>PLANALTO@COAGRO.COM.BR</t>
  </si>
  <si>
    <t>GUILHERME PESSOA TEREZAN</t>
  </si>
  <si>
    <t>75.904.383/0112-47</t>
  </si>
  <si>
    <t>Coamo - Nova Brasília, Rod. BR 487 - KM 163 Nova Brasília, Araruna - PR, 87260-000</t>
  </si>
  <si>
    <t>EDSON APARECIDO SANGA</t>
  </si>
  <si>
    <t>44-998261752</t>
  </si>
  <si>
    <t>ESANGA@COAMO.COM.BR</t>
  </si>
  <si>
    <t>GABRIEL CAVALLI</t>
  </si>
  <si>
    <t>75.984.906/0042-65</t>
  </si>
  <si>
    <t>Coagro Cooperativa Agroindustrial - Santo Antonio do Sudoeste, Avenida Brasil, 2480 - Centro, Santo Antônio do Sudoeste - PR, 85710-000</t>
  </si>
  <si>
    <t>LEANDRO BUZARKI</t>
  </si>
  <si>
    <t>SAS@COAGRO.COM.BR</t>
  </si>
  <si>
    <t>ANA JULIA TEREZINHA CALIXTO</t>
  </si>
  <si>
    <t>00.993.264/0048-57</t>
  </si>
  <si>
    <t>Integrada Cooperativa Agroindustrial - UR Barra do Jacaré II, PR-092, 800 - Zona Rural, Barra do Jacaré - PR, 86390-000</t>
  </si>
  <si>
    <t xml:space="preserve">https://maps.app.goo.gl/nhgYNXevSoVEzRUA8 </t>
  </si>
  <si>
    <t>LOANA ALINE DE FREITAS AGUIAR</t>
  </si>
  <si>
    <t>43-31423743</t>
  </si>
  <si>
    <t>43-996343685</t>
  </si>
  <si>
    <t>LOANA.AGUIAR@INTEGRADA.COOP.BR</t>
  </si>
  <si>
    <t>LUIS RICARDO DIMER</t>
  </si>
  <si>
    <t>75.904.383/0020-94</t>
  </si>
  <si>
    <t>rua hugo vieira, 240 - zona urbana</t>
  </si>
  <si>
    <t>Heraldo Hermes Goes</t>
  </si>
  <si>
    <t>GABRIELI ELOÁ DE CAMARGO</t>
  </si>
  <si>
    <t>75.904.383/0096-92</t>
  </si>
  <si>
    <t>Jeferson da Silva Moraes</t>
  </si>
  <si>
    <t>jsmoraes@coamo.com.br</t>
  </si>
  <si>
    <t>OTAVIO JOSÉ DA FONSECA MACIEL</t>
  </si>
  <si>
    <t>Silvio Smuczek de Paula</t>
  </si>
  <si>
    <t>IZABELLY VITORIA FERREIRA</t>
  </si>
  <si>
    <t>75.904.383/0166-30</t>
  </si>
  <si>
    <t>Coamo - Brasilândia do Sul, Rod. PR 486 - km 63 Zona Rural, Brasilândia do Sul - PR, 87595-000</t>
  </si>
  <si>
    <t>https://maps.app.goo.gl/MYLUiYKmYWcP6Fw18</t>
  </si>
  <si>
    <t>JAIR JOSE POPILNICKI</t>
  </si>
  <si>
    <t>44-36548300</t>
  </si>
  <si>
    <t>45-984149085</t>
  </si>
  <si>
    <t>jpopilnicki@coamo.com.br</t>
  </si>
  <si>
    <t>MARIA EDUARDA ALMEIDA</t>
  </si>
  <si>
    <t>ELIZEU DE QUADRA CARDOSO</t>
  </si>
  <si>
    <t>KATLEN ELOISA LEMES DA SILVA</t>
  </si>
  <si>
    <t>75.904.383/0168-00</t>
  </si>
  <si>
    <t>Coamo - Paulistânia, Rod. PR 681-km 10 Zona Rural, Alto Piquiri - PR, 87580-000</t>
  </si>
  <si>
    <t>https://maps.app.goo.gl/iSE2t2joMJ7ffUa66</t>
  </si>
  <si>
    <t>Marcelo Cassio Batista dos Reis</t>
  </si>
  <si>
    <t>44 3534-2138</t>
  </si>
  <si>
    <t>44 99864-4336</t>
  </si>
  <si>
    <t>UVILELA@COAMO.COM.BR</t>
  </si>
  <si>
    <t>VANESSA GABRIELLI DE OLIVEIRA BONJOVANNI</t>
  </si>
  <si>
    <t xml:space="preserve">https://maps.app.goo.gl/QUJuwNx99XJY31AJ7 </t>
  </si>
  <si>
    <t>CLAUDEMIR.SANTOS@INTEGRADA.COOP.BR</t>
  </si>
  <si>
    <t>PEDRO HENRIQUE CATABRIGA</t>
  </si>
  <si>
    <t>00.993.264/0012-46</t>
  </si>
  <si>
    <t>Integrada Cooperativa Agroindustrial - UR Doutor Camargo, Zona Rural, 38, PR-323, S/N, Dr. Camargo - PR, 87155-000</t>
  </si>
  <si>
    <t>https://maps.app.goo.gl/h4bLjwx8rFGBBUybA</t>
  </si>
  <si>
    <t>Fredy Junior Soler</t>
  </si>
  <si>
    <t>44-32381622</t>
  </si>
  <si>
    <t>44-988371963</t>
  </si>
  <si>
    <t>fredy.soler@integrada.coop.br</t>
  </si>
  <si>
    <t>BARBARA VITORIA LOPES BAUER</t>
  </si>
  <si>
    <t>00.993.264/0064-77</t>
  </si>
  <si>
    <t>Integrada Cooperativa Agroindustrial - Loja Mercedes, 18, BR-163, Mercedes - PR, 85998-000</t>
  </si>
  <si>
    <t>https://maps.app.goo.gl/oih1QT4PquF5PZMT8</t>
  </si>
  <si>
    <t>DOUGLAS FERREIRA DOS SANTOS</t>
  </si>
  <si>
    <t>45-32568800</t>
  </si>
  <si>
    <t>45-999372381</t>
  </si>
  <si>
    <t>DOUGLAS.SANTOS@INTEGRADA.COOP.BR</t>
  </si>
  <si>
    <t>ANA JULIA BEN</t>
  </si>
  <si>
    <t>82.527.557/0005-73</t>
  </si>
  <si>
    <t>R. Pio XII, 790 - Centro, Pérola d'Oeste - PR, 85740-000</t>
  </si>
  <si>
    <t>MARISTELA DE SOUZA MEIRA BALZAN</t>
  </si>
  <si>
    <t>46-999183101</t>
  </si>
  <si>
    <t>maristela_balzan@sicredi.com.br</t>
  </si>
  <si>
    <t>LARA CRISTINA RIENDAS DA SILVA</t>
  </si>
  <si>
    <t>00.993.264/0051-52</t>
  </si>
  <si>
    <t>Integrada Cooperativa Agroindustrial UR Bela Vista Doeste, 26, BR-163 - Guaíra, PR, 87245-000</t>
  </si>
  <si>
    <t>ROSELI KRIKI ALONSO</t>
  </si>
  <si>
    <t>44-35831143</t>
  </si>
  <si>
    <t>44-999717747</t>
  </si>
  <si>
    <t>roseli.alonso@integrada.coop.br</t>
  </si>
  <si>
    <t>GABRIELLY VITORIA DIAS DOS SANTOS</t>
  </si>
  <si>
    <t>00.993.264/0055-86</t>
  </si>
  <si>
    <t>Integrada Cooperativa Agroindustrial - UR Mariluz, Estrada Velha Mariluz, S/N - Zona Rural, Mariluz - PR, 86225-000</t>
  </si>
  <si>
    <t>ANA CLARA UGOCIONI</t>
  </si>
  <si>
    <t>00.993.264/0080-97</t>
  </si>
  <si>
    <t>Integrada Cooperativa Agroindustrial - UR Andirá II, 36, Av. Brasil (Br-369), 1025 - Andirá, PR, 86380-000</t>
  </si>
  <si>
    <t>https://maps.app.goo.gl/ib9uEGKRjYcBDffi8</t>
  </si>
  <si>
    <t>GABRIELLY CORNAS JANZ</t>
  </si>
  <si>
    <t>43-35388744</t>
  </si>
  <si>
    <t>43-996566911</t>
  </si>
  <si>
    <t>GABRIELLY.JANZ@INTEGRADA.COOP.BR</t>
  </si>
  <si>
    <t>MARIA CLARA DA SILVA GONÇALVES</t>
  </si>
  <si>
    <t>AMANDA RAFAELA PADIAL DA SILVA</t>
  </si>
  <si>
    <t>JULIA GABRIELLY DE MEDEIROS DE CAMPOS</t>
  </si>
  <si>
    <t>00.993.264/0018-31</t>
  </si>
  <si>
    <t>R. Osvaldo Cruz, 2335 - Guaíra, PR, 85980-000</t>
  </si>
  <si>
    <t>MARIO IVAN GOMES</t>
  </si>
  <si>
    <t>44-36421286</t>
  </si>
  <si>
    <t>44-991112616</t>
  </si>
  <si>
    <t>MARIO.IVAN@INTEGRADA.COOP.BR</t>
  </si>
  <si>
    <t>LUAN FELIPE HENZ</t>
  </si>
  <si>
    <t>82.527.557/0002-20</t>
  </si>
  <si>
    <t>Av. Rio Grande do Sul, 880 - Centro, Planalto - PR, 85750-000</t>
  </si>
  <si>
    <t>JAQUELINE BASEGIO</t>
  </si>
  <si>
    <t>46-35551612</t>
  </si>
  <si>
    <t>46-988203331</t>
  </si>
  <si>
    <t>jaqueline_basegio@sicredi.com.br</t>
  </si>
  <si>
    <t>ALISON GUILHERME VIEIRA</t>
  </si>
  <si>
    <t>00.993.264/0046-95</t>
  </si>
  <si>
    <t>Integrada Cooperativa Agroindustrial - Regional Cambará, Av. Brasil, 968, Cambará - PR, 86390-000</t>
  </si>
  <si>
    <t xml:space="preserve">https://maps.app.goo.gl/LPoeNjHfyvY625BC8 </t>
  </si>
  <si>
    <t>BRUNO CESAR DA SILVA CARMO</t>
  </si>
  <si>
    <t>43-37712744</t>
  </si>
  <si>
    <t>43-996146063</t>
  </si>
  <si>
    <t>BRUNO.CARMO@INTEGRADA.COOP.BR</t>
  </si>
  <si>
    <t>LUCAS DE LIMA SILVA</t>
  </si>
  <si>
    <t>ANA LIVIA DOS SANTOS FERREIRA</t>
  </si>
  <si>
    <t>RGDSILVA@COAMO.COM.BR</t>
  </si>
  <si>
    <t>GUILHERME BECK LIMA GOMES</t>
  </si>
  <si>
    <t>88.212.113/1081-30</t>
  </si>
  <si>
    <t>Av. São Paulo, 1445 - CENTRO, Terra Rica - PR, 87890-000</t>
  </si>
  <si>
    <t>https://maps.app.goo.gl/eYPNdwyt5gaRZd3VA</t>
  </si>
  <si>
    <t>Gabrieli do Carmo Santos Denardi</t>
  </si>
  <si>
    <t>44-997143782</t>
  </si>
  <si>
    <t>terrarica@farmaciassaojoao.com.br</t>
  </si>
  <si>
    <t>DANIELA SEVERIANO PEREIRA</t>
  </si>
  <si>
    <t>KF EMPREENDIMENTOS IMOBILIÁRIOS LTDA</t>
  </si>
  <si>
    <t>01.390.135/0001-73</t>
  </si>
  <si>
    <t>R. Benedito Salles, 572 - Centro, Carlópolis - PR, 86420-000</t>
  </si>
  <si>
    <t xml:space="preserve">https://maps.app.goo.gl/QppetHF9EFkaFGKk8 </t>
  </si>
  <si>
    <t>KEILA SUZANA ALMEIDA DE OLIVEIRA</t>
  </si>
  <si>
    <t>43-35661566</t>
  </si>
  <si>
    <t>43-991127671</t>
  </si>
  <si>
    <t>keila@residencialilhabela.com.br</t>
  </si>
  <si>
    <t>ANNA BEATRYZ CARVALHO DO PRADO</t>
  </si>
  <si>
    <t>79.038.097/0042-50</t>
  </si>
  <si>
    <t>Belagricola, Av. Barão do Cerro Azul, 620 - Sertaneja, PR, 86340-000</t>
  </si>
  <si>
    <t>https://maps.app.goo.gl/w6fRFjCfxZERjg5d9</t>
  </si>
  <si>
    <t>ANDRESSA COLLONHESE DE PAULA OLIVEIRA</t>
  </si>
  <si>
    <t>43-991682392</t>
  </si>
  <si>
    <t>andressa.collonhese@belagricola.com.br</t>
  </si>
  <si>
    <t>10.495.215/0005-08</t>
  </si>
  <si>
    <t>Eduarda Hyllari Juraszeck</t>
  </si>
  <si>
    <t>VITOR GABRIEL SILVA MELO</t>
  </si>
  <si>
    <t>COROADOS DISTRIBUIDORA DE BEBIDAS LTDA</t>
  </si>
  <si>
    <t>72.361.280/0001-74</t>
  </si>
  <si>
    <t>Av. Pres. Vargas, 196 - Parque Industrial I, Loanda - PR, 87900-000</t>
  </si>
  <si>
    <t>https://maps.app.goo.gl/QR9WHASf5UteJBbR7</t>
  </si>
  <si>
    <t>JOSEANE TORREZAN ROCHA</t>
  </si>
  <si>
    <t>44-991473693</t>
  </si>
  <si>
    <t>JOSE_TORREZAN@HOTMAIL.COM</t>
  </si>
  <si>
    <t>JOAO GABRIEL ROMANICHEN DOMINGUES</t>
  </si>
  <si>
    <t>AUTO POSTO ANJO RAFAEL LTDA</t>
  </si>
  <si>
    <t>08.917.832/0002-60</t>
  </si>
  <si>
    <t>Auto Posto Progresso II, R. da Liberdade - Pitanga, PR, 85200-000</t>
  </si>
  <si>
    <t>NORLEI DE PAULA SANTOS</t>
  </si>
  <si>
    <t>42-999224873</t>
  </si>
  <si>
    <t>42-984346769</t>
  </si>
  <si>
    <t>norlleyy@hotmail.com</t>
  </si>
  <si>
    <t>Realizar termo aditivo jornada de trabalho - 13:30 às 17:30</t>
  </si>
  <si>
    <t>MATEUS AUGUSTO DULO</t>
  </si>
  <si>
    <t>88.212.113/1069-43</t>
  </si>
  <si>
    <t>Av. Brasil, 866, Terra Boa - PR, 87240-000</t>
  </si>
  <si>
    <t>Thaís Mayumi Uratani</t>
  </si>
  <si>
    <t>44-998428108</t>
  </si>
  <si>
    <t>terraboa@farmaciassaojoao.com.br</t>
  </si>
  <si>
    <t>JOSE VINICIUS ALVES</t>
  </si>
  <si>
    <t>44-997251658</t>
  </si>
  <si>
    <t>MATEUS ANTUNES DE SOUZA</t>
  </si>
  <si>
    <t>75.904.383/0061-62</t>
  </si>
  <si>
    <t>Coamo - Cândido de Abreu, Rod. PR 487, km 321 Zona Rural, Cândido de Abreu - PR, 84470-000</t>
  </si>
  <si>
    <t>https://maps.app.goo.gl/DKLNnLKj7F6qmZoN6</t>
  </si>
  <si>
    <t>ELISSON BISSOLI COSTA</t>
  </si>
  <si>
    <t>43-34761384</t>
  </si>
  <si>
    <t>44-997699568</t>
  </si>
  <si>
    <t>ecosta@coamo.com.br</t>
  </si>
  <si>
    <t>JOÃO GUSTAVO DE OLIVEIRA SANTOS</t>
  </si>
  <si>
    <t>JÚLIA DA COSTA SILVA</t>
  </si>
  <si>
    <t>79.114.450/0300-72</t>
  </si>
  <si>
    <t>Cocamar - Unidade Uraí, R. Itisuke Nishimura - Centro, Uraí - PR, 86280-000</t>
  </si>
  <si>
    <t>https://maps.app.goo.gl/xpmrdK34VbHk2EVL7</t>
  </si>
  <si>
    <t>ELTON SAMPAIO TOFOLI</t>
  </si>
  <si>
    <t>43-991670055</t>
  </si>
  <si>
    <t>elton.tofoli@cocamar.com.br</t>
  </si>
  <si>
    <t>VITÓRIA GABRIELA DE OLIVEIRA LEITE</t>
  </si>
  <si>
    <t>79.114.450/0167-54</t>
  </si>
  <si>
    <t>Cocamar - Unidade Carlópolis, Rod. José Alves Pereira - Carlópolis, PR, 86420-000</t>
  </si>
  <si>
    <t>https://maps.app.goo.gl/19UrHDFtYxC5fhyk7</t>
  </si>
  <si>
    <t>Victor Valcazara Lopes</t>
  </si>
  <si>
    <t>15-997286650</t>
  </si>
  <si>
    <t>victor.lopes@cocamar.com.br</t>
  </si>
  <si>
    <t>ANA CAROLINA VALENTINI DA COSTA</t>
  </si>
  <si>
    <t>79.114.450/0008-31</t>
  </si>
  <si>
    <t>Cocamar - Unidade Jussara, Av. Visc. de Guarapuava, Jussara - PR, 87230-000</t>
  </si>
  <si>
    <t>https://maps.app.goo.gl/xXUT4HxJGgRZcGoc7</t>
  </si>
  <si>
    <t>MARGARETH APARECIDA BIZZI BRITO</t>
  </si>
  <si>
    <t>44-31475123</t>
  </si>
  <si>
    <t>44-999444751</t>
  </si>
  <si>
    <t>margareth.brito@cocamar.com.br</t>
  </si>
  <si>
    <t>HEMYLI YASMIN LIMA DA SILVA</t>
  </si>
  <si>
    <t>43-996066444</t>
  </si>
  <si>
    <t>LUANA ZANATTA DE SOUZA</t>
  </si>
  <si>
    <t>JULIA REZENDE MORAES</t>
  </si>
  <si>
    <t>79.114.450/0179-98</t>
  </si>
  <si>
    <t>Cocamar Unidade Tamarana, Rod. Vitório Framcovig, s/n, Tamarana - PR, 86125-000</t>
  </si>
  <si>
    <t>https://maps.app.goo.gl/d74hQwjiXsySsMzq9</t>
  </si>
  <si>
    <t>MELISSA MARIA MITIKO NAGAI</t>
  </si>
  <si>
    <t>43-33981257</t>
  </si>
  <si>
    <t>44-999193532</t>
  </si>
  <si>
    <t>melissa.nagai@cocamar.com.br</t>
  </si>
  <si>
    <t>REGIANE CAETANO DOS SANTOS</t>
  </si>
  <si>
    <t>Selmar Oliveski Schenkel</t>
  </si>
  <si>
    <t>ANDREIA CAVALHEIRO FERRAZ</t>
  </si>
  <si>
    <t>75.904.383/0202-38</t>
  </si>
  <si>
    <t>COAMO - Agroindustrial Cooperativa - Goioxim, Rod. Luiz Douglas Araújo, Goioxim - PR, 85162-000</t>
  </si>
  <si>
    <t>https://maps.app.goo.gl/RsDK6sYwh2wEarJo6</t>
  </si>
  <si>
    <t>EDSON BERTOLDO</t>
  </si>
  <si>
    <t>42-36561335</t>
  </si>
  <si>
    <t>42-998581895</t>
  </si>
  <si>
    <t>EBERTOLDO@COAMO.COM.BR</t>
  </si>
  <si>
    <t>RAMON TELES GOMES</t>
  </si>
  <si>
    <t>MURILLO KEKES SCHON</t>
  </si>
  <si>
    <t>75.904.383/0013-65</t>
  </si>
  <si>
    <t>COAMO-Cooperativa Agropecuária Mourãoense - Nova Tebas, PR, 85250-000</t>
  </si>
  <si>
    <t>https://maps.app.goo.gl/78pmQPWArX2mcFXj8</t>
  </si>
  <si>
    <t>ALCEU RETECHESKI</t>
  </si>
  <si>
    <t>42-36431128</t>
  </si>
  <si>
    <t>42-991285408</t>
  </si>
  <si>
    <t>ARETECHESKI@COAMO.COM.BR</t>
  </si>
  <si>
    <t>MATHEUS ESZIDIO DA SILVA</t>
  </si>
  <si>
    <t>Luciane Martins Ribeiro</t>
  </si>
  <si>
    <t>SUSANE VITÓRIA BIANCHINI MIRANDA</t>
  </si>
  <si>
    <t>NATALIA ZAGUI BALLINI DIAS</t>
  </si>
  <si>
    <t>MATHEUS PEDROSO DOMICIANO</t>
  </si>
  <si>
    <t>mcreis@coamo.com.br</t>
  </si>
  <si>
    <t>KAYNÂN RAFHAEL NUNES DE SOUZA</t>
  </si>
  <si>
    <t>IGOR CONTARIN</t>
  </si>
  <si>
    <t>79.114.450/0299-02</t>
  </si>
  <si>
    <t>Cocamar - Unidade Andirá, PR-092, Rodovia Alício Reis dos Santos, Km 38 - Dias dos Reis, Andirá - PR, 86380-970</t>
  </si>
  <si>
    <t>https://maps.app.goo.gl/dPGjYDZ6h97YKDNN7</t>
  </si>
  <si>
    <t>KEROLYN CHRISTINI A DA SILVA</t>
  </si>
  <si>
    <t>43-991151119</t>
  </si>
  <si>
    <t>kerolyn.silva@cocamar.com.br</t>
  </si>
  <si>
    <t>NATHALIA SOARES DOS SANTOS</t>
  </si>
  <si>
    <t>JOELTON GARCIA FRANCISCO</t>
  </si>
  <si>
    <t>44-32361224</t>
  </si>
  <si>
    <t>43-998281895</t>
  </si>
  <si>
    <t>JOELTON.FRANCISCO@COCAMAR.COM.BR</t>
  </si>
  <si>
    <t>ERICK LOHAN NARESI MARIANO</t>
  </si>
  <si>
    <t>79.114.450/0007-50</t>
  </si>
  <si>
    <t>https://maps.app.goo.gl/wnDw7oMJh2uPv63v6</t>
  </si>
  <si>
    <t>MAGNA REGIANE NARESI BARBOSA</t>
  </si>
  <si>
    <t>44-988146309</t>
  </si>
  <si>
    <t>magna.naresi@cocamar.com.br</t>
  </si>
  <si>
    <t>GABRIEL DE OLIVEIRA DA CUNHA</t>
  </si>
  <si>
    <t>ANTENOR FELIPE DA SILVA CORREIA</t>
  </si>
  <si>
    <t>MURILO LUPPO GONÇALVES DE ARAUJO</t>
  </si>
  <si>
    <t>Rod. Helmuth Sontag, s/n KM 30 Zona Rural, Fênix - PR, 86950-000</t>
  </si>
  <si>
    <t>https://maps.app.goo.gl/iLPYzngmmy8fbV5Z9</t>
  </si>
  <si>
    <t>JOSE AGNALDO COSTA</t>
  </si>
  <si>
    <t>JACOSTA@COAMO.COM.BR</t>
  </si>
  <si>
    <t>MARILIZ PREVIATO DE SOUZA</t>
  </si>
  <si>
    <t>79.114.450/0261-21</t>
  </si>
  <si>
    <t>Cocamar - Unidade Santa Isabel do Ivaí, Av. Duque de Caxias - Centro, Santa Isabel do Ivaí - PR, 87910-000</t>
  </si>
  <si>
    <t>https://maps.app.goo.gl/vMAwzAtRTha4pYfC8</t>
  </si>
  <si>
    <t>TÂNIA DIAS DE SOUZA SANTOS</t>
  </si>
  <si>
    <t>44-31415173</t>
  </si>
  <si>
    <t>44-991238521</t>
  </si>
  <si>
    <t>TANIA.SANTOS@COCAMAR.COM.BR</t>
  </si>
  <si>
    <t>TALITA EMANUELY NEVES DUARTE</t>
  </si>
  <si>
    <t>CARLOS ARMANDO BRAVIN NORONHA</t>
  </si>
  <si>
    <t>96.418.264/0671-28</t>
  </si>
  <si>
    <t>JOÃO AUGUSTO PINTARO MENDES</t>
  </si>
  <si>
    <t>88.212.113/1221-24</t>
  </si>
  <si>
    <t>Farmácia São João, Av. Pres. Vargas, 640 - Centro, Araruna - PR, 87260-000</t>
  </si>
  <si>
    <t>https://maps.app.goo.gl/kHzDHaErHJqGrkHs8</t>
  </si>
  <si>
    <t>RANGEL DAMACENO CATANEO</t>
  </si>
  <si>
    <t>44-999857230</t>
  </si>
  <si>
    <t>araruna@farmaciassaojoao.com.br</t>
  </si>
  <si>
    <t>CARLA FERNANDA PACAGNELLI GOMES</t>
  </si>
  <si>
    <t>96.418.264/0679-85</t>
  </si>
  <si>
    <t>Lojas Quero-Quero, Av. São Paulo, 810, Formosa do Oeste - PR, 85830-000</t>
  </si>
  <si>
    <t>https://maps.app.goo.gl/k8VvwzHseo2KfJxr6</t>
  </si>
  <si>
    <t>PABLO TRULIA GONÇALVES</t>
  </si>
  <si>
    <t>44-991075042</t>
  </si>
  <si>
    <t>adm664@quero-quero.com.br</t>
  </si>
  <si>
    <t>ICARO TRIZOTI SANTOS</t>
  </si>
  <si>
    <t>CIABEL DISTRIBUIDORA DE BEBIDAS LTDA</t>
  </si>
  <si>
    <t>82.225.459/0001-58</t>
  </si>
  <si>
    <t>Ciabel Dist. de Bebidas Japurá, Av. Bolívar, 274 - Jardim Primavera, Japurá - PR, 87225-000</t>
  </si>
  <si>
    <t>https://maps.app.goo.gl/QcYgmU4jCFadFpVc8</t>
  </si>
  <si>
    <t>CARLOS EDUARDO PERES DE REZENDE</t>
  </si>
  <si>
    <t>44-36351146</t>
  </si>
  <si>
    <t>44-999023141</t>
  </si>
  <si>
    <t>carlos@ciabel.com.br</t>
  </si>
  <si>
    <t>ANA BEATRIZ MARTINS</t>
  </si>
  <si>
    <t>96.418.264/0520-15</t>
  </si>
  <si>
    <t>R. Lércio Costa, 748 - Centro, São João do Ivaí - PR, 86930-000</t>
  </si>
  <si>
    <t>https://maps.app.goo.gl/pMx5woj8ieqXs74n9</t>
  </si>
  <si>
    <t>ANA PAULA DOS SANTOS RIBEIRO</t>
  </si>
  <si>
    <t>43-34778500</t>
  </si>
  <si>
    <t>43-999748821</t>
  </si>
  <si>
    <t>ger504@quero-quero.com.br</t>
  </si>
  <si>
    <t>NICOLAS INÁCIO LIMA</t>
  </si>
  <si>
    <t>96.418.264/0379-97</t>
  </si>
  <si>
    <t>Av. Mate Laranjeira, 310 - Centro, Guaíra - PR, 85980-000</t>
  </si>
  <si>
    <t>https://maps.app.goo.gl/79fsyWEFgYfd4wPYA</t>
  </si>
  <si>
    <t>Eola Teodoro da Silva</t>
  </si>
  <si>
    <t>44-36429350</t>
  </si>
  <si>
    <t>44-999194383</t>
  </si>
  <si>
    <t>adm362@quero-quero.com.br</t>
  </si>
  <si>
    <t>ANA JULIA DE FREITAS BONINI</t>
  </si>
  <si>
    <t>Hygor Thyago Tonette Procopio</t>
  </si>
  <si>
    <t>44-999655558</t>
  </si>
  <si>
    <t>ger600@quero-quero.com.br</t>
  </si>
  <si>
    <t>ANA ELIS DE SOUZA SANTOS</t>
  </si>
  <si>
    <t>CALCÁRIO GUAPIRAMA LTDA</t>
  </si>
  <si>
    <t>10.965.623/0001-52</t>
  </si>
  <si>
    <t>Calcário Guapirama, Fazenda São José, S/N, Rodovia, PR</t>
  </si>
  <si>
    <t>https://maps.app.goo.gl/eHaqc5xa3FKon2YJ9</t>
  </si>
  <si>
    <t>SONIA REGINA SANCHES DUTRA</t>
  </si>
  <si>
    <t>43-920015848</t>
  </si>
  <si>
    <t>RH.GUAPIRAMA@CALCARIOGUAPIRAMA.COM.BR</t>
  </si>
  <si>
    <t>EDUARDO ABREU GOULART</t>
  </si>
  <si>
    <t>96.418.264/0592-90</t>
  </si>
  <si>
    <t>Lojas Quero-Quero: Materiais de Construção em Uraí PR, Av. Argemiro Sandoval, 776 - Centro, Uraí - PR, 86280-000</t>
  </si>
  <si>
    <t>https://maps.app.goo.gl/QmrpPcKVtnzG3YbZ9</t>
  </si>
  <si>
    <t>NAILA LEIRY DE SOUZA FRIOLI SANCHES</t>
  </si>
  <si>
    <t>43-988025610</t>
  </si>
  <si>
    <t>ger576@quero-quero.com.br</t>
  </si>
  <si>
    <t>SARAH EDUARDA SILVA MUNIZ</t>
  </si>
  <si>
    <t>96.418.264/0677-13</t>
  </si>
  <si>
    <t>Av. Paraná, 599 - Centro, Perobal - PR, 87538-000</t>
  </si>
  <si>
    <t>https://maps.app.goo.gl/ARvLF7vygSCeoL8JA</t>
  </si>
  <si>
    <t>CLEBER DE OLIVEIRA PAULIQUE</t>
  </si>
  <si>
    <t>44-999250186</t>
  </si>
  <si>
    <t>ger659@quero-quero.com.br</t>
  </si>
  <si>
    <t>NELSON ZANOTIN JUNIOR</t>
  </si>
  <si>
    <t>96.418.264/0618-63</t>
  </si>
  <si>
    <t>R. Deoclésio Manoel Teixeira, 551 - Centro, Araruna - PR, 87260-000</t>
  </si>
  <si>
    <t>https://maps.app.goo.gl/pShNJHRpZLURdaSd8</t>
  </si>
  <si>
    <t>ELAINE VAZ TEIXEIRA</t>
  </si>
  <si>
    <t>44-988220994</t>
  </si>
  <si>
    <t>ADM603@QUERO-QUERO.COM.BR</t>
  </si>
  <si>
    <t>LARA EMANUELY JOÃO DE OLIVEIRA</t>
  </si>
  <si>
    <t>88.212.113/0810-02</t>
  </si>
  <si>
    <t>Av. Mate Laranjeira, 811 - Centro, Guaíra - PR, 85980-000</t>
  </si>
  <si>
    <t>https://maps.app.goo.gl/12vRezZKfD9bZCxi8</t>
  </si>
  <si>
    <t>ALEXSANDRO RODIGUES SANTOS</t>
  </si>
  <si>
    <t>44-36461249</t>
  </si>
  <si>
    <t>44-984543271</t>
  </si>
  <si>
    <t>alexandro1990@gmail.com</t>
  </si>
  <si>
    <t>GABRIELA OLIVEIRA BUZINARO</t>
  </si>
  <si>
    <t>96.418.264/0540-69</t>
  </si>
  <si>
    <t>R. Brasília, 41 - Centro, Missal - PR, 85890-000</t>
  </si>
  <si>
    <t>https://maps.app.goo.gl/k5cY1j76geeZo2Re8</t>
  </si>
  <si>
    <t>MONICA SUELIS VALK QUEIROZ</t>
  </si>
  <si>
    <t>45-32448150</t>
  </si>
  <si>
    <t>45-999147724</t>
  </si>
  <si>
    <t>GER526@QUERO-QUERO.COM.BR</t>
  </si>
  <si>
    <t>RAFAEL OZORIO ALVES CARDOSO</t>
  </si>
  <si>
    <t>96.418.264/0674-70</t>
  </si>
  <si>
    <t>R. Geremias Lunardelli, 48 - Iretama, PR, 87280-000</t>
  </si>
  <si>
    <t>https://maps.app.goo.gl/FqXPyjsdJccGcNBZ9</t>
  </si>
  <si>
    <t>TELCIO FELIPE LOBO SILVÉRIO</t>
  </si>
  <si>
    <t>42-998267841</t>
  </si>
  <si>
    <t>telciofelipesilverio@gmail.com</t>
  </si>
  <si>
    <t>96.418.264/0608-91</t>
  </si>
  <si>
    <t>ANDREIA CAROLINE SEDOR</t>
  </si>
  <si>
    <t>43-999374314</t>
  </si>
  <si>
    <t>NICOLE BEATRIZ FERNANDES</t>
  </si>
  <si>
    <t>96.418.264/0535-00</t>
  </si>
  <si>
    <t>Lojas Quero-Quero: Materiais de Construção em Tapejara PR, R. Piauí, 545 - Centro, Tapejara - PR, 87430-000</t>
  </si>
  <si>
    <t>https://maps.app.goo.gl/xkk5wQeL5ZbrKeL28</t>
  </si>
  <si>
    <t>PATRICIA APARECIDA ALVES</t>
  </si>
  <si>
    <t>44-36778450</t>
  </si>
  <si>
    <t>44-999696548</t>
  </si>
  <si>
    <t>ADM519@QUERO-QUERO.COM.BR</t>
  </si>
  <si>
    <t>MILENA ELIZIA RODRIGUES DOS SANTOS</t>
  </si>
  <si>
    <t>88.212.113/1177-16</t>
  </si>
  <si>
    <t>Av. Paraná, 2294 - Alto Paraná, PR, 87750-000</t>
  </si>
  <si>
    <t>https://maps.app.goo.gl/ft2WEDReYYyVkbAE7</t>
  </si>
  <si>
    <t>ANA PAULA BRUGNOLLI DOS SANTOS</t>
  </si>
  <si>
    <t>44-998844821</t>
  </si>
  <si>
    <t>ana.brunholle26@gmail.com</t>
  </si>
  <si>
    <t>KAMILA MAGALHAES DA SILVA</t>
  </si>
  <si>
    <t>96.418.264/0610-06</t>
  </si>
  <si>
    <t>Av. Sete de Setembro, 931 - Eng. Beltrao, Eng. Beltrão - PR, 87270-000</t>
  </si>
  <si>
    <t>https://maps.app.goo.gl/KNDqg4qiv4fTxJX89</t>
  </si>
  <si>
    <t>MATEUS ORESTE MILANI</t>
  </si>
  <si>
    <t>44-998495170</t>
  </si>
  <si>
    <t>ger594@quero-quero.com.br</t>
  </si>
  <si>
    <t>JOÃO GABRIEL LEAL VIEIRA HIPOLITO</t>
  </si>
  <si>
    <t>96.418.264/0456-63</t>
  </si>
  <si>
    <t>R. Dr. João Ferreira Neves, 1744-1850, Palmital - PR</t>
  </si>
  <si>
    <t xml:space="preserve">https://maps.app.goo.gl/uaaF4aNAyLcpujVy8 </t>
  </si>
  <si>
    <t>LILIANE PEREIRA</t>
  </si>
  <si>
    <t>42-36578100</t>
  </si>
  <si>
    <t>42-988323087</t>
  </si>
  <si>
    <t>GER443@QUERO-QUERO.COM.BR</t>
  </si>
  <si>
    <t>EVELYN KAMILE GOMES DOS SANTOS</t>
  </si>
  <si>
    <t>96.418.264/0504-03</t>
  </si>
  <si>
    <t>Av. Brasil, 60 - Centro, Agudos do Sul - PR, 83850-000</t>
  </si>
  <si>
    <t>https://maps.app.goo.gl/w8sdcBQ6feyHHvE36</t>
  </si>
  <si>
    <t>THALIA ANIZIA CORDEIRO DE LIMA</t>
  </si>
  <si>
    <t>41-991690169</t>
  </si>
  <si>
    <t>GER490@QUERO-QUERO.COM.BR</t>
  </si>
  <si>
    <t>ELOÁ CRISTINNY RAIMUNDO DE ALMEIDA</t>
  </si>
  <si>
    <t>Sonia Regina Sanches Dutra</t>
  </si>
  <si>
    <t>KIARA IASMYN PEREIRA DA ROSA</t>
  </si>
  <si>
    <t>96.418.264/0512-05</t>
  </si>
  <si>
    <t>R. Primeiro de Maio, 755 - Centro, Santa Terezinha de Itaipu - PR, 85875-000</t>
  </si>
  <si>
    <t>https://maps.app.goo.gl/YMysFGA74QuLFr958</t>
  </si>
  <si>
    <t>CARLOS EMMANOEL SILVSTRO</t>
  </si>
  <si>
    <t>45-35418450</t>
  </si>
  <si>
    <t>45-999654113</t>
  </si>
  <si>
    <t>adm496@quero-quero.com.br</t>
  </si>
  <si>
    <t>VITOR EMANUEL DUTRA SOUZA</t>
  </si>
  <si>
    <t>96.418.264/0673-90</t>
  </si>
  <si>
    <t>R. Curitiba, 1684 - Centro, Céu Azul - PR, 85840-000</t>
  </si>
  <si>
    <t>https://maps.app.goo.gl/CANPA2KaiBQ1zKNi6</t>
  </si>
  <si>
    <t>VINICIUS SILVA BENTO</t>
  </si>
  <si>
    <t>45-991158439</t>
  </si>
  <si>
    <t>GER657@QUERO-QUERO.COM.BR</t>
  </si>
  <si>
    <t>LARA DE ALMEIDA BARBOSA</t>
  </si>
  <si>
    <t>96.418.264/0675-51</t>
  </si>
  <si>
    <t>Lojas Quero-Quero, R. Eugênio Trevisan, 150, Boa Vista da Aparecida - PR, 85780-000</t>
  </si>
  <si>
    <t>https://maps.app.goo.gl/VzfQnaNo5XyryFhJ9</t>
  </si>
  <si>
    <t>LUZIANE DOS SANTOS ESMOJINSKI</t>
  </si>
  <si>
    <t>45-998037323</t>
  </si>
  <si>
    <t>45-991348077</t>
  </si>
  <si>
    <t>adm660@quero-quero.com.br</t>
  </si>
  <si>
    <t>EMILYANA ALVES DE LIMA</t>
  </si>
  <si>
    <t>C VALE - COOPERATIVA AGROINDUSTRIAL</t>
  </si>
  <si>
    <t>77.863.223/0086-04</t>
  </si>
  <si>
    <t>C.Vale - Und. Clevelândia, Rod. PRT 280 KM 101, s/n, Clevelândia - PR, 85530-000</t>
  </si>
  <si>
    <t>https://maps.app.goo.gl/UyHuhMbnpwYjutSB9</t>
  </si>
  <si>
    <t>DANIEL DE SOUSA RIBEIRO</t>
  </si>
  <si>
    <t>46-991347531</t>
  </si>
  <si>
    <t>DANIEL.RIBEIRO@CVALE.COM.BR</t>
  </si>
  <si>
    <t>EMANUELE DE LIMA KRASSOWSKI</t>
  </si>
  <si>
    <t>C VALE COOPERATIVA AGROINDUSTRIAL</t>
  </si>
  <si>
    <t>77.863.223/0114-94</t>
  </si>
  <si>
    <t>C.Vale, PR-460, KM-040, Turvo - PR, 85150-000</t>
  </si>
  <si>
    <t>https://maps.app.goo.gl/uKhTDMSxTNVb3wGC9</t>
  </si>
  <si>
    <t>DANIEL SMANIOTO RODELLA</t>
  </si>
  <si>
    <t>42-999403520</t>
  </si>
  <si>
    <t>daniel.rodella@cvale.com.br</t>
  </si>
  <si>
    <t>LAINI DE SOUZA MOREIRA</t>
  </si>
  <si>
    <t>C VALE COOPERATIVA  AGROINDUSTRIAL</t>
  </si>
  <si>
    <t>77.863.223/0061-48</t>
  </si>
  <si>
    <t>C.Vale Unidade I - Brasilândia do Sul, Rod. PR486 - Cx.P. 242, Brasilândia do Sul - PR, 87595-000</t>
  </si>
  <si>
    <t>https://maps.app.goo.gl/955EvSHiv9ZNry8N7</t>
  </si>
  <si>
    <t>ITAMAR MALFATO</t>
  </si>
  <si>
    <t>44-984077554</t>
  </si>
  <si>
    <t>itamar.malfato@cvale.com.br</t>
  </si>
  <si>
    <t>GABRIEL JOSE LAGO</t>
  </si>
  <si>
    <t>77.863.223/0046-09</t>
  </si>
  <si>
    <t>C.vale Bela Vista, Estrada p/ Bela Vista - Cx.P. 11, Terra Roxa - PR, 85990-000</t>
  </si>
  <si>
    <t>https://maps.app.goo.gl/E266fHjSjtUFWnHL7</t>
  </si>
  <si>
    <t>SAIMON VINICIUS TREDER REPULA</t>
  </si>
  <si>
    <t>44-984419922</t>
  </si>
  <si>
    <t>saimon.repula@cvale.com.br</t>
  </si>
  <si>
    <t>KEVIN RUAN DE SOUZA SCHULZ</t>
  </si>
  <si>
    <t>77.863.223/0137-80</t>
  </si>
  <si>
    <t>C.Vale - Cooperativa Agroindustrial, Estrada Peroba, KM 01, Terra Roxa - PR, 85995-000</t>
  </si>
  <si>
    <t>https://maps.app.goo.gl/3n8pyLAuMN1YZGZ48</t>
  </si>
  <si>
    <t>ADRIANO FRANCISCO DOS SANTOS</t>
  </si>
  <si>
    <t>44-991493046</t>
  </si>
  <si>
    <t>adriano.francisco@cvale.com.br</t>
  </si>
  <si>
    <t>ELISANGELA FERREIRA DE OLIVEIRA</t>
  </si>
  <si>
    <t>77.863.223/0220-03</t>
  </si>
  <si>
    <t>C.Vale - Und. Braganey, Avenida Bossolan Bragantina, Braganey - PR, 85430-000</t>
  </si>
  <si>
    <t>https://maps.app.goo.gl/13LQGnLMj78oyp2g7</t>
  </si>
  <si>
    <t>AUGUSTO OLIVEIRA DO NASCIMENTO</t>
  </si>
  <si>
    <t>44-998093445</t>
  </si>
  <si>
    <t>augusto.nascimento@cvale.com.br</t>
  </si>
  <si>
    <t>HELOÍSA SOFIA NEIVERTH</t>
  </si>
  <si>
    <t>CVALE - COOPERATIVA AGROINDUSTRIAL</t>
  </si>
  <si>
    <t>77.863.223/0016-93</t>
  </si>
  <si>
    <t>R. Caramuru, 395 - Pérola Independente, Maripá - PR, 85955-000</t>
  </si>
  <si>
    <t>https://maps.app.goo.gl/3X21Nft7y7wrcbLK7</t>
  </si>
  <si>
    <t>MARCO ANTONIO RACK VIEIRA DE JESUS</t>
  </si>
  <si>
    <t>44-997565855</t>
  </si>
  <si>
    <t>marco.jesus@cvale.com.br</t>
  </si>
  <si>
    <t>HENRIQUE GATES DE OLIVEIRA</t>
  </si>
  <si>
    <t>77.863.223/0213-76</t>
  </si>
  <si>
    <t>C.Vale - Unidade São Pedro do Iguacu, R PRINCIPAL, s/n - São Judas Tadeu, São Pedro do Iguaçu - PR, 85929-000</t>
  </si>
  <si>
    <t>https://maps.app.goo.gl/DrLTeSSDZ19vvFTc8</t>
  </si>
  <si>
    <t>BRAIAN ANDER COSTA FRATA</t>
  </si>
  <si>
    <t>44-998022990</t>
  </si>
  <si>
    <t>braian.frata@cvale.com.br</t>
  </si>
  <si>
    <t>MARIA EDUARDA APOLINÁRIO</t>
  </si>
  <si>
    <t>77.863.223/0047-90</t>
  </si>
  <si>
    <t>C.Vale, Rodovia PR-182, Km 11, s/n Bairro Catarinense, Francisco Alves - PR, 87570-000</t>
  </si>
  <si>
    <t>https://maps.app.goo.gl/edpHeLNzyGwGhj5E8</t>
  </si>
  <si>
    <t>GUILHERME COSTA DA FONSECA</t>
  </si>
  <si>
    <t>44-984211620</t>
  </si>
  <si>
    <t>guilherme.fonseca@cvale.com.br</t>
  </si>
  <si>
    <t>KAUÃ SATO DE MELO OSTROWSKI</t>
  </si>
  <si>
    <t>77.863.223/0110-60</t>
  </si>
  <si>
    <t>C.Vale - Cooperativa Agroindustrial - São João do Ivaí, PR, 86930-000</t>
  </si>
  <si>
    <t>https://maps.app.goo.gl/6neQiZi2dq1Jgz4V6</t>
  </si>
  <si>
    <t>SIMONE BARBOSA DE CAMPOS</t>
  </si>
  <si>
    <t>42-991443482</t>
  </si>
  <si>
    <t>simone.campos@cvale.com.br</t>
  </si>
  <si>
    <t>THAISA ANTONIOLI RASTEIRO</t>
  </si>
  <si>
    <t>ERIC GABRIEL RODRIGUES</t>
  </si>
  <si>
    <t>77.863.223/0260-92</t>
  </si>
  <si>
    <t>Linha Santa Inês, Nova Prata do Iguaçu - PR, 85685-000</t>
  </si>
  <si>
    <t>https://maps.app.goo.gl/TLGPghjdgQw3hth86</t>
  </si>
  <si>
    <t>MARIA ADELIA DA COSTA GODINHO</t>
  </si>
  <si>
    <t>45-999797574</t>
  </si>
  <si>
    <t>maria.adelia@cvale.com.br</t>
  </si>
  <si>
    <t>SOFIA CRISTINA WOICIECHOWSKI</t>
  </si>
  <si>
    <t>77.863.223/0004-50</t>
  </si>
  <si>
    <t>WELLINGTON PAULO DE LIMA</t>
  </si>
  <si>
    <t>44-999453433</t>
  </si>
  <si>
    <t>wellington.lima@cvale.com.br</t>
  </si>
  <si>
    <t>KELLY SABRINA MANDU</t>
  </si>
  <si>
    <t>77.863.223/0133-57</t>
  </si>
  <si>
    <t>C.Vale, Rod. PR 323, km 31, Dr. Camargo - PR, 87155-000</t>
  </si>
  <si>
    <t>https://maps.app.goo.gl/Tx4TeFBuEr2gY2jWA</t>
  </si>
  <si>
    <t>MARCIO CRISTIANO DE OLIVEIRA DOS REIS</t>
  </si>
  <si>
    <t>43-996733196</t>
  </si>
  <si>
    <t>marcio.reis@cvale.com.br</t>
  </si>
  <si>
    <t>VITOR DOS SANTOS MANDUCA</t>
  </si>
  <si>
    <t>VINICIUS GALDINO ALVES</t>
  </si>
  <si>
    <t>ADELIA DA COSTA GODINHO</t>
  </si>
  <si>
    <t>YASMIN TALISSA GABERT HARTWIG</t>
  </si>
  <si>
    <t>77.863.223/0032-03</t>
  </si>
  <si>
    <t>R. da Paz - Alto Santa Fé, Nova Santa Rosa - PR, 85930-000</t>
  </si>
  <si>
    <t>https://maps.app.goo.gl/pwwMkexqg54hqUVR8</t>
  </si>
  <si>
    <t>LEONARDO SOTT</t>
  </si>
  <si>
    <t>45-999687866</t>
  </si>
  <si>
    <t>leonardo.sott@cvale.com.br</t>
  </si>
  <si>
    <t>JEANDRA WANESSA BERNARDO GUST</t>
  </si>
  <si>
    <t>77.863.223/0011-89</t>
  </si>
  <si>
    <t>C.Vale - Unid. Maripá, Av. Farrapos, s/n - Saída rodovia PR 182, Maripá - PR, 85955-000</t>
  </si>
  <si>
    <t>https://maps.app.goo.gl/Q6FiCemVhfej4oaLA</t>
  </si>
  <si>
    <t>PABLO TRENTO TEIXEIRA</t>
  </si>
  <si>
    <t>44-998651710</t>
  </si>
  <si>
    <t>pablo.teixeira@cvale.com.br</t>
  </si>
  <si>
    <t>PEDRO HENRIQUE BIZZO MACHADO</t>
  </si>
  <si>
    <t>77.863.223/0007-00</t>
  </si>
  <si>
    <t>Av. da Saudade, 1170 - Terra Roxa, P</t>
  </si>
  <si>
    <t>https://maps.app.goo.gl/URYJGMMhb8uPwgcM6</t>
  </si>
  <si>
    <t>RENATO MARCHIORI</t>
  </si>
  <si>
    <t>44-997756320</t>
  </si>
  <si>
    <t>renato.marchiori@cvale.com.br</t>
  </si>
  <si>
    <t>NAYANE SARA DE SOUZA SILVA</t>
  </si>
  <si>
    <t>44-999414398</t>
  </si>
  <si>
    <t>MATEUS BEFFART</t>
  </si>
  <si>
    <t>77.863.223/0217-08</t>
  </si>
  <si>
    <t>C.Vale Cooperativa Agroindustrial - Corbélia, Av. Rio Grande do Sul - Corbélia, PR, 85420-000</t>
  </si>
  <si>
    <t>https://maps.app.goo.gl/9r1GbDD6LF9iufgs7</t>
  </si>
  <si>
    <t>LEONARDO SOSSAI GATTI</t>
  </si>
  <si>
    <t>44-988097225</t>
  </si>
  <si>
    <t>leonardo.gatti@cvale.com.br</t>
  </si>
  <si>
    <t>JOÃO PEDRO FERNANDES RODRIGUES</t>
  </si>
  <si>
    <t>GUSTAVO NOVAES LUIZ</t>
  </si>
  <si>
    <t>77.863.223/0104-12</t>
  </si>
  <si>
    <t>C.Vale - Und. Campina da Lagoa, Rod. PR239, s/n km1,5, Campina da Lagoa - PR, 87345-000</t>
  </si>
  <si>
    <t>https://maps.app.goo.gl/h1UcffiVRcDWS7j78</t>
  </si>
  <si>
    <t>MAURICIO RODRIGO PILCH</t>
  </si>
  <si>
    <t>41-998000451</t>
  </si>
  <si>
    <t>41-999800045</t>
  </si>
  <si>
    <t>mauricio.pilch@cvale.com.br</t>
  </si>
  <si>
    <t>EDUARDO DE OLIVEIRA DOS REIS</t>
  </si>
  <si>
    <t>KAUAN FERNANDO RIBAS DE FREITAS</t>
  </si>
  <si>
    <t>77.863.223/0020-70</t>
  </si>
  <si>
    <t>C.Vale, Rod. PR - 364, Km-26 - São José - Cx.P. 11, Terra Roxa - PR, 85990-000</t>
  </si>
  <si>
    <t>https://maps.app.goo.gl/hVuBQmv45xGntzLr6</t>
  </si>
  <si>
    <t>ROBSON RIEDI SILVA</t>
  </si>
  <si>
    <t>44-36861139</t>
  </si>
  <si>
    <t>44-998161280</t>
  </si>
  <si>
    <t>robson.silva@cvale.com.br</t>
  </si>
  <si>
    <t>MIGUEL LUIZ DA SILVA</t>
  </si>
  <si>
    <t>MARIA CLARA GOSSLER</t>
  </si>
  <si>
    <t>LEONARDO MARCELO VIOLA</t>
  </si>
  <si>
    <t>BEATRIZ RODRIGUES AVANCI</t>
  </si>
  <si>
    <t>NÁTHALLI MARTINS DE SOUZA</t>
  </si>
  <si>
    <t>EMANUELLY VITÓRIA DE OLIVEIRA</t>
  </si>
  <si>
    <t>79.863.569/0061-71</t>
  </si>
  <si>
    <t>Av. Macali, 1307, Marmeleiro - PR, 85615-000</t>
  </si>
  <si>
    <t>https://maps.app.goo.gl/T3stwYYDWjSX1rD56</t>
  </si>
  <si>
    <t>JULIANE THAIS RUDNICK</t>
  </si>
  <si>
    <t>46-999104503</t>
  </si>
  <si>
    <t>juliane.rudnick@coasul.com.br</t>
  </si>
  <si>
    <t>MARIA EDUARDA PIMENTEL</t>
  </si>
  <si>
    <t>00.993.264/0023-07</t>
  </si>
  <si>
    <t>Av. Ponta Grossa, 255, Mauá da Serra - PR, 86828-000</t>
  </si>
  <si>
    <t>https://maps.app.goo.gl/USjePtZ91eEfRrUH9</t>
  </si>
  <si>
    <t>RODRIGO DA SILVA VELHO</t>
  </si>
  <si>
    <t>43-34641291</t>
  </si>
  <si>
    <t>43-999592932</t>
  </si>
  <si>
    <t>rodrigo.velho@integrada.coop.br</t>
  </si>
  <si>
    <t>MARIA EDUARDA KMIECIK</t>
  </si>
  <si>
    <t>COOPERATIVA DE CREDITO - POUPANCA E INVESTIMENTO INTEGRACAO - SICREDI INTEGRACAO PR SC</t>
  </si>
  <si>
    <t>81.054.686/0003-67</t>
  </si>
  <si>
    <t>josenilda_radulski@sicredi.com.br</t>
  </si>
  <si>
    <t>CARLOS EDUARDO SOUZA GOMES</t>
  </si>
  <si>
    <t>00.993.264/0035-32</t>
  </si>
  <si>
    <t>Integrada Cooperativa Agroindustrial - UR Rancho Alegre d'Oeste, Zona Rural, 1, ESTRADA GLEBA, 15, Rancho Alegre D'Oeste - PR, 87365-000</t>
  </si>
  <si>
    <t>https://maps.app.goo.gl/gpF5KgiB3cq228UN6</t>
  </si>
  <si>
    <t>ROSILENI BONFANTE FERREIRA BORGO</t>
  </si>
  <si>
    <t>44-35561112</t>
  </si>
  <si>
    <t>44-999812071</t>
  </si>
  <si>
    <t>rosilene.bonfante@integrada.coop.br</t>
  </si>
  <si>
    <t>MARIA EDUARDA ZEPPE</t>
  </si>
  <si>
    <t>CVALE COOPERATIVA  AGROINDUSTRIAL</t>
  </si>
  <si>
    <t>77.863.223/0111-41</t>
  </si>
  <si>
    <t>LEONARDO HENRIQUE MALDONADO DA SILVA</t>
  </si>
  <si>
    <t>leonardo.henrique@cvale.com.br</t>
  </si>
  <si>
    <t>EVELYN GONÇALVES KOHL</t>
  </si>
  <si>
    <t>77.863.223/0175-06</t>
  </si>
  <si>
    <t>C.Vale - Und. Alto Piquiri, Av. Brasil, 451 - Centro, Alto Piquiri - PR, 87580-000</t>
  </si>
  <si>
    <t>https://maps.app.goo.gl/hzQiu69GKpv3H8SF6</t>
  </si>
  <si>
    <t>RENAN DAVANZO DOS ANJOS</t>
  </si>
  <si>
    <t>44-991067345</t>
  </si>
  <si>
    <t>renan.anjos@cvale.com.br</t>
  </si>
  <si>
    <t>MARIA RITA MAINKO PEREIRA</t>
  </si>
  <si>
    <t>77.863.223/0139-42</t>
  </si>
  <si>
    <t>R. Concórdia, 300 - Nova Cantu, PR, 87330-000</t>
  </si>
  <si>
    <t>https://maps.app.goo.gl/3axJWhgVgREx4wEJ6</t>
  </si>
  <si>
    <t>VIVERSON AUGUSTO JUNIOR</t>
  </si>
  <si>
    <t>44-988466422</t>
  </si>
  <si>
    <t>viverson.junior@cvale.com.br</t>
  </si>
  <si>
    <t>VITÓRIA CRISTINA GOMES DA SILVA</t>
  </si>
  <si>
    <t>77.863.223/0225-00</t>
  </si>
  <si>
    <t>R. Francisco João, 43 - Área industrial II, Nova Aurora - PR, 85410-000</t>
  </si>
  <si>
    <t>https://maps.app.goo.gl/5s2E1ZZ1vTAzXJrd7</t>
  </si>
  <si>
    <t>RUAN LUCAS TEIXEIRA MAMINHAQUI</t>
  </si>
  <si>
    <t>43-988163166</t>
  </si>
  <si>
    <t>ruan.maminhaqui@cvale.com.br</t>
  </si>
  <si>
    <t>SAMIRA RIBEIRO DE ANDRADE</t>
  </si>
  <si>
    <t>77.863.223/0059-23</t>
  </si>
  <si>
    <t>C.Vale - Paulistânia - Paulistânia, Alto Piquiri - PR, 87580-000</t>
  </si>
  <si>
    <t>https://maps.app.goo.gl/TG5pvXmTcdx9yURe9</t>
  </si>
  <si>
    <t>ELAINE BATISTA SOUZA</t>
  </si>
  <si>
    <t>45-991033392</t>
  </si>
  <si>
    <t>elaine.souza@cvale.com.br</t>
  </si>
  <si>
    <t>LUIS EDUARDO TEODORO RODRIGUES</t>
  </si>
  <si>
    <t>77.863.223/0091-63</t>
  </si>
  <si>
    <t>R. Osvaldo Cruz, 1541 - Guaíra, PR, 85980-000</t>
  </si>
  <si>
    <t>https://maps.app.goo.gl/uqYLfkA3mPcF1yZo7</t>
  </si>
  <si>
    <t>EDUARDO CANOSSA ALVES</t>
  </si>
  <si>
    <t>44-999183013</t>
  </si>
  <si>
    <t>eduardo.alves@cvale.com.br</t>
  </si>
  <si>
    <t>DAVI SAMUEL DELLALIBERA DOS SANTOS</t>
  </si>
  <si>
    <t>VADINEI KLETEMBERG HASSE</t>
  </si>
  <si>
    <t>46-999337005</t>
  </si>
  <si>
    <t>vadinei.hasse@coasul.com.br</t>
  </si>
  <si>
    <t>KAUAN RAFAEL BURATO</t>
  </si>
  <si>
    <t>79.863.569/0058-76</t>
  </si>
  <si>
    <t>Coasul - Entreposto de Marquinho, Marquinho - PR, 85168-000</t>
  </si>
  <si>
    <t>https://maps.app.goo.gl/3YRztLpec34ThCwJ9</t>
  </si>
  <si>
    <t>ISLAND GABRIEL KURPEL</t>
  </si>
  <si>
    <t>46-999273537</t>
  </si>
  <si>
    <t>island@coasul.com.br</t>
  </si>
  <si>
    <t>MARIA EDUARDA CUSNIER CAVALCANTE</t>
  </si>
  <si>
    <t>77.863.223/0102-50</t>
  </si>
  <si>
    <t>Cvale Cooperativa, Mamborê - PR, 87340-000</t>
  </si>
  <si>
    <t>https://maps.app.goo.gl/Hk554D68xePQYTym6</t>
  </si>
  <si>
    <t>RENATO BARDAN CAPELLI DO NASCIMENTO</t>
  </si>
  <si>
    <t>44-998024569</t>
  </si>
  <si>
    <t>renato.nascimento@cvale.com.br</t>
  </si>
  <si>
    <t>MARIA CLARA ANDRADE DE OLIVEIRA</t>
  </si>
  <si>
    <t>77.863.223/0105-01</t>
  </si>
  <si>
    <t>CVALE - Nova Cantu - Nova Cantu, PR</t>
  </si>
  <si>
    <t>https://maps.app.goo.gl/4xgbZGVJcKLjpN2K7</t>
  </si>
  <si>
    <t>IAN VICTOR SCODRO PEIXOTO</t>
  </si>
  <si>
    <t>77.863.223/0112-22</t>
  </si>
  <si>
    <t>C. Vale - Unidade Floresta Paraná, Rodovia Pr 317, Floresta - PR, 87120-000</t>
  </si>
  <si>
    <t>https://maps.app.goo.gl/GVhrDYZqXNFTjND88</t>
  </si>
  <si>
    <t>JULIANO CARAPUNARLA</t>
  </si>
  <si>
    <t>44-998289578</t>
  </si>
  <si>
    <t>juliano.carapunarla@cvale.com.br</t>
  </si>
  <si>
    <t>VITOR SAMUEL DA LUZ INÁCIO</t>
  </si>
  <si>
    <t>77.863.223/0131-95</t>
  </si>
  <si>
    <t>C.Vale - Jardim Alegre, Jardim Alegre - PR, 86860-000</t>
  </si>
  <si>
    <t>https://maps.app.goo.gl/adhpe1vJdgPpXWnM9</t>
  </si>
  <si>
    <t>TIAGO BLASZCZAK FELCHAK</t>
  </si>
  <si>
    <t>44-999589356</t>
  </si>
  <si>
    <t>tiago.felchak@cvale.com.br</t>
  </si>
  <si>
    <t>ISABELLI MOTA GRANADA</t>
  </si>
  <si>
    <t>00.993.264/0022-18</t>
  </si>
  <si>
    <t>R. São Jorge, 767, Mauá da Serra - PR, 86828-000</t>
  </si>
  <si>
    <t>https://maps.app.goo.gl/rkvyxcHBCViHqpHP9</t>
  </si>
  <si>
    <t>MARIA LUIZA AIRA MORIKAWA</t>
  </si>
  <si>
    <t>00.993.264/0004-36</t>
  </si>
  <si>
    <t>Integrada Cooperativa Agroindustrial - UR Assai, 3, PR-090, S/N - Zona Rural, Assaí - PR, 86220-000</t>
  </si>
  <si>
    <t>https://maps.app.goo.gl/wkLqdFoBmWQBkgUb9</t>
  </si>
  <si>
    <t>CRISTINA MIYAJIMA MUSSI</t>
  </si>
  <si>
    <t>43-32621246</t>
  </si>
  <si>
    <t>43-984485232</t>
  </si>
  <si>
    <t>CRISTINA.MUSSI@INTEGRADA.COOP.BR</t>
  </si>
  <si>
    <t>ANA HELENA FONSECA</t>
  </si>
  <si>
    <t>00.993.264/0054-03</t>
  </si>
  <si>
    <t>Santa Cecília do Pavão, Paraná, 86225-000</t>
  </si>
  <si>
    <t>https://maps.app.goo.gl/1FdgYJ8z2GQTdR24A</t>
  </si>
  <si>
    <t>GEISIANY RIBEIRO</t>
  </si>
  <si>
    <t>79.863.569/0070-62</t>
  </si>
  <si>
    <t>COASUL, entreposto de Catanduvas, Catanduvas - PR, 85470-000</t>
  </si>
  <si>
    <t>https://maps.app.goo.gl/nVMRJLNCMAJJVcSZA</t>
  </si>
  <si>
    <t>RUDIMAR SIQUEIRA MEDINA</t>
  </si>
  <si>
    <t>46-999068576</t>
  </si>
  <si>
    <t>rudimar.medina@coasul.com.br</t>
  </si>
  <si>
    <t>GABRIELY DOS SANTOS</t>
  </si>
  <si>
    <t>ELOISE VITÓRIA LUDIO</t>
  </si>
  <si>
    <t>77.863.223/0002-98</t>
  </si>
  <si>
    <t>C.Vale, Rua Corbélia, s/n, Maripá - PR, 85957-000</t>
  </si>
  <si>
    <t>https://maps.app.goo.gl/ExK3KBbSQT4smUzB7</t>
  </si>
  <si>
    <t>JEFERSON COUTINHO SENA</t>
  </si>
  <si>
    <t>67-998428543</t>
  </si>
  <si>
    <t>jeferson.sena@cvale.com.br</t>
  </si>
  <si>
    <t>THAIS FERNANDA DOS SANTOS GONÇALVES</t>
  </si>
  <si>
    <t>DJENEFER GEOVANA MORAIS DE OLIVIERA</t>
  </si>
  <si>
    <t>77.863.223/0113-03</t>
  </si>
  <si>
    <t>C.Vale - São Jorge do Ivaí PR - São Jorge do Ivaí, PR, 87190-000</t>
  </si>
  <si>
    <t>https://maps.app.goo.gl/2uQVZgrvn2WTN3u1A</t>
  </si>
  <si>
    <t>JANE DUCILEIA SALA COVALTCHUK</t>
  </si>
  <si>
    <t>44-32431404</t>
  </si>
  <si>
    <t>jane.covaltchuk@cvale.com.br</t>
  </si>
  <si>
    <t>BEATRIZ LAUTENSCHLAGER SILVA</t>
  </si>
  <si>
    <t>44-988093030</t>
  </si>
  <si>
    <t>ANA ISABELY SEMIGUEN RIBEIRO</t>
  </si>
  <si>
    <t>77.863.223/0100-99</t>
  </si>
  <si>
    <t>C.Vale, Av. São Pedro, 146 - Roncador, PR, 87320-000</t>
  </si>
  <si>
    <t>https://maps.app.goo.gl/wf9BPEQb2VKyMqMw8</t>
  </si>
  <si>
    <t>DANILO AUGUSTO DOS SANTOS</t>
  </si>
  <si>
    <t>44-998137815</t>
  </si>
  <si>
    <t>danilo.santos@cvale.com.br</t>
  </si>
  <si>
    <t>ESTEVÃO SOARES MARTINS</t>
  </si>
  <si>
    <t>MISLEY VITTI</t>
  </si>
  <si>
    <t>77.863.223/0101-70</t>
  </si>
  <si>
    <t>C Vale - Quinta do Sol, Rodovia PR 082, Km 04, S/n Zona Rural, Q.ta do Sol - PR, 87265-000</t>
  </si>
  <si>
    <t>https://maps.app.goo.gl/RZTGBvDacgL32tY97</t>
  </si>
  <si>
    <t>JOHNATAN COELHO BONFIM</t>
  </si>
  <si>
    <t>43-998366966</t>
  </si>
  <si>
    <t>johnatan.bonfim@cvale.com.br</t>
  </si>
  <si>
    <t>ISABELLY MENEGOTTO</t>
  </si>
  <si>
    <t>77.863.223/0222-67</t>
  </si>
  <si>
    <t>C.Vale - Unid. Tupãssi, Av. Valê do Piquiri - CENTRO, Tupãssi - PR, 85945-970</t>
  </si>
  <si>
    <t>https://maps.app.goo.gl/2tUQvTQNQ765i5MNA</t>
  </si>
  <si>
    <t>GABRIEL AUGUSTO PAIVA BARBOSA</t>
  </si>
  <si>
    <t>61-992997925</t>
  </si>
  <si>
    <t>gabriel.barbosa@cvale.com.br</t>
  </si>
  <si>
    <t>TAINÁ CRISTINA DA SILVA</t>
  </si>
  <si>
    <t>79.114.450/0250-79</t>
  </si>
  <si>
    <t>Cocamar - Unidade Porecatu, R. Sidnei Ninno, 289, Porecatu - PR, 86160-000</t>
  </si>
  <si>
    <t>https://maps.app.goo.gl/979TZKAsb1fBgdtT9</t>
  </si>
  <si>
    <t>THALES HENRIQUE PIZZA SANTANA</t>
  </si>
  <si>
    <t>44-999034215</t>
  </si>
  <si>
    <t>thales.santana@cocamar.com.br</t>
  </si>
  <si>
    <t>FABIO SCHIMIDT DE MOURA</t>
  </si>
  <si>
    <t>42-999680407</t>
  </si>
  <si>
    <t>lkauangatto@coamo.com.br</t>
  </si>
  <si>
    <t>JOÃO LUCAS LIMA DA SILVA</t>
  </si>
  <si>
    <t>00.993.264/0062-05</t>
  </si>
  <si>
    <t>Integrada Cooperativa Agroindustrial - UR Congonhinhas, Zona Rural, 96, PR-160, S/N, Congonhinhas - PR, 86050-902</t>
  </si>
  <si>
    <t>https://maps.app.goo.gl/BvNx9sQiisGWhg3c8</t>
  </si>
  <si>
    <t>DIEGO DE MORAIS SILVEIRA</t>
  </si>
  <si>
    <t>43-31423696</t>
  </si>
  <si>
    <t>43-984041570</t>
  </si>
  <si>
    <t>DIEGO.SILVEIRA@INTEGRADA.COOP.BR</t>
  </si>
  <si>
    <t>ALICE SUIANE DA SILVA</t>
  </si>
  <si>
    <t>00.993.264/0052-33</t>
  </si>
  <si>
    <t>Integrada Cooperativa Agroindustrial - UR Santa Mariana, 70, ROD. MELLO PEIXOTO, S/N, Santa Mariana - PR, 86350-000</t>
  </si>
  <si>
    <t>https://maps.app.goo.gl/YuwW8asLna3YpK4y6</t>
  </si>
  <si>
    <t>CICERO NUNES DA MATA</t>
  </si>
  <si>
    <t>43-999092495</t>
  </si>
  <si>
    <t>cicero.mata@integrada.coop.br</t>
  </si>
  <si>
    <t>EMILY CASSIANE COSTA DE SOUZA</t>
  </si>
  <si>
    <t>https://maps.app.goo.gl/Pu7Y3gjNnNSieZrJA</t>
  </si>
  <si>
    <t>THIAGO FERNANDES</t>
  </si>
  <si>
    <t>https://maps.app.goo.gl/mmE9M5GttifMzNW69</t>
  </si>
  <si>
    <t>44-998010912</t>
  </si>
  <si>
    <t>RENATA HAWRYLUK KAMINSKI</t>
  </si>
  <si>
    <t>JOÃO VICTTOR OLIVEIRA FERREIRA</t>
  </si>
  <si>
    <t>VALDIR XAVIER DE OLIVEIRA</t>
  </si>
  <si>
    <t>IGOR XAVIER DOS SANTOS</t>
  </si>
  <si>
    <t>75.904.383/0058-67</t>
  </si>
  <si>
    <t>BR-487, 197 - Jardim Lar Parana, Campo Mourão - PR, 87301-450</t>
  </si>
  <si>
    <t>https://maps.app.goo.gl/Anrbkq3ubMj7Uchc9</t>
  </si>
  <si>
    <t>44-999400304</t>
  </si>
  <si>
    <t>LÍVIA FERREIRA PEREIRA</t>
  </si>
  <si>
    <t>LEONARDO PRADO GOMES FLAVIO</t>
  </si>
  <si>
    <t>ISABELA TONIETTI</t>
  </si>
  <si>
    <t>00.993.264/0014-08</t>
  </si>
  <si>
    <t>Integrada Cooperativa Agroindustrial - UR Floresta, Gleba Caxias, 25, PR-317, Floresta - PR, 87185-000</t>
  </si>
  <si>
    <t>https://maps.app.goo.gl/Bkp4xhLHoAKxob5v6</t>
  </si>
  <si>
    <t>DORIVAL SOARES DOS SANTOS</t>
  </si>
  <si>
    <t>44-999314597</t>
  </si>
  <si>
    <t>dorival.soares@integrada.coop.br</t>
  </si>
  <si>
    <t>RAUL HENRIQUE DA SILVA</t>
  </si>
  <si>
    <t>75.904.383/0197-36</t>
  </si>
  <si>
    <t>Coamo - Unid. Rancho Alegre do Oeste, Rancho Alegre D'Oeste - PR, 87395-000</t>
  </si>
  <si>
    <t>https://maps.app.goo.gl/vFqnas4phNm9tXeK6</t>
  </si>
  <si>
    <t>ELIELTON ROCHA</t>
  </si>
  <si>
    <t>44-35561015</t>
  </si>
  <si>
    <t>44-999780492</t>
  </si>
  <si>
    <t>erocha@coamo.com.br</t>
  </si>
  <si>
    <t>GUILHERME NALIN PEREIRA</t>
  </si>
  <si>
    <t>LEONARDO WIEDMANN</t>
  </si>
  <si>
    <t>HELOISY CRISTINA MARTINS</t>
  </si>
  <si>
    <t>ANDERSON ZOIN DA SILVA</t>
  </si>
  <si>
    <t>44-35631025</t>
  </si>
  <si>
    <t>44-997710540</t>
  </si>
  <si>
    <t>AZSILVA@COAMO.COM.BR</t>
  </si>
  <si>
    <t>GUILHERME SILVA KNUPP</t>
  </si>
  <si>
    <t>44-998291581</t>
  </si>
  <si>
    <t>HELLEN GABRIELI CARVALHO DA SILVA</t>
  </si>
  <si>
    <t>JOÃO MARCOS DA SILVA</t>
  </si>
  <si>
    <t>MILLENY RIBEIRO KORCHUVEI</t>
  </si>
  <si>
    <t>dpanosso@coamo.com.br</t>
  </si>
  <si>
    <t>GUSTAVO FREITAS DE OLIVEIRA</t>
  </si>
  <si>
    <t>EDUARDA ALVES PEREIRA</t>
  </si>
  <si>
    <t>75.904.383/0023-37</t>
  </si>
  <si>
    <t>Av. República Argentina, 633 - Centro, Barbosa Ferraz - PR, 86960-000</t>
  </si>
  <si>
    <t>https://maps.app.goo.gl/xx1jiw73AqQTmXB59</t>
  </si>
  <si>
    <t>VALDEMIR SCHUINDT</t>
  </si>
  <si>
    <t>43-999734660</t>
  </si>
  <si>
    <t>vaschuindt@coamo.com.br</t>
  </si>
  <si>
    <t>VICTÓRIA POHLMANN MIQUELANTI</t>
  </si>
  <si>
    <t>PEDRO HENRIQUE DE PAULO BORGES</t>
  </si>
  <si>
    <t>alantunes@coamo.com.br</t>
  </si>
  <si>
    <t>ELOISA MONSAO DE SOUZA</t>
  </si>
  <si>
    <t>75.904.383/0193-02</t>
  </si>
  <si>
    <t>Coamo (Unidade Arapuã), Arapuã - PR, 86884-000</t>
  </si>
  <si>
    <t>https://maps.app.goo.gl/ASZpwVYXdXGPRf667</t>
  </si>
  <si>
    <t>ISRAEL CAMPOS BERNARDES</t>
  </si>
  <si>
    <t>44-999796816</t>
  </si>
  <si>
    <t>bernardes@coamo.com.br</t>
  </si>
  <si>
    <t>GABRIELA DAMAZIO</t>
  </si>
  <si>
    <t>COOPERATIVA AGRARIA AGROINDUSTRIAL</t>
  </si>
  <si>
    <t>77.890.846/0002-50</t>
  </si>
  <si>
    <t>Agrária Cooperativa Agroindustrial - Entreposto Pinhão, Rod Pr 459, Km 18, S/N, Dois Pinheiros, CEP 85170-000 - Dois Pinheiros, Pinhão - PR, 85170-000</t>
  </si>
  <si>
    <t>https://maps.app.goo.gl/SKMnoqyznWoM3WF69</t>
  </si>
  <si>
    <t>THIAGO FRANCISCO DE ALMEIDA</t>
  </si>
  <si>
    <t>42-36258349</t>
  </si>
  <si>
    <t>42-999421130</t>
  </si>
  <si>
    <t>thiago.almeida@agraria.com.br</t>
  </si>
  <si>
    <t>ANA BEATRIZ OLIVEIRA PALERMO DE SOUZA</t>
  </si>
  <si>
    <t>ISABELI PORTALUPPI</t>
  </si>
  <si>
    <t>75.904.383/0072-15</t>
  </si>
  <si>
    <t>Coamo - Tupãssi, Rua Vinte e Quatro de Julho, s/n - Centro, Tupãssi - PR, 85945-000</t>
  </si>
  <si>
    <t>https://maps.app.goo.gl/ceLYfhAyoc3PuGrq8</t>
  </si>
  <si>
    <t>44-35441340</t>
  </si>
  <si>
    <t>IFCOSTA@COAMO.COM.BR</t>
  </si>
  <si>
    <t>JÚLIA AUGUSTI CAMOZZATO DOS SANTOS</t>
  </si>
  <si>
    <t>VITOR GABRIEL TAVARES</t>
  </si>
  <si>
    <t>EMANUELI PEREIRA ARESNEKA</t>
  </si>
  <si>
    <t>JOÃO VITOR PIVA CAMARGO</t>
  </si>
  <si>
    <t>75.904.383/0107-80</t>
  </si>
  <si>
    <t>Coamo Agroindustrial Cooperativa, R. João J Zatar, 257 - Pinhão, PR, 85170-000</t>
  </si>
  <si>
    <t>https://maps.app.goo.gl/FHSot3qC8bFaZUDw7</t>
  </si>
  <si>
    <t>JONATHAN CESAR RICKEN</t>
  </si>
  <si>
    <t>42-36771212</t>
  </si>
  <si>
    <t>43-999168841</t>
  </si>
  <si>
    <t>jricken@coamo.com.br</t>
  </si>
  <si>
    <t>ANA VITÓRIA HINTZ DA SILVA RIBAS</t>
  </si>
  <si>
    <t>MELISSA ROSÁRIO DE MATOS</t>
  </si>
  <si>
    <t>MSFILHO@COAMO.COM.BR</t>
  </si>
  <si>
    <t>MARIA HELENA BORGES SANTOS</t>
  </si>
  <si>
    <t>VITÓRIA LAURA ORTOLAN</t>
  </si>
  <si>
    <t>ebertoldo@coamo.com.br</t>
  </si>
  <si>
    <t>MONIKA GABRIELA DE FREITAS</t>
  </si>
  <si>
    <t>KAIKY VIEIRA PRÉCOMA</t>
  </si>
  <si>
    <t>79.114.450/0172-11</t>
  </si>
  <si>
    <t>Cocamar - Unidade São Jerônimo da Serra, Rua D, Lote 45, 46 e 46A, s/n, São Jerônimo da Serra - PR, 86270-000</t>
  </si>
  <si>
    <t>https://maps.app.goo.gl/7i3a22gHFdyzDkne8</t>
  </si>
  <si>
    <t>PATRICIA SAMPAIO DE SANTANA</t>
  </si>
  <si>
    <t>43-33057093</t>
  </si>
  <si>
    <t>43-991627553</t>
  </si>
  <si>
    <t>PATRICIA.SANTANA@COCAMAR.COM.BR</t>
  </si>
  <si>
    <t>PEDRO HENRIQUE DA SILVA FERNANDES</t>
  </si>
  <si>
    <t>gabrielly.janz@integrada.coop.br</t>
  </si>
  <si>
    <t>ANA CECILIA DO AMARAL SILVA AMADEI</t>
  </si>
  <si>
    <t>JOÃO PEDRO DA SILVA RIBEIRO</t>
  </si>
  <si>
    <t>LUANA CRISTINA KOVALSKI DA SILVA DE LIMA</t>
  </si>
  <si>
    <t>ELOISA REGINA HARTMANN DOS SANTOS</t>
  </si>
  <si>
    <t>NÁTALY TRAUTHMANN</t>
  </si>
  <si>
    <t>75.904.383/0227-96</t>
  </si>
  <si>
    <t>https://maps.app.goo.gl/cqdJBUm4qeGD5qS2A</t>
  </si>
  <si>
    <t>ANA PAULA FIGUEIRO BAROSSI TEIXEIRA</t>
  </si>
  <si>
    <t>46-999135852</t>
  </si>
  <si>
    <t>ateixeira@coamo.com.br</t>
  </si>
  <si>
    <t>JENIFFER SOUZA SIOTTI</t>
  </si>
  <si>
    <t>R. Hugo Viêira, 240 - Zona Urbana, Mangueirinha - PR, 85540-000</t>
  </si>
  <si>
    <t>https://maps.app.goo.gl/gVCTBR71e6743acN8</t>
  </si>
  <si>
    <t>46-999141524</t>
  </si>
  <si>
    <t>BRENDA APARECIDA CARVALHO</t>
  </si>
  <si>
    <t>79.863.569/0033-18</t>
  </si>
  <si>
    <t>LIGAR PARA EMPRESA</t>
  </si>
  <si>
    <t xml:space="preserve">END NAO ENCONTRADO </t>
  </si>
  <si>
    <t>TIAGO REINERI</t>
  </si>
  <si>
    <t>46-35351867</t>
  </si>
  <si>
    <t>46-999151897</t>
  </si>
  <si>
    <t>tiago.reineri@coasul.com.br</t>
  </si>
  <si>
    <t>FABIO DE ANDRADE RODRIGUES</t>
  </si>
  <si>
    <t>75.904.383/0261-98</t>
  </si>
  <si>
    <t>https://maps.app.goo.gl/eyWNnGjALs5ag7949</t>
  </si>
  <si>
    <t>44-999809390</t>
  </si>
  <si>
    <t>VINICIUS MARTINS DE MELO</t>
  </si>
  <si>
    <t>VITÓRIA DOMINGOS LAGO</t>
  </si>
  <si>
    <t>ANDRE PEREIRA DUARTE JUNIOR</t>
  </si>
  <si>
    <t>79.114.450/0183-74</t>
  </si>
  <si>
    <t>Cocamar - Unidade Assaí, PR-090, S N - KM 335 Lot 234-A - Assaí, PR, 86220-000</t>
  </si>
  <si>
    <t>https://maps.app.goo.gl/EzxbkAQ1YxXe6Mwu6</t>
  </si>
  <si>
    <t>DÉBORA MARÇAL CRUZ</t>
  </si>
  <si>
    <t>43-32624388</t>
  </si>
  <si>
    <t>43-996545559</t>
  </si>
  <si>
    <t>debora.marcal@cocamar.com.br</t>
  </si>
  <si>
    <t>ALEF SEIJI FUJIHARA</t>
  </si>
  <si>
    <t>43-33057092</t>
  </si>
  <si>
    <t>DANIELLI APARECIDA BATISTA</t>
  </si>
  <si>
    <t>JOSÉ CARLOS MARTINS</t>
  </si>
  <si>
    <t>45-999660273</t>
  </si>
  <si>
    <t>EDUARDA VALENSKI</t>
  </si>
  <si>
    <t>LETICIA DA SILVA SANTOS</t>
  </si>
  <si>
    <t>79.114.450/0148-91</t>
  </si>
  <si>
    <t>Cocamar - Unidade Tapira, Tapira - PR, 87830-000</t>
  </si>
  <si>
    <t>https://maps.app.goo.gl/32cgmbfPJXJfig7Y7</t>
  </si>
  <si>
    <t>HERIKA MONICA DOS SANTOS SILVA</t>
  </si>
  <si>
    <t>44-36791000</t>
  </si>
  <si>
    <t>44-991179331</t>
  </si>
  <si>
    <t>herika.silva@cocamar.com.br</t>
  </si>
  <si>
    <t>KARINA LORENA DOS SANTOS</t>
  </si>
  <si>
    <t>79.114.450/0020-28</t>
  </si>
  <si>
    <t>Cocamar - Unidade Floraí, R. Rui Barbosa, 292 - Vila Juriti, Floraí - PR, 87185-000</t>
  </si>
  <si>
    <t>https://maps.app.goo.gl/eGBSKH9Wy79oZ98S7</t>
  </si>
  <si>
    <t>LETICIA MARIA DA SILVA</t>
  </si>
  <si>
    <t>67-998266122</t>
  </si>
  <si>
    <t>leticia.maria@cocamar.com.br</t>
  </si>
  <si>
    <t>HEMILLY MARIA RODRIGUES DA SILVA</t>
  </si>
  <si>
    <t>AIRTON PEREIRA DE ARAUJO</t>
  </si>
  <si>
    <t>HELOIZA BOLDORI</t>
  </si>
  <si>
    <t>79.863.569/0029-31</t>
  </si>
  <si>
    <t>Coasul - Entreposto de Enéas Marques, Rodovia PR 471, Km 01, SN - Parque Industrial, Enéas Marques - PR, 85630-000</t>
  </si>
  <si>
    <t>https://maps.app.goo.gl/YNERSVS1BiX93sHn7</t>
  </si>
  <si>
    <t>EDUARDO HARTMANN</t>
  </si>
  <si>
    <t>46-35441654</t>
  </si>
  <si>
    <t>46-999037004</t>
  </si>
  <si>
    <t>eduardo.h@coasul.com.br</t>
  </si>
  <si>
    <t>BIANCA MARCANTE TELMANN</t>
  </si>
  <si>
    <t>79.863.569/0025-08</t>
  </si>
  <si>
    <t>Av. Vilson Conte, 124 - Centro, Bom Sucesso do Sul - PR, 85515-000</t>
  </si>
  <si>
    <t>https://maps.app.goo.gl/C2dWE9Rbr7DiZVuq6</t>
  </si>
  <si>
    <t>ELTON LUIZ JOHANN</t>
  </si>
  <si>
    <t>46-32341107</t>
  </si>
  <si>
    <t>46-999198672</t>
  </si>
  <si>
    <t>elton@coasul.com.br</t>
  </si>
  <si>
    <t>ANA CAROLINA DA SILVA AGUIAR</t>
  </si>
  <si>
    <t>00.993.264/0044-23</t>
  </si>
  <si>
    <t>Integrada Cooperativa Agroindustrial - UR Itambaracá, ROD PR 512, S/N - CENTRO, Itambaracá - PR, 86370-000</t>
  </si>
  <si>
    <t>https://maps.app.goo.gl/7aKMgiszDekWBTTs9</t>
  </si>
  <si>
    <t>JULLIANA KARINE FERRARI</t>
  </si>
  <si>
    <t>43-35431344</t>
  </si>
  <si>
    <t>43-988003542</t>
  </si>
  <si>
    <t>julliana.ferrari@integrada.coop.br</t>
  </si>
  <si>
    <t>EMILY GEOVANA DE LIMA DA SILVA</t>
  </si>
  <si>
    <t>00.993.264/0059-00</t>
  </si>
  <si>
    <t>Integrada Cooperativa Agroindustrial - UR Ribeirão do Pinhal, PR-436, S/N - Ribeirão do Pinhal, PR, 86390-000</t>
  </si>
  <si>
    <t>https://maps.app.goo.gl/AVdWSfd7DKCbLwq26</t>
  </si>
  <si>
    <t>JOAO PAULO DIAS RODRIGUES</t>
  </si>
  <si>
    <t>43-35518000</t>
  </si>
  <si>
    <t>43-998269446</t>
  </si>
  <si>
    <t>joao.dias@integrada.coop.br</t>
  </si>
  <si>
    <t>VITOR HUGO DA SILVA OLIVEIRA</t>
  </si>
  <si>
    <t>44-35751294</t>
  </si>
  <si>
    <t>JÚLIA ELOISA CANTON</t>
  </si>
  <si>
    <t>79.863.569/0024-27</t>
  </si>
  <si>
    <t>Coasul - Entreposto de Renascença, Rod Pr 280, km 249, S/N - Rodovia, Renascença - PR, 85610-000</t>
  </si>
  <si>
    <t>https://maps.app.goo.gl/8BWvRvri8F9qm83K7</t>
  </si>
  <si>
    <t>JULIANO GARDEL SALVADENGO</t>
  </si>
  <si>
    <t>46-25201497</t>
  </si>
  <si>
    <t>46-991092023</t>
  </si>
  <si>
    <t>gardel@coasul.com.br</t>
  </si>
  <si>
    <t>KAMILLY CIPRIANO SANCHES</t>
  </si>
  <si>
    <t>ALCEU RETCHESKI</t>
  </si>
  <si>
    <t>aretecheski@coamo.com.br</t>
  </si>
  <si>
    <t>EDUARDO ZAKALUK VIEIRA</t>
  </si>
  <si>
    <t>75.904.383/0196-55</t>
  </si>
  <si>
    <t>https://maps.app.goo.gl/Hq95h9r6XWDMX6Jn7</t>
  </si>
  <si>
    <t>WILLIAN ANDRE BLASIUS RIBERIO</t>
  </si>
  <si>
    <t>BRUNO LEVY DE MIRANDA TEIXEIRA</t>
  </si>
  <si>
    <t>MARCOS VINICIUS RUIZ DA SILVA</t>
  </si>
  <si>
    <t>43-34281695</t>
  </si>
  <si>
    <t>KEMILLY RAIANE CONRADO ARRIGONI</t>
  </si>
  <si>
    <t>79.114.450/0272-84</t>
  </si>
  <si>
    <t>cocamar, Pérola - PR, 87540-000</t>
  </si>
  <si>
    <t>https://maps.app.goo.gl/gQLuPv9fqj2ADr2o7</t>
  </si>
  <si>
    <t>HELOISA AMANDA GIL MOREIRA</t>
  </si>
  <si>
    <t>44-31521626</t>
  </si>
  <si>
    <t>44-999859211</t>
  </si>
  <si>
    <t>heloisa.gil@cocamar.com.br</t>
  </si>
  <si>
    <t>GLORIA MARIA MARINHO LIMA</t>
  </si>
  <si>
    <t>FERNANDA DE SOUSA</t>
  </si>
  <si>
    <t>44-988352251</t>
  </si>
  <si>
    <t>fernanda.sousa@cocamar.com.br</t>
  </si>
  <si>
    <t>GABRIEL DEMETRIO</t>
  </si>
  <si>
    <t>JANAYNNA NAYUMI DE CARLI</t>
  </si>
  <si>
    <t>46-32421707</t>
  </si>
  <si>
    <t>financeiro@cerealistadecarli.com.br</t>
  </si>
  <si>
    <t>MATHEUS EDUARDO CAMPOS BONFIM</t>
  </si>
  <si>
    <t>44-35218300</t>
  </si>
  <si>
    <t>GOIOERE.CNH@EQUAGRIL.COM.BR</t>
  </si>
  <si>
    <t>KEVIN GABRIEL SOARES</t>
  </si>
  <si>
    <t>Leonardo Schemberger dos Santos</t>
  </si>
  <si>
    <t>MAYRA GABRIELLI BRIZOTTO TEIXEIRA</t>
  </si>
  <si>
    <t>JULIANA ZANETI DE OLIVEIRA</t>
  </si>
  <si>
    <t>49-98235128</t>
  </si>
  <si>
    <t>santafe@farmaciassaojoao.com.br</t>
  </si>
  <si>
    <t>DAIELLY DA SILVA</t>
  </si>
  <si>
    <t>MURILLO DUARTE DE LIMA</t>
  </si>
  <si>
    <t>BELAGRICOLA COMERCIO E REPRESENTAÇÕES DE PRODUTOS AGRÍCOLAS SA</t>
  </si>
  <si>
    <t>79.038.097/0012-34</t>
  </si>
  <si>
    <t>Av. Rio de Janeiro, 1550 - Assaí, PR, 86220-000</t>
  </si>
  <si>
    <t>https://maps.app.goo.gl/HczfTU2KqRt4idjs8</t>
  </si>
  <si>
    <t>DIEGO DE GOUVEIA</t>
  </si>
  <si>
    <t>43-999182940</t>
  </si>
  <si>
    <t>diegoassai@belagricola.com.br</t>
  </si>
  <si>
    <t>ANDERSON KAUAN SOUZA BARBOSA</t>
  </si>
  <si>
    <t>LEANDRO BIANCHINI BURANELLO</t>
  </si>
  <si>
    <t>43-33980320</t>
  </si>
  <si>
    <t>43-991035082</t>
  </si>
  <si>
    <t>leandro.buranello@belagricola.com.br</t>
  </si>
  <si>
    <t>EDUARDO HENRIQUE DE OLIVEIRA</t>
  </si>
  <si>
    <t>MATEUS AUGUSTO MORAES ROSA</t>
  </si>
  <si>
    <t>rhayellepolizel01@gmail.com</t>
  </si>
  <si>
    <t>HELENA BEATRIZ FRANCO</t>
  </si>
  <si>
    <t>belavistadoparaiso@farmaciassaojoao.com.br</t>
  </si>
  <si>
    <t>EMILY NICOLLE JUSTINO HEIDRICK</t>
  </si>
  <si>
    <t>44-991853521</t>
  </si>
  <si>
    <t>ALLANA GONÇALVES GIMENES AUGUSTO</t>
  </si>
  <si>
    <t>BEATRIZ MARIANA RAMOS MOURA</t>
  </si>
  <si>
    <t>44-998281550</t>
  </si>
  <si>
    <t>ASTORGA@FARMACIASSAOJOAO.COM.BR</t>
  </si>
  <si>
    <t>LAIS CRISTINY MORAIS DA SILVA</t>
  </si>
  <si>
    <t>44-998861705</t>
  </si>
  <si>
    <t>elienedarwin123@gmail.com</t>
  </si>
  <si>
    <t>CHRYSTIAN DANIEL OLIVEIRA</t>
  </si>
  <si>
    <t>89.848.543/0856-52</t>
  </si>
  <si>
    <t>Praça Pedro Alzide Giraldi., Praça São Pedro, 972 - Centro, Quedas do Iguaçu - PR, 85460-000</t>
  </si>
  <si>
    <t>https://maps.app.goo.gl/oAK15v6XXJoq5F6H8</t>
  </si>
  <si>
    <t>ELIANE APARECIDA FERREIRA</t>
  </si>
  <si>
    <t>45-984332131</t>
  </si>
  <si>
    <t>elianef@colombo.com.br</t>
  </si>
  <si>
    <t>LUIS FELIPE DOS SANTOS</t>
  </si>
  <si>
    <t>Rodrigo Mosoli Bento</t>
  </si>
  <si>
    <t>44-997603441</t>
  </si>
  <si>
    <t>ssp.1961@outlook.com</t>
  </si>
  <si>
    <t>ADRIANO JUNIOR NUNES DE PAULA</t>
  </si>
  <si>
    <t>45-998108163</t>
  </si>
  <si>
    <t>DÉBORA APARECIDA MACHADO MARTINS</t>
  </si>
  <si>
    <t>GESSICA APARECIDA PRUDENTE PENTEADO</t>
  </si>
  <si>
    <t>42-36773656</t>
  </si>
  <si>
    <t>gessicaprudente@gmail.com</t>
  </si>
  <si>
    <t>ANA JULYA DA SILVA COSTA</t>
  </si>
  <si>
    <t>43-32428706</t>
  </si>
  <si>
    <t>GUSTAVO HENRIQUE PASSOS DE SOUZA</t>
  </si>
  <si>
    <t>FABIOLA BRUSAMARELLO KLOCZKO</t>
  </si>
  <si>
    <t>42-63771383</t>
  </si>
  <si>
    <t>MARCELLA TURRA DE QUADROS</t>
  </si>
  <si>
    <t>88.212.113/1447-99</t>
  </si>
  <si>
    <t>Av. Generoso Marques, 554 - Cel. Vivida, PR, 85550-000</t>
  </si>
  <si>
    <t>https://maps.app.goo.gl/qxd3tvi9ohULovZs9</t>
  </si>
  <si>
    <t>ALEX SANDER PACHECO DELFIM</t>
  </si>
  <si>
    <t>ALEXDELFIM@FARMACIASSAOJOAO.COM.BR</t>
  </si>
  <si>
    <t>LIRIAN DOS SANTOS MARTINS</t>
  </si>
  <si>
    <t>75.274.423/0009-56</t>
  </si>
  <si>
    <t>R. Dom Pedro II, 55 - Centro, Jardim Alegre - PR, 86860-000</t>
  </si>
  <si>
    <t xml:space="preserve">https://maps.app.goo.gl/U7X5BmXh9pF6ohdHA </t>
  </si>
  <si>
    <t>ROSANGELA ANTONIA GUSMAO LEAL</t>
  </si>
  <si>
    <t>43-34751484</t>
  </si>
  <si>
    <t>43-996102520</t>
  </si>
  <si>
    <t>financeiro.jardim@comercialivaipora.com.br</t>
  </si>
  <si>
    <t>ILANA GABRIELLY IAREK</t>
  </si>
  <si>
    <t>Rufino Eduardo da Silva</t>
  </si>
  <si>
    <t>41-36231629</t>
  </si>
  <si>
    <t>54-999166294</t>
  </si>
  <si>
    <t>rufino-eduardo-silva@outlook.com</t>
  </si>
  <si>
    <t>ELTON DAVI MACHADO</t>
  </si>
  <si>
    <t>LIPINSKI E CIA LTDA</t>
  </si>
  <si>
    <t>03.294.213/0001-61</t>
  </si>
  <si>
    <t>Av. Presidente Getúlio Vargas, 510-400 - Cruz Machado, PR, 84620-000</t>
  </si>
  <si>
    <t>https://maps.app.goo.gl/dQzPTH9HKGSHKUTn7</t>
  </si>
  <si>
    <t>INES VITORIA LIPINSKI</t>
  </si>
  <si>
    <t>42-35541239</t>
  </si>
  <si>
    <t>42-999488417</t>
  </si>
  <si>
    <t>lipinskilipinski@yahoo.com.br</t>
  </si>
  <si>
    <t>75.274.423/0032-03</t>
  </si>
  <si>
    <t>DOUGLAS JOSLIN</t>
  </si>
  <si>
    <t>42-32761892</t>
  </si>
  <si>
    <t>41-996317694</t>
  </si>
  <si>
    <t>89.848.543/0883-25</t>
  </si>
  <si>
    <t>https://maps.app.goo.gl/gfvwJW47GEjxVBL26</t>
  </si>
  <si>
    <t xml:space="preserve">SUELEN </t>
  </si>
  <si>
    <t>Ao visitar, analisar desvio de função (montagem de biscicleta)</t>
  </si>
  <si>
    <t>GUILHERME DOS SANTOS SILVA</t>
  </si>
  <si>
    <t>R. Osvaldo Cruz, 1330 - Centro, Guaíra - PR, 85980-000	https://maps.app.goo.gl/2QayW4gLU2jNx6rx5</t>
  </si>
  <si>
    <t>LUCAS GABRIEL FURLANETTO</t>
  </si>
  <si>
    <t>08.917.832/0001-89</t>
  </si>
  <si>
    <t>Av. Pres. Getúlio Vargas - Pitanga, PR, 85200-000</t>
  </si>
  <si>
    <t>https://maps.app.goo.gl/XABPcy4C85QPy7247</t>
  </si>
  <si>
    <t>ANDREIA MANCHUR</t>
  </si>
  <si>
    <t>42-988320460</t>
  </si>
  <si>
    <t>andreiamanchur3@gamil.com</t>
  </si>
  <si>
    <t>LETICIA MELO ROVANI</t>
  </si>
  <si>
    <t>TAYNARA PUGIN</t>
  </si>
  <si>
    <t>44-997227193</t>
  </si>
  <si>
    <t>TAYNARAPUGIN9@GMAIL.COM</t>
  </si>
  <si>
    <t>ANNA RITA DE ANDRADE SILVA</t>
  </si>
  <si>
    <t>MARIA ISADORA DE SOUZA ORMUNDO</t>
  </si>
  <si>
    <t>ADRIANA DE SANTANA BESERRA</t>
  </si>
  <si>
    <t>gerente167@colombo.com.br</t>
  </si>
  <si>
    <t>EMANUEL FRANCIO RODRIGUES</t>
  </si>
  <si>
    <t>MATHEUS FELIPE DE QUEIROZ</t>
  </si>
  <si>
    <t>staterezdeitaipu@farmaciassaojoao.com.br</t>
  </si>
  <si>
    <t>43-35571477</t>
  </si>
  <si>
    <t>IASMIN PINHEIRO DE BARROS</t>
  </si>
  <si>
    <t>JESSICA REGINA WINCK</t>
  </si>
  <si>
    <t>46-999354337</t>
  </si>
  <si>
    <t>46-991410442</t>
  </si>
  <si>
    <t>realeza@farmaciassaojoao.com.br</t>
  </si>
  <si>
    <t>RAFAEL JOSÉ FERREIRA DA CRUZ</t>
  </si>
  <si>
    <t>Joao Renato da Silva</t>
  </si>
  <si>
    <t>JOSLAINE ISABELI NOGUEIRA</t>
  </si>
  <si>
    <t>Não estava presente na empresa</t>
  </si>
  <si>
    <t>WASHINGTON JAVÉ OLIVEIRA AMARAL</t>
  </si>
  <si>
    <t>EMANUELLE BELUCI HERNANDES</t>
  </si>
  <si>
    <t>JEFERSON RODRIGO MESSIAS DE MELO</t>
  </si>
  <si>
    <t>43-996726004</t>
  </si>
  <si>
    <t>EMANUELLY DELLAI</t>
  </si>
  <si>
    <t>CRISTHIAN DA SILVA MONTESSO</t>
  </si>
  <si>
    <t>VALDIRENE APARECIDA HONORIO MORETTI</t>
  </si>
  <si>
    <t>THAILA ABREU DEL MOURA</t>
  </si>
  <si>
    <t>PAULO HENRIQUE DE SOUZA</t>
  </si>
  <si>
    <t>44-988578517</t>
  </si>
  <si>
    <t>paulo.souza@gazin.com.br</t>
  </si>
  <si>
    <t>IZABELA APARECIDA SILVA CONTE</t>
  </si>
  <si>
    <t>CAROLINA PALHARI LIMA GONÇALVES</t>
  </si>
  <si>
    <t>44-997153230</t>
  </si>
  <si>
    <t>carolina.goncalves@gazin.com.br</t>
  </si>
  <si>
    <t>VIVIANE DE OLIVEIRA PERIN</t>
  </si>
  <si>
    <t>44-991751949</t>
  </si>
  <si>
    <t>PEDRO EDUARDO SILVEIRA</t>
  </si>
  <si>
    <t>Estava de atestado no dia da visita 10/10/2025</t>
  </si>
  <si>
    <t>LUIS HENRIQUE LIMA KRAMER</t>
  </si>
  <si>
    <t>LETÍCIA RODRIGUES RIBEIRO</t>
  </si>
  <si>
    <t>YASMIN DE CARVALHO</t>
  </si>
  <si>
    <t>10.495.215/0004-27</t>
  </si>
  <si>
    <t>R. Agostinho de Souza, 709 - Centro, Paula Freitas - PR, 84630-000</t>
  </si>
  <si>
    <t>https://maps.app.goo.gl/6TKsRoY4eR9tiC2u8</t>
  </si>
  <si>
    <t>Marilene Alves</t>
  </si>
  <si>
    <t>42-988334237</t>
  </si>
  <si>
    <t>gerencia04@bahniuk.com.br</t>
  </si>
  <si>
    <t>WAGNER DE SOUZA LES</t>
  </si>
  <si>
    <t>10.495.215/0003-46</t>
  </si>
  <si>
    <t>R. Quatorze de Dezembro, 701 - Centro, Paulo Frontin - PR, 84635-000</t>
  </si>
  <si>
    <t>https://maps.app.goo.gl/3XNCyGVUVbMzbECn8</t>
  </si>
  <si>
    <t>Samoel Ribeiro</t>
  </si>
  <si>
    <t>42-991368363</t>
  </si>
  <si>
    <t>gerencia01@bahniuk.com.br</t>
  </si>
  <si>
    <t>JULIO CÉSAR BRAZ DE OLIVEIRA</t>
  </si>
  <si>
    <t>HIAGO STEFANISZEN</t>
  </si>
  <si>
    <t>77.883.320/0055-54</t>
  </si>
  <si>
    <t>Supermercado Superpão, Av. Eng. Ferreira Corrêa, 162 - Cruz Machado, PR, 84620-000</t>
  </si>
  <si>
    <t>https://maps.app.goo.gl/BKshdVdi7uCiPGiQ7</t>
  </si>
  <si>
    <t>Jocelia Pimentel</t>
  </si>
  <si>
    <t>42-988124045</t>
  </si>
  <si>
    <t>rh55@superpao.com.br</t>
  </si>
  <si>
    <t>GABRIELE IASMIN VICENTE</t>
  </si>
  <si>
    <t>SAMOEL RIBEIRO</t>
  </si>
  <si>
    <t>OTAVIO PICOLOTTO GONCALVES</t>
  </si>
  <si>
    <t>AQUITEM MATERIAIS DE CONSTRUÇÃO LTDA</t>
  </si>
  <si>
    <t>02.956.220/0001-19</t>
  </si>
  <si>
    <t>Av. Bruno Zuttion, 3697 - Centro, Realeza - PR, 85770-000</t>
  </si>
  <si>
    <t>https://maps.app.goo.gl/KnNVq9ewCoBWQUws7</t>
  </si>
  <si>
    <t>DENIZE MARIA GONÇALVES</t>
  </si>
  <si>
    <t>46-35431015</t>
  </si>
  <si>
    <t>46-999751603</t>
  </si>
  <si>
    <t>denize@aquitemmat.com.br</t>
  </si>
  <si>
    <t>BRUNA SWED</t>
  </si>
  <si>
    <t>COMERCIAL DE SECOS E MOLHADOS OTTO LTDA</t>
  </si>
  <si>
    <t>76.338.979/0001-74</t>
  </si>
  <si>
    <t>Av. Presidente Getúlio Vargas, 742 - Cruz Machado, PR, 84620-000</t>
  </si>
  <si>
    <t>https://maps.app.goo.gl/EgUsVCrADbktZvuE9</t>
  </si>
  <si>
    <t>Cleuci Maria Pasquali Glaza</t>
  </si>
  <si>
    <t>42-999198453</t>
  </si>
  <si>
    <t>cleuci@comercialotto.com.br</t>
  </si>
  <si>
    <t>EDMUNDO OTTO NETO</t>
  </si>
  <si>
    <t>CLEUCI MARIA PASQUALI GLAZA</t>
  </si>
  <si>
    <t>15.727.143/0001-77</t>
  </si>
  <si>
    <t>42-34211004</t>
  </si>
  <si>
    <t>ALEXANDRE ZANCAN</t>
  </si>
  <si>
    <t>Daniel Perin Bandeira LTDA</t>
  </si>
  <si>
    <t>05.905.927/0001-94</t>
  </si>
  <si>
    <t>BR-280, Marmeleiro - PR, 85615-000</t>
  </si>
  <si>
    <t>https://maps.app.goo.gl/HRwJKzX333PTqjeL8</t>
  </si>
  <si>
    <t>FERNANDA PERIN BANDEIRA DE MIRANDA</t>
  </si>
  <si>
    <t>46-35251037</t>
  </si>
  <si>
    <t>46-991901068</t>
  </si>
  <si>
    <t>fernanda@fazendabandeira.com.br</t>
  </si>
  <si>
    <t>ANA CLAUDIA LOPES DA SILVA BARRADAS</t>
  </si>
  <si>
    <t>MARCIA VALERIA ZANQUETTA</t>
  </si>
  <si>
    <t>44-35221732</t>
  </si>
  <si>
    <t>44-991584806</t>
  </si>
  <si>
    <t>CANDEIASGOIOERE@GMAIL.COM</t>
  </si>
  <si>
    <t>05.065.604/0001-30</t>
  </si>
  <si>
    <t>R. Getúlio Vargas, 69-55, Rio Azul - PR, 84560-000</t>
  </si>
  <si>
    <t>https://maps.app.goo.gl/iA6teASuFaf6oEtr6</t>
  </si>
  <si>
    <t>EDGAR DIONISIO DE JESUS</t>
  </si>
  <si>
    <t>GALINDO E MORETO LTDA</t>
  </si>
  <si>
    <t>04.815.864/0001-12</t>
  </si>
  <si>
    <t xml:space="preserve">RESTAURANTE GAROTO, Rod. Dep. </t>
  </si>
  <si>
    <t>https://maps.app.goo.gl/SLT8Y9UUD2a1vWzQ9</t>
  </si>
  <si>
    <t>FABIO MARCELO NEVES ZANCHETTI</t>
  </si>
  <si>
    <t>44-998264891</t>
  </si>
  <si>
    <t>fabiomz@hotmail.com.br</t>
  </si>
  <si>
    <t>KAUANE DA CRUZ HEBERLEY</t>
  </si>
  <si>
    <t>FERNANDO JOSE BATISTA</t>
  </si>
  <si>
    <t>ELOIZA CARLA HOLZHAUSEN ROSA FERNANDES</t>
  </si>
  <si>
    <t>RENAN ZENARO DOS SANTOS</t>
  </si>
  <si>
    <t>RODRIGO RIBEIRO DA SILVA DOS SANTOS</t>
  </si>
  <si>
    <t>42-32206022</t>
  </si>
  <si>
    <t>RODRIGO.RSANTOS@LOJASMM.COM.BR</t>
  </si>
  <si>
    <t>PAMELA SIDOLI</t>
  </si>
  <si>
    <t>JOCELIA PIMENTEL</t>
  </si>
  <si>
    <t>42-35428302</t>
  </si>
  <si>
    <t>DIULIANA THAIS WAGNER VOLOCHEN</t>
  </si>
  <si>
    <t>10.495.215/0011-56</t>
  </si>
  <si>
    <t>R. Edgar Train Schafhauser, 212, Antônio Olinto - PR, 83980-000</t>
  </si>
  <si>
    <t>https://maps.app.goo.gl/izKRhE4fF6TUFU847</t>
  </si>
  <si>
    <t>VAGNER MAIER LIMA</t>
  </si>
  <si>
    <t>42-988212404</t>
  </si>
  <si>
    <t>gerencia10@bahniuk.com.br</t>
  </si>
  <si>
    <t>10.495.215/0006-99</t>
  </si>
  <si>
    <t>Ana Aparecida Haziak</t>
  </si>
  <si>
    <t>MAYSA JAQUELINE URBAN</t>
  </si>
  <si>
    <t>01.591.198/0006-00</t>
  </si>
  <si>
    <t>10.495.215/0001-84</t>
  </si>
  <si>
    <t>Renilson Pedroso</t>
  </si>
  <si>
    <t>VITOR DE LIMA MANOEL</t>
  </si>
  <si>
    <t>CARINA ANTUNES BURATTI</t>
  </si>
  <si>
    <t>carina.buratti@farmaciassaojoao.com.br</t>
  </si>
  <si>
    <t>LIAN MIGUEL TIBURCIO</t>
  </si>
  <si>
    <t>CONCREMAM MATERIAIS PARA CONSTRUCAO LTDA</t>
  </si>
  <si>
    <t>79.762.514/0001-34</t>
  </si>
  <si>
    <t>R. Interventor Manoel Ribas, 620 - Centro, Mamborê - PR, 87340-000</t>
  </si>
  <si>
    <t>https://maps.app.goo.gl/TyvK46WhNCfP2VBS6</t>
  </si>
  <si>
    <t>WAGNER ADOLFO HOFFMANN</t>
  </si>
  <si>
    <t>44-35681403</t>
  </si>
  <si>
    <t>44-999116867</t>
  </si>
  <si>
    <t>wagner@concremam.com.br</t>
  </si>
  <si>
    <t>ANTHONY KAUAN DE LIMA</t>
  </si>
  <si>
    <t>LISANDRA PAULUK DA SILVA</t>
  </si>
  <si>
    <t>42-999693793</t>
  </si>
  <si>
    <t>crediario.pitanga@comercialivaipora.com.br</t>
  </si>
  <si>
    <t>MATEUS DA SILVA DE OLIVEIRA</t>
  </si>
  <si>
    <t>44-976024074</t>
  </si>
  <si>
    <t>GIOVANNA CORREIA NUNES</t>
  </si>
  <si>
    <t>VANESSA NUNES BEZERRA</t>
  </si>
  <si>
    <t>44-988249857</t>
  </si>
  <si>
    <t>MATEUS ADINEI SKRUH</t>
  </si>
  <si>
    <t>89.848.543/0865-43</t>
  </si>
  <si>
    <t>Lojas Colombo Mandirituba, Av. Brasil, 695 - Centro, Mandirituba - PR, 83800-036</t>
  </si>
  <si>
    <t>https://maps.app.goo.gl/aoEdjmYrK9cSa77R8</t>
  </si>
  <si>
    <t>WELINTON</t>
  </si>
  <si>
    <t>41 9540-8352</t>
  </si>
  <si>
    <t>JEFERSON TOMAZ DA SILVA</t>
  </si>
  <si>
    <t>89.848.543/0826-37</t>
  </si>
  <si>
    <t>R. Corifeu de Azevedo Marques, 221 - Centro, São João do Ivaí - PR, 86930-970</t>
  </si>
  <si>
    <t>https://maps.app.goo.gl/b1wJD1FbyJjF1XNWA</t>
  </si>
  <si>
    <t>ALESSANDRA PIRES VIEIRA</t>
  </si>
  <si>
    <t>43-999794551</t>
  </si>
  <si>
    <t>gerente549@colombo.com.br</t>
  </si>
  <si>
    <t>VICTOR MARLON DIAS MIGUEL</t>
  </si>
  <si>
    <t>https://maps.app.goo.gl/r1aoD4eSpYXpxbhq6</t>
  </si>
  <si>
    <t>EDUARDO RODOLFO DE SOUZA</t>
  </si>
  <si>
    <t>LÍVIA ESCARANTE DE FREITAS</t>
  </si>
  <si>
    <t>cleiton.bianchini@gazin.com.br</t>
  </si>
  <si>
    <t>SOFIA CASTRO SARAGIOTO</t>
  </si>
  <si>
    <t>RODRIGO SANTOS DE OLIVEIRA</t>
  </si>
  <si>
    <t>rodiguinha@hotmail.com</t>
  </si>
  <si>
    <t>ANA JULIA BUENO DE LIMA</t>
  </si>
  <si>
    <t>77.500.049/0072-21</t>
  </si>
  <si>
    <t>Av. Trifon Hanycz, 144 - CENTRO, Pinhão - PR, 85170-000</t>
  </si>
  <si>
    <t>https://maps.app.goo.gl/xBjUiCFRcQZrpD78A</t>
  </si>
  <si>
    <t>PATRICIA RODRIGUES</t>
  </si>
  <si>
    <t>42-984086429</t>
  </si>
  <si>
    <t>patricia.rodrigues@email.lojasmm.com.br</t>
  </si>
  <si>
    <t>HELOISA DE SOUZA MACHADO</t>
  </si>
  <si>
    <t>NICOLLE ARAUJO FERREIRA DOS SANTOS</t>
  </si>
  <si>
    <t>ANA JULIA SANTOS REIS</t>
  </si>
  <si>
    <t>ALYNE KOBAYASHI</t>
  </si>
  <si>
    <t>54-99256145</t>
  </si>
  <si>
    <t>alyne.kobayashi@farmaciassaojoao.com.br</t>
  </si>
  <si>
    <t>JHOATAN BORGES MACHADO</t>
  </si>
  <si>
    <t>PAULO HENRIQUE DOS SANTOS</t>
  </si>
  <si>
    <t>42-999312189</t>
  </si>
  <si>
    <t>IZA IZUMI HAMADA</t>
  </si>
  <si>
    <t>SERGIO HENRIQUE JUNIOR</t>
  </si>
  <si>
    <t>ANA CLARA VARELA DA SILVA</t>
  </si>
  <si>
    <t>MITRA DIOCESANA DE PALMAS</t>
  </si>
  <si>
    <t>75.661.264/0006-08</t>
  </si>
  <si>
    <t>Paróquia Nossa Senhora da Luz, Av. Nossa Sra. da Luz, 194 - Centro, Clevelândia - PR, 85530-000</t>
  </si>
  <si>
    <t>https://maps.app.goo.gl/LKb7MV1LmxBZq4mj6</t>
  </si>
  <si>
    <t>ROBERTO GORONSKI KUSY</t>
  </si>
  <si>
    <t>46-988133272</t>
  </si>
  <si>
    <t>rh@aleteiacontabil.com.br</t>
  </si>
  <si>
    <t>GEOVANA CASTELLI CASTOLDI</t>
  </si>
  <si>
    <t>75.903.880/0015-00</t>
  </si>
  <si>
    <t>Paróquia Nossa Senhora Imaculada Conceição, Av. Manoel Francisco da Silva, 653, Mamborê - PR, 87340-000</t>
  </si>
  <si>
    <t>https://maps.app.goo.gl/auZ1AzViZwxSKskB8</t>
  </si>
  <si>
    <t>CARMELITA BORSUK DUARTE</t>
  </si>
  <si>
    <t>44-999587475</t>
  </si>
  <si>
    <t>PAROQUIAIMACULADA1957@GMAIL.COM</t>
  </si>
  <si>
    <t>LAURA CRESTANI</t>
  </si>
  <si>
    <t>75.661.264/0034-53</t>
  </si>
  <si>
    <t>R. Pio XII, 396 - Pérola d'Oeste, PR, 85740-000</t>
  </si>
  <si>
    <t>https://maps.app.goo.gl/QcaK7mu4niQJiBru8</t>
  </si>
  <si>
    <t>ANTONIO PAULO VIEIRA SAGRILO</t>
  </si>
  <si>
    <t>JULIA RAMOS DOS SANTOS</t>
  </si>
  <si>
    <t>43-988201974</t>
  </si>
  <si>
    <t>VINICIUS EDUARDO VIANNA DE LARA</t>
  </si>
  <si>
    <t>MARLEI RIBEIRO</t>
  </si>
  <si>
    <t>46-35633430</t>
  </si>
  <si>
    <t>GER328@QUERO-QUERO.COM.BR</t>
  </si>
  <si>
    <t>42-34638350</t>
  </si>
  <si>
    <t>DAMIEN RIBEIRO MUNIZ</t>
  </si>
  <si>
    <t>JEFERSON DE MELO CHUVES</t>
  </si>
  <si>
    <t>41-992686561</t>
  </si>
  <si>
    <t>Pousada - visita</t>
  </si>
  <si>
    <t>EMILY EDUARDA DA SILVA</t>
  </si>
  <si>
    <t>75.661.264/0029-96</t>
  </si>
  <si>
    <t>R. da Matriz, 790 - Centro, Salto do Lontra - PR, 85670-000</t>
  </si>
  <si>
    <t>https://maps.app.goo.gl/egN5uLQKpKqtsygT6</t>
  </si>
  <si>
    <t>DEUCIR JOSE POLETTI</t>
  </si>
  <si>
    <t>ISABELY KAYLA DA SILVA</t>
  </si>
  <si>
    <t>RAFAEL PEREIRA DA SILVA</t>
  </si>
  <si>
    <t>44-34257600</t>
  </si>
  <si>
    <t>44-991795167</t>
  </si>
  <si>
    <t>ger544@quero-quero.com.br</t>
  </si>
  <si>
    <t>ANGELO DEMÉTRIO RÍBOLI DOSORETS</t>
  </si>
  <si>
    <t>AGATHA PEREIRA CORREA</t>
  </si>
  <si>
    <t>96.418.264/0681-08</t>
  </si>
  <si>
    <t>Av. 12 de Maio, 285 - Centro, Turvo - PR, 85150-000</t>
  </si>
  <si>
    <t>https://maps.app.goo.gl/so3H4WZnSBh9iRyr6</t>
  </si>
  <si>
    <t>EVANDRO ARMANI</t>
  </si>
  <si>
    <t>47-997696301</t>
  </si>
  <si>
    <t>EVANDROARMANI@GMAIL.COM</t>
  </si>
  <si>
    <t>MARIA GABRIELI LIZER FARIA</t>
  </si>
  <si>
    <t>DANIEL CESAR DE OLIVEIRA</t>
  </si>
  <si>
    <t>46-999311915</t>
  </si>
  <si>
    <t>MATEUS DA SILVA OLIVEIRA</t>
  </si>
  <si>
    <t>96.418.264/0684-42</t>
  </si>
  <si>
    <t>Av. Manoel Francisco da Silva, 500 - Centro, Mamborê - PR, 87340-000</t>
  </si>
  <si>
    <t>https://maps.app.goo.gl/rjiYtorm7usedjhG6</t>
  </si>
  <si>
    <t>DANIELLE MARTINS DOS SANTOS</t>
  </si>
  <si>
    <t>44-998341954</t>
  </si>
  <si>
    <t>adm668@quero-quero.com.br</t>
  </si>
  <si>
    <t>THAUAN MATHEUS OLIVEIRA DE CASTRO</t>
  </si>
  <si>
    <t>JOSIANE PADILHA</t>
  </si>
  <si>
    <t>44-999953405</t>
  </si>
  <si>
    <t>josi.padilha92@gmail.com</t>
  </si>
  <si>
    <t>VITORIA ANDRADE SOUZA</t>
  </si>
  <si>
    <t>TAMIRIS DA SILVA</t>
  </si>
  <si>
    <t>43-991760912</t>
  </si>
  <si>
    <t>adm616@quero-quero.com.br</t>
  </si>
  <si>
    <t>HENRIQUE PEREIRA DOS SANTOS</t>
  </si>
  <si>
    <t>MAICON HENRIQUE BAPTISTA DE CASTRO</t>
  </si>
  <si>
    <t>41-996853689</t>
  </si>
  <si>
    <t>GER563@QUERO-QUERO.COM.BR</t>
  </si>
  <si>
    <t>GUILHERME HENRIQUE DE SOUZA CERQUEIRA</t>
  </si>
  <si>
    <t>MARIA APARECIDA CANELLA</t>
  </si>
  <si>
    <t>maria.canella@gazin.com.br</t>
  </si>
  <si>
    <t>KAIO GOLVEIA JOSÉ</t>
  </si>
  <si>
    <t>AFUNGAZ - ASSOCIACAO DOS FUNCIONARIOS DO GRUPO GAZIN</t>
  </si>
  <si>
    <t>01.160.028/0001-59</t>
  </si>
  <si>
    <t>Afungaz - Associação dos Funcionários da Gazin, R. Pedrelina Macedo e Silva - Jardim Padre Ivo, Douradina - PR, 87485-000</t>
  </si>
  <si>
    <t>https://maps.app.goo.gl/7sXqKEPPpcpo3Rpt5</t>
  </si>
  <si>
    <t>ADRIANO DE OLIVEIRA NOVO</t>
  </si>
  <si>
    <t>44-988365511</t>
  </si>
  <si>
    <t>adriano.novo@gazin.com.br</t>
  </si>
  <si>
    <t>JOAO PEDRO QUEIROZ GUIMARAES</t>
  </si>
  <si>
    <t>GAZIN VIAGENS LTDA</t>
  </si>
  <si>
    <t>13.558.932/0001-04</t>
  </si>
  <si>
    <t>Rod. Antônio Pedroso, 1056 - Jardim Padre Ivo, Douradina - PR, 87485-000</t>
  </si>
  <si>
    <t>https://maps.app.goo.gl/x4p9YDRTM9DJUj6K9</t>
  </si>
  <si>
    <t>HUGO ANTONIO TOLENTINO ZANCO</t>
  </si>
  <si>
    <t>GAZINCRED S.A. SOCIEDADE DE CREDITO, FINANCIAMENTO E INVESTIMENTO</t>
  </si>
  <si>
    <t>11.760.553/0001-69</t>
  </si>
  <si>
    <t>GazinBank, PR-082, KM 01 - Sala B - Centro, Douradina - PR, 87485-000</t>
  </si>
  <si>
    <t>https://maps.app.goo.gl/REX8axsUmdTsdH2w5</t>
  </si>
  <si>
    <t>Angela Ribeiro</t>
  </si>
  <si>
    <t>GABRIELI DOS SANTOS</t>
  </si>
  <si>
    <t>SARA VITÓRIA DA SILVA SANTOS</t>
  </si>
  <si>
    <t>GABRIEL MARQUES DE SOUZA</t>
  </si>
  <si>
    <t>RENATO APARECIDO ANDRADE</t>
  </si>
  <si>
    <t>44-991511361</t>
  </si>
  <si>
    <t>renato.andrade@gazin.com.br</t>
  </si>
  <si>
    <t>GUILHERME CARMO PEDROSO</t>
  </si>
  <si>
    <t>HAGATHA LETICIA ZUCHINALLI</t>
  </si>
  <si>
    <t>JOÃO GABRIEL SABEDRA VIEIRA</t>
  </si>
  <si>
    <t>RAFAEL GUILHERME MARCONDES DA SILVA</t>
  </si>
  <si>
    <t>EVA JALINE DO AMARAL</t>
  </si>
  <si>
    <t>42-35548350</t>
  </si>
  <si>
    <t>42-999408675</t>
  </si>
  <si>
    <t>ADM545@QUERO-QUERO.COM.BR</t>
  </si>
  <si>
    <t>DANIELLY RIBEIRO MOURA</t>
  </si>
  <si>
    <t>96.418.264/0346-29</t>
  </si>
  <si>
    <t>Av. Santa Catarina, 57 - Centro, Corbélia - PR, 85420-000</t>
  </si>
  <si>
    <t>https://maps.app.goo.gl/wfDsw2UzbreawBJK9</t>
  </si>
  <si>
    <t>LUANA BARBOSA DO PRADO</t>
  </si>
  <si>
    <t>45-998451367</t>
  </si>
  <si>
    <t>GER330@QUERO-QUERO.COM.BR</t>
  </si>
  <si>
    <t>MATHEUS DOS REIS ANDRÉ</t>
  </si>
  <si>
    <t>96.418.264/0653-46</t>
  </si>
  <si>
    <t>Lojas Quero-Quero: Materiais de Construção em Ribeirão do Pinhal PR, R. João Rodrigues de Oliveira, 120 - CENTRO, Ribeirão do Pinhal - PR, 86490-000</t>
  </si>
  <si>
    <t>https://maps.app.goo.gl/1siRVFhyg3GcKEww5</t>
  </si>
  <si>
    <t>GUILHERME DA SILVA FURLAN</t>
  </si>
  <si>
    <t>43-999669690</t>
  </si>
  <si>
    <t>ger636@quero-quero.com.br</t>
  </si>
  <si>
    <t>THALYTA ALVES FERREIRA ROCHA</t>
  </si>
  <si>
    <t>43-999202545</t>
  </si>
  <si>
    <t>camila.ouba@pontoruralagro.com.br</t>
  </si>
  <si>
    <t>BEATRIZ DA SILVA PEREIRA</t>
  </si>
  <si>
    <t>43-991413295</t>
  </si>
  <si>
    <t>elido@pontoruralagro.com.br</t>
  </si>
  <si>
    <t>MARIA GABRIELI TOGNI SCHMEING</t>
  </si>
  <si>
    <t>44-988068049</t>
  </si>
  <si>
    <t>JIANIDANIELA@GMAIL.COM</t>
  </si>
  <si>
    <t>GUSTAVO DOS SANTOS NASCIMENTO</t>
  </si>
  <si>
    <t>76.075.118/0017-08</t>
  </si>
  <si>
    <t>Av. Santos Dumont, 1885 - Centro, Goioerê - PR, 87360-000</t>
  </si>
  <si>
    <t>https://maps.app.goo.gl/V6gAC9mqPgJJnuSdA</t>
  </si>
  <si>
    <t>GUILHERME CEREZINI DE SOUZA ROMERA</t>
  </si>
  <si>
    <t>45-21010126</t>
  </si>
  <si>
    <t>45-988250301</t>
  </si>
  <si>
    <t>goioere@camagril.com.br</t>
  </si>
  <si>
    <t>GUSTAVO HENRIQUE PAIXÃO DE OLIVEIRA</t>
  </si>
  <si>
    <t>F CAVALHEIRO DE OLIVEIRA LTDA</t>
  </si>
  <si>
    <t>39.404.005/0001-15</t>
  </si>
  <si>
    <t>Av. Aparício Teixeira D'avila, 370 - Cruzeiro do Oeste, PR, 87400-000</t>
  </si>
  <si>
    <t>https://maps.app.goo.gl/Sogoy4dGcgAe9azs7</t>
  </si>
  <si>
    <t>Carlos Eduardo Meira Freire</t>
  </si>
  <si>
    <t>44-999695263</t>
  </si>
  <si>
    <t>saladoempreendedorxambre@gmail.com</t>
  </si>
  <si>
    <t>GUSTAVO TOPA CAMPOS LEITE</t>
  </si>
  <si>
    <t>MARLON LOHAN DA SILVA WARKEN</t>
  </si>
  <si>
    <t>CARLOS EDUARDO MEIRA FREIRE</t>
  </si>
  <si>
    <t>JOÃO VITOR DA SILVA CRUZ</t>
  </si>
  <si>
    <t>Maria Gabrieli Baldo Bazzuco</t>
  </si>
  <si>
    <t>44-35271223</t>
  </si>
  <si>
    <t>FELIPE TEIXEIRA DE ARAUJO</t>
  </si>
  <si>
    <t>LAURA MINEIRO NOVAIS PEREIRA</t>
  </si>
  <si>
    <t>PAULO VITOR PESSOA AGUIAR</t>
  </si>
  <si>
    <t>CLARISSE MORGANA DA SILVA SANTOS</t>
  </si>
  <si>
    <t>ERIKE DA SILVA SANTOS</t>
  </si>
  <si>
    <t>LORENA VITORIA DOMINGUES DE OLIVEIRA</t>
  </si>
  <si>
    <t>ANA BEATRIZ DA SILVA NASCIMENTO</t>
  </si>
  <si>
    <t>SUZANY ANTUNES DE SOUZA</t>
  </si>
  <si>
    <t>GLAUBER SHOITY NAKAI</t>
  </si>
  <si>
    <t>ELOISA DE SOUZA GOMES</t>
  </si>
  <si>
    <t>SIMONE AP THOME DA SILVA</t>
  </si>
  <si>
    <t>44-35751215</t>
  </si>
  <si>
    <t>44-997413386</t>
  </si>
  <si>
    <t>EDUARDO GABRIEL KAUTZMANN</t>
  </si>
  <si>
    <t>NAIELE DE ALMEIDA DE CAMARGO</t>
  </si>
  <si>
    <t>46-99203772</t>
  </si>
  <si>
    <t>RH6@COPINIGROUP.COM</t>
  </si>
  <si>
    <t>JULIA COPINI</t>
  </si>
  <si>
    <t>Naiele de Almeida de Camargo</t>
  </si>
  <si>
    <t>HENTONNY GOMES DOS SANTOS</t>
  </si>
  <si>
    <t>GABRIELY NEUBERGER BAUMGARTNER</t>
  </si>
  <si>
    <t>KAUANNA JACUBOVSKI</t>
  </si>
  <si>
    <t>BIANCA CAROLINE HAHN</t>
  </si>
  <si>
    <t>LUIS PEDRO GALEGO</t>
  </si>
  <si>
    <t>NAIELE DE ALMEIDA CAMARGO</t>
  </si>
  <si>
    <t>ERICK VESSOLI</t>
  </si>
  <si>
    <t>GUSTAVO DE SOUZA ARAUJO RIBEIRO</t>
  </si>
  <si>
    <t>https://maps.app.goo.gl/mmQD94suwuDry2NA6</t>
  </si>
  <si>
    <t>THAISSA VITORIA DE ALMEIDA HURBA</t>
  </si>
  <si>
    <t>NATHIELLY DE OLIVEIRA</t>
  </si>
  <si>
    <t>SUPERGYPE COMERCIO DE GENEROS ALIMENTICIOS LTDA</t>
  </si>
  <si>
    <t>40.258.228/0002-81</t>
  </si>
  <si>
    <t>GEPÃO Atacado e Varejo, R. Úrsula Ercole Cumim, 141 - Jardim Cecilia, Campo Magro - PR, 83535-000</t>
  </si>
  <si>
    <t>https://maps.app.goo.gl/zT2A1rkTPJx3c2Q69</t>
  </si>
  <si>
    <t>FABRICIO RIBEIRO</t>
  </si>
  <si>
    <t>41-987364661</t>
  </si>
  <si>
    <t>gerente.campomagro@supergype.com.br</t>
  </si>
  <si>
    <t>ANNY GABRIELI XAVIER CLEMENTINO</t>
  </si>
  <si>
    <t>Mikael Victoraguiar</t>
  </si>
  <si>
    <t>44-997769086</t>
  </si>
  <si>
    <t>BUWORD.MICK@GMAIL.COM</t>
  </si>
  <si>
    <t>LEONARDO MACHOSKI</t>
  </si>
  <si>
    <t>41-36231232</t>
  </si>
  <si>
    <t>41-988039163</t>
  </si>
  <si>
    <t>zezo@superassis.com.br</t>
  </si>
  <si>
    <t>GABRIELI KAUANI MORO</t>
  </si>
  <si>
    <t>Assis Supermercados, rua francisco de A. P. Magalhães, 337 - Araia Branca dos Assis, Mandirituba - PR, 83810-000</t>
  </si>
  <si>
    <t>Anderson Marcelo Deassis</t>
  </si>
  <si>
    <t>41-36331113</t>
  </si>
  <si>
    <t>41-988654449</t>
  </si>
  <si>
    <t>marcelo@superassis.com.br</t>
  </si>
  <si>
    <t>42-324212154</t>
  </si>
  <si>
    <t>Mariana Blum Mayer</t>
  </si>
  <si>
    <t>Leandro Zioneide Soares</t>
  </si>
  <si>
    <t>41-36321962</t>
  </si>
  <si>
    <t>VAGNER DE PAULA FILHO</t>
  </si>
  <si>
    <t>DEIVID MURILO CALAIS</t>
  </si>
  <si>
    <t>ANDERSON MARCELO DEASSIS</t>
  </si>
  <si>
    <t>EDUARDO AUGUSTO LUSVARDI</t>
  </si>
  <si>
    <t>LUIZ EMANOEL CAVALHEIRO</t>
  </si>
  <si>
    <t>JONIRCE APARECIDA FERREIRA DE LIMA</t>
  </si>
  <si>
    <t>LAIS VITÓRIA REZENDE</t>
  </si>
  <si>
    <t>Roberta Emiliano Pigossi</t>
  </si>
  <si>
    <t>44-999996493</t>
  </si>
  <si>
    <t>SAOJOSERH75@GMAIL.COM</t>
  </si>
  <si>
    <t>GUSTAVO DOS SANTOS BRUSAMARELO</t>
  </si>
  <si>
    <t>Jonirce Aparecida Ferreira de Lima</t>
  </si>
  <si>
    <t>NICOLAS ALMEIDA SILVA</t>
  </si>
  <si>
    <t>VITOR HUGO DA SILVA LOPES</t>
  </si>
  <si>
    <t>MIKAEL VICTORAGUIAR</t>
  </si>
  <si>
    <t>LUIZ OTÁVIO MOURA</t>
  </si>
  <si>
    <t>Angela Maria Meira de Quadros</t>
  </si>
  <si>
    <t>ANGELA.SAOJOSE1@GMAIL.COM</t>
  </si>
  <si>
    <t>JHONY VITOR YU SEKI MACARI</t>
  </si>
  <si>
    <t>EDUARDO PAULO MACHADO DA SILVA</t>
  </si>
  <si>
    <t>44-988363893</t>
  </si>
  <si>
    <t>KALEBE SOUZA DE PAULA</t>
  </si>
  <si>
    <t>NICOLAS GABRIEL DE NOVAIS DE JESUS</t>
  </si>
  <si>
    <t>LUIZ OTÁVIO LEME DE ALMEIDA</t>
  </si>
  <si>
    <t>RAFAEL FIDELES CARDOSO</t>
  </si>
  <si>
    <t>78.455.607/0006-68</t>
  </si>
  <si>
    <t>Sao Luiz Atacadista, Av. Brasil, 105, Terra Boa - PR, 87240-000</t>
  </si>
  <si>
    <t>https://maps.app.goo.gl/XmzUXZc8HUAtybwPA</t>
  </si>
  <si>
    <t>44-988314601</t>
  </si>
  <si>
    <t>Rafael.leuterio2019@gmail.com</t>
  </si>
  <si>
    <t>EMANUELY CRISTINA GARCIA DE MORAES</t>
  </si>
  <si>
    <t>96.418.264/0678-02</t>
  </si>
  <si>
    <t>Av. Paraná, 309, Catanduvas - PR, 85470-000</t>
  </si>
  <si>
    <t>https://maps.app.goo.gl/XFSjzQVXPfrp9aj76</t>
  </si>
  <si>
    <t>JOSÉ EDUARDO VAZ DA SILVA</t>
  </si>
  <si>
    <t>45-984333566</t>
  </si>
  <si>
    <t>ger663@quero-quero.com.br</t>
  </si>
  <si>
    <t>EMILLY EDUARDA RODRIGUES</t>
  </si>
  <si>
    <t>SUPERMERCADO LUCIETTO LTDA</t>
  </si>
  <si>
    <t>04.132.028/0001-33</t>
  </si>
  <si>
    <t>Supermercado Planalto, R. Jacobe Teobaldo Ertal, 402 - Primavera, Planalto - PR, 85750-000</t>
  </si>
  <si>
    <t>https://maps.app.goo.gl/AiMZtbqbiyyduz7G8</t>
  </si>
  <si>
    <t>JOSE CARLOS DALLAZEM</t>
  </si>
  <si>
    <t>46-35551196</t>
  </si>
  <si>
    <t>46-999851084</t>
  </si>
  <si>
    <t>SUPERLUCIETTO@HOTMAIL.COM</t>
  </si>
  <si>
    <t>NICOLY CRISTINE DA SILVA PEÇANHA</t>
  </si>
  <si>
    <t>96.418.264/0617-82</t>
  </si>
  <si>
    <t>R. Nove, 1053 - Primeiro de Maio, PR, 86140-000</t>
  </si>
  <si>
    <t>https://maps.app.goo.gl/TGd6BsQuggDNznNW7</t>
  </si>
  <si>
    <t>MARISTELA LUIS MARTINS</t>
  </si>
  <si>
    <t>43-991305296</t>
  </si>
  <si>
    <t>adm601@quero-quero.com.br</t>
  </si>
  <si>
    <t>PEDRO HENRIQUE DE LIMA</t>
  </si>
  <si>
    <t>45-32428432</t>
  </si>
  <si>
    <t>45-991336120</t>
  </si>
  <si>
    <t>LUCAS EXPEDITO DA SILVA</t>
  </si>
  <si>
    <t>ISABELLA CAMPOS LOPES</t>
  </si>
  <si>
    <t>ROBERTA EMILIANO PIGOSSI</t>
  </si>
  <si>
    <t>96.418.264/0542-20</t>
  </si>
  <si>
    <t>MIKAELLY SCANDOLEIRO CAMILO</t>
  </si>
  <si>
    <t>MARIA LUIZA ANDREOLLI</t>
  </si>
  <si>
    <t>MILENA MENDES RAIHER</t>
  </si>
  <si>
    <t>46-988199006</t>
  </si>
  <si>
    <t>ger350@quero-quero.com.br</t>
  </si>
  <si>
    <t>VITOR CAMARGO</t>
  </si>
  <si>
    <t>NELSON ZELINSKI</t>
  </si>
  <si>
    <t>42-38688100</t>
  </si>
  <si>
    <t>42-984129701</t>
  </si>
  <si>
    <t>GER353@QUERO-QUERO.COM.BR</t>
  </si>
  <si>
    <t>CAUAN DE ARAUJO</t>
  </si>
  <si>
    <t>46-35388350</t>
  </si>
  <si>
    <t>soniareginadeoliveira1986@gmail.com</t>
  </si>
  <si>
    <t>NAIARA CARLA ZUCCHI</t>
  </si>
  <si>
    <t>GER367@QUERO-QUERI.COM.BR</t>
  </si>
  <si>
    <t>FERNANDA SUDENI PEREIRA</t>
  </si>
  <si>
    <t>ÍTALO EMANOEL MENDONÇA RAMOS</t>
  </si>
  <si>
    <t>44-999218578</t>
  </si>
  <si>
    <t>italoramos@ymail.com</t>
  </si>
  <si>
    <t>GABRIELLY ANTUNES VAIS</t>
  </si>
  <si>
    <t>adm381@quero-quero.com.br</t>
  </si>
  <si>
    <t>KEITY BIANCA RAMOS</t>
  </si>
  <si>
    <t>MARIA EDUARDA TRICHES</t>
  </si>
  <si>
    <t>RONEI DE ANDRADE SCHERER</t>
  </si>
  <si>
    <t>45-991046795</t>
  </si>
  <si>
    <t>GER480@QUERO-QUERO.COM.BR</t>
  </si>
  <si>
    <t>MARIA LUIZA VIANA VIEIRA</t>
  </si>
  <si>
    <t>DANIELY BLOOT DA SILVA</t>
  </si>
  <si>
    <t>LUIZ HENRIQUE</t>
  </si>
  <si>
    <t>ger507@quero-quero.com.br</t>
  </si>
  <si>
    <t>PAULO GABRIEL VENDRAMINI SCHANAM</t>
  </si>
  <si>
    <t>H M VENDRAMINI E CIA LTDA</t>
  </si>
  <si>
    <t>04.697.482/0001-31</t>
  </si>
  <si>
    <t>Av. Vicente Machado, 183 - Eng. Beltrão, PR, 87270-000</t>
  </si>
  <si>
    <t>https://maps.app.goo.gl/3mrpkwptYiaZbfgUA</t>
  </si>
  <si>
    <t>Hugo Marcos Vendramini</t>
  </si>
  <si>
    <t>44-35371755</t>
  </si>
  <si>
    <t>44-998042544</t>
  </si>
  <si>
    <t>sp.vendramini@hotmail.com</t>
  </si>
  <si>
    <t>LUANA ALVES DE OLIVEIRA</t>
  </si>
  <si>
    <t>DAVI DE AMORIM MARANDOLA</t>
  </si>
  <si>
    <t>financeiro.loja6@veronasupermercados.com.br</t>
  </si>
  <si>
    <t>MATHEUS GABRIEL SANTOS PERAL</t>
  </si>
  <si>
    <t>CARLOS EDUARDO ALVES DOS SANTOS</t>
  </si>
  <si>
    <t>RAFAEL ALVES LEUTERIO</t>
  </si>
  <si>
    <t>LUCAS LOT CAVALARI</t>
  </si>
  <si>
    <t>VINICIUS MIGUEL MOREIRA SILVA</t>
  </si>
  <si>
    <t>CINDY FIGUEIREDO TYBUR</t>
  </si>
  <si>
    <t>41-34251526</t>
  </si>
  <si>
    <t>EMILY GABRIELI ROSSI FERNANDES</t>
  </si>
  <si>
    <t>Cindy Figueiredo Tybur</t>
  </si>
  <si>
    <t>GABRIELLA OLIVEIRA DUBINSKI MAURICIO</t>
  </si>
  <si>
    <t>VITOR GABRIEL BAZIN</t>
  </si>
  <si>
    <t>ZILIO E LEONARDI LTDA</t>
  </si>
  <si>
    <t>79.845.020/0001-13</t>
  </si>
  <si>
    <t>Av. Brasil Argentina, 701, Vitorino - PR, 85520-000</t>
  </si>
  <si>
    <t>https://maps.app.goo.gl/CaPuVBUAG8SzGREc7</t>
  </si>
  <si>
    <t>SANDER EUCLIDES ZILIO</t>
  </si>
  <si>
    <t>46-32271203</t>
  </si>
  <si>
    <t>46-988011689</t>
  </si>
  <si>
    <t>sanderzilio72@gmail.com</t>
  </si>
  <si>
    <t>HUGO VINICIUS BARBOSA DE SOUZA</t>
  </si>
  <si>
    <t>PEDRO BONAZZI GARRETT</t>
  </si>
  <si>
    <t>41-34221526</t>
  </si>
  <si>
    <t>ALICE PEREIRA DIAS</t>
  </si>
  <si>
    <t>28.256.859/0005-09</t>
  </si>
  <si>
    <t>Rodovia Engenheiro Darci Gomes de Morais, 4911 - Ipanema, Pontal do Paraná - PR, 83255-000</t>
  </si>
  <si>
    <t>https://maps.app.goo.gl/rbvyHGELnx5Qin5V6</t>
  </si>
  <si>
    <t>DANIELA MIRANDA DE SOUZA</t>
  </si>
  <si>
    <t>41 9 85266900</t>
  </si>
  <si>
    <t>adm.013@supermercadosbavaresco.com.br</t>
  </si>
  <si>
    <t>LUCAS MURIEL DA SILVA CORREA</t>
  </si>
  <si>
    <t>Daniela Miranda de Souza</t>
  </si>
  <si>
    <t>JEIEL CALEBE FERREIRA DE SOUZA</t>
  </si>
  <si>
    <t>DENILSON DA SILVA NASCIMENTO</t>
  </si>
  <si>
    <t>NICOLLE MENDES REBELLO</t>
  </si>
  <si>
    <t>EDUARDO HENRIQUE SILVA DOS SANTOS</t>
  </si>
  <si>
    <t>GABRIEL DE OLIVEIRA AMARAL</t>
  </si>
  <si>
    <t>JOAO PEDRO SANTOS PEREIRA</t>
  </si>
  <si>
    <t>ANA JULIA SALADINI KUPCZAK</t>
  </si>
  <si>
    <t>GABRIEL PEREIRA DE FREITAS</t>
  </si>
  <si>
    <t>LUCAS ROSSA FERREIRA</t>
  </si>
  <si>
    <t>Cooperativa de Produção e Consumo Concórdia</t>
  </si>
  <si>
    <t>83.573.212/0117-15</t>
  </si>
  <si>
    <t>Av. Pres. Dutra, 796 - Enéas Marques, PR, 85630-000</t>
  </si>
  <si>
    <t>https://maps.app.goo.gl/aKtZ37WSkFT3DpKY9</t>
  </si>
  <si>
    <t>RAFAEL LIBANO</t>
  </si>
  <si>
    <t>49-39045223</t>
  </si>
  <si>
    <t>gerencia.eneasmarques@coperdia.com.br</t>
  </si>
  <si>
    <t>LAURA BRANDELERO DA SILVA</t>
  </si>
  <si>
    <t>44-98960752</t>
  </si>
  <si>
    <t>MARIA EDUARDA MOREIRA DE OLIVEIRA</t>
  </si>
  <si>
    <t>MURILO GROLA PEREIRA CHAVES</t>
  </si>
  <si>
    <t>ISABELLI THAÍS AUGUSTO</t>
  </si>
  <si>
    <t>GABRIEL DE FREITAS FELIX DA SILVA</t>
  </si>
  <si>
    <t>45-999432945</t>
  </si>
  <si>
    <t>JPopilnicki@coamo.com.br</t>
  </si>
  <si>
    <t>KAUÃ GABRIEL BARROSO DA SILVA</t>
  </si>
  <si>
    <t>GABRIELE CIESLAK RODRIGUES</t>
  </si>
  <si>
    <t>Integrada Cooperativa Agroindustrial - UR Tamarana, ROD. VICTORIO FRANCOVIG, S/N, KM 03 Lote 175, PR, 86385-000</t>
  </si>
  <si>
    <t>https://maps.app.goo.gl/Vf498cARThnSueZi9</t>
  </si>
  <si>
    <t>BIANCA MACAGNAN SILVA</t>
  </si>
  <si>
    <t>CMENEZES@COAMO.COM.BR</t>
  </si>
  <si>
    <t>KAIKE DIAS DOS SANTOS</t>
  </si>
  <si>
    <t>RONALDO LOPES FORATO</t>
  </si>
  <si>
    <t>44-999306533</t>
  </si>
  <si>
    <t>rforato@coamo.com.br</t>
  </si>
  <si>
    <t>TAYNÁ PELOSI DA SILVA</t>
  </si>
  <si>
    <t>FERNANDA MOREIRA CAVALI</t>
  </si>
  <si>
    <t>LAYENE MONTANHEIRO LIMA</t>
  </si>
  <si>
    <t>ISABELLA DAYARA KELM</t>
  </si>
  <si>
    <t>https://maps.app.goo.gl/QPS87LtAFsqyveMXA</t>
  </si>
  <si>
    <t>67-998708265</t>
  </si>
  <si>
    <t>EDUARDO CESAR DE LARA</t>
  </si>
  <si>
    <t>LETICIA LEMANSKI MAIOLLI</t>
  </si>
  <si>
    <t>TAILA IASMIM CHAGAS DA SILVA</t>
  </si>
  <si>
    <t>STEFANY DE CASSIA TEIXEIRA FERNANDES</t>
  </si>
  <si>
    <t>00.993.264/0092-20</t>
  </si>
  <si>
    <t>Integrada Cooperativa Agroindustrial - UR Wenceslau Braz, Rodovia Governador Parigot de Souza, 186, Wenceslau Braz - PR, 84950-000</t>
  </si>
  <si>
    <t>https://maps.app.goo.gl/rRSeoGGeWRQWbP6H6</t>
  </si>
  <si>
    <t>DENISE CAPEL SIQUEIRA</t>
  </si>
  <si>
    <t>43-37712743</t>
  </si>
  <si>
    <t>43-999387960</t>
  </si>
  <si>
    <t>DENISE.SIQUEIRA@INTEGRADA.COOP.BR</t>
  </si>
  <si>
    <t>VINICIUS EDUARDO RIBEIRO DOS SANTOS</t>
  </si>
  <si>
    <t>77.863.223/0098-30</t>
  </si>
  <si>
    <t>PR-082, Terra Boa - PR, 87240-000</t>
  </si>
  <si>
    <t>https://maps.app.goo.gl/4KExSYcpv41KV2sNA</t>
  </si>
  <si>
    <t>ROBSON CARLOS BATISTA</t>
  </si>
  <si>
    <t>44-999620889</t>
  </si>
  <si>
    <t>robson.batista@cvale.com.br</t>
  </si>
  <si>
    <t>ISAAC WENCESLAU KRACHINSKI FROIS</t>
  </si>
  <si>
    <t>77.863.223/0103-31</t>
  </si>
  <si>
    <t>R. Piracicaba, 505, Goioerê - PR, 87360-000</t>
  </si>
  <si>
    <t>https://maps.app.goo.gl/gg9UAXM4tcmmyC9K7</t>
  </si>
  <si>
    <t>DANIELA BLOEMER MENDES</t>
  </si>
  <si>
    <t>44-35222966</t>
  </si>
  <si>
    <t>daniela.mendes@cvale.com.br</t>
  </si>
  <si>
    <t>KAUANE CAROLINE DE LARA</t>
  </si>
  <si>
    <t>77.863.223/0115-75</t>
  </si>
  <si>
    <t>Pitanga, PR, 85200-000</t>
  </si>
  <si>
    <t>https://maps.app.goo.gl/fnwdZGy9NdeCpzHb9</t>
  </si>
  <si>
    <t>SILVANA VALECKI STIPP LARA</t>
  </si>
  <si>
    <t>42-998352248</t>
  </si>
  <si>
    <t>silvana.stipp@cvale.com.br</t>
  </si>
  <si>
    <t>ARTHUR DINIZ SILVEIRA</t>
  </si>
  <si>
    <t>00.993.264/0005-17</t>
  </si>
  <si>
    <t>https://maps.app.goo.gl/44wXmHN5xt5pTYZQ9</t>
  </si>
  <si>
    <t>ALESSANDRA ANDRADE DOS REIS</t>
  </si>
  <si>
    <t>ANA CLARA BAHLS</t>
  </si>
  <si>
    <t>44-999882310</t>
  </si>
  <si>
    <t>LUIZA LOPES DA SILVA</t>
  </si>
  <si>
    <t>00.993.264/0093-01</t>
  </si>
  <si>
    <t>https://maps.app.goo.gl/GQHcauaDMq85f5VXA</t>
  </si>
  <si>
    <t>MILENA CANDIDO GODOI</t>
  </si>
  <si>
    <t>43-35548000</t>
  </si>
  <si>
    <t>RAYSSA BORGES GOMES</t>
  </si>
  <si>
    <t>RIAN FREDERICO TAUBE</t>
  </si>
  <si>
    <t>TAUANA MARIA ORSO LAZZARETTI</t>
  </si>
  <si>
    <t>ALISSON PRESTES DE OLIVEIRA</t>
  </si>
  <si>
    <t>ISABELI RODRIGUES DA COSTA</t>
  </si>
  <si>
    <t>https://maps.app.goo.gl/bneF737S2dAzGQjE6</t>
  </si>
  <si>
    <t>BARBARA CAROLINA RIBEIRO</t>
  </si>
  <si>
    <t>44-991551964</t>
  </si>
  <si>
    <t>barbara.benedito@cocamar.com.br</t>
  </si>
  <si>
    <t>LEONARDO CHINISKI LANHOSO</t>
  </si>
  <si>
    <t>COOPERATIVA DE CREDITO POUPANCA E INVESTIMENTO CENTRO SUL  SICREDI CENTRO SUL PR SC RJ</t>
  </si>
  <si>
    <t>78.907.607/0009-02</t>
  </si>
  <si>
    <t>Av. Cel. Rogerio Borba, 1005 - Centro, Reserva - PR, 84320-000</t>
  </si>
  <si>
    <t>https://maps.app.goo.gl/1kB3PFZJbnrdGFRUA</t>
  </si>
  <si>
    <t>MELISSA VEDANA</t>
  </si>
  <si>
    <t>42-991141628</t>
  </si>
  <si>
    <t>melissa_vedana@sicredi.com</t>
  </si>
  <si>
    <t>SAMUEL SANTOS FOLLE</t>
  </si>
  <si>
    <t>JULIANO GARDEL SALVADEGO</t>
  </si>
  <si>
    <t>46-35501379</t>
  </si>
  <si>
    <t>46-991050868</t>
  </si>
  <si>
    <t>ARTHUR PENTEADO ZAGO</t>
  </si>
  <si>
    <t>MARCOS DA COSTA</t>
  </si>
  <si>
    <t>marcosdacosta@coasul.com.br</t>
  </si>
  <si>
    <t>JULIA PROENCA FIORI</t>
  </si>
  <si>
    <t>https://maps.app.goo.gl/f7UE8GhQ4dyvm3Jx6</t>
  </si>
  <si>
    <t>EMANUELLY MARTINS DA SILVA</t>
  </si>
  <si>
    <t>https://maps.app.goo.gl/948crJKLohaiQjD28</t>
  </si>
  <si>
    <t>43-991441257</t>
  </si>
  <si>
    <t>MAIRA.SILVA@COCAMAR.COM.BR</t>
  </si>
  <si>
    <t>EDUARDO HENRIQUE DE SOUZA</t>
  </si>
  <si>
    <t>JOAO ANTONIO SOUZA DOS SANTOS</t>
  </si>
  <si>
    <t>https://maps.app.goo.gl/Dd4jh3Tw1V5VdjjW9</t>
  </si>
  <si>
    <t>ANGÉLICA MARIA DOS SANTOS AGUIAR ROMEIRO</t>
  </si>
  <si>
    <t>43-999377804</t>
  </si>
  <si>
    <t>ANGELICA.AGUIAR@COCAMAR.COM.BR</t>
  </si>
  <si>
    <t>RAISSA ALBUQUERQUE DINIZ</t>
  </si>
  <si>
    <t>https://maps.app.goo.gl/gCpBQbSV1zZHZyif6</t>
  </si>
  <si>
    <t>FABIANA CARLA DA SILVA KOTAKI</t>
  </si>
  <si>
    <t>43-996975523</t>
  </si>
  <si>
    <t>fabiana.silva@cocamar.com.br</t>
  </si>
  <si>
    <t>VITÓRIA ROCHA DE OLIVEIRA</t>
  </si>
  <si>
    <t>RAFAEL MACHADO DA SILVA</t>
  </si>
  <si>
    <t>79.863.569/0064-14</t>
  </si>
  <si>
    <t>Coasul - Entreposto Espigão Alto do Iguaçu, Espigão Alto do Iguaçu - PR, 85465-000</t>
  </si>
  <si>
    <t>https://maps.app.goo.gl/7Ns6XUXjHzrLPPgo7</t>
  </si>
  <si>
    <t>RONALDO CARLOS GEMBRO</t>
  </si>
  <si>
    <t>46-999334089</t>
  </si>
  <si>
    <t>ronaldogembro@coasul.com.br</t>
  </si>
  <si>
    <t>WUANDA COUTO RODRIGUES</t>
  </si>
  <si>
    <t>79.114.450/0034-23</t>
  </si>
  <si>
    <t>Cocamar - Unidade Atalaia, PR-218, KM 16 - Lotes 163-E, 291-B - Zona Rural, Atalaia - PR, 87630-000</t>
  </si>
  <si>
    <t>https://maps.app.goo.gl/xgXDubccWB57iJrEA</t>
  </si>
  <si>
    <t>JESSICA APARECIDA DE ARAUJO ALMEIDA</t>
  </si>
  <si>
    <t>44-32541133</t>
  </si>
  <si>
    <t>44-998730287</t>
  </si>
  <si>
    <t>jessica.almeida@cocamar.com.br</t>
  </si>
  <si>
    <t>ANA CAROLINA CAPPOANI</t>
  </si>
  <si>
    <t>WILLIAN GAIO</t>
  </si>
  <si>
    <t>willian.gaio@coasul.com.br</t>
  </si>
  <si>
    <t>KAUA DA SILVA THEMOTEO</t>
  </si>
  <si>
    <t>Cocamar - Unidade Santa Cecília do Pavão, PR-090, s/n - KM 313, Santa Cecília do Pavão - PR, 86225-000</t>
  </si>
  <si>
    <t>https://maps.app.goo.gl/nVR8ZTGX5VgCF56A7</t>
  </si>
  <si>
    <t>ARIELE LETICIA TAJARIOL</t>
  </si>
  <si>
    <t>ELOIZE CAMILLO</t>
  </si>
  <si>
    <t>MARCIA LILIAN DALMOLIN ANTONELLO</t>
  </si>
  <si>
    <t>46-999229412</t>
  </si>
  <si>
    <t>marcia@coasul.com.br</t>
  </si>
  <si>
    <t>GUSTAVO MACHADO WERLICH DA SILVA</t>
  </si>
  <si>
    <t>https://maps.app.goo.gl/WFGSPB1YEevtTzvZ6</t>
  </si>
  <si>
    <t>46-35382157</t>
  </si>
  <si>
    <t>NICOLAS MANICA DA SILVA</t>
  </si>
  <si>
    <t>ANA APARECIDA CANOSSA</t>
  </si>
  <si>
    <t>42-36531485</t>
  </si>
  <si>
    <t>SOFIA KOERICH</t>
  </si>
  <si>
    <t>https://maps.app.goo.gl/mXY9viyYwVhL6LTw9</t>
  </si>
  <si>
    <t>ANNA CAROLINA DE ROSIS</t>
  </si>
  <si>
    <t>https://maps.app.goo.gl/SPRqPytUzmrZmsd76</t>
  </si>
  <si>
    <t>ELAINE CRISTINA MENOCI LOLIS</t>
  </si>
  <si>
    <t>44-32471900</t>
  </si>
  <si>
    <t>44-998730275</t>
  </si>
  <si>
    <t>ELAINE.MENOCI@COCAMAR.COM.BR</t>
  </si>
  <si>
    <t xml:space="preserve">Aguardando envio do documento para alteração de horário </t>
  </si>
  <si>
    <t>ISABELA DE OLIVEIRA NORONHA</t>
  </si>
  <si>
    <t>KARISSON LUCAS KARKLING</t>
  </si>
  <si>
    <t>46-35252491</t>
  </si>
  <si>
    <t>MATHEUS JUNIOR ARAUJO</t>
  </si>
  <si>
    <t>46-32441197</t>
  </si>
  <si>
    <t>EDUARDO DE ALMEIDA BECKER</t>
  </si>
  <si>
    <t>PEDRO AUGUSTO KAILER DA SILVA</t>
  </si>
  <si>
    <t>46-999170210</t>
  </si>
  <si>
    <t>JOÃO VICTOR DOS SANTOS RODRIGUES</t>
  </si>
  <si>
    <t>https://maps.app.goo.gl/Hmxg57UHY55cvJjQA</t>
  </si>
  <si>
    <t>MIRELA MORAIS SOARES</t>
  </si>
  <si>
    <t>79.114.450/0259-07</t>
  </si>
  <si>
    <t>Cocamar - Unidade Loanda, R. Jean Noujaim, 750, Loanda - PR, 87900-000</t>
  </si>
  <si>
    <t>https://maps.app.goo.gl/mu2Ahkok9AWG58Yd6</t>
  </si>
  <si>
    <t>ADRIANA FAGUNDES</t>
  </si>
  <si>
    <t>44-31415159</t>
  </si>
  <si>
    <t>67-996440490</t>
  </si>
  <si>
    <t>ADRIANA.FAGUNDES@COCAMAR.COM.BR</t>
  </si>
  <si>
    <t>ANA BEATRIZ FRANÇA SMITH</t>
  </si>
  <si>
    <t>https://maps.app.goo.gl/M8KY9W2x7UbEGoHr8</t>
  </si>
  <si>
    <t>KETTYLIN BIANCA MAIA LEAL</t>
  </si>
  <si>
    <t>Cocamar - Unidade Doutor Camargo - Rodovia João Jorge Saad, Dr. Camargo - PR</t>
  </si>
  <si>
    <t>https://maps.app.goo.gl/g63VQWSs4My7nKza9</t>
  </si>
  <si>
    <t>CLEVENICE GERVONI ARAUJO</t>
  </si>
  <si>
    <t>DIOVANA VITÓRIA ALVES FILARDO</t>
  </si>
  <si>
    <t>79.114.450/0155-10</t>
  </si>
  <si>
    <t>Cocamar - Unidade Douradina, Rodovia PR 82, Km 1,5 - Lt. 1-A, Gleba nº 08 N, Douradina - PR, 87485-000</t>
  </si>
  <si>
    <t>https://maps.app.goo.gl/iJYjBnaDju8At1ui6</t>
  </si>
  <si>
    <t>ERICA NIGRE DOS SANTOS</t>
  </si>
  <si>
    <t>44-36221522</t>
  </si>
  <si>
    <t>erica.santos@cocamar.com.br</t>
  </si>
  <si>
    <t>THIAGO BALSANI DOS SANTOS</t>
  </si>
  <si>
    <t>https://maps.app.goo.gl/mZC9Vi2ap3MMwWPs9</t>
  </si>
  <si>
    <t>DIEGO RAMON DE OLIVEIRA</t>
  </si>
  <si>
    <t>https://maps.app.goo.gl/Qi6kGYAM4sfZ5p2h9</t>
  </si>
  <si>
    <t>MURILO DE SOUZA</t>
  </si>
  <si>
    <t>43-996465056</t>
  </si>
  <si>
    <t>MARIA CLARA VIANA DA FONSECA</t>
  </si>
  <si>
    <t>EDIJANE DE OLIVIERA SOUZA</t>
  </si>
  <si>
    <t>KARINE APARECIDA DE OLIVEIRA</t>
  </si>
  <si>
    <t>Cocamar - Unidade Santa Mariana, Santa Mariana - PR, 86350-000</t>
  </si>
  <si>
    <t>https://maps.app.goo.gl/wcxynRiyxzL2WhrK7</t>
  </si>
  <si>
    <t>GEOVANA SOARES DE OLIVEIRA</t>
  </si>
  <si>
    <t>https://maps.app.goo.gl/SJuVS1rAnYZJkEFv9</t>
  </si>
  <si>
    <t>43-32421296</t>
  </si>
  <si>
    <t>43-999615866</t>
  </si>
  <si>
    <t>ISABELLY VITORIA DO NASCIMENTO MOREIRA</t>
  </si>
  <si>
    <t>JOÃO RODRIGO ZAREMBA</t>
  </si>
  <si>
    <t>COOPERATIVA DE CREDITO POUPANCA E INVESTIMENTO CENTRO SUL SICREDI CENTRO SUL PR SC RJ</t>
  </si>
  <si>
    <t>78.907.607/0018-95</t>
  </si>
  <si>
    <t>Av. Presidente Getúlio Vargas, 1153 - Centro, Cruz Machado - PR, 84620-000</t>
  </si>
  <si>
    <t>https://maps.app.goo.gl/tbHi4139TVmw9qXXA</t>
  </si>
  <si>
    <t>melissa_vedana@sicredi.com.br</t>
  </si>
  <si>
    <t>MARIA PAULA DE ASSIS BATISTA</t>
  </si>
  <si>
    <t>https://maps.app.goo.gl/ujZMxQ6ZbUhFasNK7</t>
  </si>
  <si>
    <t>VANIA MARIA DE JESUS PEREIRA GUERREIRO</t>
  </si>
  <si>
    <t>43-35383377</t>
  </si>
  <si>
    <t>43-920007181</t>
  </si>
  <si>
    <t>VANIA.GUERREIRO@INTEGRADA.COOP.BR</t>
  </si>
  <si>
    <t>JOAO PEDRO MATOS VIEIRA</t>
  </si>
  <si>
    <t>81.723.108/0014-29</t>
  </si>
  <si>
    <t>Credicoamo - Nova Santa Rosa, R. Boa Vista, s/n - Nova Santa Rosa, PR, 85930-000</t>
  </si>
  <si>
    <t>https://maps.app.goo.gl/jYzk3HUTkQJ8Fs519</t>
  </si>
  <si>
    <t>EDIVAR ADRIANO DANNER</t>
  </si>
  <si>
    <t>43-999190463</t>
  </si>
  <si>
    <t>edanner@credicoamo.com.br</t>
  </si>
  <si>
    <t>MARIA CLARA CALHEGA DA SILVA</t>
  </si>
  <si>
    <t>Integrada Cooperativa Agroindustrial - Unidade Industrial de Milho, 39, BR-369, S/N - São Gabriel, Andirá - PR, 86380-000</t>
  </si>
  <si>
    <t>https://maps.app.goo.gl/8MVhGbhg9u6RKzWK8</t>
  </si>
  <si>
    <t>Rafaela Mitrovini</t>
  </si>
  <si>
    <t>43-98126261</t>
  </si>
  <si>
    <t>rafaela.mitrovini@integrada.coop.br</t>
  </si>
  <si>
    <t>FELIPE LOMBARDO DE RESENDE</t>
  </si>
  <si>
    <t>00.993.264/0047-76</t>
  </si>
  <si>
    <t>Integrada Cooperativa Agroindustrial - Regional Cambará - Avenida Brasil, Cambará - PR</t>
  </si>
  <si>
    <t>https://maps.app.goo.gl/N9vNYhBsxgsVruMJ9</t>
  </si>
  <si>
    <t>Maria Gabriela Teles de Menezes Pereira</t>
  </si>
  <si>
    <t>43-996265137</t>
  </si>
  <si>
    <t>gabriela.menezes@integrada.coop.br</t>
  </si>
  <si>
    <t>BEATRYZ FREITAS RICOBELLO</t>
  </si>
  <si>
    <t>44-36591422</t>
  </si>
  <si>
    <t>44-997164355</t>
  </si>
  <si>
    <t>GRACIELI.FONSECA@COCAMAR.COM.BR</t>
  </si>
  <si>
    <t>KRISSA CAETANO DELMONDES DOS SANTOS</t>
  </si>
  <si>
    <t>Ana Paula Brugnolli dos Santos</t>
  </si>
  <si>
    <t>anabrunholle26@gmail.com</t>
  </si>
  <si>
    <t>KAIO VINICIUS PEREIRA MONTANARIO</t>
  </si>
  <si>
    <t>96.418.264/0686-04</t>
  </si>
  <si>
    <t>Av. Brasil, 1709 - Centro, Alto Piquiri - PR, 87580-000</t>
  </si>
  <si>
    <t>https://maps.app.goo.gl/MYY3mWNTVTXXaTvm8</t>
  </si>
  <si>
    <t>BRUNA CAROLINE DA CRUZ</t>
  </si>
  <si>
    <t>67-996721729</t>
  </si>
  <si>
    <t>ger671@quero-quero.com.br</t>
  </si>
  <si>
    <t>EMANUEL DOS SANTOS SILVA</t>
  </si>
  <si>
    <t>MIRELA ADELAIDE ZANETTI SIMOES</t>
  </si>
  <si>
    <t>45-988383211</t>
  </si>
  <si>
    <t>mirela.simoes@coagru.com.br</t>
  </si>
  <si>
    <t>BRUNA RAISSA CESCONETO</t>
  </si>
  <si>
    <t>45-32491136</t>
  </si>
  <si>
    <t>Segunda-feira: 13:30 às 15:30; Terça-feira: 13:30 às 15:30; Quinta-feira: 13:30 às 15:30; Sexta-feira: 13:30 às 15:30; Sábado: 08:00 às 12:00</t>
  </si>
  <si>
    <t>BEATRIZ IENSEN MAINARDE</t>
  </si>
  <si>
    <t>88.212.113/1463-09</t>
  </si>
  <si>
    <t>R. Moisés Lupion, 316 - Centro, Arapoti - PR, 84990-000</t>
  </si>
  <si>
    <t>https://maps.app.goo.gl/7mrkjbiZnKxmAY2L7</t>
  </si>
  <si>
    <t>ALYNE YUMI KOBAYASHI</t>
  </si>
  <si>
    <t>54-999256145</t>
  </si>
  <si>
    <t>GUILHERME DE MATOS ROSA</t>
  </si>
  <si>
    <t>https://maps.app.goo.gl/YbMaQKURSSzkaBEw5</t>
  </si>
  <si>
    <t>MACIEL</t>
  </si>
  <si>
    <t>Ger554@quero-quero.com.br</t>
  </si>
  <si>
    <t>JULLIA GABRIELY NUNES</t>
  </si>
  <si>
    <t>SUPERMERCADO ALIANÇA LTDA</t>
  </si>
  <si>
    <t>75.397.455/0004-34</t>
  </si>
  <si>
    <t>R. Getúlio Vargas, 1161 - Centro, Assaí - PR, 86220-000</t>
  </si>
  <si>
    <t>https://maps.app.goo.gl/zmUZjZAyuFze2yoR7</t>
  </si>
  <si>
    <t>LEANDRO GUEDES MENEZES</t>
  </si>
  <si>
    <t>43-31574800</t>
  </si>
  <si>
    <t>43-991047514</t>
  </si>
  <si>
    <t>GERENTE7@MOLICENTER.COM.BR</t>
  </si>
  <si>
    <t>PEDRO HENRIQUE FERREIRA DE FARIAS</t>
  </si>
  <si>
    <t>Leandro Guedes Menezes</t>
  </si>
  <si>
    <t>MARIA EDUARDA ALVES ANTÔNIO SENA</t>
  </si>
  <si>
    <t>Av. Rio de Janeiro, 510 - Centro, Assaí - PR, 86220-000</t>
  </si>
  <si>
    <t>https://maps.app.goo.gl/yehKY7NopxfSmqnAA</t>
  </si>
  <si>
    <t>Lucas Aparecido de Oliveira</t>
  </si>
  <si>
    <t>43-996638248</t>
  </si>
  <si>
    <t>lucas_oliveirabvp@hotmail.com</t>
  </si>
  <si>
    <t>COOPERATIVA AGROINDUSTRIAL NOVA PRODUTIVA</t>
  </si>
  <si>
    <t>03.345.641/0003-38</t>
  </si>
  <si>
    <t>Destilaria Nova Produtiva - Santa Zélia, Astorga - PR, 86730-000</t>
  </si>
  <si>
    <t>https://maps.app.goo.gl/mkSvXyzqonTxWStJ9</t>
  </si>
  <si>
    <t>ANTONIO LUCIANO BERTANI</t>
  </si>
  <si>
    <t>44-32348263</t>
  </si>
  <si>
    <t>44-999299809</t>
  </si>
  <si>
    <t>BERTANI@NOVAPRODUTIVA.COM.BR</t>
  </si>
  <si>
    <t>Segunda-feira: 13:18 às 15:18; Terça-feira: 13:18 às 15:18; Quarta-feira: 13:18 às 15:18; Quinta-feira: 13:18 às 15:18; Sexta-feira: 13:18 às 17:18</t>
  </si>
  <si>
    <t>MARIA CLARA MOREIRA DE BARROS</t>
  </si>
  <si>
    <t>Segunda-feira: 15:18 às 17:18; Terça-feira: 15:18 às 17:18; Quarta-feira: 15:18 às 17:18; Quinta-feira: 15:18 às 17:18; Sexta-feira: 13:18 às 17:18</t>
  </si>
  <si>
    <t>GUILHERME DAVI RUSCHEL</t>
  </si>
  <si>
    <t>75.984.906/0043-46</t>
  </si>
  <si>
    <t>Coagro Cooperativa Agroindustrial - Barracão, BR-163, SN - Copasa, Barracão - PR, 85700-000</t>
  </si>
  <si>
    <t>https://maps.app.goo.gl/8gAsJzZWJLTFZLbX8</t>
  </si>
  <si>
    <t>Gilmar Loff Cenci</t>
  </si>
  <si>
    <t>46-991024829</t>
  </si>
  <si>
    <t>barracao@coagro.com.br</t>
  </si>
  <si>
    <t>GUSTAVO BARBOSA SANTIAGO</t>
  </si>
  <si>
    <t>VDSANTOS@COAMO.COM.BR</t>
  </si>
  <si>
    <t>DANYELA DA SILVA SLOMPO</t>
  </si>
  <si>
    <t>WILSON JOSE ALVES DA SILVA</t>
  </si>
  <si>
    <t>46-999335396</t>
  </si>
  <si>
    <t>wilson.silva@coasul.com.br</t>
  </si>
  <si>
    <t>LUIZ FELIPE DE FREITAS PEREIRA</t>
  </si>
  <si>
    <t>GUSTO E HENRI SUPERMERCADOS LTDA</t>
  </si>
  <si>
    <t>Alexandra de Jesus Fracaro dos Santos</t>
  </si>
  <si>
    <t>41-30124699</t>
  </si>
  <si>
    <t>41-991715024</t>
  </si>
  <si>
    <t>Dp@gruporioverde.com.br</t>
  </si>
  <si>
    <t>LETICIA EDUARDA GONCALVES FERREIRA</t>
  </si>
  <si>
    <t>LAURA RHANAELY DE LIMA ALVES</t>
  </si>
  <si>
    <t>ALEXANDRA DE JESUS FRACARO DOS SANTOS</t>
  </si>
  <si>
    <t>ELISA SANTOS FARIA</t>
  </si>
  <si>
    <t>VITOR BASSETTI</t>
  </si>
  <si>
    <t>ANA FLAVIA SANTOS TORQUATO</t>
  </si>
  <si>
    <t>BEATRIZ VILELA CANSIAN</t>
  </si>
  <si>
    <t>ANDRÉ SOARES EDUARDO</t>
  </si>
  <si>
    <t>MARIANA BOARETO</t>
  </si>
  <si>
    <t>ISABELLY DOS SANTOS BERNIS</t>
  </si>
  <si>
    <t>EDUARDO MACIEL PEREIRA</t>
  </si>
  <si>
    <t>WESLEY DOS SANTOS CARDOSO</t>
  </si>
  <si>
    <t>MURIEL NASCIMENTO RODRIGUES</t>
  </si>
  <si>
    <t>Av. Iguaçu, 457 - Centro, Cap. Leônidas Marques - PR, 85790-000</t>
  </si>
  <si>
    <t>https://maps.app.goo.gl/7XRuP7EPAKKbAbak9</t>
  </si>
  <si>
    <t>RHUAN CARLOS MORENO DE SANTANA</t>
  </si>
  <si>
    <t>45-991475820</t>
  </si>
  <si>
    <t>RHUAN8048@GMAIL.COM</t>
  </si>
  <si>
    <t>LYELLE BONATTO TELLES</t>
  </si>
  <si>
    <t>JOÃO VITOR PEREIRA DO NASCIMENTO</t>
  </si>
  <si>
    <t>Coaprocor Cooperativa Agroindustrial de Produtores de Corumbataí do Sul</t>
  </si>
  <si>
    <t>10.956.576/0001-80</t>
  </si>
  <si>
    <t>COAPROCOR - Cooperativa Agroindustrial de Produtores de Corumbataí do Sul, R. Guarani, 120 - Centro, Corumbataí do Sul - PR, 86970-000</t>
  </si>
  <si>
    <t>https://maps.app.goo.gl/xo4ZULtX4arLxzQZ8</t>
  </si>
  <si>
    <t>Tiago Martins da Silva</t>
  </si>
  <si>
    <t>44-999944596</t>
  </si>
  <si>
    <t>contabil@coaprocor.com.br</t>
  </si>
  <si>
    <t>VITORIA AGUIAR DA CRUZ</t>
  </si>
  <si>
    <t>TIAGO MARTINS DA SILVA</t>
  </si>
  <si>
    <t>VINICIUS PINTO PAZ</t>
  </si>
  <si>
    <t>46-988034310</t>
  </si>
  <si>
    <t>MARIANY FERREIRA MACHADO</t>
  </si>
  <si>
    <t>43-992875599</t>
  </si>
  <si>
    <t>ALRIBEIRO@COAMO.COM.BR</t>
  </si>
  <si>
    <t>RAYKA BRAZ ARAUJO</t>
  </si>
  <si>
    <t>VITOR HUGO LOURENÇO DE FREITAS</t>
  </si>
  <si>
    <t>POSTO NOVA PARADA LTDA</t>
  </si>
  <si>
    <t>09.106.008/0001-01</t>
  </si>
  <si>
    <t>Posto Nova Parada, PR-317, Km 140, s/n - Centro, Eng. Beltrão - PR, 87270-000</t>
  </si>
  <si>
    <t>https://maps.app.goo.gl/hbRDywmLbvb9TGa8A</t>
  </si>
  <si>
    <t>CARLA VERIDIANA DA CUNHA TANAMATI</t>
  </si>
  <si>
    <t>44-988616870</t>
  </si>
  <si>
    <t>44-988347774</t>
  </si>
  <si>
    <t>p_novaparada@hotmail.com</t>
  </si>
  <si>
    <t>FERNANDO CESAR DE CAMARGO CORDEIRO</t>
  </si>
  <si>
    <t>MARIA EDUARDA DOS REIS RIBEIRO</t>
  </si>
  <si>
    <t>96.418.264/0667-41</t>
  </si>
  <si>
    <t>R. Santos Dumont, 611 - Faxinal, PR, 86840-000</t>
  </si>
  <si>
    <t>https://maps.app.goo.gl/Z4sBhvXUniLWiVDF7</t>
  </si>
  <si>
    <t>MATHEUS DOS SANTOS</t>
  </si>
  <si>
    <t>42-991215432</t>
  </si>
  <si>
    <t>Mdivininho.9@gmail.com</t>
  </si>
  <si>
    <t>ELLEN CRISTINA DAWIES</t>
  </si>
  <si>
    <t>EDINA CRISTINA PRESA</t>
  </si>
  <si>
    <t>46-999822533</t>
  </si>
  <si>
    <t>edina.presa@coasul.com.br</t>
  </si>
  <si>
    <t>LARISSA EDUARDA SANTOS FERREIRA</t>
  </si>
  <si>
    <t>ELEANDRO JOSE DA SILVA</t>
  </si>
  <si>
    <t>44-991658260</t>
  </si>
  <si>
    <t>ELEANDRO.SILVA@COCAMAR.COM.BR</t>
  </si>
  <si>
    <t>FELIPE SHINJI SAKATA</t>
  </si>
  <si>
    <t>Zacarias Veículos LTDA</t>
  </si>
  <si>
    <t>79.138.608/0007-22</t>
  </si>
  <si>
    <t>Av. Santos Dumont, 1331 - cidade alta, Goioerê - PR, 87360-000</t>
  </si>
  <si>
    <t>https://maps.app.goo.gl/ZPcWsgo7nVMLDfpZA</t>
  </si>
  <si>
    <t>Victoria da Silva Lima</t>
  </si>
  <si>
    <t>44-32615235</t>
  </si>
  <si>
    <t>44-999175027</t>
  </si>
  <si>
    <t>victoria.lima@grupoaf.com.br</t>
  </si>
  <si>
    <t>MATHEUS HENRIQUE DA SILVA DE OLIVEIRA</t>
  </si>
  <si>
    <t>VICTORIA DA SILVA LIMA</t>
  </si>
  <si>
    <t>CARLA DE CASTRO DE OLIVEIRA</t>
  </si>
  <si>
    <t>GABRIELI VITORIA DE LIMA MAGALHÃES</t>
  </si>
  <si>
    <t>COOPERATIVA AGROINDUSTRIAL COPAGRIL</t>
  </si>
  <si>
    <t>81.584.278/0008-21</t>
  </si>
  <si>
    <t>Copagril, R. Principal, s/n - Bela Vista, Guaíra - PR, 85980-000</t>
  </si>
  <si>
    <t>https://maps.app.goo.gl/brpoJRQzKbp4eJpJ9</t>
  </si>
  <si>
    <t>CLAUDINEIA BERGAMINI DE FREITAS</t>
  </si>
  <si>
    <t>44-99376635</t>
  </si>
  <si>
    <t>claudineia.freitas@copagril.com.br</t>
  </si>
  <si>
    <t>LAIS FABIANA DA SILVA SIQUEIRA</t>
  </si>
  <si>
    <t>81.584.278/0016-31</t>
  </si>
  <si>
    <t>R. Diocleciano de Souza, 329 - Dr. Oliveira Castro, Guaíra - PR, 85980-000</t>
  </si>
  <si>
    <t>https://maps.app.goo.gl/SSuHPfnssQxHF85i9</t>
  </si>
  <si>
    <t>KEMILY VITÓRIA ANDRADE</t>
  </si>
  <si>
    <t>96.418.264/0565-17</t>
  </si>
  <si>
    <t>Lojas Quero-Quero, Av. Abilon de Souza Naves, 900 - Centro, Guaraniaçu - PR, 85400-000</t>
  </si>
  <si>
    <t>https://maps.app.goo.gl/i4bEq5XS5PsckY9x7</t>
  </si>
  <si>
    <t>Jaciara Maressa farias</t>
  </si>
  <si>
    <t>45-998111141</t>
  </si>
  <si>
    <t>Ger551@quero-quero.com.br</t>
  </si>
  <si>
    <t>ANTONIO CARLOS MALLMANN</t>
  </si>
  <si>
    <t>FERTIZAN - COMERCIO DE DEFENSIVOS AGRICOLAS LTDA</t>
  </si>
  <si>
    <t>13.864.300/0001-60</t>
  </si>
  <si>
    <t>Fertizan Comércio De Defensivos Agrícolas Ltda, BR-277, KM 521 - SN, Guaraniaçu - PR, 85400-000</t>
  </si>
  <si>
    <t>https://maps.app.goo.gl/bgcMQ8Rw6iGnvZt67</t>
  </si>
  <si>
    <t>PEDRO HENRIQUE ZANIN</t>
  </si>
  <si>
    <t>45-32321654</t>
  </si>
  <si>
    <t>45-999181094</t>
  </si>
  <si>
    <t>cadastro@fertizan.com.br</t>
  </si>
  <si>
    <t>JHONATÃ PEREIRA MARTINS</t>
  </si>
  <si>
    <t>Pedro Henrique Zanin</t>
  </si>
  <si>
    <t>CICERO GUSTAVO DO BEM DE OLIVEIRA</t>
  </si>
  <si>
    <t>https://maps.app.goo.gl/uM2N8KmrPVdcT6gN7</t>
  </si>
  <si>
    <t>EMMILY NAUANDA EGIDIO DOS SANTOS</t>
  </si>
  <si>
    <t>IAN MATHEUS CARVALHO</t>
  </si>
  <si>
    <t>CAROLINE MEIRA PUSK</t>
  </si>
  <si>
    <t>Segunda-feira: 16:00 às 18:00; Terça-feira: 16:00 às 18:00; Quinta-feira: 16:00 às 18:00; Sexta-feira: 16:00 às 18:00; Sábado: 08:00 às 12:00</t>
  </si>
  <si>
    <t>DANILO SILVA FAGUNDES DE OLIVEIRA</t>
  </si>
  <si>
    <t>JOAO VITOR DA SILVA PINTO</t>
  </si>
  <si>
    <t>DAVID DE FARIA MARTINS</t>
  </si>
  <si>
    <t>Gusto e Henri Supermercados Ltda</t>
  </si>
  <si>
    <t>LUIS HENRIQUE COSTA ROSA</t>
  </si>
  <si>
    <t>MISLLAYNE PRISCILA FRANCA MACHADO SANTOS</t>
  </si>
  <si>
    <t>LETICIA RAMOS CORDEIRO</t>
  </si>
  <si>
    <t>THAEMILI FERNANDA COSTA DE FRANÇA</t>
  </si>
  <si>
    <t>THAIS CAROLINA BUTSCHER DE SIQUEIRA</t>
  </si>
  <si>
    <t>HENDRIK STANSKI CARNEIRO</t>
  </si>
  <si>
    <t>42-988183291</t>
  </si>
  <si>
    <t>LUIS GUSTAVO PITLOVANCIV</t>
  </si>
  <si>
    <t>SOPHIA APARECIDA DOS SANTOS RIGONATO</t>
  </si>
  <si>
    <t>PEDRO HENRIQUE SIMEAO VERGUTZ</t>
  </si>
  <si>
    <t>VINICIUS GABRIEL CARIS</t>
  </si>
  <si>
    <t>JOSÉ ROBERTO ORIZIO</t>
  </si>
  <si>
    <t>42-99982929</t>
  </si>
  <si>
    <t>ALINE ASSIS ALECIO</t>
  </si>
  <si>
    <t>88.212.113/1462-28</t>
  </si>
  <si>
    <t>Av. Paraná, 1726 - Vila nova, Loanda - PR, 87900-000</t>
  </si>
  <si>
    <t>https://maps.app.goo.gl/enwuyLvnGTeq68Yi7</t>
  </si>
  <si>
    <t>GUILHERME DE LIMA XAVIER</t>
  </si>
  <si>
    <t>43-991014973</t>
  </si>
  <si>
    <t>loanda@farmaciassaojoao.com.br</t>
  </si>
  <si>
    <t>EDUARDA MENTZ VEDOVATO</t>
  </si>
  <si>
    <t>Wanderson Aparecido Froes Eduardo</t>
  </si>
  <si>
    <t>ISABELLY CRISTINI VARGAS SINFRÔNIO</t>
  </si>
  <si>
    <t>LUIZ VALÉRIO RODRIGUES DA SILVA</t>
  </si>
  <si>
    <t>RUAN VINICIUS OLIVEIRA LACERDA</t>
  </si>
  <si>
    <t>VILSON JUNIOR COSTA LIMA</t>
  </si>
  <si>
    <t>44-99857840</t>
  </si>
  <si>
    <t>MARIA EDUARDA OLIVEIRA DA SILVA</t>
  </si>
  <si>
    <t>44-999238092</t>
  </si>
  <si>
    <t>FELLIPE MARTINS CUNHA</t>
  </si>
  <si>
    <t>AMABILLY KRABBE BATISTA</t>
  </si>
  <si>
    <t>Henrique Shindi Kagimura</t>
  </si>
  <si>
    <t>BEATRIZ PIANCA LOPES</t>
  </si>
  <si>
    <t>JOÃO VICTOR DE SOUZA BANDEIRA</t>
  </si>
  <si>
    <t>AUTO POSTO PROGRESSO MANOEL RIBAS LTDA</t>
  </si>
  <si>
    <t>47.733.782/0001-31</t>
  </si>
  <si>
    <t>POSTO PROGRESSO MR, F9JC+94 - Manoel Ribas, PR, 85260-000</t>
  </si>
  <si>
    <t>https://maps.app.goo.gl/jF6wTrfzsEpA3Rhz9</t>
  </si>
  <si>
    <t>jones eduardo perek</t>
  </si>
  <si>
    <t>41-987493822</t>
  </si>
  <si>
    <t>manoelribas01@redeprogresso.com</t>
  </si>
  <si>
    <t>PEDRO MARTINS OLIVEIRA</t>
  </si>
  <si>
    <t>GABRIEL CRISTIAN SILVANO FRANCA</t>
  </si>
  <si>
    <t>RAINHA SUPERMERCADO LTDA</t>
  </si>
  <si>
    <t>01.085.428/0001-47</t>
  </si>
  <si>
    <t>Rainha Supermercado, Av. João XXIII, 590 - Centro, Mercedes - PR, 85998-000</t>
  </si>
  <si>
    <t>https://maps.app.goo.gl/ctWKxgHBeqbeAcNDA</t>
  </si>
  <si>
    <t>MARTA GONÇALVES RECH</t>
  </si>
  <si>
    <t>45-32561160</t>
  </si>
  <si>
    <t>45-98119912</t>
  </si>
  <si>
    <t>rh.rainhasuper@gmail.com</t>
  </si>
  <si>
    <t>JULIANA FIEDLER</t>
  </si>
  <si>
    <t>Marta Gonçalves Rech</t>
  </si>
  <si>
    <t>NATHALY PINHEIRO DO CARMO</t>
  </si>
  <si>
    <t>THIAGO RIBEIRO COSTA</t>
  </si>
  <si>
    <t>PRISCILA GIMENES PEREIRA</t>
  </si>
  <si>
    <t>AMANDA DE LAZARI</t>
  </si>
  <si>
    <t>44-997400460</t>
  </si>
  <si>
    <t>KYARA DE GASPERI HANDOHA</t>
  </si>
  <si>
    <t>ANNELISE VON KNOBLAUCH SILVA</t>
  </si>
  <si>
    <t>ANA BEATRIZ CARRANÇA DE OLIVEIRA</t>
  </si>
  <si>
    <t>PATRICIA DE SOUZA LUCAS</t>
  </si>
  <si>
    <t>GENEVARIO MADERS</t>
  </si>
  <si>
    <t>ISABELA DALBERTO</t>
  </si>
  <si>
    <t>KETLIN MIRANDA COSTA</t>
  </si>
  <si>
    <t>MANUELLA MARTINS MULATI</t>
  </si>
  <si>
    <t>44-988571182</t>
  </si>
  <si>
    <t>manuella.mulati@cocamar.com.br</t>
  </si>
  <si>
    <t>MANUELLA GUSMAN DOS SANTOS</t>
  </si>
  <si>
    <t>ANA JULIA BRAZ DE OLIVEIRA</t>
  </si>
  <si>
    <t>SUPERMERCADO RODOGRAO LTDA</t>
  </si>
  <si>
    <t>03.894.152/0001-73</t>
  </si>
  <si>
    <t>R. XV de Novembro, 15 - Paulo Frontin, PR, 84635-000</t>
  </si>
  <si>
    <t>https://maps.app.goo.gl/Uh8LwAockPBuUaea6</t>
  </si>
  <si>
    <t>ELISABETH MARIA DALLAZEM OPALOSKI</t>
  </si>
  <si>
    <t>42-991328289</t>
  </si>
  <si>
    <t>BOICRIOULO@YAHOO.COM.BR</t>
  </si>
  <si>
    <t>RENATA EDUARDA GARCIA</t>
  </si>
  <si>
    <t>COAGRO Cooperativa Agroindustrial - Conciolândia, Rua 2, Pérola d'Oeste - PR, 85743-000</t>
  </si>
  <si>
    <t>https://maps.app.goo.gl/WtupuiMHAzpbJzyeA</t>
  </si>
  <si>
    <t>Segunda-feira: 15:30 às 17:30; Terça-feira: 15:30 às 17:30; Quarta-feira: 15:30 às 17:30; Sexta-feira: 15:30 às 17:30; Sábado: 08:00 às 12:00</t>
  </si>
  <si>
    <t>VITORIA DA SILVA</t>
  </si>
  <si>
    <t>R. Pref. Ernesto Tonime - Pérola d'Oeste, PR, 85740-000</t>
  </si>
  <si>
    <t>https://maps.app.goo.gl/f77n3bLEkiJqyaCe7</t>
  </si>
  <si>
    <t>Magnos Andrei Schaab</t>
  </si>
  <si>
    <t>LAURA KOCOUREK GIESSLER</t>
  </si>
  <si>
    <t>POR DO SOL PARQUE AQUATICO LTDA.</t>
  </si>
  <si>
    <t>03.920.555/0001-40</t>
  </si>
  <si>
    <t>Parque Aquático e Pousada Por do Sol, Rodovia PR 547, s/n - Zona Rural, Pitangueiras - PR, 86613-000</t>
  </si>
  <si>
    <t>https://maps.app.goo.gl/jkcoH29k7HMom2vu9</t>
  </si>
  <si>
    <t>VALCEU BENJAMIN GIESSLER</t>
  </si>
  <si>
    <t>44-32341885</t>
  </si>
  <si>
    <t>44-997134441</t>
  </si>
  <si>
    <t>contato@parquepordosol.com.br</t>
  </si>
  <si>
    <t>NATALY ISABELY DA SILVA SANGY</t>
  </si>
  <si>
    <t>DOUGLAS LAUDENZACK</t>
  </si>
  <si>
    <t>43-32571146</t>
  </si>
  <si>
    <t>44-999736687</t>
  </si>
  <si>
    <t>DOUGLAS.LAUDENZACK@COCAMAR.COM.BR</t>
  </si>
  <si>
    <t>EMANUEL POZZEBON VENTURINI</t>
  </si>
  <si>
    <t>75.984.906/0012-40</t>
  </si>
  <si>
    <t>https://maps.app.goo.gl/gQvEkrg1QYAwxXpS8</t>
  </si>
  <si>
    <t>centronovo@coagro.com.br</t>
  </si>
  <si>
    <t>ANA BEATRIZ DOS SANTOS KRAEMER</t>
  </si>
  <si>
    <t>WILLIAN DE CRISTO MACHADO</t>
  </si>
  <si>
    <t>79.863.569/0023-46</t>
  </si>
  <si>
    <t>COASUL - Porto Barreiro, Estrada de Acesso ao Porto Santana, S/N - Zona Rural, Porto Barreiro - PR, 85345-000</t>
  </si>
  <si>
    <t>https://maps.app.goo.gl/1DTpGtdvpHgeXDnL8</t>
  </si>
  <si>
    <t>EDER ROBERTO CUNHA SILVA</t>
  </si>
  <si>
    <t>42-999349385</t>
  </si>
  <si>
    <t>eder.silva@coasul.com.br</t>
  </si>
  <si>
    <t>GABRIEL PERES CHIQUETTI</t>
  </si>
  <si>
    <t>YORRAN THIAGO ALVES</t>
  </si>
  <si>
    <t>43-999659495</t>
  </si>
  <si>
    <t>yorran.alves@cocamar.com.br</t>
  </si>
  <si>
    <t>YASMIN MARIA BUENO FEDRIGO</t>
  </si>
  <si>
    <t>75.984.906/0045-08</t>
  </si>
  <si>
    <t>Coagro Cooperativa Agroindustrial - Pranchita, Rua Tocantins, 303 - Centro, Pranchita - PR, 85730-000</t>
  </si>
  <si>
    <t>https://maps.app.goo.gl/C6UZBMUQyxQTuzdf6</t>
  </si>
  <si>
    <t>Ana Paula Dalprai</t>
  </si>
  <si>
    <t>46-999241033</t>
  </si>
  <si>
    <t>pranchita@coagro.com.br</t>
  </si>
  <si>
    <t>RICARDO LUIZ DOS SANTOS</t>
  </si>
  <si>
    <t>75.984.906/0040-01</t>
  </si>
  <si>
    <t>LUCAS HENRIQUE PEREIRA BATZNER</t>
  </si>
  <si>
    <t>45-91460728</t>
  </si>
  <si>
    <t>VINICIUS MEDINA BROCH</t>
  </si>
  <si>
    <t>VITORIA LOPES BACHIEGAS</t>
  </si>
  <si>
    <t>CRISTYAN AVILA DE ALMEIDA</t>
  </si>
  <si>
    <t>44-35671133</t>
  </si>
  <si>
    <t>GABRIEL SILVA SATELLI</t>
  </si>
  <si>
    <t>ISADORA SUENSON LAGOEIRO</t>
  </si>
  <si>
    <t>43-999030119</t>
  </si>
  <si>
    <t>GUILHERME LIMA DE OLIVEIRA</t>
  </si>
  <si>
    <t>LOJAS BECKER LTDA L215</t>
  </si>
  <si>
    <t>04.415.928/0215-19</t>
  </si>
  <si>
    <t>Av. Bruno Zuttion, 3571 - Centro, Realeza - PR, 85770-000</t>
  </si>
  <si>
    <t>https://maps.app.goo.gl/wYmeN8vpdDfBRwct5</t>
  </si>
  <si>
    <t>Edilson Pereira da Silva</t>
  </si>
  <si>
    <t>55-981530153</t>
  </si>
  <si>
    <t>edilson.pereira@lojasbecker.com</t>
  </si>
  <si>
    <t>RENAN RIVA</t>
  </si>
  <si>
    <t>JP DISTRIBUIDORA E IMPORTADORA DE MATERIAIS DE CONSTRUCAO LTDA</t>
  </si>
  <si>
    <t>14.396.540/0002-21</t>
  </si>
  <si>
    <t>JP DISTRIBUIDORA DE MATERIAIS DE CONSTRUÇÃO - FILIAL PR, Prolongamento da Rua 01, S/N - Lote 98-R - Industrial II, Renascença - PR, 85610-000</t>
  </si>
  <si>
    <t>https://maps.app.goo.gl/wUg2gqpHotZXKLZr8</t>
  </si>
  <si>
    <t>MAIARA SEVERO CORREA</t>
  </si>
  <si>
    <t>49-998080897</t>
  </si>
  <si>
    <t>rh.pr@jpdistribuidora.com</t>
  </si>
  <si>
    <t>WALLACE RAUNA BETTU DE BORBA</t>
  </si>
  <si>
    <t>Segunda-feira: 13:30 às 15:30; Quarta-feira: 13:30 às 15:30; Quinta-feira: 13:30 às 15:30; Sexta-feira: 13:30 às 15:30; Sábado: 08:00 às 12:00</t>
  </si>
  <si>
    <t>ABRAÃO ABEL DA SILVA</t>
  </si>
  <si>
    <t>DOUGLAS LUIZ RAVANELLI BREITENBACH</t>
  </si>
  <si>
    <t>46-30331111</t>
  </si>
  <si>
    <t>JOAO PAULO BIANCATO HEINZEN</t>
  </si>
  <si>
    <t>KAMILI VITORIA PAVANELO</t>
  </si>
  <si>
    <t>04.415.928/0250-00</t>
  </si>
  <si>
    <t>VORUZ, Av. dos Pinheiros - Santa Izabel do Oeste, PR, 85650-000</t>
  </si>
  <si>
    <t>https://maps.app.goo.gl/MNRHBvJ668ZPBLEBA</t>
  </si>
  <si>
    <t>JONES RAMBO</t>
  </si>
  <si>
    <t>46-35421878</t>
  </si>
  <si>
    <t>46-999175310</t>
  </si>
  <si>
    <t>jones.rambo@lojasbecker.com</t>
  </si>
  <si>
    <t>ELOISA TOMAZONI</t>
  </si>
  <si>
    <t>04.415.928/0206-28</t>
  </si>
  <si>
    <t>Isocred Negócios, R. Dom Pedro I - Santo Antônio do Sudoeste, PR, 85710-000</t>
  </si>
  <si>
    <t>https://maps.app.goo.gl/T1gzhEc5pa9yPgB9A</t>
  </si>
  <si>
    <t>CLEITON ANDRE TOIGO</t>
  </si>
  <si>
    <t>46-35633195</t>
  </si>
  <si>
    <t>46-991335856</t>
  </si>
  <si>
    <t>cleiton.toigo@lojasbecker.com</t>
  </si>
  <si>
    <t>GABRIEL FRANCISCO CARMINATTI</t>
  </si>
  <si>
    <t>CARMINATTI CEREAIS LTDA</t>
  </si>
  <si>
    <t>32.135.359/0007-58</t>
  </si>
  <si>
    <t xml:space="preserve">Não Identificado </t>
  </si>
  <si>
    <t>JAQUELINE ORTEGA</t>
  </si>
  <si>
    <t>46-35638100</t>
  </si>
  <si>
    <t>46-991309418</t>
  </si>
  <si>
    <t>rhavicola@avicolacarminatti.com.br</t>
  </si>
  <si>
    <t>VITOR GABRIEL MARTINS DA CRUZ</t>
  </si>
  <si>
    <t>Jaqueline Ortega</t>
  </si>
  <si>
    <t>VICTOR PAULO KOCH ALTENHOFEN</t>
  </si>
  <si>
    <t>75.984.906/0051-56</t>
  </si>
  <si>
    <t>https://maps.app.goo.gl/WbUCwAk76LezNR3K9</t>
  </si>
  <si>
    <t>Leandro Domingos Sostisso De Almeida</t>
  </si>
  <si>
    <t>46-999845719</t>
  </si>
  <si>
    <t>marcianopolis@coagro.com.br</t>
  </si>
  <si>
    <t>JOÃO VICTOR RODRIGUES DA SILVA</t>
  </si>
  <si>
    <t>https://maps.app.goo.gl/J8e3wY3S5kr2DUeV7</t>
  </si>
  <si>
    <t>INGRIDI DE PAULA</t>
  </si>
  <si>
    <t>https://maps.app.goo.gl/n2WGTY2uQNonYLQKA</t>
  </si>
  <si>
    <t>Giovani Nespolo</t>
  </si>
  <si>
    <t>46-991089749</t>
  </si>
  <si>
    <t>VITÓRIA GABRIELA FERREIRA</t>
  </si>
  <si>
    <t>LETICIA DELALIBERA</t>
  </si>
  <si>
    <t>46-999079505</t>
  </si>
  <si>
    <t>leticia.delalibera@coasul.com.br</t>
  </si>
  <si>
    <t>BRYAN CALEB DELLALIBERA LEAL PONTES</t>
  </si>
  <si>
    <t>Segunda-feira: 13:00 às 15:00; Terça-feira: 13:00 às 15:00; Quarta-feira: 13:00 às 15:00; Quinta-feira: 13:00 às 15:00; Sexta-feira: 13:00 às 17:00</t>
  </si>
  <si>
    <t>VICTOR GABRIEL GONÇALVES PIMENTEL</t>
  </si>
  <si>
    <t>ARTHUR HENRIQUE CASSEL</t>
  </si>
  <si>
    <t>cristina.richardi@coasul.com.br</t>
  </si>
  <si>
    <t>Segunda-feira: 13:15 às 15:15; Terça-feira: 13:15 às 15:15; Quarta-feira: 13:15 às 15:15; Quinta-feira: 13:15 às 15:15; Sexta-feira: 13:15 às 17:15</t>
  </si>
  <si>
    <t>DAVI LUIZ PAGNUSSAT SITADELA</t>
  </si>
  <si>
    <t>CARLOS EMANUEL DA SILVA AGUIAR</t>
  </si>
  <si>
    <t>VITORIA ELOISA DAMSKI</t>
  </si>
  <si>
    <t>CAUÃ HENRIQUE LOPES BERNARDO</t>
  </si>
  <si>
    <t>LUIS MIGUEL DE OLIVEIRA DELGADO</t>
  </si>
  <si>
    <t>43-996833159</t>
  </si>
  <si>
    <t>LUIS.DELGADO@COCAMAR.COM.BR</t>
  </si>
  <si>
    <t>IGOR TRIPPE</t>
  </si>
  <si>
    <t>LUIZ ANDRE FELIPE</t>
  </si>
  <si>
    <t>46-999191443</t>
  </si>
  <si>
    <t>luiz.felipe@coasul.com.br</t>
  </si>
  <si>
    <t>NELSE MARA SICHORRA SCHUNEMANN</t>
  </si>
  <si>
    <t>JOAO CARLOS DA SILVA MAYER</t>
  </si>
  <si>
    <t>https://maps.app.goo.gl/51xKoA9oQvSuocdt9</t>
  </si>
  <si>
    <t>Luciano Ortiz da Fonseca Tavares</t>
  </si>
  <si>
    <t>42-998425273</t>
  </si>
  <si>
    <t>gerentetx@gcenter.com.br</t>
  </si>
  <si>
    <t>EMANUEL DOS ANJOS</t>
  </si>
  <si>
    <t>LUCIANO ORTIZ DA FONSECA TAVARES</t>
  </si>
  <si>
    <t>JENNIFER NEGOCEKI SCUTILAKER</t>
  </si>
  <si>
    <t>https://maps.app.goo.gl/4smLkCTbAW3kGC6H9</t>
  </si>
  <si>
    <t>Lauro José Lourenço hammersemidt</t>
  </si>
  <si>
    <t>42-32758300</t>
  </si>
  <si>
    <t>Ger471@quero-quero.com.br</t>
  </si>
  <si>
    <t>ALANA NAIARA DE LIMA</t>
  </si>
  <si>
    <t>R. Quinze de Novembro, 1268 - Centro, Tijucas do Sul - PR, 83190-000</t>
  </si>
  <si>
    <t>https://maps.app.goo.gl/yKYBTRQHVzShXTEL9</t>
  </si>
  <si>
    <t>MARIA ELOISE DE ALMEIDA</t>
  </si>
  <si>
    <t>41-987354902</t>
  </si>
  <si>
    <t>ADM609@QUERO-QUERO.COM.BR</t>
  </si>
  <si>
    <t>LUISA FIORI SOUZA</t>
  </si>
  <si>
    <t>Bruna da Silva Araujo</t>
  </si>
  <si>
    <t>GABRIELLY SCHMITZ</t>
  </si>
  <si>
    <t>https://maps.app.goo.gl/WetZPZwJ1DcGtf1LA</t>
  </si>
  <si>
    <t>Kelly Cristina Kopcski</t>
  </si>
  <si>
    <t>ger615@quero-quero.com.br</t>
  </si>
  <si>
    <t>LORENA VITORIA MELO</t>
  </si>
  <si>
    <t>96.418.264/0614-30</t>
  </si>
  <si>
    <t>Lojas Quero-Quero: Materiais de Construção em Wenceslau Braz PR, Rua Expedicionário, 259 - Centro, Wenceslau Braz - PR, 84950-000</t>
  </si>
  <si>
    <t>https://maps.app.goo.gl/GAgdBSM7mD8uMg5EA</t>
  </si>
  <si>
    <t>Erica fernanda videira</t>
  </si>
  <si>
    <t>43-999105978</t>
  </si>
  <si>
    <t>Ger598@quero-quero.com.br</t>
  </si>
  <si>
    <t>MILENA HOFFMANN DA SILVA</t>
  </si>
  <si>
    <t>FELIPE MEDEIROS</t>
  </si>
  <si>
    <t>Coprossel Coop de Produtores de Sementes, BR-158, km 16,5, Rio Bonito do Iguaçu - PR, 85340-000</t>
  </si>
  <si>
    <t>https://maps.app.goo.gl/AgwGMiAGvcBQbraH8</t>
  </si>
  <si>
    <t>Draiton de Menech</t>
  </si>
  <si>
    <t>EMANUELY VILLANI DE LIMA</t>
  </si>
  <si>
    <t>Coprossel Unidade 2 - Campo do Bugre, Rio Bonito do Iguaçu - PR, 85340-000</t>
  </si>
  <si>
    <t>https://maps.app.goo.gl/Hj2avCuDHC3iWfEY7</t>
  </si>
  <si>
    <t>Rodrigo Guilman</t>
  </si>
  <si>
    <t>EDUARDO MOLINETT CAVASOTTO</t>
  </si>
  <si>
    <t>https://maps.app.goo.gl/5ess77g2WV2SGUfPA</t>
  </si>
  <si>
    <t>Leila Cristiane Brechmz Damazio</t>
  </si>
  <si>
    <t>42-36371440</t>
  </si>
  <si>
    <t>GABRIEL FELIPE DE AMORIN</t>
  </si>
  <si>
    <t>Joice Andreia Pszebiszeski</t>
  </si>
  <si>
    <t>LUCAS RAMALHO RODRIGUES</t>
  </si>
  <si>
    <t>https://maps.app.goo.gl/FsjKy3NCx2Kkoigs5</t>
  </si>
  <si>
    <t>Regina Bernadete Freddi</t>
  </si>
  <si>
    <t>ISABELA FERNANDA CIUS KOGERATZKI</t>
  </si>
  <si>
    <t>https://maps.app.goo.gl/mRo2XZM5gswL15ZW9</t>
  </si>
  <si>
    <t>Josenilda Calizario Radulski</t>
  </si>
  <si>
    <t>KAUÃ GUSTAVO SEGUNDO</t>
  </si>
  <si>
    <t>Recebimento de Grãos Coprossel Unidade 14, Virmond - PR, 85390-000</t>
  </si>
  <si>
    <t>https://maps.app.goo.gl/FyLMs9kSYiPRFCU68</t>
  </si>
  <si>
    <t>42-998758380</t>
  </si>
  <si>
    <t>sandro342006@gmail.com</t>
  </si>
  <si>
    <t>MARIA CLARA KRIGER DA ROSA</t>
  </si>
  <si>
    <t>Virmond, Paraná, Brasil, Av. XV de Novembro, Virmond - PR, 85390-000</t>
  </si>
  <si>
    <t>https://maps.app.goo.gl/bbmwJsiFuUKgTsyN8</t>
  </si>
  <si>
    <t>MATEUS GRADE</t>
  </si>
  <si>
    <t>42-991047028</t>
  </si>
  <si>
    <t>mateus.grade@coprossel.com.br</t>
  </si>
  <si>
    <t>LUAN CHAGAS CORILLO</t>
  </si>
  <si>
    <t>42-998315216</t>
  </si>
  <si>
    <t>OTAVIO AUGUSTO KLAK BONA</t>
  </si>
  <si>
    <t>Coprossel Laticínios, Virmond - PR, 85390-000</t>
  </si>
  <si>
    <t>https://maps.app.goo.gl/tTQRfERkLRAfsxFL6</t>
  </si>
  <si>
    <t>ERIVALDO FARIA DE LIMA</t>
  </si>
  <si>
    <t>RAFAEL CARDOSO DE JESUS</t>
  </si>
  <si>
    <t>Sala do Empreendedor de Lindoeste, PREFEITURA MUNICIPAL DE LINDOESTE - Av. Marechal Cândido Rondon, S/N°, Lindoeste - PR, 85826-000</t>
  </si>
  <si>
    <t>https://maps.app.goo.gl/qRdpVFZ9x9fCYHwJA</t>
  </si>
  <si>
    <t>Cintia Beatriz Medina Nenites da Rocha</t>
  </si>
  <si>
    <t>45-984289031</t>
  </si>
  <si>
    <t>cintiaassistenciasocial@gmail.com</t>
  </si>
  <si>
    <t>DANILO RIBEIRO JUNIOR</t>
  </si>
  <si>
    <t>SAMUEL HENRIQUE NICHEL DE LIMA</t>
  </si>
  <si>
    <t>CINTIA BEATRIZ MEDINA NENITES DA ROCHA</t>
  </si>
  <si>
    <t>VIVIANE NICOLI DO CARMO GROHMANN</t>
  </si>
  <si>
    <t xml:space="preserve">Selecione a cidade que recebrá a visita para o preenchimento automático. Selecione o Status da visita para que o e-amail seja direcionado. Selecione qual a visita que será realizada </t>
  </si>
  <si>
    <t>Endereço</t>
  </si>
  <si>
    <t>Selecione a visita</t>
  </si>
  <si>
    <t>STATUS</t>
  </si>
  <si>
    <t xml:space="preserve">https://maps.app.goo.gl/U2BTrkrz1ctDh2i66 </t>
  </si>
  <si>
    <t> </t>
  </si>
  <si>
    <t>ELIELCIO DE SOUZA E SILVA</t>
  </si>
  <si>
    <t>41-992258491</t>
  </si>
  <si>
    <r>
      <t>LINK MAPA GERAL</t>
    </r>
    <r>
      <rPr>
        <sz val="11"/>
        <color rgb="FF000000"/>
        <rFont val="Aptos Narrow"/>
        <family val="2"/>
      </rPr>
      <t xml:space="preserve"> </t>
    </r>
    <r>
      <rPr>
        <b/>
        <sz val="11"/>
        <color rgb="FF000000"/>
        <rFont val="Aptos Narrow"/>
        <family val="2"/>
      </rPr>
      <t xml:space="preserve"> </t>
    </r>
  </si>
  <si>
    <t>https://maps.app.goo.gl/c8VZYsX3ry1K8xSBA</t>
  </si>
  <si>
    <t xml:space="preserve">MANDIRITUBA </t>
  </si>
  <si>
    <t>Observações da viajem: 1º e 3º Visita</t>
  </si>
  <si>
    <t xml:space="preserve">MANDIRITIBA </t>
  </si>
  <si>
    <r>
      <rPr>
        <b/>
        <sz val="11"/>
        <color rgb="FF000000"/>
        <rFont val="Aptos Narrow"/>
      </rPr>
      <t>LINK MAPA GERAL</t>
    </r>
    <r>
      <rPr>
        <sz val="11"/>
        <color rgb="FF000000"/>
        <rFont val="Aptos Narrow"/>
      </rPr>
      <t xml:space="preserve"> : https://maps.app.goo.gl/m2NZUXMfZBSB3vHq6 </t>
    </r>
  </si>
  <si>
    <t xml:space="preserve">Curitiba </t>
  </si>
  <si>
    <t>Morretes</t>
  </si>
  <si>
    <t>Pontal</t>
  </si>
  <si>
    <t>17 e 18/11/2025</t>
  </si>
  <si>
    <t xml:space="preserve">Hospedagem pós visita em Pontal </t>
  </si>
  <si>
    <t xml:space="preserve">Pontal </t>
  </si>
  <si>
    <t>Jean</t>
  </si>
  <si>
    <t xml:space="preserve">CAMPO MAGRO </t>
  </si>
  <si>
    <t xml:space="preserve">Observações da viajem: 1º VISITA </t>
  </si>
  <si>
    <t>Atendimento</t>
  </si>
  <si>
    <t>Ordem</t>
  </si>
  <si>
    <t>Horário</t>
  </si>
  <si>
    <t xml:space="preserve">Confirmação Supervisor </t>
  </si>
  <si>
    <t xml:space="preserve">Instrutor </t>
  </si>
  <si>
    <t>10:30 - 11:00</t>
  </si>
  <si>
    <t>OK</t>
  </si>
  <si>
    <t>11:00 - 11:30</t>
  </si>
  <si>
    <t>Fábio</t>
  </si>
  <si>
    <t>13:00 - 13:45</t>
  </si>
  <si>
    <t>14:00 - 14:30</t>
  </si>
  <si>
    <t>Kátia</t>
  </si>
  <si>
    <t>15:00 - 15:45</t>
  </si>
  <si>
    <t>Jaque</t>
  </si>
  <si>
    <t>Tati</t>
  </si>
  <si>
    <t xml:space="preserve">TRAJETO DE 2 HORAS ATÉ RESERVA COM CHEGADA ÀS 17:45 - VISITAR DIA SEGUINTE OS JOVENS ABAIXO </t>
  </si>
  <si>
    <t>07:30 - 08:15</t>
  </si>
  <si>
    <t>Claire</t>
  </si>
  <si>
    <t xml:space="preserve">Juliana </t>
  </si>
  <si>
    <t>13:30 - 14:00</t>
  </si>
  <si>
    <t>sergio.bezerra@lojasmm.com.br</t>
  </si>
  <si>
    <t>16:30 - 17:00</t>
  </si>
  <si>
    <t>09:00 - 09:30</t>
  </si>
  <si>
    <t>15:30 - 16:00</t>
  </si>
  <si>
    <t xml:space="preserve">ESTADIA EM TELEMACO BORBA COM RETORNO A CURITIBA NO DIA SEGUINTE </t>
  </si>
  <si>
    <t xml:space="preserve">611 KM - aproximadamente </t>
  </si>
  <si>
    <t>SÁIDA DE CURITBA 08:00. ESTADIA EM RESERVA NO PRIMEIRO DIA, ESTADIA EM TELEMACO BORBA NO SEGUNDO DIA, RETORNO PARA CURITIBA  NO DIA SEGUINTE DA ÚLTIMA VISITA  - 4/4:30 HORAS DE ESTRADA.</t>
  </si>
  <si>
    <t>VISITA PREVISTA PARA O DIA 28/07 E 29/07 - RETORNO DIA 30/07/2025</t>
  </si>
  <si>
    <t xml:space="preserve">Ipiranga para reserva: 2 horas de estrada. Pousada em reserva </t>
  </si>
  <si>
    <t>Link geral</t>
  </si>
  <si>
    <t>https://maps.app.goo.gl/ngDHDdTFVNW6pBNK9</t>
  </si>
  <si>
    <t xml:space="preserve">PRIMEIRA VISITA </t>
  </si>
  <si>
    <t xml:space="preserve">DEFINIR </t>
  </si>
  <si>
    <t xml:space="preserve">TIJUCAS DO SUL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</si>
</sst>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_-[$R$-416]\ * #,##0.00_-;\-[$R$-416]\ * #,##0.00_-;_-[$R$-416]\ * &quot;-&quot;??_-;_-@_-"/>
    <numFmt numFmtId="166" formatCode="[h]:mm"/>
  </numFmts>
  <fonts count="67"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u/>
      <sz val="14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scheme val="minor"/>
    </font>
    <font>
      <sz val="11"/>
      <color rgb="FF000000"/>
      <name val="Aptos Narrow"/>
      <family val="2"/>
    </font>
    <font>
      <sz val="11"/>
      <color rgb="FF242424"/>
      <name val="Aptos Narrow"/>
      <scheme val="minor"/>
    </font>
    <font>
      <sz val="11"/>
      <name val="Aptos Narrow"/>
      <scheme val="minor"/>
    </font>
    <font>
      <sz val="11"/>
      <color rgb="FF333333"/>
      <name val="Aptos Narrow"/>
    </font>
    <font>
      <b/>
      <sz val="8"/>
      <color rgb="FF333333"/>
      <name val="Arial"/>
      <charset val="1"/>
    </font>
    <font>
      <sz val="11"/>
      <color rgb="FF333333"/>
      <name val="Aptos Narrow"/>
      <scheme val="minor"/>
    </font>
    <font>
      <sz val="11"/>
      <color rgb="FF242424"/>
      <name val="Aptos Narrow"/>
      <charset val="1"/>
    </font>
    <font>
      <sz val="11"/>
      <color rgb="FF000000"/>
      <name val="Aptos Narrow"/>
      <charset val="1"/>
    </font>
    <font>
      <sz val="14"/>
      <color theme="1"/>
      <name val="Aptos Narrow"/>
      <family val="2"/>
      <scheme val="minor"/>
    </font>
    <font>
      <sz val="11"/>
      <color rgb="FF000000"/>
      <name val="Aptos"/>
      <charset val="1"/>
    </font>
    <font>
      <b/>
      <sz val="12"/>
      <color theme="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rgb="FF00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u/>
      <sz val="14"/>
      <color theme="10"/>
      <name val="Aptos Narrow"/>
      <family val="2"/>
      <scheme val="minor"/>
    </font>
    <font>
      <sz val="14"/>
      <color rgb="FF000000"/>
      <name val="Aptos Narrow"/>
      <family val="2"/>
    </font>
    <font>
      <b/>
      <sz val="11"/>
      <color rgb="FFFF000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sz val="11"/>
      <color rgb="FF000000"/>
      <name val="Aptos Narrow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1"/>
      <color rgb="FF9C0006"/>
      <name val="Aptos Narrow"/>
      <family val="2"/>
    </font>
    <font>
      <b/>
      <sz val="11"/>
      <color rgb="FF242424"/>
      <name val="Aptos Narrow"/>
      <charset val="1"/>
    </font>
    <font>
      <b/>
      <sz val="11"/>
      <color rgb="FF000000"/>
      <name val="Aptos Narrow"/>
    </font>
    <font>
      <b/>
      <sz val="11"/>
      <color rgb="FFFFFFFF"/>
      <name val="Aptos Narrow"/>
      <family val="2"/>
      <scheme val="minor"/>
    </font>
    <font>
      <sz val="11"/>
      <color theme="1"/>
      <name val="Arial"/>
      <family val="2"/>
      <charset val="1"/>
    </font>
    <font>
      <sz val="11"/>
      <color rgb="FF242424"/>
      <name val="Arial"/>
      <family val="2"/>
      <charset val="1"/>
    </font>
    <font>
      <sz val="11"/>
      <color rgb="FF000000"/>
      <name val="Times New Roman"/>
      <charset val="1"/>
    </font>
    <font>
      <b/>
      <sz val="16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u/>
      <sz val="11"/>
      <color rgb="FF467886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rgb="FF000000"/>
      <name val="Aptos Narrow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215C98"/>
        <bgColor rgb="FF000000"/>
      </patternFill>
    </fill>
    <fill>
      <patternFill patternType="solid">
        <fgColor rgb="FF215C98"/>
        <bgColor rgb="FF156082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E8E8E8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CAEDFB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56082"/>
        <bgColor rgb="FF000000"/>
      </patternFill>
    </fill>
    <fill>
      <patternFill patternType="solid">
        <fgColor rgb="FFE9713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1A983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0E6F5"/>
        <bgColor rgb="FF000000"/>
      </patternFill>
    </fill>
    <fill>
      <patternFill patternType="solid">
        <fgColor rgb="FFFFFFFF"/>
        <bgColor rgb="FFC1F0C8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rgb="FF000000"/>
      </bottom>
      <diagonal/>
    </border>
    <border>
      <left style="thin">
        <color rgb="FF000000"/>
      </left>
      <right/>
      <top style="thin">
        <color rgb="FF44B3E1"/>
      </top>
      <bottom style="thin">
        <color rgb="FF44B3E1"/>
      </bottom>
      <diagonal/>
    </border>
    <border>
      <left style="thin">
        <color rgb="FF000000"/>
      </left>
      <right/>
      <top style="thin">
        <color rgb="FF44B3E1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theme="6" tint="0.39997558519241921"/>
      </top>
      <bottom style="thin">
        <color rgb="FF000000"/>
      </bottom>
      <diagonal/>
    </border>
    <border>
      <left/>
      <right/>
      <top style="thin">
        <color theme="6" tint="0.3999755851924192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/>
      </top>
      <bottom/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828">
    <xf numFmtId="0" fontId="0" fillId="0" borderId="0" xfId="0"/>
    <xf numFmtId="0" fontId="17" fillId="34" borderId="10" xfId="0" applyFont="1" applyFill="1" applyBorder="1" applyAlignment="1">
      <alignment horizontal="center"/>
    </xf>
    <xf numFmtId="0" fontId="17" fillId="34" borderId="10" xfId="0" applyFont="1" applyFill="1" applyBorder="1" applyAlignment="1">
      <alignment horizontal="center" vertical="center"/>
    </xf>
    <xf numFmtId="0" fontId="20" fillId="34" borderId="10" xfId="0" applyFont="1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 vertical="center"/>
    </xf>
    <xf numFmtId="0" fontId="22" fillId="0" borderId="10" xfId="0" applyFont="1" applyBorder="1"/>
    <xf numFmtId="0" fontId="0" fillId="0" borderId="10" xfId="0" applyBorder="1"/>
    <xf numFmtId="0" fontId="17" fillId="0" borderId="10" xfId="0" applyFont="1" applyBorder="1"/>
    <xf numFmtId="0" fontId="0" fillId="37" borderId="23" xfId="0" applyFill="1" applyBorder="1"/>
    <xf numFmtId="0" fontId="0" fillId="37" borderId="0" xfId="0" applyFill="1"/>
    <xf numFmtId="0" fontId="0" fillId="37" borderId="24" xfId="0" applyFill="1" applyBorder="1"/>
    <xf numFmtId="0" fontId="27" fillId="0" borderId="0" xfId="0" applyFont="1"/>
    <xf numFmtId="0" fontId="0" fillId="0" borderId="29" xfId="0" applyBorder="1"/>
    <xf numFmtId="14" fontId="0" fillId="0" borderId="29" xfId="0" applyNumberFormat="1" applyBorder="1"/>
    <xf numFmtId="21" fontId="0" fillId="0" borderId="29" xfId="0" applyNumberFormat="1" applyBorder="1"/>
    <xf numFmtId="164" fontId="0" fillId="0" borderId="29" xfId="0" applyNumberFormat="1" applyBorder="1"/>
    <xf numFmtId="0" fontId="19" fillId="0" borderId="29" xfId="43" applyBorder="1"/>
    <xf numFmtId="0" fontId="0" fillId="38" borderId="29" xfId="0" applyFill="1" applyBorder="1"/>
    <xf numFmtId="0" fontId="0" fillId="0" borderId="29" xfId="0" applyBorder="1" applyAlignment="1">
      <alignment vertical="center"/>
    </xf>
    <xf numFmtId="0" fontId="0" fillId="39" borderId="29" xfId="0" applyFill="1" applyBorder="1"/>
    <xf numFmtId="0" fontId="28" fillId="0" borderId="29" xfId="0" applyFont="1" applyBorder="1"/>
    <xf numFmtId="0" fontId="29" fillId="0" borderId="29" xfId="0" applyFont="1" applyBorder="1"/>
    <xf numFmtId="164" fontId="0" fillId="0" borderId="29" xfId="0" applyNumberFormat="1" applyBorder="1" applyAlignment="1">
      <alignment horizontal="center"/>
    </xf>
    <xf numFmtId="14" fontId="28" fillId="0" borderId="29" xfId="0" applyNumberFormat="1" applyFont="1" applyBorder="1"/>
    <xf numFmtId="21" fontId="31" fillId="0" borderId="29" xfId="0" applyNumberFormat="1" applyFont="1" applyBorder="1"/>
    <xf numFmtId="21" fontId="28" fillId="0" borderId="29" xfId="0" applyNumberFormat="1" applyFont="1" applyBorder="1"/>
    <xf numFmtId="0" fontId="26" fillId="38" borderId="29" xfId="0" applyFont="1" applyFill="1" applyBorder="1"/>
    <xf numFmtId="0" fontId="19" fillId="38" borderId="29" xfId="43" applyFill="1" applyBorder="1"/>
    <xf numFmtId="14" fontId="0" fillId="38" borderId="29" xfId="0" applyNumberFormat="1" applyFill="1" applyBorder="1"/>
    <xf numFmtId="21" fontId="0" fillId="38" borderId="29" xfId="0" applyNumberFormat="1" applyFill="1" applyBorder="1"/>
    <xf numFmtId="164" fontId="0" fillId="38" borderId="29" xfId="0" applyNumberFormat="1" applyFill="1" applyBorder="1"/>
    <xf numFmtId="0" fontId="17" fillId="39" borderId="29" xfId="0" applyFont="1" applyFill="1" applyBorder="1"/>
    <xf numFmtId="0" fontId="34" fillId="0" borderId="0" xfId="0" applyFont="1"/>
    <xf numFmtId="0" fontId="0" fillId="0" borderId="31" xfId="0" applyBorder="1"/>
    <xf numFmtId="0" fontId="19" fillId="0" borderId="0" xfId="43"/>
    <xf numFmtId="0" fontId="0" fillId="0" borderId="32" xfId="0" applyBorder="1"/>
    <xf numFmtId="0" fontId="35" fillId="0" borderId="29" xfId="0" applyFont="1" applyBorder="1"/>
    <xf numFmtId="0" fontId="36" fillId="0" borderId="29" xfId="0" applyFont="1" applyBorder="1"/>
    <xf numFmtId="0" fontId="0" fillId="38" borderId="32" xfId="0" applyFill="1" applyBorder="1"/>
    <xf numFmtId="0" fontId="0" fillId="0" borderId="30" xfId="0" applyBorder="1"/>
    <xf numFmtId="0" fontId="0" fillId="0" borderId="33" xfId="0" applyBorder="1"/>
    <xf numFmtId="0" fontId="0" fillId="0" borderId="34" xfId="0" applyBorder="1"/>
    <xf numFmtId="0" fontId="17" fillId="0" borderId="29" xfId="0" applyFont="1" applyBorder="1"/>
    <xf numFmtId="0" fontId="0" fillId="38" borderId="30" xfId="0" applyFill="1" applyBorder="1"/>
    <xf numFmtId="0" fontId="28" fillId="0" borderId="30" xfId="0" applyFont="1" applyBorder="1"/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0" fontId="0" fillId="0" borderId="38" xfId="0" applyBorder="1"/>
    <xf numFmtId="0" fontId="17" fillId="40" borderId="29" xfId="0" applyFont="1" applyFill="1" applyBorder="1"/>
    <xf numFmtId="0" fontId="17" fillId="40" borderId="35" xfId="0" applyFont="1" applyFill="1" applyBorder="1"/>
    <xf numFmtId="0" fontId="17" fillId="40" borderId="31" xfId="0" applyFont="1" applyFill="1" applyBorder="1"/>
    <xf numFmtId="164" fontId="17" fillId="40" borderId="31" xfId="0" applyNumberFormat="1" applyFont="1" applyFill="1" applyBorder="1"/>
    <xf numFmtId="0" fontId="17" fillId="40" borderId="36" xfId="0" applyFont="1" applyFill="1" applyBorder="1"/>
    <xf numFmtId="0" fontId="17" fillId="0" borderId="29" xfId="0" applyFont="1" applyBorder="1" applyAlignment="1">
      <alignment horizontal="center"/>
    </xf>
    <xf numFmtId="0" fontId="19" fillId="0" borderId="32" xfId="43" applyBorder="1"/>
    <xf numFmtId="0" fontId="0" fillId="0" borderId="0" xfId="0" applyAlignment="1">
      <alignment horizontal="center"/>
    </xf>
    <xf numFmtId="14" fontId="0" fillId="42" borderId="29" xfId="0" applyNumberFormat="1" applyFill="1" applyBorder="1"/>
    <xf numFmtId="0" fontId="0" fillId="42" borderId="29" xfId="0" applyFill="1" applyBorder="1"/>
    <xf numFmtId="0" fontId="0" fillId="42" borderId="30" xfId="0" applyFill="1" applyBorder="1"/>
    <xf numFmtId="0" fontId="19" fillId="42" borderId="29" xfId="43" applyFill="1" applyBorder="1"/>
    <xf numFmtId="21" fontId="0" fillId="42" borderId="29" xfId="0" applyNumberFormat="1" applyFill="1" applyBorder="1"/>
    <xf numFmtId="164" fontId="0" fillId="42" borderId="29" xfId="0" applyNumberFormat="1" applyFill="1" applyBorder="1"/>
    <xf numFmtId="0" fontId="19" fillId="42" borderId="32" xfId="43" applyFill="1" applyBorder="1"/>
    <xf numFmtId="0" fontId="37" fillId="0" borderId="29" xfId="0" applyFont="1" applyBorder="1" applyAlignment="1">
      <alignment horizontal="center"/>
    </xf>
    <xf numFmtId="0" fontId="37" fillId="0" borderId="29" xfId="0" applyFont="1" applyBorder="1"/>
    <xf numFmtId="0" fontId="37" fillId="0" borderId="32" xfId="0" applyFont="1" applyBorder="1"/>
    <xf numFmtId="0" fontId="37" fillId="41" borderId="29" xfId="0" applyFont="1" applyFill="1" applyBorder="1"/>
    <xf numFmtId="0" fontId="37" fillId="41" borderId="32" xfId="0" applyFont="1" applyFill="1" applyBorder="1"/>
    <xf numFmtId="0" fontId="27" fillId="0" borderId="29" xfId="0" applyFont="1" applyBorder="1"/>
    <xf numFmtId="14" fontId="27" fillId="0" borderId="29" xfId="0" applyNumberFormat="1" applyFont="1" applyBorder="1"/>
    <xf numFmtId="21" fontId="27" fillId="0" borderId="29" xfId="0" applyNumberFormat="1" applyFont="1" applyBorder="1"/>
    <xf numFmtId="164" fontId="0" fillId="0" borderId="30" xfId="0" applyNumberFormat="1" applyBorder="1"/>
    <xf numFmtId="0" fontId="28" fillId="0" borderId="33" xfId="0" applyFont="1" applyBorder="1"/>
    <xf numFmtId="0" fontId="19" fillId="0" borderId="33" xfId="43" applyBorder="1"/>
    <xf numFmtId="21" fontId="28" fillId="0" borderId="33" xfId="0" applyNumberFormat="1" applyFont="1" applyBorder="1"/>
    <xf numFmtId="0" fontId="19" fillId="0" borderId="29" xfId="43" applyFill="1" applyBorder="1"/>
    <xf numFmtId="164" fontId="0" fillId="0" borderId="3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17" fillId="40" borderId="31" xfId="0" applyFont="1" applyFill="1" applyBorder="1" applyAlignment="1">
      <alignment horizontal="center"/>
    </xf>
    <xf numFmtId="0" fontId="0" fillId="42" borderId="29" xfId="0" applyFill="1" applyBorder="1" applyAlignment="1">
      <alignment horizontal="center"/>
    </xf>
    <xf numFmtId="0" fontId="0" fillId="38" borderId="29" xfId="0" applyFill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0" fillId="0" borderId="33" xfId="0" applyBorder="1" applyAlignment="1">
      <alignment horizontal="center"/>
    </xf>
    <xf numFmtId="14" fontId="29" fillId="0" borderId="29" xfId="0" applyNumberFormat="1" applyFont="1" applyBorder="1"/>
    <xf numFmtId="0" fontId="29" fillId="0" borderId="29" xfId="0" applyFont="1" applyBorder="1" applyAlignment="1">
      <alignment horizontal="center"/>
    </xf>
    <xf numFmtId="0" fontId="29" fillId="0" borderId="29" xfId="0" applyFont="1" applyBorder="1" applyAlignment="1">
      <alignment horizontal="left"/>
    </xf>
    <xf numFmtId="21" fontId="29" fillId="0" borderId="29" xfId="0" applyNumberFormat="1" applyFont="1" applyBorder="1"/>
    <xf numFmtId="14" fontId="0" fillId="0" borderId="33" xfId="0" applyNumberFormat="1" applyBorder="1"/>
    <xf numFmtId="0" fontId="29" fillId="0" borderId="33" xfId="0" applyFont="1" applyBorder="1"/>
    <xf numFmtId="164" fontId="0" fillId="0" borderId="37" xfId="0" applyNumberFormat="1" applyBorder="1"/>
    <xf numFmtId="14" fontId="0" fillId="0" borderId="31" xfId="0" applyNumberFormat="1" applyBorder="1"/>
    <xf numFmtId="0" fontId="0" fillId="0" borderId="36" xfId="0" applyBorder="1"/>
    <xf numFmtId="0" fontId="14" fillId="40" borderId="29" xfId="0" applyFont="1" applyFill="1" applyBorder="1"/>
    <xf numFmtId="0" fontId="0" fillId="41" borderId="29" xfId="0" applyFill="1" applyBorder="1"/>
    <xf numFmtId="0" fontId="0" fillId="43" borderId="0" xfId="0" applyFill="1"/>
    <xf numFmtId="14" fontId="14" fillId="40" borderId="29" xfId="0" applyNumberFormat="1" applyFont="1" applyFill="1" applyBorder="1"/>
    <xf numFmtId="14" fontId="0" fillId="37" borderId="29" xfId="0" applyNumberFormat="1" applyFill="1" applyBorder="1"/>
    <xf numFmtId="0" fontId="0" fillId="37" borderId="29" xfId="0" applyFill="1" applyBorder="1"/>
    <xf numFmtId="0" fontId="19" fillId="37" borderId="29" xfId="43" applyFill="1" applyBorder="1"/>
    <xf numFmtId="21" fontId="0" fillId="37" borderId="29" xfId="0" applyNumberFormat="1" applyFill="1" applyBorder="1"/>
    <xf numFmtId="164" fontId="0" fillId="37" borderId="29" xfId="0" applyNumberFormat="1" applyFill="1" applyBorder="1"/>
    <xf numFmtId="0" fontId="0" fillId="37" borderId="32" xfId="0" applyFill="1" applyBorder="1"/>
    <xf numFmtId="0" fontId="41" fillId="0" borderId="29" xfId="0" applyFont="1" applyBorder="1"/>
    <xf numFmtId="0" fontId="0" fillId="37" borderId="30" xfId="0" applyFill="1" applyBorder="1"/>
    <xf numFmtId="0" fontId="0" fillId="37" borderId="29" xfId="0" applyFill="1" applyBorder="1" applyAlignment="1">
      <alignment horizontal="center"/>
    </xf>
    <xf numFmtId="14" fontId="17" fillId="37" borderId="29" xfId="0" applyNumberFormat="1" applyFont="1" applyFill="1" applyBorder="1"/>
    <xf numFmtId="0" fontId="0" fillId="38" borderId="0" xfId="0" applyFill="1"/>
    <xf numFmtId="14" fontId="23" fillId="37" borderId="29" xfId="0" applyNumberFormat="1" applyFont="1" applyFill="1" applyBorder="1"/>
    <xf numFmtId="0" fontId="23" fillId="37" borderId="29" xfId="0" applyFont="1" applyFill="1" applyBorder="1"/>
    <xf numFmtId="0" fontId="23" fillId="37" borderId="30" xfId="0" applyFont="1" applyFill="1" applyBorder="1"/>
    <xf numFmtId="0" fontId="22" fillId="37" borderId="29" xfId="0" applyFont="1" applyFill="1" applyBorder="1"/>
    <xf numFmtId="0" fontId="43" fillId="37" borderId="29" xfId="43" applyFont="1" applyFill="1" applyBorder="1"/>
    <xf numFmtId="0" fontId="23" fillId="37" borderId="29" xfId="0" applyFont="1" applyFill="1" applyBorder="1" applyAlignment="1">
      <alignment horizontal="center"/>
    </xf>
    <xf numFmtId="21" fontId="23" fillId="37" borderId="29" xfId="0" applyNumberFormat="1" applyFont="1" applyFill="1" applyBorder="1"/>
    <xf numFmtId="164" fontId="23" fillId="37" borderId="29" xfId="0" applyNumberFormat="1" applyFont="1" applyFill="1" applyBorder="1"/>
    <xf numFmtId="0" fontId="23" fillId="37" borderId="32" xfId="0" applyFont="1" applyFill="1" applyBorder="1"/>
    <xf numFmtId="0" fontId="17" fillId="37" borderId="29" xfId="0" applyFont="1" applyFill="1" applyBorder="1" applyAlignment="1">
      <alignment horizontal="center"/>
    </xf>
    <xf numFmtId="0" fontId="29" fillId="0" borderId="32" xfId="0" applyFont="1" applyBorder="1"/>
    <xf numFmtId="0" fontId="44" fillId="40" borderId="0" xfId="0" applyFont="1" applyFill="1"/>
    <xf numFmtId="0" fontId="44" fillId="40" borderId="33" xfId="0" applyFont="1" applyFill="1" applyBorder="1" applyAlignment="1">
      <alignment horizontal="center"/>
    </xf>
    <xf numFmtId="0" fontId="44" fillId="40" borderId="33" xfId="0" applyFont="1" applyFill="1" applyBorder="1"/>
    <xf numFmtId="0" fontId="44" fillId="40" borderId="29" xfId="0" applyFont="1" applyFill="1" applyBorder="1"/>
    <xf numFmtId="0" fontId="44" fillId="40" borderId="29" xfId="0" applyFont="1" applyFill="1" applyBorder="1" applyAlignment="1">
      <alignment horizontal="center"/>
    </xf>
    <xf numFmtId="0" fontId="44" fillId="40" borderId="32" xfId="0" applyFont="1" applyFill="1" applyBorder="1"/>
    <xf numFmtId="0" fontId="37" fillId="0" borderId="0" xfId="0" applyFont="1"/>
    <xf numFmtId="0" fontId="20" fillId="0" borderId="29" xfId="0" applyFont="1" applyBorder="1"/>
    <xf numFmtId="0" fontId="20" fillId="0" borderId="29" xfId="0" applyFont="1" applyBorder="1" applyAlignment="1">
      <alignment horizontal="center"/>
    </xf>
    <xf numFmtId="21" fontId="37" fillId="39" borderId="29" xfId="0" applyNumberFormat="1" applyFont="1" applyFill="1" applyBorder="1"/>
    <xf numFmtId="0" fontId="45" fillId="0" borderId="29" xfId="43" applyFont="1" applyBorder="1"/>
    <xf numFmtId="0" fontId="37" fillId="41" borderId="29" xfId="0" applyFont="1" applyFill="1" applyBorder="1" applyAlignment="1">
      <alignment horizontal="center"/>
    </xf>
    <xf numFmtId="21" fontId="37" fillId="41" borderId="29" xfId="0" applyNumberFormat="1" applyFont="1" applyFill="1" applyBorder="1"/>
    <xf numFmtId="21" fontId="37" fillId="0" borderId="29" xfId="0" applyNumberFormat="1" applyFont="1" applyBorder="1"/>
    <xf numFmtId="0" fontId="37" fillId="43" borderId="29" xfId="0" applyFont="1" applyFill="1" applyBorder="1"/>
    <xf numFmtId="0" fontId="45" fillId="43" borderId="29" xfId="43" applyFont="1" applyFill="1" applyBorder="1"/>
    <xf numFmtId="0" fontId="37" fillId="43" borderId="29" xfId="0" applyFont="1" applyFill="1" applyBorder="1" applyAlignment="1">
      <alignment horizontal="center"/>
    </xf>
    <xf numFmtId="0" fontId="37" fillId="43" borderId="32" xfId="0" applyFont="1" applyFill="1" applyBorder="1"/>
    <xf numFmtId="0" fontId="20" fillId="43" borderId="29" xfId="0" applyFont="1" applyFill="1" applyBorder="1"/>
    <xf numFmtId="0" fontId="37" fillId="43" borderId="0" xfId="0" applyFont="1" applyFill="1"/>
    <xf numFmtId="0" fontId="20" fillId="0" borderId="29" xfId="0" applyFont="1" applyBorder="1" applyAlignment="1">
      <alignment horizontal="center" vertical="center"/>
    </xf>
    <xf numFmtId="0" fontId="45" fillId="41" borderId="29" xfId="43" applyFont="1" applyFill="1" applyBorder="1"/>
    <xf numFmtId="21" fontId="46" fillId="0" borderId="29" xfId="0" applyNumberFormat="1" applyFont="1" applyBorder="1"/>
    <xf numFmtId="0" fontId="46" fillId="0" borderId="29" xfId="0" applyFont="1" applyBorder="1"/>
    <xf numFmtId="0" fontId="46" fillId="0" borderId="29" xfId="0" applyFont="1" applyBorder="1" applyAlignment="1">
      <alignment horizontal="center"/>
    </xf>
    <xf numFmtId="0" fontId="46" fillId="0" borderId="29" xfId="0" applyFont="1" applyBorder="1" applyAlignment="1">
      <alignment horizontal="left"/>
    </xf>
    <xf numFmtId="0" fontId="46" fillId="0" borderId="32" xfId="0" applyFont="1" applyBorder="1" applyAlignment="1">
      <alignment horizontal="left"/>
    </xf>
    <xf numFmtId="0" fontId="37" fillId="38" borderId="32" xfId="0" applyFont="1" applyFill="1" applyBorder="1"/>
    <xf numFmtId="0" fontId="20" fillId="38" borderId="29" xfId="0" applyFont="1" applyFill="1" applyBorder="1"/>
    <xf numFmtId="0" fontId="20" fillId="38" borderId="29" xfId="0" applyFont="1" applyFill="1" applyBorder="1" applyAlignment="1">
      <alignment horizontal="center" vertical="center"/>
    </xf>
    <xf numFmtId="21" fontId="37" fillId="38" borderId="29" xfId="0" applyNumberFormat="1" applyFont="1" applyFill="1" applyBorder="1"/>
    <xf numFmtId="0" fontId="37" fillId="38" borderId="29" xfId="0" applyFont="1" applyFill="1" applyBorder="1"/>
    <xf numFmtId="0" fontId="37" fillId="38" borderId="29" xfId="0" applyFont="1" applyFill="1" applyBorder="1" applyAlignment="1">
      <alignment horizontal="center"/>
    </xf>
    <xf numFmtId="0" fontId="37" fillId="38" borderId="0" xfId="0" applyFont="1" applyFill="1"/>
    <xf numFmtId="0" fontId="20" fillId="0" borderId="33" xfId="0" applyFont="1" applyBorder="1"/>
    <xf numFmtId="0" fontId="20" fillId="0" borderId="33" xfId="0" applyFont="1" applyBorder="1" applyAlignment="1">
      <alignment horizontal="center" vertical="center"/>
    </xf>
    <xf numFmtId="21" fontId="37" fillId="41" borderId="33" xfId="0" applyNumberFormat="1" applyFont="1" applyFill="1" applyBorder="1"/>
    <xf numFmtId="0" fontId="37" fillId="41" borderId="33" xfId="0" applyFont="1" applyFill="1" applyBorder="1"/>
    <xf numFmtId="0" fontId="40" fillId="0" borderId="0" xfId="43" applyFont="1" applyBorder="1" applyAlignment="1"/>
    <xf numFmtId="0" fontId="17" fillId="0" borderId="32" xfId="0" applyFont="1" applyBorder="1"/>
    <xf numFmtId="0" fontId="17" fillId="0" borderId="33" xfId="0" applyFont="1" applyBorder="1"/>
    <xf numFmtId="0" fontId="14" fillId="40" borderId="39" xfId="0" applyFont="1" applyFill="1" applyBorder="1" applyAlignment="1">
      <alignment horizontal="center"/>
    </xf>
    <xf numFmtId="0" fontId="0" fillId="0" borderId="40" xfId="0" applyBorder="1"/>
    <xf numFmtId="0" fontId="0" fillId="37" borderId="40" xfId="0" applyFill="1" applyBorder="1"/>
    <xf numFmtId="0" fontId="0" fillId="38" borderId="40" xfId="0" applyFill="1" applyBorder="1"/>
    <xf numFmtId="0" fontId="23" fillId="37" borderId="40" xfId="0" applyFont="1" applyFill="1" applyBorder="1"/>
    <xf numFmtId="0" fontId="0" fillId="42" borderId="40" xfId="0" applyFill="1" applyBorder="1"/>
    <xf numFmtId="0" fontId="28" fillId="0" borderId="40" xfId="0" applyFont="1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/>
    <xf numFmtId="0" fontId="0" fillId="0" borderId="35" xfId="0" applyBorder="1"/>
    <xf numFmtId="0" fontId="14" fillId="44" borderId="29" xfId="0" applyFont="1" applyFill="1" applyBorder="1"/>
    <xf numFmtId="0" fontId="17" fillId="0" borderId="32" xfId="0" applyFont="1" applyBorder="1" applyAlignment="1">
      <alignment horizontal="center"/>
    </xf>
    <xf numFmtId="21" fontId="0" fillId="39" borderId="29" xfId="0" applyNumberFormat="1" applyFill="1" applyBorder="1"/>
    <xf numFmtId="14" fontId="48" fillId="0" borderId="29" xfId="0" applyNumberFormat="1" applyFont="1" applyBorder="1"/>
    <xf numFmtId="0" fontId="14" fillId="44" borderId="0" xfId="0" applyFont="1" applyFill="1"/>
    <xf numFmtId="0" fontId="14" fillId="44" borderId="29" xfId="0" applyFont="1" applyFill="1" applyBorder="1" applyAlignment="1">
      <alignment horizontal="center"/>
    </xf>
    <xf numFmtId="14" fontId="1" fillId="0" borderId="29" xfId="0" applyNumberFormat="1" applyFont="1" applyBorder="1"/>
    <xf numFmtId="0" fontId="1" fillId="0" borderId="29" xfId="0" applyFont="1" applyBorder="1"/>
    <xf numFmtId="164" fontId="1" fillId="0" borderId="29" xfId="0" applyNumberFormat="1" applyFont="1" applyBorder="1"/>
    <xf numFmtId="0" fontId="1" fillId="0" borderId="32" xfId="0" applyFont="1" applyBorder="1"/>
    <xf numFmtId="14" fontId="49" fillId="0" borderId="29" xfId="0" applyNumberFormat="1" applyFont="1" applyBorder="1"/>
    <xf numFmtId="14" fontId="50" fillId="0" borderId="29" xfId="0" applyNumberFormat="1" applyFont="1" applyBorder="1"/>
    <xf numFmtId="0" fontId="19" fillId="41" borderId="29" xfId="43" applyFill="1" applyBorder="1"/>
    <xf numFmtId="0" fontId="0" fillId="41" borderId="29" xfId="0" applyFill="1" applyBorder="1" applyAlignment="1">
      <alignment horizontal="center"/>
    </xf>
    <xf numFmtId="0" fontId="51" fillId="38" borderId="29" xfId="0" applyFont="1" applyFill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51" fillId="0" borderId="29" xfId="0" applyFont="1" applyBorder="1"/>
    <xf numFmtId="0" fontId="29" fillId="0" borderId="0" xfId="0" applyFont="1"/>
    <xf numFmtId="14" fontId="29" fillId="0" borderId="0" xfId="0" applyNumberFormat="1" applyFont="1"/>
    <xf numFmtId="0" fontId="51" fillId="0" borderId="0" xfId="0" applyFont="1"/>
    <xf numFmtId="14" fontId="51" fillId="0" borderId="0" xfId="0" applyNumberFormat="1" applyFont="1"/>
    <xf numFmtId="21" fontId="29" fillId="0" borderId="0" xfId="0" applyNumberFormat="1" applyFont="1"/>
    <xf numFmtId="0" fontId="19" fillId="37" borderId="29" xfId="43" applyFill="1" applyBorder="1" applyProtection="1"/>
    <xf numFmtId="0" fontId="19" fillId="0" borderId="29" xfId="43" applyBorder="1" applyProtection="1"/>
    <xf numFmtId="0" fontId="19" fillId="38" borderId="29" xfId="43" applyFill="1" applyBorder="1" applyProtection="1"/>
    <xf numFmtId="0" fontId="42" fillId="38" borderId="29" xfId="43" applyFont="1" applyFill="1" applyBorder="1" applyProtection="1"/>
    <xf numFmtId="14" fontId="51" fillId="0" borderId="29" xfId="0" applyNumberFormat="1" applyFont="1" applyBorder="1"/>
    <xf numFmtId="164" fontId="0" fillId="0" borderId="38" xfId="0" applyNumberFormat="1" applyBorder="1" applyAlignment="1">
      <alignment horizontal="center"/>
    </xf>
    <xf numFmtId="0" fontId="29" fillId="0" borderId="0" xfId="0" applyFont="1" applyAlignment="1">
      <alignment wrapText="1"/>
    </xf>
    <xf numFmtId="0" fontId="53" fillId="53" borderId="45" xfId="0" applyFont="1" applyFill="1" applyBorder="1"/>
    <xf numFmtId="0" fontId="53" fillId="53" borderId="46" xfId="0" applyFont="1" applyFill="1" applyBorder="1"/>
    <xf numFmtId="0" fontId="53" fillId="53" borderId="19" xfId="0" applyFont="1" applyFill="1" applyBorder="1"/>
    <xf numFmtId="0" fontId="53" fillId="33" borderId="33" xfId="0" applyFont="1" applyFill="1" applyBorder="1" applyAlignment="1">
      <alignment horizontal="center"/>
    </xf>
    <xf numFmtId="165" fontId="53" fillId="0" borderId="29" xfId="0" applyNumberFormat="1" applyFont="1" applyBorder="1"/>
    <xf numFmtId="14" fontId="53" fillId="0" borderId="45" xfId="0" applyNumberFormat="1" applyFont="1" applyBorder="1" applyAlignment="1">
      <alignment horizontal="center"/>
    </xf>
    <xf numFmtId="0" fontId="53" fillId="0" borderId="46" xfId="0" applyFont="1" applyBorder="1" applyAlignment="1">
      <alignment horizontal="center"/>
    </xf>
    <xf numFmtId="20" fontId="53" fillId="0" borderId="46" xfId="0" applyNumberFormat="1" applyFont="1" applyBorder="1" applyAlignment="1">
      <alignment horizontal="center"/>
    </xf>
    <xf numFmtId="0" fontId="53" fillId="0" borderId="19" xfId="0" applyFont="1" applyBorder="1" applyAlignment="1">
      <alignment horizontal="center"/>
    </xf>
    <xf numFmtId="0" fontId="53" fillId="0" borderId="50" xfId="0" applyFont="1" applyBorder="1" applyAlignment="1">
      <alignment horizontal="center"/>
    </xf>
    <xf numFmtId="14" fontId="53" fillId="0" borderId="51" xfId="0" applyNumberFormat="1" applyFont="1" applyBorder="1" applyAlignment="1">
      <alignment horizontal="center"/>
    </xf>
    <xf numFmtId="0" fontId="55" fillId="0" borderId="29" xfId="0" applyFont="1" applyBorder="1" applyAlignment="1">
      <alignment horizontal="center"/>
    </xf>
    <xf numFmtId="20" fontId="53" fillId="0" borderId="13" xfId="0" applyNumberFormat="1" applyFont="1" applyBorder="1" applyAlignment="1">
      <alignment horizontal="center"/>
    </xf>
    <xf numFmtId="0" fontId="53" fillId="36" borderId="46" xfId="0" applyFont="1" applyFill="1" applyBorder="1" applyAlignment="1">
      <alignment horizontal="center"/>
    </xf>
    <xf numFmtId="0" fontId="52" fillId="45" borderId="44" xfId="0" applyFont="1" applyFill="1" applyBorder="1" applyAlignment="1">
      <alignment wrapText="1"/>
    </xf>
    <xf numFmtId="0" fontId="52" fillId="45" borderId="48" xfId="0" applyFont="1" applyFill="1" applyBorder="1" applyAlignment="1">
      <alignment wrapText="1"/>
    </xf>
    <xf numFmtId="0" fontId="52" fillId="46" borderId="48" xfId="0" applyFont="1" applyFill="1" applyBorder="1" applyAlignment="1">
      <alignment wrapText="1"/>
    </xf>
    <xf numFmtId="0" fontId="53" fillId="0" borderId="45" xfId="0" applyFont="1" applyBorder="1" applyAlignment="1">
      <alignment horizontal="center"/>
    </xf>
    <xf numFmtId="0" fontId="29" fillId="0" borderId="46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20" fontId="53" fillId="0" borderId="50" xfId="0" applyNumberFormat="1" applyFont="1" applyBorder="1" applyAlignment="1">
      <alignment horizontal="center"/>
    </xf>
    <xf numFmtId="0" fontId="29" fillId="41" borderId="56" xfId="0" applyFont="1" applyFill="1" applyBorder="1"/>
    <xf numFmtId="0" fontId="29" fillId="0" borderId="56" xfId="0" applyFont="1" applyBorder="1"/>
    <xf numFmtId="0" fontId="53" fillId="36" borderId="19" xfId="0" applyFont="1" applyFill="1" applyBorder="1" applyAlignment="1">
      <alignment horizontal="center"/>
    </xf>
    <xf numFmtId="14" fontId="0" fillId="0" borderId="29" xfId="0" quotePrefix="1" applyNumberFormat="1" applyBorder="1"/>
    <xf numFmtId="0" fontId="29" fillId="41" borderId="57" xfId="0" applyFont="1" applyFill="1" applyBorder="1"/>
    <xf numFmtId="0" fontId="17" fillId="0" borderId="33" xfId="0" applyFont="1" applyBorder="1" applyAlignment="1">
      <alignment horizontal="center"/>
    </xf>
    <xf numFmtId="0" fontId="23" fillId="41" borderId="29" xfId="0" applyFont="1" applyFill="1" applyBorder="1"/>
    <xf numFmtId="0" fontId="27" fillId="41" borderId="29" xfId="0" applyFont="1" applyFill="1" applyBorder="1"/>
    <xf numFmtId="0" fontId="23" fillId="41" borderId="29" xfId="0" applyFont="1" applyFill="1" applyBorder="1" applyAlignment="1">
      <alignment horizontal="center"/>
    </xf>
    <xf numFmtId="164" fontId="0" fillId="41" borderId="29" xfId="0" applyNumberFormat="1" applyFill="1" applyBorder="1"/>
    <xf numFmtId="0" fontId="29" fillId="41" borderId="29" xfId="0" applyFont="1" applyFill="1" applyBorder="1"/>
    <xf numFmtId="0" fontId="53" fillId="47" borderId="48" xfId="0" applyFont="1" applyFill="1" applyBorder="1" applyAlignment="1">
      <alignment wrapText="1"/>
    </xf>
    <xf numFmtId="20" fontId="0" fillId="0" borderId="29" xfId="0" applyNumberFormat="1" applyBorder="1"/>
    <xf numFmtId="0" fontId="29" fillId="0" borderId="30" xfId="0" applyFont="1" applyBorder="1"/>
    <xf numFmtId="21" fontId="27" fillId="0" borderId="32" xfId="0" applyNumberFormat="1" applyFont="1" applyBorder="1"/>
    <xf numFmtId="21" fontId="27" fillId="0" borderId="38" xfId="0" applyNumberFormat="1" applyFont="1" applyBorder="1"/>
    <xf numFmtId="0" fontId="17" fillId="0" borderId="10" xfId="0" applyFont="1" applyBorder="1" applyAlignment="1">
      <alignment horizontal="left"/>
    </xf>
    <xf numFmtId="0" fontId="27" fillId="38" borderId="40" xfId="0" applyFont="1" applyFill="1" applyBorder="1"/>
    <xf numFmtId="0" fontId="27" fillId="38" borderId="41" xfId="0" applyFont="1" applyFill="1" applyBorder="1"/>
    <xf numFmtId="0" fontId="27" fillId="0" borderId="30" xfId="0" applyFont="1" applyBorder="1"/>
    <xf numFmtId="0" fontId="55" fillId="0" borderId="29" xfId="0" applyFont="1" applyBorder="1"/>
    <xf numFmtId="0" fontId="55" fillId="0" borderId="31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20" fontId="0" fillId="0" borderId="32" xfId="0" applyNumberFormat="1" applyBorder="1"/>
    <xf numFmtId="0" fontId="36" fillId="0" borderId="30" xfId="0" applyFont="1" applyBorder="1"/>
    <xf numFmtId="20" fontId="0" fillId="0" borderId="29" xfId="0" applyNumberFormat="1" applyBorder="1" applyAlignment="1">
      <alignment horizontal="center"/>
    </xf>
    <xf numFmtId="14" fontId="53" fillId="0" borderId="29" xfId="0" applyNumberFormat="1" applyFont="1" applyBorder="1" applyAlignment="1">
      <alignment horizontal="center"/>
    </xf>
    <xf numFmtId="14" fontId="53" fillId="0" borderId="49" xfId="0" applyNumberFormat="1" applyFont="1" applyBorder="1" applyAlignment="1">
      <alignment horizontal="center"/>
    </xf>
    <xf numFmtId="20" fontId="53" fillId="0" borderId="28" xfId="0" applyNumberFormat="1" applyFont="1" applyBorder="1" applyAlignment="1">
      <alignment horizontal="center"/>
    </xf>
    <xf numFmtId="0" fontId="53" fillId="0" borderId="0" xfId="0" applyFont="1" applyAlignment="1">
      <alignment horizontal="center"/>
    </xf>
    <xf numFmtId="0" fontId="0" fillId="44" borderId="29" xfId="0" applyFill="1" applyBorder="1"/>
    <xf numFmtId="21" fontId="27" fillId="44" borderId="38" xfId="0" applyNumberFormat="1" applyFont="1" applyFill="1" applyBorder="1"/>
    <xf numFmtId="0" fontId="0" fillId="44" borderId="30" xfId="0" applyFill="1" applyBorder="1"/>
    <xf numFmtId="0" fontId="19" fillId="44" borderId="29" xfId="43" applyFill="1" applyBorder="1"/>
    <xf numFmtId="0" fontId="0" fillId="44" borderId="0" xfId="0" applyFill="1"/>
    <xf numFmtId="0" fontId="36" fillId="44" borderId="29" xfId="0" applyFont="1" applyFill="1" applyBorder="1"/>
    <xf numFmtId="0" fontId="0" fillId="44" borderId="30" xfId="0" applyFill="1" applyBorder="1" applyAlignment="1">
      <alignment horizontal="left"/>
    </xf>
    <xf numFmtId="20" fontId="53" fillId="0" borderId="33" xfId="0" applyNumberFormat="1" applyFont="1" applyBorder="1" applyAlignment="1">
      <alignment horizontal="center"/>
    </xf>
    <xf numFmtId="0" fontId="53" fillId="0" borderId="33" xfId="0" applyFont="1" applyBorder="1" applyAlignment="1">
      <alignment horizontal="center"/>
    </xf>
    <xf numFmtId="0" fontId="53" fillId="0" borderId="29" xfId="0" applyFont="1" applyBorder="1" applyAlignment="1">
      <alignment horizontal="center"/>
    </xf>
    <xf numFmtId="14" fontId="53" fillId="0" borderId="32" xfId="0" applyNumberFormat="1" applyFont="1" applyBorder="1" applyAlignment="1">
      <alignment horizontal="center"/>
    </xf>
    <xf numFmtId="21" fontId="0" fillId="39" borderId="33" xfId="0" applyNumberFormat="1" applyFill="1" applyBorder="1"/>
    <xf numFmtId="0" fontId="19" fillId="51" borderId="28" xfId="43" applyFill="1" applyBorder="1" applyAlignment="1"/>
    <xf numFmtId="0" fontId="19" fillId="51" borderId="48" xfId="43" applyFill="1" applyBorder="1" applyAlignment="1"/>
    <xf numFmtId="14" fontId="53" fillId="0" borderId="38" xfId="0" applyNumberFormat="1" applyFont="1" applyBorder="1" applyAlignment="1">
      <alignment horizontal="center"/>
    </xf>
    <xf numFmtId="20" fontId="53" fillId="0" borderId="37" xfId="0" applyNumberFormat="1" applyFont="1" applyBorder="1" applyAlignment="1">
      <alignment horizontal="center"/>
    </xf>
    <xf numFmtId="0" fontId="53" fillId="53" borderId="50" xfId="0" applyFont="1" applyFill="1" applyBorder="1"/>
    <xf numFmtId="20" fontId="53" fillId="0" borderId="29" xfId="0" applyNumberFormat="1" applyFont="1" applyBorder="1" applyAlignment="1">
      <alignment horizontal="center"/>
    </xf>
    <xf numFmtId="20" fontId="53" fillId="0" borderId="30" xfId="0" applyNumberFormat="1" applyFont="1" applyBorder="1" applyAlignment="1">
      <alignment horizontal="center"/>
    </xf>
    <xf numFmtId="0" fontId="28" fillId="0" borderId="32" xfId="0" applyFont="1" applyBorder="1"/>
    <xf numFmtId="0" fontId="28" fillId="0" borderId="38" xfId="0" applyFont="1" applyBorder="1"/>
    <xf numFmtId="0" fontId="36" fillId="0" borderId="31" xfId="0" applyFont="1" applyBorder="1"/>
    <xf numFmtId="0" fontId="0" fillId="36" borderId="29" xfId="0" applyFill="1" applyBorder="1"/>
    <xf numFmtId="0" fontId="0" fillId="38" borderId="33" xfId="0" applyFill="1" applyBorder="1"/>
    <xf numFmtId="20" fontId="53" fillId="0" borderId="0" xfId="0" applyNumberFormat="1" applyFont="1" applyAlignment="1">
      <alignment horizontal="center"/>
    </xf>
    <xf numFmtId="20" fontId="53" fillId="0" borderId="43" xfId="0" applyNumberFormat="1" applyFont="1" applyBorder="1" applyAlignment="1">
      <alignment horizontal="center"/>
    </xf>
    <xf numFmtId="0" fontId="53" fillId="33" borderId="37" xfId="0" applyFont="1" applyFill="1" applyBorder="1" applyAlignment="1">
      <alignment horizontal="center"/>
    </xf>
    <xf numFmtId="20" fontId="0" fillId="0" borderId="33" xfId="0" applyNumberFormat="1" applyBorder="1"/>
    <xf numFmtId="0" fontId="53" fillId="51" borderId="19" xfId="0" applyFont="1" applyFill="1" applyBorder="1"/>
    <xf numFmtId="0" fontId="53" fillId="33" borderId="34" xfId="0" applyFont="1" applyFill="1" applyBorder="1" applyAlignment="1">
      <alignment horizontal="center"/>
    </xf>
    <xf numFmtId="0" fontId="0" fillId="44" borderId="31" xfId="0" applyFill="1" applyBorder="1"/>
    <xf numFmtId="0" fontId="55" fillId="0" borderId="33" xfId="0" applyFont="1" applyBorder="1" applyAlignment="1">
      <alignment horizontal="center"/>
    </xf>
    <xf numFmtId="20" fontId="55" fillId="0" borderId="33" xfId="0" applyNumberFormat="1" applyFont="1" applyBorder="1" applyAlignment="1">
      <alignment horizontal="center"/>
    </xf>
    <xf numFmtId="0" fontId="0" fillId="44" borderId="34" xfId="0" applyFill="1" applyBorder="1"/>
    <xf numFmtId="164" fontId="0" fillId="44" borderId="31" xfId="0" applyNumberFormat="1" applyFill="1" applyBorder="1"/>
    <xf numFmtId="0" fontId="0" fillId="44" borderId="35" xfId="0" applyFill="1" applyBorder="1"/>
    <xf numFmtId="0" fontId="53" fillId="55" borderId="29" xfId="0" applyFont="1" applyFill="1" applyBorder="1" applyAlignment="1">
      <alignment horizontal="center"/>
    </xf>
    <xf numFmtId="0" fontId="55" fillId="55" borderId="29" xfId="0" applyFont="1" applyFill="1" applyBorder="1" applyAlignment="1">
      <alignment horizontal="center"/>
    </xf>
    <xf numFmtId="0" fontId="53" fillId="0" borderId="30" xfId="0" applyFont="1" applyBorder="1" applyAlignment="1">
      <alignment horizontal="center"/>
    </xf>
    <xf numFmtId="0" fontId="17" fillId="0" borderId="0" xfId="0" applyFont="1" applyAlignment="1">
      <alignment horizontal="left"/>
    </xf>
    <xf numFmtId="0" fontId="27" fillId="0" borderId="40" xfId="0" applyFont="1" applyBorder="1"/>
    <xf numFmtId="0" fontId="53" fillId="0" borderId="37" xfId="0" applyFont="1" applyBorder="1" applyAlignment="1">
      <alignment horizontal="center"/>
    </xf>
    <xf numFmtId="0" fontId="53" fillId="53" borderId="11" xfId="0" applyFont="1" applyFill="1" applyBorder="1"/>
    <xf numFmtId="20" fontId="0" fillId="0" borderId="38" xfId="0" applyNumberFormat="1" applyBorder="1"/>
    <xf numFmtId="21" fontId="0" fillId="38" borderId="33" xfId="0" applyNumberFormat="1" applyFill="1" applyBorder="1"/>
    <xf numFmtId="0" fontId="19" fillId="0" borderId="34" xfId="43" applyBorder="1"/>
    <xf numFmtId="0" fontId="55" fillId="0" borderId="37" xfId="0" applyFont="1" applyBorder="1" applyAlignment="1">
      <alignment horizontal="center"/>
    </xf>
    <xf numFmtId="20" fontId="53" fillId="0" borderId="38" xfId="0" applyNumberFormat="1" applyFont="1" applyBorder="1" applyAlignment="1">
      <alignment horizontal="center"/>
    </xf>
    <xf numFmtId="0" fontId="55" fillId="0" borderId="43" xfId="0" applyFont="1" applyBorder="1" applyAlignment="1">
      <alignment horizontal="center"/>
    </xf>
    <xf numFmtId="0" fontId="53" fillId="53" borderId="33" xfId="0" applyFont="1" applyFill="1" applyBorder="1"/>
    <xf numFmtId="20" fontId="17" fillId="0" borderId="35" xfId="0" applyNumberFormat="1" applyFont="1" applyBorder="1" applyAlignment="1">
      <alignment horizontal="center"/>
    </xf>
    <xf numFmtId="20" fontId="17" fillId="0" borderId="36" xfId="0" applyNumberFormat="1" applyFont="1" applyBorder="1" applyAlignment="1">
      <alignment horizontal="center"/>
    </xf>
    <xf numFmtId="0" fontId="55" fillId="38" borderId="29" xfId="0" applyFont="1" applyFill="1" applyBorder="1" applyAlignment="1">
      <alignment horizontal="center"/>
    </xf>
    <xf numFmtId="21" fontId="29" fillId="38" borderId="29" xfId="0" applyNumberFormat="1" applyFont="1" applyFill="1" applyBorder="1" applyAlignment="1">
      <alignment horizontal="center"/>
    </xf>
    <xf numFmtId="0" fontId="52" fillId="45" borderId="44" xfId="0" applyFont="1" applyFill="1" applyBorder="1" applyAlignment="1">
      <alignment horizontal="center" wrapText="1"/>
    </xf>
    <xf numFmtId="0" fontId="0" fillId="44" borderId="29" xfId="0" applyFill="1" applyBorder="1" applyAlignment="1">
      <alignment horizontal="center"/>
    </xf>
    <xf numFmtId="20" fontId="17" fillId="0" borderId="32" xfId="0" applyNumberFormat="1" applyFont="1" applyBorder="1" applyAlignment="1">
      <alignment horizontal="center"/>
    </xf>
    <xf numFmtId="0" fontId="17" fillId="44" borderId="29" xfId="0" applyFont="1" applyFill="1" applyBorder="1" applyAlignment="1">
      <alignment horizontal="center"/>
    </xf>
    <xf numFmtId="20" fontId="17" fillId="0" borderId="29" xfId="0" applyNumberFormat="1" applyFont="1" applyBorder="1" applyAlignment="1">
      <alignment horizontal="center"/>
    </xf>
    <xf numFmtId="0" fontId="51" fillId="0" borderId="0" xfId="0" applyFont="1" applyAlignment="1">
      <alignment horizontal="center"/>
    </xf>
    <xf numFmtId="0" fontId="17" fillId="0" borderId="33" xfId="0" applyFont="1" applyBorder="1" applyAlignment="1">
      <alignment horizontal="left"/>
    </xf>
    <xf numFmtId="0" fontId="17" fillId="0" borderId="29" xfId="0" applyFont="1" applyBorder="1" applyAlignment="1">
      <alignment horizontal="left"/>
    </xf>
    <xf numFmtId="0" fontId="29" fillId="0" borderId="62" xfId="0" applyFont="1" applyBorder="1"/>
    <xf numFmtId="0" fontId="51" fillId="38" borderId="0" xfId="0" applyFont="1" applyFill="1" applyAlignment="1">
      <alignment horizontal="center"/>
    </xf>
    <xf numFmtId="0" fontId="53" fillId="53" borderId="0" xfId="0" applyFont="1" applyFill="1"/>
    <xf numFmtId="20" fontId="55" fillId="38" borderId="29" xfId="0" applyNumberFormat="1" applyFont="1" applyFill="1" applyBorder="1" applyAlignment="1">
      <alignment horizontal="center"/>
    </xf>
    <xf numFmtId="20" fontId="55" fillId="38" borderId="33" xfId="0" applyNumberFormat="1" applyFont="1" applyFill="1" applyBorder="1" applyAlignment="1">
      <alignment horizontal="center"/>
    </xf>
    <xf numFmtId="0" fontId="29" fillId="41" borderId="62" xfId="0" applyFont="1" applyFill="1" applyBorder="1"/>
    <xf numFmtId="14" fontId="0" fillId="0" borderId="0" xfId="0" applyNumberFormat="1"/>
    <xf numFmtId="0" fontId="0" fillId="38" borderId="0" xfId="0" applyFill="1" applyAlignment="1">
      <alignment horizontal="center"/>
    </xf>
    <xf numFmtId="21" fontId="0" fillId="0" borderId="0" xfId="0" applyNumberFormat="1"/>
    <xf numFmtId="164" fontId="0" fillId="0" borderId="0" xfId="0" applyNumberFormat="1"/>
    <xf numFmtId="0" fontId="17" fillId="0" borderId="48" xfId="0" applyFont="1" applyBorder="1" applyAlignment="1">
      <alignment horizontal="left"/>
    </xf>
    <xf numFmtId="0" fontId="27" fillId="0" borderId="39" xfId="0" applyFont="1" applyBorder="1"/>
    <xf numFmtId="20" fontId="17" fillId="0" borderId="38" xfId="0" applyNumberFormat="1" applyFont="1" applyBorder="1" applyAlignment="1">
      <alignment horizontal="center"/>
    </xf>
    <xf numFmtId="0" fontId="27" fillId="0" borderId="41" xfId="0" applyFont="1" applyBorder="1"/>
    <xf numFmtId="0" fontId="17" fillId="0" borderId="31" xfId="0" applyFont="1" applyBorder="1" applyAlignment="1">
      <alignment horizontal="left"/>
    </xf>
    <xf numFmtId="20" fontId="17" fillId="44" borderId="29" xfId="0" applyNumberFormat="1" applyFont="1" applyFill="1" applyBorder="1" applyAlignment="1">
      <alignment horizontal="center"/>
    </xf>
    <xf numFmtId="164" fontId="0" fillId="44" borderId="29" xfId="0" applyNumberFormat="1" applyFill="1" applyBorder="1" applyAlignment="1">
      <alignment horizontal="center"/>
    </xf>
    <xf numFmtId="20" fontId="17" fillId="0" borderId="33" xfId="0" applyNumberFormat="1" applyFont="1" applyBorder="1" applyAlignment="1">
      <alignment horizontal="center"/>
    </xf>
    <xf numFmtId="0" fontId="0" fillId="38" borderId="37" xfId="0" applyFill="1" applyBorder="1"/>
    <xf numFmtId="21" fontId="0" fillId="55" borderId="29" xfId="0" applyNumberFormat="1" applyFill="1" applyBorder="1"/>
    <xf numFmtId="21" fontId="0" fillId="55" borderId="0" xfId="0" applyNumberFormat="1" applyFill="1"/>
    <xf numFmtId="0" fontId="29" fillId="41" borderId="29" xfId="0" applyFont="1" applyFill="1" applyBorder="1" applyAlignment="1">
      <alignment horizontal="center"/>
    </xf>
    <xf numFmtId="0" fontId="0" fillId="41" borderId="63" xfId="0" applyFill="1" applyBorder="1"/>
    <xf numFmtId="0" fontId="0" fillId="41" borderId="30" xfId="0" applyFill="1" applyBorder="1"/>
    <xf numFmtId="21" fontId="0" fillId="38" borderId="31" xfId="0" applyNumberFormat="1" applyFill="1" applyBorder="1"/>
    <xf numFmtId="14" fontId="53" fillId="0" borderId="31" xfId="0" applyNumberFormat="1" applyFont="1" applyBorder="1" applyAlignment="1">
      <alignment horizontal="center"/>
    </xf>
    <xf numFmtId="20" fontId="53" fillId="0" borderId="31" xfId="0" applyNumberFormat="1" applyFont="1" applyBorder="1" applyAlignment="1">
      <alignment horizontal="center"/>
    </xf>
    <xf numFmtId="0" fontId="19" fillId="41" borderId="63" xfId="43" applyFill="1" applyBorder="1"/>
    <xf numFmtId="20" fontId="0" fillId="0" borderId="32" xfId="0" applyNumberFormat="1" applyBorder="1" applyAlignment="1">
      <alignment horizontal="center"/>
    </xf>
    <xf numFmtId="20" fontId="0" fillId="0" borderId="38" xfId="0" applyNumberFormat="1" applyBorder="1" applyAlignment="1">
      <alignment horizontal="center"/>
    </xf>
    <xf numFmtId="20" fontId="17" fillId="39" borderId="32" xfId="0" applyNumberFormat="1" applyFont="1" applyFill="1" applyBorder="1"/>
    <xf numFmtId="21" fontId="17" fillId="55" borderId="32" xfId="0" applyNumberFormat="1" applyFont="1" applyFill="1" applyBorder="1" applyAlignment="1">
      <alignment horizontal="center"/>
    </xf>
    <xf numFmtId="21" fontId="17" fillId="0" borderId="32" xfId="0" applyNumberFormat="1" applyFont="1" applyBorder="1" applyAlignment="1">
      <alignment horizontal="center"/>
    </xf>
    <xf numFmtId="21" fontId="53" fillId="41" borderId="32" xfId="0" applyNumberFormat="1" applyFont="1" applyFill="1" applyBorder="1" applyAlignment="1">
      <alignment horizontal="center"/>
    </xf>
    <xf numFmtId="21" fontId="53" fillId="0" borderId="32" xfId="0" applyNumberFormat="1" applyFont="1" applyBorder="1" applyAlignment="1">
      <alignment horizontal="center"/>
    </xf>
    <xf numFmtId="21" fontId="17" fillId="41" borderId="32" xfId="0" applyNumberFormat="1" applyFont="1" applyFill="1" applyBorder="1" applyAlignment="1">
      <alignment horizontal="center"/>
    </xf>
    <xf numFmtId="0" fontId="19" fillId="41" borderId="32" xfId="43" applyFill="1" applyBorder="1"/>
    <xf numFmtId="0" fontId="53" fillId="53" borderId="13" xfId="0" applyFont="1" applyFill="1" applyBorder="1" applyAlignment="1">
      <alignment horizontal="center"/>
    </xf>
    <xf numFmtId="0" fontId="53" fillId="0" borderId="32" xfId="0" applyFont="1" applyBorder="1" applyAlignment="1">
      <alignment horizontal="center"/>
    </xf>
    <xf numFmtId="0" fontId="55" fillId="0" borderId="32" xfId="0" applyFont="1" applyBorder="1" applyAlignment="1">
      <alignment horizontal="center"/>
    </xf>
    <xf numFmtId="0" fontId="55" fillId="38" borderId="38" xfId="0" applyFont="1" applyFill="1" applyBorder="1" applyAlignment="1">
      <alignment horizontal="center"/>
    </xf>
    <xf numFmtId="20" fontId="17" fillId="0" borderId="39" xfId="0" applyNumberFormat="1" applyFont="1" applyBorder="1" applyAlignment="1">
      <alignment horizontal="center"/>
    </xf>
    <xf numFmtId="20" fontId="53" fillId="0" borderId="41" xfId="0" applyNumberFormat="1" applyFont="1" applyBorder="1" applyAlignment="1">
      <alignment horizontal="center"/>
    </xf>
    <xf numFmtId="0" fontId="52" fillId="45" borderId="48" xfId="0" applyFont="1" applyFill="1" applyBorder="1" applyAlignment="1">
      <alignment horizontal="center" wrapText="1"/>
    </xf>
    <xf numFmtId="0" fontId="57" fillId="45" borderId="39" xfId="0" applyFont="1" applyFill="1" applyBorder="1" applyAlignment="1">
      <alignment horizontal="center"/>
    </xf>
    <xf numFmtId="0" fontId="57" fillId="56" borderId="29" xfId="0" applyFont="1" applyFill="1" applyBorder="1" applyAlignment="1">
      <alignment horizontal="center"/>
    </xf>
    <xf numFmtId="0" fontId="23" fillId="0" borderId="40" xfId="0" applyFont="1" applyBorder="1"/>
    <xf numFmtId="0" fontId="22" fillId="0" borderId="29" xfId="0" applyFont="1" applyBorder="1" applyAlignment="1">
      <alignment horizontal="center"/>
    </xf>
    <xf numFmtId="0" fontId="23" fillId="57" borderId="40" xfId="0" applyFont="1" applyFill="1" applyBorder="1"/>
    <xf numFmtId="0" fontId="22" fillId="57" borderId="29" xfId="0" applyFont="1" applyFill="1" applyBorder="1" applyAlignment="1">
      <alignment horizontal="center"/>
    </xf>
    <xf numFmtId="0" fontId="23" fillId="58" borderId="40" xfId="0" applyFont="1" applyFill="1" applyBorder="1"/>
    <xf numFmtId="0" fontId="23" fillId="59" borderId="40" xfId="0" applyFont="1" applyFill="1" applyBorder="1"/>
    <xf numFmtId="0" fontId="23" fillId="0" borderId="32" xfId="0" applyFont="1" applyBorder="1"/>
    <xf numFmtId="0" fontId="23" fillId="49" borderId="64" xfId="0" applyFont="1" applyFill="1" applyBorder="1"/>
    <xf numFmtId="0" fontId="23" fillId="0" borderId="64" xfId="0" applyFont="1" applyBorder="1"/>
    <xf numFmtId="0" fontId="23" fillId="0" borderId="65" xfId="0" applyFont="1" applyBorder="1"/>
    <xf numFmtId="0" fontId="22" fillId="0" borderId="33" xfId="0" applyFont="1" applyBorder="1" applyAlignment="1">
      <alignment horizontal="center"/>
    </xf>
    <xf numFmtId="0" fontId="23" fillId="49" borderId="29" xfId="0" applyFont="1" applyFill="1" applyBorder="1"/>
    <xf numFmtId="0" fontId="17" fillId="41" borderId="29" xfId="0" applyFont="1" applyFill="1" applyBorder="1"/>
    <xf numFmtId="0" fontId="55" fillId="38" borderId="32" xfId="0" applyFont="1" applyFill="1" applyBorder="1"/>
    <xf numFmtId="0" fontId="27" fillId="0" borderId="37" xfId="0" applyFont="1" applyBorder="1"/>
    <xf numFmtId="21" fontId="29" fillId="38" borderId="32" xfId="0" applyNumberFormat="1" applyFont="1" applyFill="1" applyBorder="1" applyAlignment="1">
      <alignment horizontal="center"/>
    </xf>
    <xf numFmtId="21" fontId="29" fillId="38" borderId="38" xfId="0" applyNumberFormat="1" applyFont="1" applyFill="1" applyBorder="1" applyAlignment="1">
      <alignment horizontal="center"/>
    </xf>
    <xf numFmtId="21" fontId="29" fillId="38" borderId="36" xfId="0" applyNumberFormat="1" applyFont="1" applyFill="1" applyBorder="1" applyAlignment="1">
      <alignment horizontal="center"/>
    </xf>
    <xf numFmtId="21" fontId="0" fillId="0" borderId="38" xfId="0" applyNumberFormat="1" applyBorder="1" applyAlignment="1">
      <alignment horizontal="center"/>
    </xf>
    <xf numFmtId="0" fontId="19" fillId="44" borderId="34" xfId="43" applyFill="1" applyBorder="1"/>
    <xf numFmtId="0" fontId="17" fillId="44" borderId="34" xfId="0" applyFont="1" applyFill="1" applyBorder="1"/>
    <xf numFmtId="0" fontId="17" fillId="0" borderId="40" xfId="0" applyFont="1" applyBorder="1" applyAlignment="1">
      <alignment horizontal="center"/>
    </xf>
    <xf numFmtId="20" fontId="0" fillId="38" borderId="32" xfId="0" applyNumberFormat="1" applyFill="1" applyBorder="1" applyAlignment="1">
      <alignment horizontal="center"/>
    </xf>
    <xf numFmtId="0" fontId="19" fillId="41" borderId="30" xfId="43" applyFill="1" applyBorder="1"/>
    <xf numFmtId="0" fontId="19" fillId="0" borderId="30" xfId="43" applyBorder="1"/>
    <xf numFmtId="0" fontId="0" fillId="35" borderId="29" xfId="0" applyFill="1" applyBorder="1"/>
    <xf numFmtId="0" fontId="0" fillId="60" borderId="29" xfId="0" applyFill="1" applyBorder="1"/>
    <xf numFmtId="0" fontId="0" fillId="61" borderId="29" xfId="0" applyFill="1" applyBorder="1"/>
    <xf numFmtId="0" fontId="0" fillId="62" borderId="29" xfId="0" applyFill="1" applyBorder="1"/>
    <xf numFmtId="20" fontId="0" fillId="62" borderId="29" xfId="0" applyNumberFormat="1" applyFill="1" applyBorder="1"/>
    <xf numFmtId="0" fontId="17" fillId="40" borderId="35" xfId="0" applyFont="1" applyFill="1" applyBorder="1" applyAlignment="1">
      <alignment horizontal="center"/>
    </xf>
    <xf numFmtId="0" fontId="19" fillId="0" borderId="38" xfId="43" applyBorder="1"/>
    <xf numFmtId="0" fontId="0" fillId="41" borderId="38" xfId="0" applyFill="1" applyBorder="1"/>
    <xf numFmtId="0" fontId="19" fillId="41" borderId="38" xfId="43" applyFill="1" applyBorder="1"/>
    <xf numFmtId="0" fontId="29" fillId="38" borderId="0" xfId="0" applyFont="1" applyFill="1"/>
    <xf numFmtId="0" fontId="19" fillId="38" borderId="0" xfId="43" applyFill="1" applyBorder="1" applyAlignment="1"/>
    <xf numFmtId="0" fontId="17" fillId="0" borderId="30" xfId="0" applyFont="1" applyBorder="1"/>
    <xf numFmtId="0" fontId="17" fillId="0" borderId="37" xfId="0" applyFont="1" applyBorder="1"/>
    <xf numFmtId="21" fontId="29" fillId="38" borderId="33" xfId="0" applyNumberFormat="1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17" fillId="36" borderId="43" xfId="0" applyFont="1" applyFill="1" applyBorder="1" applyAlignment="1">
      <alignment horizontal="center" vertical="center"/>
    </xf>
    <xf numFmtId="0" fontId="17" fillId="36" borderId="35" xfId="0" applyFont="1" applyFill="1" applyBorder="1" applyAlignment="1">
      <alignment horizontal="center" vertical="center"/>
    </xf>
    <xf numFmtId="0" fontId="17" fillId="36" borderId="37" xfId="0" applyFont="1" applyFill="1" applyBorder="1" applyAlignment="1">
      <alignment horizontal="center" vertical="center"/>
    </xf>
    <xf numFmtId="0" fontId="17" fillId="36" borderId="0" xfId="0" applyFont="1" applyFill="1" applyAlignment="1">
      <alignment horizontal="center" vertical="center"/>
    </xf>
    <xf numFmtId="14" fontId="48" fillId="36" borderId="29" xfId="0" applyNumberFormat="1" applyFont="1" applyFill="1" applyBorder="1"/>
    <xf numFmtId="0" fontId="48" fillId="36" borderId="29" xfId="0" applyFont="1" applyFill="1" applyBorder="1"/>
    <xf numFmtId="0" fontId="48" fillId="36" borderId="35" xfId="0" applyFont="1" applyFill="1" applyBorder="1" applyAlignment="1">
      <alignment horizontal="center"/>
    </xf>
    <xf numFmtId="0" fontId="48" fillId="36" borderId="31" xfId="0" applyFont="1" applyFill="1" applyBorder="1"/>
    <xf numFmtId="0" fontId="41" fillId="36" borderId="0" xfId="0" applyFont="1" applyFill="1"/>
    <xf numFmtId="0" fontId="48" fillId="36" borderId="31" xfId="0" applyFont="1" applyFill="1" applyBorder="1" applyAlignment="1">
      <alignment horizontal="center"/>
    </xf>
    <xf numFmtId="164" fontId="48" fillId="36" borderId="31" xfId="0" applyNumberFormat="1" applyFont="1" applyFill="1" applyBorder="1"/>
    <xf numFmtId="0" fontId="48" fillId="36" borderId="36" xfId="0" applyFont="1" applyFill="1" applyBorder="1"/>
    <xf numFmtId="0" fontId="48" fillId="36" borderId="32" xfId="0" applyFont="1" applyFill="1" applyBorder="1" applyAlignment="1">
      <alignment horizontal="center"/>
    </xf>
    <xf numFmtId="0" fontId="29" fillId="63" borderId="0" xfId="0" applyFont="1" applyFill="1"/>
    <xf numFmtId="14" fontId="29" fillId="63" borderId="0" xfId="0" applyNumberFormat="1" applyFont="1" applyFill="1"/>
    <xf numFmtId="21" fontId="29" fillId="63" borderId="0" xfId="0" applyNumberFormat="1" applyFont="1" applyFill="1"/>
    <xf numFmtId="21" fontId="29" fillId="63" borderId="0" xfId="0" applyNumberFormat="1" applyFont="1" applyFill="1" applyAlignment="1">
      <alignment horizontal="left"/>
    </xf>
    <xf numFmtId="21" fontId="29" fillId="0" borderId="0" xfId="0" applyNumberFormat="1" applyFont="1" applyAlignment="1">
      <alignment horizontal="left"/>
    </xf>
    <xf numFmtId="0" fontId="48" fillId="36" borderId="29" xfId="0" applyFont="1" applyFill="1" applyBorder="1" applyAlignment="1">
      <alignment horizontal="center"/>
    </xf>
    <xf numFmtId="0" fontId="29" fillId="63" borderId="29" xfId="0" applyFont="1" applyFill="1" applyBorder="1"/>
    <xf numFmtId="0" fontId="14" fillId="44" borderId="42" xfId="0" applyFont="1" applyFill="1" applyBorder="1" applyAlignment="1">
      <alignment horizontal="center" vertical="center" wrapText="1"/>
    </xf>
    <xf numFmtId="0" fontId="14" fillId="44" borderId="31" xfId="0" applyFont="1" applyFill="1" applyBorder="1"/>
    <xf numFmtId="0" fontId="14" fillId="44" borderId="34" xfId="0" applyFont="1" applyFill="1" applyBorder="1" applyAlignment="1">
      <alignment horizontal="center" vertical="center"/>
    </xf>
    <xf numFmtId="0" fontId="29" fillId="0" borderId="0" xfId="0" applyFont="1" applyAlignment="1">
      <alignment horizontal="left"/>
    </xf>
    <xf numFmtId="0" fontId="0" fillId="0" borderId="43" xfId="0" applyBorder="1"/>
    <xf numFmtId="0" fontId="0" fillId="64" borderId="31" xfId="0" applyFill="1" applyBorder="1"/>
    <xf numFmtId="0" fontId="0" fillId="64" borderId="29" xfId="0" applyFill="1" applyBorder="1"/>
    <xf numFmtId="0" fontId="0" fillId="65" borderId="29" xfId="0" applyFill="1" applyBorder="1"/>
    <xf numFmtId="0" fontId="19" fillId="65" borderId="29" xfId="43" applyFill="1" applyBorder="1"/>
    <xf numFmtId="0" fontId="54" fillId="48" borderId="29" xfId="0" applyFont="1" applyFill="1" applyBorder="1"/>
    <xf numFmtId="0" fontId="19" fillId="0" borderId="29" xfId="43" applyFill="1" applyBorder="1" applyAlignment="1"/>
    <xf numFmtId="0" fontId="29" fillId="49" borderId="29" xfId="0" applyFont="1" applyFill="1" applyBorder="1"/>
    <xf numFmtId="0" fontId="54" fillId="50" borderId="29" xfId="0" applyFont="1" applyFill="1" applyBorder="1"/>
    <xf numFmtId="0" fontId="19" fillId="49" borderId="29" xfId="43" applyFill="1" applyBorder="1" applyAlignment="1"/>
    <xf numFmtId="0" fontId="29" fillId="65" borderId="29" xfId="0" applyFont="1" applyFill="1" applyBorder="1"/>
    <xf numFmtId="164" fontId="29" fillId="0" borderId="29" xfId="0" applyNumberFormat="1" applyFont="1" applyBorder="1"/>
    <xf numFmtId="164" fontId="29" fillId="49" borderId="29" xfId="0" applyNumberFormat="1" applyFont="1" applyFill="1" applyBorder="1"/>
    <xf numFmtId="0" fontId="53" fillId="53" borderId="13" xfId="0" applyFont="1" applyFill="1" applyBorder="1"/>
    <xf numFmtId="0" fontId="29" fillId="0" borderId="13" xfId="0" applyFont="1" applyBorder="1"/>
    <xf numFmtId="0" fontId="29" fillId="0" borderId="69" xfId="0" applyFont="1" applyBorder="1"/>
    <xf numFmtId="0" fontId="29" fillId="49" borderId="32" xfId="0" applyFont="1" applyFill="1" applyBorder="1"/>
    <xf numFmtId="0" fontId="29" fillId="65" borderId="31" xfId="0" applyFont="1" applyFill="1" applyBorder="1"/>
    <xf numFmtId="0" fontId="29" fillId="0" borderId="36" xfId="0" applyFont="1" applyBorder="1"/>
    <xf numFmtId="0" fontId="29" fillId="65" borderId="70" xfId="0" applyFont="1" applyFill="1" applyBorder="1"/>
    <xf numFmtId="0" fontId="29" fillId="65" borderId="69" xfId="0" applyFont="1" applyFill="1" applyBorder="1"/>
    <xf numFmtId="0" fontId="29" fillId="0" borderId="71" xfId="0" applyFont="1" applyBorder="1"/>
    <xf numFmtId="0" fontId="29" fillId="0" borderId="72" xfId="0" applyFont="1" applyBorder="1"/>
    <xf numFmtId="0" fontId="0" fillId="65" borderId="29" xfId="0" applyFill="1" applyBorder="1" applyAlignment="1">
      <alignment horizontal="center"/>
    </xf>
    <xf numFmtId="0" fontId="29" fillId="65" borderId="69" xfId="0" applyFont="1" applyFill="1" applyBorder="1" applyAlignment="1">
      <alignment horizontal="center"/>
    </xf>
    <xf numFmtId="0" fontId="29" fillId="0" borderId="72" xfId="0" applyFont="1" applyBorder="1" applyAlignment="1">
      <alignment horizontal="center"/>
    </xf>
    <xf numFmtId="0" fontId="29" fillId="0" borderId="69" xfId="0" applyFont="1" applyBorder="1" applyAlignment="1">
      <alignment horizontal="center"/>
    </xf>
    <xf numFmtId="0" fontId="0" fillId="65" borderId="73" xfId="0" applyFill="1" applyBorder="1"/>
    <xf numFmtId="0" fontId="19" fillId="65" borderId="73" xfId="43" applyFill="1" applyBorder="1"/>
    <xf numFmtId="0" fontId="29" fillId="0" borderId="37" xfId="0" applyFont="1" applyBorder="1"/>
    <xf numFmtId="21" fontId="0" fillId="65" borderId="29" xfId="0" applyNumberFormat="1" applyFill="1" applyBorder="1"/>
    <xf numFmtId="21" fontId="29" fillId="0" borderId="69" xfId="0" applyNumberFormat="1" applyFont="1" applyBorder="1"/>
    <xf numFmtId="21" fontId="29" fillId="65" borderId="69" xfId="0" applyNumberFormat="1" applyFont="1" applyFill="1" applyBorder="1"/>
    <xf numFmtId="21" fontId="29" fillId="0" borderId="72" xfId="0" applyNumberFormat="1" applyFont="1" applyBorder="1"/>
    <xf numFmtId="21" fontId="29" fillId="39" borderId="69" xfId="0" applyNumberFormat="1" applyFont="1" applyFill="1" applyBorder="1"/>
    <xf numFmtId="0" fontId="29" fillId="39" borderId="70" xfId="0" applyFont="1" applyFill="1" applyBorder="1"/>
    <xf numFmtId="0" fontId="29" fillId="39" borderId="72" xfId="0" applyFont="1" applyFill="1" applyBorder="1"/>
    <xf numFmtId="0" fontId="29" fillId="39" borderId="69" xfId="0" applyFont="1" applyFill="1" applyBorder="1"/>
    <xf numFmtId="0" fontId="29" fillId="39" borderId="69" xfId="0" applyFont="1" applyFill="1" applyBorder="1" applyAlignment="1">
      <alignment horizontal="center"/>
    </xf>
    <xf numFmtId="0" fontId="29" fillId="39" borderId="30" xfId="0" applyFont="1" applyFill="1" applyBorder="1"/>
    <xf numFmtId="0" fontId="29" fillId="39" borderId="29" xfId="0" applyFont="1" applyFill="1" applyBorder="1"/>
    <xf numFmtId="0" fontId="29" fillId="39" borderId="0" xfId="0" applyFont="1" applyFill="1"/>
    <xf numFmtId="0" fontId="0" fillId="39" borderId="0" xfId="0" applyFill="1"/>
    <xf numFmtId="0" fontId="29" fillId="39" borderId="74" xfId="0" applyFont="1" applyFill="1" applyBorder="1"/>
    <xf numFmtId="0" fontId="19" fillId="39" borderId="29" xfId="43" applyFill="1" applyBorder="1"/>
    <xf numFmtId="21" fontId="29" fillId="39" borderId="29" xfId="0" applyNumberFormat="1" applyFont="1" applyFill="1" applyBorder="1"/>
    <xf numFmtId="0" fontId="29" fillId="39" borderId="29" xfId="0" applyFont="1" applyFill="1" applyBorder="1" applyAlignment="1">
      <alignment horizontal="center"/>
    </xf>
    <xf numFmtId="0" fontId="29" fillId="39" borderId="32" xfId="0" applyFont="1" applyFill="1" applyBorder="1"/>
    <xf numFmtId="164" fontId="29" fillId="39" borderId="29" xfId="0" applyNumberFormat="1" applyFont="1" applyFill="1" applyBorder="1"/>
    <xf numFmtId="0" fontId="54" fillId="39" borderId="29" xfId="0" applyFont="1" applyFill="1" applyBorder="1"/>
    <xf numFmtId="0" fontId="19" fillId="39" borderId="29" xfId="43" applyFill="1" applyBorder="1" applyAlignment="1"/>
    <xf numFmtId="20" fontId="0" fillId="39" borderId="29" xfId="0" applyNumberFormat="1" applyFill="1" applyBorder="1" applyAlignment="1">
      <alignment horizontal="center"/>
    </xf>
    <xf numFmtId="20" fontId="0" fillId="39" borderId="33" xfId="0" applyNumberFormat="1" applyFill="1" applyBorder="1" applyAlignment="1">
      <alignment horizontal="center"/>
    </xf>
    <xf numFmtId="20" fontId="29" fillId="39" borderId="29" xfId="0" applyNumberFormat="1" applyFont="1" applyFill="1" applyBorder="1" applyAlignment="1">
      <alignment horizontal="center"/>
    </xf>
    <xf numFmtId="20" fontId="29" fillId="0" borderId="29" xfId="0" applyNumberFormat="1" applyFont="1" applyBorder="1" applyAlignment="1">
      <alignment horizontal="center"/>
    </xf>
    <xf numFmtId="0" fontId="53" fillId="0" borderId="31" xfId="0" applyFont="1" applyBorder="1" applyAlignment="1">
      <alignment horizontal="center"/>
    </xf>
    <xf numFmtId="165" fontId="53" fillId="0" borderId="0" xfId="0" applyNumberFormat="1" applyFont="1"/>
    <xf numFmtId="20" fontId="53" fillId="0" borderId="39" xfId="0" applyNumberFormat="1" applyFont="1" applyBorder="1" applyAlignment="1">
      <alignment horizontal="center"/>
    </xf>
    <xf numFmtId="165" fontId="53" fillId="0" borderId="30" xfId="0" applyNumberFormat="1" applyFont="1" applyBorder="1"/>
    <xf numFmtId="0" fontId="29" fillId="0" borderId="0" xfId="0" applyFont="1" applyAlignment="1">
      <alignment horizontal="center"/>
    </xf>
    <xf numFmtId="164" fontId="17" fillId="40" borderId="31" xfId="0" applyNumberFormat="1" applyFont="1" applyFill="1" applyBorder="1" applyAlignment="1">
      <alignment horizontal="left"/>
    </xf>
    <xf numFmtId="164" fontId="0" fillId="0" borderId="29" xfId="0" applyNumberFormat="1" applyBorder="1" applyAlignment="1">
      <alignment horizontal="left"/>
    </xf>
    <xf numFmtId="164" fontId="0" fillId="0" borderId="33" xfId="0" applyNumberFormat="1" applyBorder="1" applyAlignment="1">
      <alignment horizontal="left"/>
    </xf>
    <xf numFmtId="0" fontId="0" fillId="0" borderId="0" xfId="0" applyAlignment="1">
      <alignment horizontal="left"/>
    </xf>
    <xf numFmtId="20" fontId="53" fillId="0" borderId="32" xfId="0" applyNumberFormat="1" applyFont="1" applyBorder="1" applyAlignment="1">
      <alignment horizontal="center"/>
    </xf>
    <xf numFmtId="0" fontId="29" fillId="39" borderId="40" xfId="0" applyFont="1" applyFill="1" applyBorder="1"/>
    <xf numFmtId="0" fontId="29" fillId="65" borderId="75" xfId="0" applyFont="1" applyFill="1" applyBorder="1"/>
    <xf numFmtId="0" fontId="29" fillId="0" borderId="31" xfId="0" applyFont="1" applyBorder="1" applyAlignment="1">
      <alignment horizontal="center"/>
    </xf>
    <xf numFmtId="0" fontId="47" fillId="39" borderId="29" xfId="0" applyFont="1" applyFill="1" applyBorder="1"/>
    <xf numFmtId="0" fontId="30" fillId="0" borderId="29" xfId="0" applyFont="1" applyBorder="1"/>
    <xf numFmtId="0" fontId="33" fillId="0" borderId="29" xfId="0" applyFont="1" applyBorder="1"/>
    <xf numFmtId="0" fontId="32" fillId="0" borderId="29" xfId="0" applyFont="1" applyBorder="1"/>
    <xf numFmtId="0" fontId="34" fillId="0" borderId="29" xfId="0" applyFont="1" applyBorder="1"/>
    <xf numFmtId="0" fontId="36" fillId="0" borderId="29" xfId="0" applyFont="1" applyBorder="1" applyAlignment="1">
      <alignment horizontal="center"/>
    </xf>
    <xf numFmtId="0" fontId="38" fillId="0" borderId="29" xfId="0" applyFont="1" applyBorder="1"/>
    <xf numFmtId="0" fontId="0" fillId="38" borderId="31" xfId="0" applyFill="1" applyBorder="1"/>
    <xf numFmtId="0" fontId="38" fillId="0" borderId="29" xfId="0" applyFont="1" applyBorder="1" applyAlignment="1">
      <alignment horizontal="center"/>
    </xf>
    <xf numFmtId="0" fontId="27" fillId="0" borderId="0" xfId="0" applyFont="1" applyAlignment="1">
      <alignment horizontal="center"/>
    </xf>
    <xf numFmtId="21" fontId="0" fillId="0" borderId="33" xfId="0" applyNumberFormat="1" applyBorder="1"/>
    <xf numFmtId="164" fontId="0" fillId="0" borderId="33" xfId="0" applyNumberFormat="1" applyBorder="1"/>
    <xf numFmtId="0" fontId="29" fillId="41" borderId="40" xfId="0" applyFont="1" applyFill="1" applyBorder="1"/>
    <xf numFmtId="0" fontId="0" fillId="0" borderId="56" xfId="0" applyBorder="1"/>
    <xf numFmtId="0" fontId="29" fillId="0" borderId="76" xfId="0" applyFont="1" applyBorder="1"/>
    <xf numFmtId="0" fontId="0" fillId="0" borderId="32" xfId="0" applyBorder="1" applyAlignment="1">
      <alignment horizontal="left"/>
    </xf>
    <xf numFmtId="0" fontId="0" fillId="38" borderId="29" xfId="0" applyFill="1" applyBorder="1" applyAlignment="1">
      <alignment horizontal="left"/>
    </xf>
    <xf numFmtId="0" fontId="0" fillId="0" borderId="33" xfId="0" applyBorder="1" applyAlignment="1">
      <alignment horizontal="left"/>
    </xf>
    <xf numFmtId="0" fontId="17" fillId="55" borderId="29" xfId="0" applyFont="1" applyFill="1" applyBorder="1"/>
    <xf numFmtId="0" fontId="17" fillId="36" borderId="31" xfId="0" applyFont="1" applyFill="1" applyBorder="1"/>
    <xf numFmtId="21" fontId="29" fillId="0" borderId="29" xfId="0" applyNumberFormat="1" applyFont="1" applyBorder="1" applyAlignment="1">
      <alignment horizontal="left"/>
    </xf>
    <xf numFmtId="21" fontId="0" fillId="0" borderId="29" xfId="0" applyNumberFormat="1" applyBorder="1" applyAlignment="1">
      <alignment horizontal="left"/>
    </xf>
    <xf numFmtId="21" fontId="0" fillId="38" borderId="29" xfId="0" applyNumberFormat="1" applyFill="1" applyBorder="1" applyAlignment="1">
      <alignment horizontal="left"/>
    </xf>
    <xf numFmtId="21" fontId="0" fillId="0" borderId="0" xfId="0" applyNumberFormat="1" applyAlignment="1">
      <alignment horizontal="left"/>
    </xf>
    <xf numFmtId="0" fontId="58" fillId="0" borderId="0" xfId="0" applyFont="1"/>
    <xf numFmtId="0" fontId="59" fillId="66" borderId="0" xfId="0" applyFont="1" applyFill="1" applyAlignment="1">
      <alignment wrapText="1"/>
    </xf>
    <xf numFmtId="0" fontId="60" fillId="0" borderId="0" xfId="0" applyFont="1"/>
    <xf numFmtId="0" fontId="23" fillId="0" borderId="0" xfId="0" applyFont="1"/>
    <xf numFmtId="0" fontId="23" fillId="0" borderId="0" xfId="0" applyFont="1" applyAlignment="1">
      <alignment wrapText="1"/>
    </xf>
    <xf numFmtId="0" fontId="62" fillId="68" borderId="11" xfId="0" applyFont="1" applyFill="1" applyBorder="1" applyAlignment="1">
      <alignment horizontal="center"/>
    </xf>
    <xf numFmtId="0" fontId="62" fillId="68" borderId="31" xfId="0" applyFont="1" applyFill="1" applyBorder="1" applyAlignment="1">
      <alignment horizontal="center"/>
    </xf>
    <xf numFmtId="0" fontId="62" fillId="68" borderId="50" xfId="0" applyFont="1" applyFill="1" applyBorder="1"/>
    <xf numFmtId="0" fontId="62" fillId="68" borderId="50" xfId="0" applyFont="1" applyFill="1" applyBorder="1" applyAlignment="1">
      <alignment horizontal="center"/>
    </xf>
    <xf numFmtId="0" fontId="62" fillId="68" borderId="48" xfId="0" applyFont="1" applyFill="1" applyBorder="1" applyAlignment="1">
      <alignment horizontal="center"/>
    </xf>
    <xf numFmtId="0" fontId="62" fillId="68" borderId="29" xfId="0" applyFont="1" applyFill="1" applyBorder="1"/>
    <xf numFmtId="0" fontId="22" fillId="68" borderId="29" xfId="0" applyFont="1" applyFill="1" applyBorder="1"/>
    <xf numFmtId="0" fontId="62" fillId="47" borderId="48" xfId="0" applyFont="1" applyFill="1" applyBorder="1" applyAlignment="1">
      <alignment horizontal="center" wrapText="1"/>
    </xf>
    <xf numFmtId="0" fontId="23" fillId="58" borderId="10" xfId="0" applyFont="1" applyFill="1" applyBorder="1" applyAlignment="1">
      <alignment horizontal="center"/>
    </xf>
    <xf numFmtId="0" fontId="23" fillId="69" borderId="10" xfId="0" applyFont="1" applyFill="1" applyBorder="1" applyAlignment="1">
      <alignment horizontal="center"/>
    </xf>
    <xf numFmtId="0" fontId="23" fillId="58" borderId="0" xfId="0" applyFont="1" applyFill="1" applyAlignment="1">
      <alignment horizontal="center"/>
    </xf>
    <xf numFmtId="0" fontId="22" fillId="68" borderId="33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30" xfId="0" applyFont="1" applyBorder="1" applyAlignment="1">
      <alignment horizontal="center"/>
    </xf>
    <xf numFmtId="0" fontId="22" fillId="0" borderId="46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2" fillId="51" borderId="10" xfId="0" applyFont="1" applyFill="1" applyBorder="1" applyAlignment="1">
      <alignment horizontal="center"/>
    </xf>
    <xf numFmtId="0" fontId="22" fillId="53" borderId="13" xfId="0" applyFont="1" applyFill="1" applyBorder="1" applyAlignment="1">
      <alignment horizontal="center"/>
    </xf>
    <xf numFmtId="166" fontId="22" fillId="0" borderId="10" xfId="0" applyNumberFormat="1" applyFont="1" applyBorder="1" applyAlignment="1">
      <alignment horizontal="center"/>
    </xf>
    <xf numFmtId="166" fontId="23" fillId="0" borderId="10" xfId="0" applyNumberFormat="1" applyFont="1" applyBorder="1" applyAlignment="1">
      <alignment horizontal="center"/>
    </xf>
    <xf numFmtId="166" fontId="23" fillId="58" borderId="10" xfId="0" applyNumberFormat="1" applyFont="1" applyFill="1" applyBorder="1"/>
    <xf numFmtId="0" fontId="23" fillId="69" borderId="10" xfId="0" applyFont="1" applyFill="1" applyBorder="1"/>
    <xf numFmtId="0" fontId="8" fillId="69" borderId="10" xfId="0" applyFont="1" applyFill="1" applyBorder="1"/>
    <xf numFmtId="0" fontId="63" fillId="69" borderId="10" xfId="0" applyFont="1" applyFill="1" applyBorder="1"/>
    <xf numFmtId="0" fontId="23" fillId="58" borderId="10" xfId="0" applyFont="1" applyFill="1" applyBorder="1"/>
    <xf numFmtId="166" fontId="23" fillId="69" borderId="10" xfId="0" applyNumberFormat="1" applyFont="1" applyFill="1" applyBorder="1"/>
    <xf numFmtId="0" fontId="8" fillId="58" borderId="10" xfId="0" applyFont="1" applyFill="1" applyBorder="1"/>
    <xf numFmtId="166" fontId="7" fillId="69" borderId="10" xfId="0" applyNumberFormat="1" applyFont="1" applyFill="1" applyBorder="1"/>
    <xf numFmtId="0" fontId="63" fillId="58" borderId="10" xfId="0" applyFont="1" applyFill="1" applyBorder="1"/>
    <xf numFmtId="0" fontId="23" fillId="58" borderId="0" xfId="0" applyFont="1" applyFill="1"/>
    <xf numFmtId="166" fontId="23" fillId="58" borderId="0" xfId="0" applyNumberFormat="1" applyFont="1" applyFill="1"/>
    <xf numFmtId="166" fontId="23" fillId="0" borderId="0" xfId="0" applyNumberFormat="1" applyFont="1"/>
    <xf numFmtId="0" fontId="22" fillId="53" borderId="11" xfId="0" applyFont="1" applyFill="1" applyBorder="1"/>
    <xf numFmtId="166" fontId="22" fillId="53" borderId="50" xfId="0" applyNumberFormat="1" applyFont="1" applyFill="1" applyBorder="1"/>
    <xf numFmtId="0" fontId="22" fillId="53" borderId="50" xfId="0" applyFont="1" applyFill="1" applyBorder="1"/>
    <xf numFmtId="0" fontId="22" fillId="53" borderId="0" xfId="0" applyFont="1" applyFill="1"/>
    <xf numFmtId="0" fontId="22" fillId="0" borderId="30" xfId="0" applyFont="1" applyBorder="1"/>
    <xf numFmtId="0" fontId="22" fillId="0" borderId="0" xfId="0" applyFont="1"/>
    <xf numFmtId="166" fontId="22" fillId="0" borderId="10" xfId="0" applyNumberFormat="1" applyFont="1" applyBorder="1"/>
    <xf numFmtId="0" fontId="23" fillId="0" borderId="13" xfId="0" applyFont="1" applyBorder="1"/>
    <xf numFmtId="166" fontId="0" fillId="0" borderId="0" xfId="0" applyNumberFormat="1"/>
    <xf numFmtId="0" fontId="64" fillId="68" borderId="11" xfId="0" applyFont="1" applyFill="1" applyBorder="1" applyAlignment="1">
      <alignment horizontal="center"/>
    </xf>
    <xf numFmtId="0" fontId="64" fillId="68" borderId="31" xfId="0" applyFont="1" applyFill="1" applyBorder="1" applyAlignment="1">
      <alignment horizontal="center"/>
    </xf>
    <xf numFmtId="0" fontId="64" fillId="68" borderId="50" xfId="0" applyFont="1" applyFill="1" applyBorder="1"/>
    <xf numFmtId="0" fontId="64" fillId="68" borderId="50" xfId="0" applyFont="1" applyFill="1" applyBorder="1" applyAlignment="1">
      <alignment horizontal="center"/>
    </xf>
    <xf numFmtId="0" fontId="64" fillId="68" borderId="48" xfId="0" applyFont="1" applyFill="1" applyBorder="1" applyAlignment="1">
      <alignment horizontal="center"/>
    </xf>
    <xf numFmtId="0" fontId="64" fillId="68" borderId="29" xfId="0" applyFont="1" applyFill="1" applyBorder="1"/>
    <xf numFmtId="0" fontId="64" fillId="47" borderId="48" xfId="0" applyFont="1" applyFill="1" applyBorder="1" applyAlignment="1">
      <alignment horizontal="center" wrapText="1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wrapText="1"/>
    </xf>
    <xf numFmtId="20" fontId="29" fillId="0" borderId="0" xfId="0" applyNumberFormat="1" applyFont="1" applyAlignment="1">
      <alignment horizontal="left"/>
    </xf>
    <xf numFmtId="0" fontId="17" fillId="35" borderId="29" xfId="0" applyFont="1" applyFill="1" applyBorder="1" applyAlignment="1">
      <alignment horizontal="center"/>
    </xf>
    <xf numFmtId="0" fontId="17" fillId="0" borderId="3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25" fillId="35" borderId="28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35" borderId="0" xfId="0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38" borderId="0" xfId="0" applyFont="1" applyFill="1" applyAlignment="1">
      <alignment horizontal="center" vertical="center"/>
    </xf>
    <xf numFmtId="0" fontId="0" fillId="36" borderId="0" xfId="0" applyFill="1" applyAlignment="1">
      <alignment horizontal="center"/>
    </xf>
    <xf numFmtId="0" fontId="20" fillId="35" borderId="42" xfId="0" applyFont="1" applyFill="1" applyBorder="1" applyAlignment="1">
      <alignment horizontal="center"/>
    </xf>
    <xf numFmtId="0" fontId="20" fillId="35" borderId="0" xfId="0" applyFont="1" applyFill="1" applyAlignment="1">
      <alignment horizontal="center"/>
    </xf>
    <xf numFmtId="0" fontId="17" fillId="36" borderId="29" xfId="0" applyFont="1" applyFill="1" applyBorder="1" applyAlignment="1">
      <alignment horizontal="center"/>
    </xf>
    <xf numFmtId="0" fontId="21" fillId="35" borderId="0" xfId="0" applyFont="1" applyFill="1" applyAlignment="1">
      <alignment horizontal="center" vertical="center"/>
    </xf>
    <xf numFmtId="0" fontId="24" fillId="36" borderId="0" xfId="43" applyFont="1" applyFill="1" applyAlignment="1">
      <alignment horizontal="center"/>
    </xf>
    <xf numFmtId="0" fontId="17" fillId="36" borderId="21" xfId="0" applyFont="1" applyFill="1" applyBorder="1" applyAlignment="1">
      <alignment horizontal="center" vertical="center"/>
    </xf>
    <xf numFmtId="0" fontId="17" fillId="36" borderId="10" xfId="0" applyFont="1" applyFill="1" applyBorder="1" applyAlignment="1">
      <alignment horizontal="center" vertical="center"/>
    </xf>
    <xf numFmtId="0" fontId="17" fillId="36" borderId="22" xfId="0" applyFont="1" applyFill="1" applyBorder="1" applyAlignment="1">
      <alignment horizontal="center" vertical="center"/>
    </xf>
    <xf numFmtId="0" fontId="17" fillId="36" borderId="25" xfId="0" applyFont="1" applyFill="1" applyBorder="1" applyAlignment="1">
      <alignment horizontal="center" vertical="center"/>
    </xf>
    <xf numFmtId="0" fontId="17" fillId="36" borderId="26" xfId="0" applyFont="1" applyFill="1" applyBorder="1" applyAlignment="1">
      <alignment horizontal="center" vertical="center"/>
    </xf>
    <xf numFmtId="0" fontId="17" fillId="36" borderId="27" xfId="0" applyFont="1" applyFill="1" applyBorder="1" applyAlignment="1">
      <alignment horizontal="center" vertical="center"/>
    </xf>
    <xf numFmtId="0" fontId="0" fillId="35" borderId="11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24" fillId="36" borderId="0" xfId="42" applyFont="1" applyFill="1" applyAlignment="1">
      <alignment horizontal="center"/>
    </xf>
    <xf numFmtId="0" fontId="21" fillId="35" borderId="10" xfId="0" applyFont="1" applyFill="1" applyBorder="1" applyAlignment="1">
      <alignment horizontal="center" vertical="center"/>
    </xf>
    <xf numFmtId="0" fontId="24" fillId="36" borderId="12" xfId="42" applyFont="1" applyFill="1" applyBorder="1" applyAlignment="1">
      <alignment horizontal="center"/>
    </xf>
    <xf numFmtId="0" fontId="24" fillId="36" borderId="13" xfId="42" applyFont="1" applyFill="1" applyBorder="1" applyAlignment="1">
      <alignment horizontal="center"/>
    </xf>
    <xf numFmtId="0" fontId="24" fillId="36" borderId="14" xfId="42" applyFont="1" applyFill="1" applyBorder="1" applyAlignment="1">
      <alignment horizontal="center"/>
    </xf>
    <xf numFmtId="0" fontId="17" fillId="35" borderId="15" xfId="0" applyFont="1" applyFill="1" applyBorder="1" applyAlignment="1">
      <alignment horizontal="center" vertical="center"/>
    </xf>
    <xf numFmtId="0" fontId="17" fillId="35" borderId="16" xfId="0" applyFont="1" applyFill="1" applyBorder="1" applyAlignment="1">
      <alignment horizontal="center" vertical="center"/>
    </xf>
    <xf numFmtId="0" fontId="17" fillId="35" borderId="17" xfId="0" applyFont="1" applyFill="1" applyBorder="1" applyAlignment="1">
      <alignment horizontal="center" vertical="center"/>
    </xf>
    <xf numFmtId="0" fontId="17" fillId="35" borderId="18" xfId="0" applyFont="1" applyFill="1" applyBorder="1" applyAlignment="1">
      <alignment horizontal="center" vertical="center"/>
    </xf>
    <xf numFmtId="0" fontId="17" fillId="35" borderId="19" xfId="0" applyFont="1" applyFill="1" applyBorder="1" applyAlignment="1">
      <alignment horizontal="center" vertical="center"/>
    </xf>
    <xf numFmtId="0" fontId="17" fillId="35" borderId="20" xfId="0" applyFont="1" applyFill="1" applyBorder="1" applyAlignment="1">
      <alignment horizontal="center" vertical="center"/>
    </xf>
    <xf numFmtId="0" fontId="17" fillId="36" borderId="21" xfId="0" applyFont="1" applyFill="1" applyBorder="1" applyAlignment="1">
      <alignment horizontal="center" vertical="center" wrapText="1"/>
    </xf>
    <xf numFmtId="0" fontId="17" fillId="36" borderId="10" xfId="0" applyFont="1" applyFill="1" applyBorder="1" applyAlignment="1">
      <alignment horizontal="center" vertical="center" wrapText="1"/>
    </xf>
    <xf numFmtId="0" fontId="17" fillId="36" borderId="22" xfId="0" applyFont="1" applyFill="1" applyBorder="1" applyAlignment="1">
      <alignment horizontal="center" vertical="center" wrapText="1"/>
    </xf>
    <xf numFmtId="0" fontId="53" fillId="52" borderId="0" xfId="0" applyFont="1" applyFill="1" applyAlignment="1">
      <alignment horizontal="center" vertical="center" wrapText="1"/>
    </xf>
    <xf numFmtId="0" fontId="19" fillId="0" borderId="53" xfId="43" applyFill="1" applyBorder="1" applyAlignment="1"/>
    <xf numFmtId="0" fontId="19" fillId="0" borderId="28" xfId="43" applyFill="1" applyBorder="1" applyAlignment="1"/>
    <xf numFmtId="0" fontId="19" fillId="0" borderId="48" xfId="43" applyFill="1" applyBorder="1" applyAlignment="1"/>
    <xf numFmtId="0" fontId="55" fillId="0" borderId="12" xfId="0" applyFont="1" applyBorder="1" applyAlignment="1">
      <alignment horizontal="center"/>
    </xf>
    <xf numFmtId="0" fontId="53" fillId="0" borderId="14" xfId="0" applyFont="1" applyBorder="1" applyAlignment="1">
      <alignment horizontal="center"/>
    </xf>
    <xf numFmtId="165" fontId="53" fillId="36" borderId="29" xfId="0" applyNumberFormat="1" applyFont="1" applyFill="1" applyBorder="1" applyAlignment="1">
      <alignment horizontal="center" vertical="center"/>
    </xf>
    <xf numFmtId="0" fontId="53" fillId="54" borderId="28" xfId="0" applyFont="1" applyFill="1" applyBorder="1" applyAlignment="1">
      <alignment horizontal="center" vertical="center"/>
    </xf>
    <xf numFmtId="0" fontId="53" fillId="54" borderId="48" xfId="0" applyFont="1" applyFill="1" applyBorder="1" applyAlignment="1">
      <alignment horizontal="center" vertical="center"/>
    </xf>
    <xf numFmtId="0" fontId="53" fillId="54" borderId="0" xfId="0" applyFont="1" applyFill="1" applyAlignment="1">
      <alignment horizontal="center" vertical="center"/>
    </xf>
    <xf numFmtId="0" fontId="53" fillId="54" borderId="50" xfId="0" applyFont="1" applyFill="1" applyBorder="1" applyAlignment="1">
      <alignment horizontal="center" vertical="center"/>
    </xf>
    <xf numFmtId="0" fontId="53" fillId="54" borderId="19" xfId="0" applyFont="1" applyFill="1" applyBorder="1" applyAlignment="1">
      <alignment horizontal="center" vertical="center"/>
    </xf>
    <xf numFmtId="0" fontId="53" fillId="54" borderId="46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/>
    </xf>
    <xf numFmtId="0" fontId="53" fillId="36" borderId="51" xfId="0" applyFont="1" applyFill="1" applyBorder="1" applyAlignment="1">
      <alignment horizontal="right"/>
    </xf>
    <xf numFmtId="0" fontId="53" fillId="36" borderId="19" xfId="0" applyFont="1" applyFill="1" applyBorder="1" applyAlignment="1">
      <alignment horizontal="right"/>
    </xf>
    <xf numFmtId="0" fontId="53" fillId="36" borderId="46" xfId="0" applyFont="1" applyFill="1" applyBorder="1" applyAlignment="1">
      <alignment horizontal="right"/>
    </xf>
    <xf numFmtId="0" fontId="53" fillId="53" borderId="12" xfId="0" applyFont="1" applyFill="1" applyBorder="1" applyAlignment="1">
      <alignment horizontal="center"/>
    </xf>
    <xf numFmtId="0" fontId="53" fillId="53" borderId="13" xfId="0" applyFont="1" applyFill="1" applyBorder="1" applyAlignment="1">
      <alignment horizontal="center"/>
    </xf>
    <xf numFmtId="0" fontId="53" fillId="53" borderId="14" xfId="0" applyFont="1" applyFill="1" applyBorder="1" applyAlignment="1">
      <alignment horizontal="center"/>
    </xf>
    <xf numFmtId="0" fontId="53" fillId="53" borderId="54" xfId="0" applyFont="1" applyFill="1" applyBorder="1" applyAlignment="1">
      <alignment horizontal="center"/>
    </xf>
    <xf numFmtId="20" fontId="53" fillId="0" borderId="12" xfId="0" applyNumberFormat="1" applyFont="1" applyBorder="1" applyAlignment="1">
      <alignment horizontal="center"/>
    </xf>
    <xf numFmtId="20" fontId="53" fillId="0" borderId="13" xfId="0" applyNumberFormat="1" applyFont="1" applyBorder="1" applyAlignment="1">
      <alignment horizontal="center"/>
    </xf>
    <xf numFmtId="20" fontId="53" fillId="0" borderId="54" xfId="0" applyNumberFormat="1" applyFont="1" applyBorder="1" applyAlignment="1">
      <alignment horizontal="center"/>
    </xf>
    <xf numFmtId="20" fontId="53" fillId="0" borderId="55" xfId="0" applyNumberFormat="1" applyFont="1" applyBorder="1" applyAlignment="1">
      <alignment horizontal="center"/>
    </xf>
    <xf numFmtId="20" fontId="53" fillId="0" borderId="14" xfId="0" applyNumberFormat="1" applyFont="1" applyBorder="1" applyAlignment="1">
      <alignment horizontal="center"/>
    </xf>
    <xf numFmtId="0" fontId="17" fillId="36" borderId="29" xfId="0" applyFont="1" applyFill="1" applyBorder="1" applyAlignment="1">
      <alignment horizontal="center" vertical="center"/>
    </xf>
    <xf numFmtId="14" fontId="53" fillId="0" borderId="32" xfId="0" applyNumberFormat="1" applyFont="1" applyBorder="1" applyAlignment="1">
      <alignment horizontal="center"/>
    </xf>
    <xf numFmtId="14" fontId="53" fillId="0" borderId="30" xfId="0" applyNumberFormat="1" applyFont="1" applyBorder="1" applyAlignment="1">
      <alignment horizontal="center"/>
    </xf>
    <xf numFmtId="0" fontId="19" fillId="51" borderId="12" xfId="43" applyFill="1" applyBorder="1" applyAlignment="1"/>
    <xf numFmtId="0" fontId="19" fillId="51" borderId="13" xfId="43" applyFill="1" applyBorder="1" applyAlignment="1"/>
    <xf numFmtId="0" fontId="19" fillId="51" borderId="14" xfId="43" applyFill="1" applyBorder="1" applyAlignment="1"/>
    <xf numFmtId="165" fontId="53" fillId="36" borderId="30" xfId="0" applyNumberFormat="1" applyFont="1" applyFill="1" applyBorder="1" applyAlignment="1">
      <alignment horizontal="center" vertical="center"/>
    </xf>
    <xf numFmtId="0" fontId="53" fillId="0" borderId="47" xfId="0" applyFont="1" applyBorder="1" applyAlignment="1">
      <alignment horizontal="center"/>
    </xf>
    <xf numFmtId="0" fontId="53" fillId="0" borderId="48" xfId="0" applyFont="1" applyBorder="1" applyAlignment="1">
      <alignment horizontal="center"/>
    </xf>
    <xf numFmtId="20" fontId="53" fillId="55" borderId="13" xfId="0" applyNumberFormat="1" applyFont="1" applyFill="1" applyBorder="1" applyAlignment="1">
      <alignment horizontal="center"/>
    </xf>
    <xf numFmtId="20" fontId="53" fillId="55" borderId="54" xfId="0" applyNumberFormat="1" applyFont="1" applyFill="1" applyBorder="1" applyAlignment="1">
      <alignment horizontal="center"/>
    </xf>
    <xf numFmtId="0" fontId="53" fillId="0" borderId="32" xfId="0" applyFont="1" applyBorder="1" applyAlignment="1">
      <alignment horizontal="center"/>
    </xf>
    <xf numFmtId="0" fontId="53" fillId="0" borderId="30" xfId="0" applyFont="1" applyBorder="1" applyAlignment="1">
      <alignment horizontal="center"/>
    </xf>
    <xf numFmtId="14" fontId="53" fillId="55" borderId="41" xfId="0" applyNumberFormat="1" applyFont="1" applyFill="1" applyBorder="1" applyAlignment="1">
      <alignment horizontal="center"/>
    </xf>
    <xf numFmtId="14" fontId="53" fillId="55" borderId="37" xfId="0" applyNumberFormat="1" applyFont="1" applyFill="1" applyBorder="1" applyAlignment="1">
      <alignment horizontal="center"/>
    </xf>
    <xf numFmtId="0" fontId="53" fillId="36" borderId="51" xfId="0" applyFont="1" applyFill="1" applyBorder="1" applyAlignment="1">
      <alignment horizontal="center"/>
    </xf>
    <xf numFmtId="0" fontId="53" fillId="36" borderId="19" xfId="0" applyFont="1" applyFill="1" applyBorder="1" applyAlignment="1">
      <alignment horizontal="center"/>
    </xf>
    <xf numFmtId="0" fontId="53" fillId="36" borderId="46" xfId="0" applyFont="1" applyFill="1" applyBorder="1" applyAlignment="1">
      <alignment horizontal="center"/>
    </xf>
    <xf numFmtId="0" fontId="53" fillId="51" borderId="51" xfId="0" applyFont="1" applyFill="1" applyBorder="1" applyAlignment="1">
      <alignment horizontal="center"/>
    </xf>
    <xf numFmtId="0" fontId="53" fillId="51" borderId="19" xfId="0" applyFont="1" applyFill="1" applyBorder="1" applyAlignment="1">
      <alignment horizontal="center"/>
    </xf>
    <xf numFmtId="0" fontId="17" fillId="33" borderId="29" xfId="0" applyFont="1" applyFill="1" applyBorder="1" applyAlignment="1">
      <alignment horizontal="center"/>
    </xf>
    <xf numFmtId="0" fontId="19" fillId="51" borderId="29" xfId="43" applyFill="1" applyBorder="1" applyAlignment="1">
      <alignment horizontal="center"/>
    </xf>
    <xf numFmtId="0" fontId="19" fillId="0" borderId="42" xfId="43" applyFill="1" applyBorder="1" applyAlignment="1"/>
    <xf numFmtId="0" fontId="19" fillId="0" borderId="0" xfId="43" applyFill="1" applyBorder="1" applyAlignment="1"/>
    <xf numFmtId="0" fontId="19" fillId="0" borderId="50" xfId="43" applyFill="1" applyBorder="1" applyAlignment="1"/>
    <xf numFmtId="0" fontId="55" fillId="0" borderId="28" xfId="0" applyFont="1" applyBorder="1" applyAlignment="1">
      <alignment horizontal="center"/>
    </xf>
    <xf numFmtId="0" fontId="53" fillId="0" borderId="42" xfId="0" applyFont="1" applyBorder="1" applyAlignment="1">
      <alignment horizontal="center"/>
    </xf>
    <xf numFmtId="0" fontId="53" fillId="0" borderId="0" xfId="0" applyFont="1" applyAlignment="1">
      <alignment horizontal="center"/>
    </xf>
    <xf numFmtId="0" fontId="55" fillId="0" borderId="29" xfId="0" applyFont="1" applyBorder="1" applyAlignment="1">
      <alignment horizontal="center"/>
    </xf>
    <xf numFmtId="0" fontId="17" fillId="0" borderId="3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14" fontId="53" fillId="55" borderId="38" xfId="0" applyNumberFormat="1" applyFont="1" applyFill="1" applyBorder="1" applyAlignment="1">
      <alignment horizontal="center"/>
    </xf>
    <xf numFmtId="14" fontId="53" fillId="55" borderId="0" xfId="0" applyNumberFormat="1" applyFont="1" applyFill="1" applyAlignment="1">
      <alignment horizontal="center"/>
    </xf>
    <xf numFmtId="14" fontId="53" fillId="55" borderId="30" xfId="0" applyNumberFormat="1" applyFont="1" applyFill="1" applyBorder="1" applyAlignment="1">
      <alignment horizontal="center"/>
    </xf>
    <xf numFmtId="14" fontId="53" fillId="0" borderId="29" xfId="0" applyNumberFormat="1" applyFont="1" applyBorder="1" applyAlignment="1">
      <alignment horizontal="center"/>
    </xf>
    <xf numFmtId="0" fontId="17" fillId="36" borderId="31" xfId="0" applyFont="1" applyFill="1" applyBorder="1" applyAlignment="1">
      <alignment horizontal="center" vertical="center"/>
    </xf>
    <xf numFmtId="0" fontId="17" fillId="36" borderId="42" xfId="0" applyFont="1" applyFill="1" applyBorder="1" applyAlignment="1">
      <alignment horizontal="center" vertical="center"/>
    </xf>
    <xf numFmtId="0" fontId="17" fillId="36" borderId="0" xfId="0" applyFont="1" applyFill="1" applyAlignment="1">
      <alignment horizontal="center" vertical="center"/>
    </xf>
    <xf numFmtId="0" fontId="17" fillId="36" borderId="43" xfId="0" applyFont="1" applyFill="1" applyBorder="1" applyAlignment="1">
      <alignment horizontal="center" vertical="center"/>
    </xf>
    <xf numFmtId="0" fontId="17" fillId="36" borderId="36" xfId="0" applyFont="1" applyFill="1" applyBorder="1" applyAlignment="1">
      <alignment horizontal="center" vertical="center"/>
    </xf>
    <xf numFmtId="0" fontId="17" fillId="36" borderId="39" xfId="0" applyFont="1" applyFill="1" applyBorder="1" applyAlignment="1">
      <alignment horizontal="center" vertical="center"/>
    </xf>
    <xf numFmtId="0" fontId="17" fillId="36" borderId="35" xfId="0" applyFont="1" applyFill="1" applyBorder="1" applyAlignment="1">
      <alignment horizontal="center" vertical="center"/>
    </xf>
    <xf numFmtId="0" fontId="53" fillId="53" borderId="29" xfId="0" applyFont="1" applyFill="1" applyBorder="1" applyAlignment="1">
      <alignment horizontal="center"/>
    </xf>
    <xf numFmtId="20" fontId="53" fillId="0" borderId="29" xfId="0" applyNumberFormat="1" applyFont="1" applyBorder="1" applyAlignment="1">
      <alignment horizontal="center"/>
    </xf>
    <xf numFmtId="20" fontId="53" fillId="0" borderId="32" xfId="0" applyNumberFormat="1" applyFont="1" applyBorder="1" applyAlignment="1">
      <alignment horizontal="center"/>
    </xf>
    <xf numFmtId="20" fontId="53" fillId="0" borderId="30" xfId="0" applyNumberFormat="1" applyFont="1" applyBorder="1" applyAlignment="1">
      <alignment horizontal="center"/>
    </xf>
    <xf numFmtId="0" fontId="17" fillId="55" borderId="32" xfId="0" applyFont="1" applyFill="1" applyBorder="1" applyAlignment="1">
      <alignment horizontal="center"/>
    </xf>
    <xf numFmtId="0" fontId="17" fillId="55" borderId="40" xfId="0" applyFont="1" applyFill="1" applyBorder="1" applyAlignment="1">
      <alignment horizontal="center"/>
    </xf>
    <xf numFmtId="0" fontId="17" fillId="55" borderId="0" xfId="0" applyFont="1" applyFill="1" applyAlignment="1">
      <alignment horizontal="center"/>
    </xf>
    <xf numFmtId="0" fontId="17" fillId="55" borderId="30" xfId="0" applyFont="1" applyFill="1" applyBorder="1" applyAlignment="1">
      <alignment horizontal="center"/>
    </xf>
    <xf numFmtId="0" fontId="55" fillId="38" borderId="40" xfId="0" applyFont="1" applyFill="1" applyBorder="1" applyAlignment="1">
      <alignment horizontal="center"/>
    </xf>
    <xf numFmtId="0" fontId="55" fillId="38" borderId="30" xfId="0" applyFont="1" applyFill="1" applyBorder="1" applyAlignment="1">
      <alignment horizontal="center"/>
    </xf>
    <xf numFmtId="0" fontId="55" fillId="38" borderId="41" xfId="0" applyFont="1" applyFill="1" applyBorder="1" applyAlignment="1">
      <alignment horizontal="center"/>
    </xf>
    <xf numFmtId="0" fontId="55" fillId="38" borderId="37" xfId="0" applyFont="1" applyFill="1" applyBorder="1" applyAlignment="1">
      <alignment horizontal="center"/>
    </xf>
    <xf numFmtId="0" fontId="53" fillId="0" borderId="40" xfId="0" applyFont="1" applyBorder="1" applyAlignment="1">
      <alignment horizontal="center"/>
    </xf>
    <xf numFmtId="14" fontId="53" fillId="55" borderId="32" xfId="0" applyNumberFormat="1" applyFont="1" applyFill="1" applyBorder="1" applyAlignment="1">
      <alignment horizontal="center"/>
    </xf>
    <xf numFmtId="14" fontId="53" fillId="55" borderId="40" xfId="0" applyNumberFormat="1" applyFont="1" applyFill="1" applyBorder="1" applyAlignment="1">
      <alignment horizontal="center"/>
    </xf>
    <xf numFmtId="14" fontId="53" fillId="55" borderId="39" xfId="0" applyNumberFormat="1" applyFont="1" applyFill="1" applyBorder="1" applyAlignment="1">
      <alignment horizontal="center"/>
    </xf>
    <xf numFmtId="20" fontId="55" fillId="38" borderId="29" xfId="0" applyNumberFormat="1" applyFont="1" applyFill="1" applyBorder="1" applyAlignment="1">
      <alignment horizontal="center"/>
    </xf>
    <xf numFmtId="0" fontId="17" fillId="55" borderId="29" xfId="0" applyFont="1" applyFill="1" applyBorder="1" applyAlignment="1">
      <alignment horizontal="center"/>
    </xf>
    <xf numFmtId="0" fontId="17" fillId="55" borderId="34" xfId="0" applyFont="1" applyFill="1" applyBorder="1" applyAlignment="1">
      <alignment horizontal="center"/>
    </xf>
    <xf numFmtId="0" fontId="17" fillId="55" borderId="31" xfId="0" applyFont="1" applyFill="1" applyBorder="1" applyAlignment="1">
      <alignment horizontal="center"/>
    </xf>
    <xf numFmtId="0" fontId="19" fillId="36" borderId="29" xfId="43" applyFill="1" applyBorder="1" applyAlignment="1">
      <alignment horizontal="center"/>
    </xf>
    <xf numFmtId="0" fontId="55" fillId="0" borderId="40" xfId="0" applyFont="1" applyBorder="1" applyAlignment="1">
      <alignment horizontal="center"/>
    </xf>
    <xf numFmtId="0" fontId="55" fillId="0" borderId="30" xfId="0" applyFont="1" applyBorder="1" applyAlignment="1">
      <alignment horizontal="center"/>
    </xf>
    <xf numFmtId="0" fontId="17" fillId="36" borderId="38" xfId="0" applyFont="1" applyFill="1" applyBorder="1" applyAlignment="1">
      <alignment horizontal="center" vertical="center"/>
    </xf>
    <xf numFmtId="0" fontId="17" fillId="36" borderId="41" xfId="0" applyFont="1" applyFill="1" applyBorder="1" applyAlignment="1">
      <alignment horizontal="center" vertical="center"/>
    </xf>
    <xf numFmtId="0" fontId="56" fillId="33" borderId="29" xfId="0" applyFont="1" applyFill="1" applyBorder="1" applyAlignment="1">
      <alignment horizontal="center"/>
    </xf>
    <xf numFmtId="0" fontId="53" fillId="33" borderId="29" xfId="0" applyFont="1" applyFill="1" applyBorder="1" applyAlignment="1">
      <alignment horizontal="center"/>
    </xf>
    <xf numFmtId="20" fontId="55" fillId="0" borderId="29" xfId="0" applyNumberFormat="1" applyFont="1" applyBorder="1" applyAlignment="1">
      <alignment horizontal="center"/>
    </xf>
    <xf numFmtId="165" fontId="53" fillId="36" borderId="37" xfId="0" applyNumberFormat="1" applyFont="1" applyFill="1" applyBorder="1" applyAlignment="1">
      <alignment horizontal="center" vertical="center"/>
    </xf>
    <xf numFmtId="165" fontId="53" fillId="36" borderId="33" xfId="0" applyNumberFormat="1" applyFont="1" applyFill="1" applyBorder="1" applyAlignment="1">
      <alignment horizontal="center" vertical="center"/>
    </xf>
    <xf numFmtId="0" fontId="55" fillId="0" borderId="47" xfId="0" applyFont="1" applyBorder="1" applyAlignment="1">
      <alignment horizontal="center"/>
    </xf>
    <xf numFmtId="0" fontId="55" fillId="55" borderId="32" xfId="0" applyFont="1" applyFill="1" applyBorder="1" applyAlignment="1">
      <alignment horizontal="center"/>
    </xf>
    <xf numFmtId="0" fontId="55" fillId="55" borderId="40" xfId="0" applyFont="1" applyFill="1" applyBorder="1" applyAlignment="1">
      <alignment horizontal="center"/>
    </xf>
    <xf numFmtId="0" fontId="55" fillId="55" borderId="30" xfId="0" applyFont="1" applyFill="1" applyBorder="1" applyAlignment="1">
      <alignment horizontal="center"/>
    </xf>
    <xf numFmtId="20" fontId="53" fillId="0" borderId="60" xfId="0" applyNumberFormat="1" applyFont="1" applyBorder="1" applyAlignment="1">
      <alignment horizontal="center"/>
    </xf>
    <xf numFmtId="20" fontId="53" fillId="0" borderId="61" xfId="0" applyNumberFormat="1" applyFont="1" applyBorder="1" applyAlignment="1">
      <alignment horizontal="center"/>
    </xf>
    <xf numFmtId="20" fontId="17" fillId="0" borderId="32" xfId="0" applyNumberFormat="1" applyFont="1" applyBorder="1" applyAlignment="1">
      <alignment horizontal="center"/>
    </xf>
    <xf numFmtId="20" fontId="17" fillId="0" borderId="30" xfId="0" applyNumberFormat="1" applyFont="1" applyBorder="1" applyAlignment="1">
      <alignment horizontal="center"/>
    </xf>
    <xf numFmtId="0" fontId="53" fillId="0" borderId="33" xfId="0" applyFont="1" applyBorder="1" applyAlignment="1">
      <alignment horizontal="center"/>
    </xf>
    <xf numFmtId="0" fontId="17" fillId="36" borderId="37" xfId="0" applyFont="1" applyFill="1" applyBorder="1" applyAlignment="1">
      <alignment horizontal="center" vertical="center"/>
    </xf>
    <xf numFmtId="0" fontId="55" fillId="55" borderId="66" xfId="0" applyFont="1" applyFill="1" applyBorder="1" applyAlignment="1">
      <alignment horizontal="center"/>
    </xf>
    <xf numFmtId="0" fontId="53" fillId="0" borderId="59" xfId="0" applyFont="1" applyBorder="1" applyAlignment="1">
      <alignment horizontal="center"/>
    </xf>
    <xf numFmtId="0" fontId="53" fillId="0" borderId="68" xfId="0" applyFont="1" applyBorder="1" applyAlignment="1">
      <alignment horizontal="center"/>
    </xf>
    <xf numFmtId="0" fontId="53" fillId="0" borderId="58" xfId="0" applyFont="1" applyBorder="1" applyAlignment="1">
      <alignment horizontal="center"/>
    </xf>
    <xf numFmtId="0" fontId="55" fillId="55" borderId="42" xfId="0" applyFont="1" applyFill="1" applyBorder="1" applyAlignment="1">
      <alignment horizontal="center"/>
    </xf>
    <xf numFmtId="0" fontId="55" fillId="55" borderId="0" xfId="0" applyFont="1" applyFill="1" applyAlignment="1">
      <alignment horizontal="center"/>
    </xf>
    <xf numFmtId="0" fontId="55" fillId="55" borderId="43" xfId="0" applyFont="1" applyFill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3" fillId="0" borderId="60" xfId="0" applyFont="1" applyBorder="1" applyAlignment="1">
      <alignment horizontal="center"/>
    </xf>
    <xf numFmtId="0" fontId="53" fillId="0" borderId="67" xfId="0" applyFont="1" applyBorder="1" applyAlignment="1">
      <alignment horizontal="center"/>
    </xf>
    <xf numFmtId="0" fontId="53" fillId="0" borderId="6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62" fillId="67" borderId="51" xfId="0" applyFont="1" applyFill="1" applyBorder="1" applyAlignment="1">
      <alignment horizontal="left" wrapText="1"/>
    </xf>
    <xf numFmtId="0" fontId="62" fillId="67" borderId="19" xfId="0" applyFont="1" applyFill="1" applyBorder="1" applyAlignment="1">
      <alignment horizontal="left" wrapText="1"/>
    </xf>
    <xf numFmtId="0" fontId="22" fillId="51" borderId="51" xfId="0" applyFont="1" applyFill="1" applyBorder="1" applyAlignment="1">
      <alignment horizontal="center"/>
    </xf>
    <xf numFmtId="166" fontId="22" fillId="51" borderId="19" xfId="0" applyNumberFormat="1" applyFont="1" applyFill="1" applyBorder="1" applyAlignment="1">
      <alignment horizontal="center"/>
    </xf>
    <xf numFmtId="0" fontId="22" fillId="51" borderId="19" xfId="0" applyFont="1" applyFill="1" applyBorder="1" applyAlignment="1">
      <alignment horizontal="center"/>
    </xf>
    <xf numFmtId="0" fontId="22" fillId="51" borderId="12" xfId="0" applyFont="1" applyFill="1" applyBorder="1" applyAlignment="1">
      <alignment horizontal="center"/>
    </xf>
    <xf numFmtId="0" fontId="22" fillId="51" borderId="13" xfId="0" applyFont="1" applyFill="1" applyBorder="1" applyAlignment="1">
      <alignment horizontal="center"/>
    </xf>
    <xf numFmtId="0" fontId="22" fillId="51" borderId="14" xfId="0" applyFont="1" applyFill="1" applyBorder="1" applyAlignment="1">
      <alignment horizontal="center"/>
    </xf>
    <xf numFmtId="0" fontId="22" fillId="53" borderId="12" xfId="0" applyFont="1" applyFill="1" applyBorder="1" applyAlignment="1">
      <alignment horizontal="center"/>
    </xf>
    <xf numFmtId="166" fontId="22" fillId="53" borderId="13" xfId="0" applyNumberFormat="1" applyFont="1" applyFill="1" applyBorder="1" applyAlignment="1">
      <alignment horizontal="center"/>
    </xf>
    <xf numFmtId="0" fontId="22" fillId="53" borderId="13" xfId="0" applyFont="1" applyFill="1" applyBorder="1" applyAlignment="1">
      <alignment horizontal="center"/>
    </xf>
    <xf numFmtId="0" fontId="61" fillId="67" borderId="51" xfId="0" applyFont="1" applyFill="1" applyBorder="1" applyAlignment="1">
      <alignment horizontal="left" wrapText="1"/>
    </xf>
    <xf numFmtId="0" fontId="61" fillId="67" borderId="19" xfId="0" applyFont="1" applyFill="1" applyBorder="1" applyAlignment="1">
      <alignment horizontal="left" wrapText="1"/>
    </xf>
    <xf numFmtId="0" fontId="53" fillId="52" borderId="47" xfId="0" applyFont="1" applyFill="1" applyBorder="1" applyAlignment="1">
      <alignment wrapText="1"/>
    </xf>
    <xf numFmtId="0" fontId="53" fillId="52" borderId="28" xfId="0" applyFont="1" applyFill="1" applyBorder="1" applyAlignment="1">
      <alignment wrapText="1"/>
    </xf>
    <xf numFmtId="0" fontId="53" fillId="52" borderId="48" xfId="0" applyFont="1" applyFill="1" applyBorder="1" applyAlignment="1">
      <alignment wrapText="1"/>
    </xf>
    <xf numFmtId="0" fontId="53" fillId="52" borderId="49" xfId="0" applyFont="1" applyFill="1" applyBorder="1" applyAlignment="1">
      <alignment wrapText="1"/>
    </xf>
    <xf numFmtId="0" fontId="53" fillId="52" borderId="0" xfId="0" applyFont="1" applyFill="1" applyAlignment="1">
      <alignment wrapText="1"/>
    </xf>
    <xf numFmtId="0" fontId="53" fillId="52" borderId="50" xfId="0" applyFont="1" applyFill="1" applyBorder="1" applyAlignment="1">
      <alignment wrapText="1"/>
    </xf>
    <xf numFmtId="0" fontId="53" fillId="52" borderId="51" xfId="0" applyFont="1" applyFill="1" applyBorder="1" applyAlignment="1">
      <alignment wrapText="1"/>
    </xf>
    <xf numFmtId="0" fontId="53" fillId="52" borderId="19" xfId="0" applyFont="1" applyFill="1" applyBorder="1" applyAlignment="1">
      <alignment wrapText="1"/>
    </xf>
    <xf numFmtId="0" fontId="53" fillId="52" borderId="46" xfId="0" applyFont="1" applyFill="1" applyBorder="1" applyAlignment="1">
      <alignment wrapText="1"/>
    </xf>
    <xf numFmtId="0" fontId="19" fillId="0" borderId="13" xfId="43" applyFill="1" applyBorder="1" applyAlignment="1"/>
    <xf numFmtId="0" fontId="19" fillId="0" borderId="14" xfId="43" applyFill="1" applyBorder="1" applyAlignment="1"/>
    <xf numFmtId="0" fontId="53" fillId="0" borderId="13" xfId="0" applyFont="1" applyBorder="1" applyAlignment="1">
      <alignment horizontal="center"/>
    </xf>
    <xf numFmtId="0" fontId="53" fillId="54" borderId="28" xfId="0" applyFont="1" applyFill="1" applyBorder="1" applyAlignment="1">
      <alignment horizontal="center" vertical="top"/>
    </xf>
    <xf numFmtId="0" fontId="53" fillId="54" borderId="48" xfId="0" applyFont="1" applyFill="1" applyBorder="1" applyAlignment="1">
      <alignment horizontal="center" vertical="top"/>
    </xf>
    <xf numFmtId="0" fontId="53" fillId="54" borderId="49" xfId="0" applyFont="1" applyFill="1" applyBorder="1" applyAlignment="1">
      <alignment horizontal="center" vertical="top"/>
    </xf>
    <xf numFmtId="0" fontId="53" fillId="54" borderId="0" xfId="0" applyFont="1" applyFill="1" applyAlignment="1">
      <alignment horizontal="center" vertical="top"/>
    </xf>
    <xf numFmtId="0" fontId="53" fillId="54" borderId="50" xfId="0" applyFont="1" applyFill="1" applyBorder="1" applyAlignment="1">
      <alignment horizontal="center" vertical="top"/>
    </xf>
    <xf numFmtId="0" fontId="53" fillId="54" borderId="51" xfId="0" applyFont="1" applyFill="1" applyBorder="1" applyAlignment="1">
      <alignment horizontal="center" vertical="top"/>
    </xf>
    <xf numFmtId="0" fontId="53" fillId="54" borderId="19" xfId="0" applyFont="1" applyFill="1" applyBorder="1" applyAlignment="1">
      <alignment horizontal="center" vertical="top"/>
    </xf>
    <xf numFmtId="0" fontId="53" fillId="54" borderId="46" xfId="0" applyFont="1" applyFill="1" applyBorder="1" applyAlignment="1">
      <alignment horizontal="center" vertical="top"/>
    </xf>
    <xf numFmtId="0" fontId="53" fillId="0" borderId="2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46" xfId="0" applyFont="1" applyBorder="1" applyAlignment="1">
      <alignment horizontal="center"/>
    </xf>
    <xf numFmtId="0" fontId="53" fillId="36" borderId="30" xfId="0" applyFont="1" applyFill="1" applyBorder="1" applyAlignment="1">
      <alignment horizontal="right"/>
    </xf>
    <xf numFmtId="0" fontId="53" fillId="36" borderId="29" xfId="0" applyFont="1" applyFill="1" applyBorder="1" applyAlignment="1">
      <alignment horizontal="right"/>
    </xf>
    <xf numFmtId="0" fontId="29" fillId="0" borderId="29" xfId="0" applyFont="1" applyBorder="1" applyAlignment="1">
      <alignment horizontal="center"/>
    </xf>
    <xf numFmtId="0" fontId="53" fillId="36" borderId="32" xfId="0" applyFont="1" applyFill="1" applyBorder="1" applyAlignment="1">
      <alignment horizontal="center"/>
    </xf>
    <xf numFmtId="0" fontId="53" fillId="36" borderId="40" xfId="0" applyFont="1" applyFill="1" applyBorder="1" applyAlignment="1">
      <alignment horizontal="center"/>
    </xf>
    <xf numFmtId="0" fontId="53" fillId="36" borderId="30" xfId="0" applyFont="1" applyFill="1" applyBorder="1" applyAlignment="1">
      <alignment horizontal="center"/>
    </xf>
    <xf numFmtId="20" fontId="53" fillId="0" borderId="36" xfId="0" applyNumberFormat="1" applyFont="1" applyBorder="1" applyAlignment="1">
      <alignment horizontal="center"/>
    </xf>
    <xf numFmtId="20" fontId="53" fillId="0" borderId="39" xfId="0" applyNumberFormat="1" applyFont="1" applyBorder="1" applyAlignment="1">
      <alignment horizontal="center"/>
    </xf>
    <xf numFmtId="20" fontId="53" fillId="0" borderId="35" xfId="0" applyNumberFormat="1" applyFont="1" applyBorder="1" applyAlignment="1">
      <alignment horizontal="center"/>
    </xf>
    <xf numFmtId="0" fontId="53" fillId="0" borderId="29" xfId="0" applyFont="1" applyBorder="1" applyAlignment="1">
      <alignment horizontal="center"/>
    </xf>
    <xf numFmtId="21" fontId="44" fillId="43" borderId="32" xfId="0" applyNumberFormat="1" applyFont="1" applyFill="1" applyBorder="1" applyAlignment="1">
      <alignment horizontal="left"/>
    </xf>
    <xf numFmtId="21" fontId="44" fillId="43" borderId="40" xfId="0" applyNumberFormat="1" applyFont="1" applyFill="1" applyBorder="1" applyAlignment="1">
      <alignment horizontal="left"/>
    </xf>
    <xf numFmtId="21" fontId="44" fillId="43" borderId="30" xfId="0" applyNumberFormat="1" applyFont="1" applyFill="1" applyBorder="1" applyAlignment="1">
      <alignment horizontal="left"/>
    </xf>
    <xf numFmtId="0" fontId="20" fillId="36" borderId="42" xfId="0" applyFont="1" applyFill="1" applyBorder="1" applyAlignment="1">
      <alignment horizontal="left" vertical="center" wrapText="1"/>
    </xf>
    <xf numFmtId="0" fontId="20" fillId="36" borderId="0" xfId="0" applyFont="1" applyFill="1" applyAlignment="1">
      <alignment horizontal="left" vertical="center" wrapText="1"/>
    </xf>
    <xf numFmtId="0" fontId="20" fillId="36" borderId="43" xfId="0" applyFont="1" applyFill="1" applyBorder="1" applyAlignment="1">
      <alignment horizontal="left" vertical="center" wrapText="1"/>
    </xf>
    <xf numFmtId="0" fontId="20" fillId="36" borderId="39" xfId="0" applyFont="1" applyFill="1" applyBorder="1" applyAlignment="1">
      <alignment horizontal="left" vertical="center" wrapText="1"/>
    </xf>
    <xf numFmtId="0" fontId="20" fillId="36" borderId="35" xfId="0" applyFont="1" applyFill="1" applyBorder="1" applyAlignment="1">
      <alignment horizontal="left" vertical="center" wrapText="1"/>
    </xf>
    <xf numFmtId="0" fontId="39" fillId="43" borderId="32" xfId="0" applyFont="1" applyFill="1" applyBorder="1" applyAlignment="1">
      <alignment horizontal="left"/>
    </xf>
    <xf numFmtId="0" fontId="39" fillId="43" borderId="40" xfId="0" applyFont="1" applyFill="1" applyBorder="1" applyAlignment="1">
      <alignment horizontal="left"/>
    </xf>
    <xf numFmtId="0" fontId="20" fillId="35" borderId="29" xfId="0" applyFont="1" applyFill="1" applyBorder="1" applyAlignment="1">
      <alignment horizontal="center" vertical="center" wrapText="1"/>
    </xf>
    <xf numFmtId="0" fontId="20" fillId="35" borderId="33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/>
    </xf>
    <xf numFmtId="0" fontId="17" fillId="0" borderId="29" xfId="0" applyFont="1" applyBorder="1" applyAlignment="1">
      <alignment horizontal="center" vertical="center"/>
    </xf>
    <xf numFmtId="0" fontId="56" fillId="51" borderId="12" xfId="0" applyFont="1" applyFill="1" applyBorder="1" applyAlignment="1"/>
    <xf numFmtId="0" fontId="53" fillId="51" borderId="13" xfId="0" applyFont="1" applyFill="1" applyBorder="1" applyAlignment="1"/>
    <xf numFmtId="0" fontId="53" fillId="51" borderId="14" xfId="0" applyFont="1" applyFill="1" applyBorder="1" applyAlignment="1"/>
    <xf numFmtId="0" fontId="53" fillId="51" borderId="51" xfId="0" applyFont="1" applyFill="1" applyBorder="1" applyAlignment="1"/>
    <xf numFmtId="0" fontId="53" fillId="51" borderId="19" xfId="0" applyFont="1" applyFill="1" applyBorder="1" applyAlignment="1"/>
    <xf numFmtId="0" fontId="53" fillId="51" borderId="52" xfId="0" applyFont="1" applyFill="1" applyBorder="1" applyAlignment="1"/>
    <xf numFmtId="0" fontId="53" fillId="53" borderId="12" xfId="0" applyFont="1" applyFill="1" applyBorder="1" applyAlignment="1"/>
    <xf numFmtId="0" fontId="53" fillId="53" borderId="14" xfId="0" applyFont="1" applyFill="1" applyBorder="1" applyAlignment="1"/>
    <xf numFmtId="0" fontId="53" fillId="51" borderId="0" xfId="0" applyFont="1" applyFill="1" applyAlignment="1"/>
    <xf numFmtId="0" fontId="53" fillId="51" borderId="43" xfId="0" applyFont="1" applyFill="1" applyBorder="1" applyAlignment="1"/>
    <xf numFmtId="0" fontId="53" fillId="53" borderId="31" xfId="0" applyFont="1" applyFill="1" applyBorder="1" applyAlignment="1"/>
    <xf numFmtId="0" fontId="53" fillId="53" borderId="0" xfId="0" applyFont="1" applyFill="1" applyAlignment="1"/>
    <xf numFmtId="0" fontId="53" fillId="53" borderId="50" xfId="0" applyFont="1" applyFill="1" applyBorder="1" applyAlignment="1"/>
    <xf numFmtId="0" fontId="53" fillId="53" borderId="51" xfId="0" applyFont="1" applyFill="1" applyBorder="1" applyAlignment="1"/>
    <xf numFmtId="0" fontId="53" fillId="53" borderId="19" xfId="0" applyFont="1" applyFill="1" applyBorder="1" applyAlignment="1"/>
    <xf numFmtId="0" fontId="53" fillId="53" borderId="46" xfId="0" applyFont="1" applyFill="1" applyBorder="1" applyAlignment="1"/>
    <xf numFmtId="0" fontId="63" fillId="0" borderId="28" xfId="0" applyFont="1" applyBorder="1" applyAlignment="1"/>
    <xf numFmtId="0" fontId="22" fillId="53" borderId="13" xfId="0" applyFont="1" applyFill="1" applyBorder="1" applyAlignment="1"/>
    <xf numFmtId="0" fontId="22" fillId="0" borderId="12" xfId="0" applyFont="1" applyBorder="1" applyAlignment="1"/>
    <xf numFmtId="0" fontId="22" fillId="0" borderId="13" xfId="0" applyFont="1" applyBorder="1" applyAlignment="1"/>
    <xf numFmtId="0" fontId="22" fillId="0" borderId="14" xfId="0" applyFont="1" applyBorder="1" applyAlignment="1"/>
    <xf numFmtId="0" fontId="23" fillId="0" borderId="12" xfId="0" applyFont="1" applyBorder="1" applyAlignment="1"/>
    <xf numFmtId="166" fontId="23" fillId="0" borderId="13" xfId="0" applyNumberFormat="1" applyFont="1" applyBorder="1" applyAlignment="1"/>
    <xf numFmtId="0" fontId="23" fillId="0" borderId="13" xfId="0" applyFont="1" applyBorder="1" applyAlignment="1"/>
    <xf numFmtId="0" fontId="53" fillId="51" borderId="12" xfId="0" applyFont="1" applyFill="1" applyBorder="1" applyAlignment="1"/>
    <xf numFmtId="0" fontId="53" fillId="53" borderId="13" xfId="0" applyFont="1" applyFill="1" applyBorder="1" applyAlignment="1"/>
    <xf numFmtId="0" fontId="53" fillId="51" borderId="49" xfId="0" applyFont="1" applyFill="1" applyBorder="1" applyAlignment="1"/>
    <xf numFmtId="0" fontId="53" fillId="53" borderId="54" xfId="0" applyFont="1" applyFill="1" applyBorder="1" applyAlignment="1"/>
    <xf numFmtId="20" fontId="29" fillId="0" borderId="12" xfId="0" applyNumberFormat="1" applyFont="1" applyBorder="1" applyAlignment="1"/>
    <xf numFmtId="0" fontId="29" fillId="0" borderId="13" xfId="0" applyFont="1" applyBorder="1" applyAlignment="1"/>
    <xf numFmtId="0" fontId="29" fillId="0" borderId="54" xfId="0" applyFont="1" applyBorder="1" applyAlignment="1"/>
    <xf numFmtId="20" fontId="29" fillId="0" borderId="13" xfId="0" applyNumberFormat="1" applyFont="1" applyBorder="1" applyAlignment="1"/>
    <xf numFmtId="0" fontId="29" fillId="0" borderId="14" xfId="0" applyFont="1" applyBorder="1" applyAlignment="1"/>
    <xf numFmtId="0" fontId="53" fillId="53" borderId="28" xfId="0" applyFont="1" applyFill="1" applyBorder="1" applyAlignment="1"/>
    <xf numFmtId="0" fontId="53" fillId="53" borderId="48" xfId="0" applyFont="1" applyFill="1" applyBorder="1" applyAlignment="1"/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2" builtinId="8"/>
    <cellStyle name="Hyperlink" xfId="43" xr:uid="{00000000-000B-0000-0000-000008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68"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164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F400]h:mm:ss\ AM/P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64" formatCode="[$-F400]h:mm:ss\ AM/PM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center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center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color theme="1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/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F400]h:mm:ss\ AM/PM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left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color theme="5"/>
      </font>
      <fill>
        <patternFill patternType="solid">
          <fgColor indexed="64"/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24994659260841701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colors>
    <mruColors>
      <color rgb="FF4863CF"/>
      <color rgb="FFB85C67"/>
      <color rgb="FFF11789"/>
      <color rgb="FFDEC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Jovens 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total de jovens'!$P$4</c:f>
              <c:strCache>
                <c:ptCount val="1"/>
                <c:pt idx="0">
                  <c:v>Qualificação </c:v>
                </c:pt>
              </c:strCache>
            </c:strRef>
          </c:tx>
          <c:spPr>
            <a:solidFill>
              <a:srgbClr val="637CE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('Controle total de jovens'!$O$5,'Controle total de jovens'!$O$34:$O$35,'Controle total de jovens'!$O$39)</c:f>
              <c:strCache>
                <c:ptCount val="4"/>
                <c:pt idx="0">
                  <c:v>UMUARAMA </c:v>
                </c:pt>
                <c:pt idx="1">
                  <c:v>GUARAPUAVA</c:v>
                </c:pt>
                <c:pt idx="2">
                  <c:v>FRANCISCO BELTRÃO</c:v>
                </c:pt>
                <c:pt idx="3">
                  <c:v>CAMPO MOURÃO</c:v>
                </c:pt>
              </c:strCache>
            </c:strRef>
          </c:cat>
          <c:val>
            <c:numRef>
              <c:f>('Controle total de jovens'!$P$5,'Controle total de jovens'!$P$34:$P$35,'Controle total de jovens'!$P$39)</c:f>
              <c:numCache>
                <c:formatCode>General</c:formatCode>
                <c:ptCount val="4"/>
                <c:pt idx="0">
                  <c:v>144</c:v>
                </c:pt>
                <c:pt idx="1">
                  <c:v>66</c:v>
                </c:pt>
                <c:pt idx="2">
                  <c:v>74</c:v>
                </c:pt>
                <c:pt idx="3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22-4B99-A5E9-D985A52BBF8A}"/>
            </c:ext>
          </c:extLst>
        </c:ser>
        <c:ser>
          <c:idx val="1"/>
          <c:order val="1"/>
          <c:tx>
            <c:strRef>
              <c:f>'Controle total de jovens'!$Q$4</c:f>
              <c:strCache>
                <c:ptCount val="1"/>
                <c:pt idx="0">
                  <c:v>Técnica </c:v>
                </c:pt>
              </c:strCache>
            </c:strRef>
          </c:tx>
          <c:spPr>
            <a:solidFill>
              <a:srgbClr val="E3008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('Controle total de jovens'!$O$5,'Controle total de jovens'!$O$34:$O$35,'Controle total de jovens'!$O$39)</c:f>
              <c:strCache>
                <c:ptCount val="4"/>
                <c:pt idx="0">
                  <c:v>UMUARAMA </c:v>
                </c:pt>
                <c:pt idx="1">
                  <c:v>GUARAPUAVA</c:v>
                </c:pt>
                <c:pt idx="2">
                  <c:v>FRANCISCO BELTRÃO</c:v>
                </c:pt>
                <c:pt idx="3">
                  <c:v>CAMPO MOURÃO</c:v>
                </c:pt>
              </c:strCache>
            </c:strRef>
          </c:cat>
          <c:val>
            <c:numRef>
              <c:f>('Controle total de jovens'!$Q$5,'Controle total de jovens'!$Q$34:$Q$35,'Controle total de jovens'!$Q$39)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22-4B99-A5E9-D985A52BB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417095"/>
        <c:axId val="129811975"/>
      </c:barChart>
      <c:catAx>
        <c:axId val="491417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11975"/>
        <c:crosses val="autoZero"/>
        <c:auto val="1"/>
        <c:lblAlgn val="ctr"/>
        <c:lblOffset val="100"/>
        <c:noMultiLvlLbl val="0"/>
      </c:catAx>
      <c:valAx>
        <c:axId val="129811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417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Atendimentos</a:t>
            </a:r>
          </a:p>
        </c:rich>
      </c:tx>
      <c:overlay val="0"/>
      <c:spPr>
        <a:solidFill>
          <a:srgbClr val="FFFFFF"/>
        </a:solidFill>
        <a:ln>
          <a:solidFill>
            <a:srgbClr val="FFFFFF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FFFF"/>
                    </a:solidFill>
                    <a:latin typeface="Arial Black"/>
                    <a:ea typeface="Arial Black"/>
                    <a:cs typeface="Arial Blac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'Dados das Regiões '!$N$5:$Q$5</c:f>
            </c:strRef>
          </c:cat>
          <c:val>
            <c:numRef>
              <c:f>'Dados das Regiões '!$N$6:$Q$6</c:f>
            </c:numRef>
          </c:val>
          <c:extLst>
            <c:ext xmlns:c16="http://schemas.microsoft.com/office/drawing/2014/chart" uri="{C3380CC4-5D6E-409C-BE32-E72D297353CC}">
              <c16:uniqueId val="{00000000-8310-4F3F-8803-38A711561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Atendimentos</a:t>
            </a:r>
          </a:p>
        </c:rich>
      </c:tx>
      <c:layout>
        <c:manualLayout>
          <c:xMode val="edge"/>
          <c:yMode val="edge"/>
          <c:x val="0.27323876013474024"/>
          <c:y val="3.28638497652582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A6C9EC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'Dados das Regiões '!$N$20:$Q$21</c:f>
            </c:strRef>
          </c:cat>
          <c:val>
            <c:numRef>
              <c:f>'Dados das Regiões '!$N$22:$Q$22</c:f>
            </c:numRef>
          </c:val>
          <c:extLst>
            <c:ext xmlns:c16="http://schemas.microsoft.com/office/drawing/2014/chart" uri="{C3380CC4-5D6E-409C-BE32-E72D297353CC}">
              <c16:uniqueId val="{00000000-EB06-4FE5-9E8D-3CDF759FC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2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3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6" Type="http://schemas.openxmlformats.org/officeDocument/2006/relationships/chart" Target="../charts/chart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247650</xdr:colOff>
      <xdr:row>18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FD5B12-E017-0DE8-0428-CE29F757CAAC}"/>
            </a:ext>
            <a:ext uri="{147F2762-F138-4A5C-976F-8EAC2B608ADB}">
              <a16:predDERef xmlns:a16="http://schemas.microsoft.com/office/drawing/2014/main" pred="{168E8AAB-E43D-C1AD-4652-FA61D549D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590550</xdr:colOff>
      <xdr:row>0</xdr:row>
      <xdr:rowOff>0</xdr:rowOff>
    </xdr:from>
    <xdr:to>
      <xdr:col>24</xdr:col>
      <xdr:colOff>133350</xdr:colOff>
      <xdr:row>9</xdr:row>
      <xdr:rowOff>19050</xdr:rowOff>
    </xdr:to>
    <xdr:pic>
      <xdr:nvPicPr>
        <xdr:cNvPr id="4" name="Imagem 1">
          <a:extLst>
            <a:ext uri="{FF2B5EF4-FFF2-40B4-BE49-F238E27FC236}">
              <a16:creationId xmlns:a16="http://schemas.microsoft.com/office/drawing/2014/main" id="{8ACEFFFE-96DB-4982-8990-AFEE365A1239}"/>
            </a:ext>
            <a:ext uri="{147F2762-F138-4A5C-976F-8EAC2B608ADB}">
              <a16:predDERef xmlns:a16="http://schemas.microsoft.com/office/drawing/2014/main" pred="{0CDC4139-7622-4B2B-9F08-6178BE1A6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0"/>
          <a:ext cx="9906000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9</xdr:row>
      <xdr:rowOff>9525</xdr:rowOff>
    </xdr:from>
    <xdr:to>
      <xdr:col>24</xdr:col>
      <xdr:colOff>85725</xdr:colOff>
      <xdr:row>18</xdr:row>
      <xdr:rowOff>142875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3780502-E3FF-4D3F-B1DE-3A83E25B37A8}"/>
            </a:ext>
            <a:ext uri="{147F2762-F138-4A5C-976F-8EAC2B608ADB}">
              <a16:predDERef xmlns:a16="http://schemas.microsoft.com/office/drawing/2014/main" pred="{12A7ACDF-4439-6FE6-1A4C-94EF9C571C90}"/>
            </a:ext>
          </a:extLst>
        </xdr:cNvPr>
        <xdr:cNvSpPr/>
      </xdr:nvSpPr>
      <xdr:spPr>
        <a:xfrm>
          <a:off x="0" y="1724025"/>
          <a:ext cx="14716125" cy="184785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Olá, Supervisor!</a:t>
          </a:r>
          <a:r>
            <a:rPr lang="en-US" sz="1400" b="1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 </a:t>
          </a:r>
          <a:endParaRPr lang="en-US" sz="1400" b="1" i="0" u="none" strike="noStrike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Utilize esta planilha para localizar o polo de visita prática, clicando nos campos disponíveis abaixo.</a:t>
          </a:r>
        </a:p>
        <a:p>
          <a:pPr marL="0" indent="0"/>
          <a:endParaRPr lang="en-US" sz="1400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Em cada polo</a:t>
          </a:r>
          <a:r>
            <a:rPr lang="en-US" sz="1400" b="1" baseline="0">
              <a:solidFill>
                <a:schemeClr val="lt1"/>
              </a:solidFill>
              <a:latin typeface="+mn-lt"/>
              <a:ea typeface="+mn-lt"/>
              <a:cs typeface="+mn-lt"/>
            </a:rPr>
            <a:t>, existem os links com os endereços no maps de cada região, entre e altere o ponto de partida. </a:t>
          </a:r>
          <a:endParaRPr lang="en-US" sz="1400" b="1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endParaRPr lang="en-US" sz="1400" b="1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Atenção:</a:t>
          </a:r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 Os endereços podem sofrer alterações ao longo do tempo. Caso identifique alguma divergência, realize uma nova pesquisa utilizando o </a:t>
          </a:r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CNPJ ou o nome da empresa</a:t>
          </a:r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. Se houver diferença em relação às informações da planilha, por favor, informe e envie o novo endereço ao </a:t>
          </a:r>
          <a:r>
            <a:rPr lang="en-US" sz="1400" b="0" i="0" u="none" strike="noStrike">
              <a:solidFill>
                <a:schemeClr val="lt1"/>
              </a:solidFill>
              <a:latin typeface="Aptos Narrow" panose="020B0004020202020204" pitchFamily="34" charset="0"/>
              <a:ea typeface="+mn-ea"/>
              <a:cs typeface="+mn-cs"/>
            </a:rPr>
            <a:t>analista</a:t>
          </a:r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 </a:t>
          </a:r>
          <a:r>
            <a:rPr lang="en-US" sz="1400" b="1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Michel</a:t>
          </a:r>
          <a:r>
            <a:rPr lang="en-US" sz="14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, através do e-mail </a:t>
          </a:r>
          <a:r>
            <a:rPr lang="en-US" sz="1400" b="1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michel.farias@pr.senac.br</a:t>
          </a:r>
          <a:r>
            <a:rPr lang="en-US" sz="1400" b="1" i="0" u="none" strike="noStrike" baseline="0">
              <a:solidFill>
                <a:schemeClr val="lt1"/>
              </a:solidFill>
              <a:latin typeface="Aptos Narrow" panose="020B0004020202020204" pitchFamily="34" charset="0"/>
            </a:rPr>
            <a:t> </a:t>
          </a:r>
          <a:r>
            <a:rPr lang="en-US" sz="1400" b="0" i="0" u="none" strike="noStrike" baseline="0">
              <a:solidFill>
                <a:schemeClr val="lt1"/>
              </a:solidFill>
              <a:latin typeface="Aptos Narrow" panose="020B0004020202020204" pitchFamily="34" charset="0"/>
            </a:rPr>
            <a:t>ou</a:t>
          </a:r>
          <a:r>
            <a:rPr lang="en-US" sz="1400" b="1" i="0" u="none" strike="noStrike" baseline="0">
              <a:solidFill>
                <a:schemeClr val="lt1"/>
              </a:solidFill>
              <a:latin typeface="Aptos Narrow" panose="020B0004020202020204" pitchFamily="34" charset="0"/>
            </a:rPr>
            <a:t> whatsapp </a:t>
          </a:r>
          <a:r>
            <a:rPr lang="pt-BR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(41) 3314-5817</a:t>
          </a:r>
          <a:endParaRPr lang="en-US" sz="1400" b="1" i="0" u="none" strike="noStrike">
            <a:solidFill>
              <a:schemeClr val="lt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0</xdr:col>
      <xdr:colOff>0</xdr:colOff>
      <xdr:row>19</xdr:row>
      <xdr:rowOff>66675</xdr:rowOff>
    </xdr:from>
    <xdr:to>
      <xdr:col>24</xdr:col>
      <xdr:colOff>95250</xdr:colOff>
      <xdr:row>35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E43012A-FD92-5CD3-4EDA-724C328AB69E}"/>
            </a:ext>
            <a:ext uri="{147F2762-F138-4A5C-976F-8EAC2B608ADB}">
              <a16:predDERef xmlns:a16="http://schemas.microsoft.com/office/drawing/2014/main" pred="{73780502-E3FF-4D3F-B1DE-3A83E25B37A8}"/>
            </a:ext>
          </a:extLst>
        </xdr:cNvPr>
        <xdr:cNvSpPr txBox="1"/>
      </xdr:nvSpPr>
      <xdr:spPr>
        <a:xfrm>
          <a:off x="0" y="3686175"/>
          <a:ext cx="14725650" cy="310515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Orientações: 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Supervisor, segue abaixo as informações referentes a cada aba desta planilha.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Dados das Regiões: Apresenta as informações das regiões de abrangência que estão sob acompanhamento.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Dados Gerais para Visita: Contém todos os dados dos jovens necessários para a organização e execução das visitas.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Para facilitar, as entradas estão separadas em abas diferentes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Ao preencher as datas das visitas, automaticamente o STATUS mudará  de pendente para realizada. 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Confira sempre os endereços e links dos mapas, pois podem ocorrer alterações com o tempo.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171450</xdr:rowOff>
    </xdr:from>
    <xdr:to>
      <xdr:col>16</xdr:col>
      <xdr:colOff>952500</xdr:colOff>
      <xdr:row>17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A50D8-22B8-38D1-D343-1D9A41B3F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19050</xdr:colOff>
      <xdr:row>1</xdr:row>
      <xdr:rowOff>0</xdr:rowOff>
    </xdr:from>
    <xdr:to>
      <xdr:col>30</xdr:col>
      <xdr:colOff>590550</xdr:colOff>
      <xdr:row>138</xdr:row>
      <xdr:rowOff>114300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EC2883B-BF49-2339-215D-8EBFDBB62355}"/>
            </a:ext>
            <a:ext uri="{147F2762-F138-4A5C-976F-8EAC2B608ADB}">
              <a16:predDERef xmlns:a16="http://schemas.microsoft.com/office/drawing/2014/main" pred="{85CA50D8-22B8-38D1-D343-1D9A41B3F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68500" y="238125"/>
          <a:ext cx="7886700" cy="2962275"/>
        </a:xfrm>
        <a:prstGeom prst="rect">
          <a:avLst/>
        </a:prstGeom>
      </xdr:spPr>
    </xdr:pic>
    <xdr:clientData/>
  </xdr:twoCellAnchor>
  <xdr:twoCellAnchor editAs="oneCell">
    <xdr:from>
      <xdr:col>30</xdr:col>
      <xdr:colOff>600075</xdr:colOff>
      <xdr:row>0</xdr:row>
      <xdr:rowOff>228600</xdr:rowOff>
    </xdr:from>
    <xdr:to>
      <xdr:col>34</xdr:col>
      <xdr:colOff>590550</xdr:colOff>
      <xdr:row>138</xdr:row>
      <xdr:rowOff>114300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960233A-841D-3B3A-9036-A9C91CD7E86A}"/>
            </a:ext>
            <a:ext uri="{147F2762-F138-4A5C-976F-8EAC2B608ADB}">
              <a16:predDERef xmlns:a16="http://schemas.microsoft.com/office/drawing/2014/main" pred="{BEC2883B-BF49-2339-215D-8EBFDBB62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564725" y="228600"/>
          <a:ext cx="2428875" cy="29718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</xdr:colOff>
      <xdr:row>17</xdr:row>
      <xdr:rowOff>9525</xdr:rowOff>
    </xdr:from>
    <xdr:to>
      <xdr:col>30</xdr:col>
      <xdr:colOff>28575</xdr:colOff>
      <xdr:row>141</xdr:row>
      <xdr:rowOff>133350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10DE91-A589-804A-8078-7042B5AEC9BA}"/>
            </a:ext>
            <a:ext uri="{147F2762-F138-4A5C-976F-8EAC2B608ADB}">
              <a16:predDERef xmlns:a16="http://schemas.microsoft.com/office/drawing/2014/main" pred="{5960233A-841D-3B3A-9036-A9C91CD7E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58975" y="3533775"/>
          <a:ext cx="7334250" cy="3552825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17</xdr:row>
      <xdr:rowOff>0</xdr:rowOff>
    </xdr:from>
    <xdr:to>
      <xdr:col>34</xdr:col>
      <xdr:colOff>600075</xdr:colOff>
      <xdr:row>142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00ACF59-9E99-B27F-6D4A-95C40E58FACA}"/>
            </a:ext>
            <a:ext uri="{147F2762-F138-4A5C-976F-8EAC2B608ADB}">
              <a16:predDERef xmlns:a16="http://schemas.microsoft.com/office/drawing/2014/main" pred="{1D10DE91-A589-804A-8078-7042B5AE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83700" y="3524250"/>
          <a:ext cx="3019425" cy="3609975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21</xdr:row>
      <xdr:rowOff>180975</xdr:rowOff>
    </xdr:from>
    <xdr:to>
      <xdr:col>17</xdr:col>
      <xdr:colOff>0</xdr:colOff>
      <xdr:row>33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EC15BB9-2D0A-0CAD-908F-430F2C1DE62F}"/>
            </a:ext>
            <a:ext uri="{147F2762-F138-4A5C-976F-8EAC2B608ADB}">
              <a16:predDERef xmlns:a16="http://schemas.microsoft.com/office/drawing/2014/main" pred="{F00ACF59-9E99-B27F-6D4A-95C40E58F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46</xdr:row>
          <xdr:rowOff>76200</xdr:rowOff>
        </xdr:from>
        <xdr:to>
          <xdr:col>1</xdr:col>
          <xdr:colOff>1000125</xdr:colOff>
          <xdr:row>51</xdr:row>
          <xdr:rowOff>19050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F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Conteúdo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46</xdr:row>
          <xdr:rowOff>76200</xdr:rowOff>
        </xdr:from>
        <xdr:to>
          <xdr:col>1</xdr:col>
          <xdr:colOff>1000125</xdr:colOff>
          <xdr:row>51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7D7CEB67-0D55-487D-8778-0BFBAB394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Conteúdo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46</xdr:row>
          <xdr:rowOff>76200</xdr:rowOff>
        </xdr:from>
        <xdr:to>
          <xdr:col>1</xdr:col>
          <xdr:colOff>1000125</xdr:colOff>
          <xdr:row>51</xdr:row>
          <xdr:rowOff>19050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5C1A8FB-EE8E-47E5-BDA9-F4F61919C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Conteúdo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25</xdr:row>
      <xdr:rowOff>19050</xdr:rowOff>
    </xdr:from>
    <xdr:to>
      <xdr:col>4</xdr:col>
      <xdr:colOff>2247900</xdr:colOff>
      <xdr:row>34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2578D00-A489-4153-D1A3-749112D7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781675"/>
          <a:ext cx="1990725" cy="177165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Michel Vieira Farias" id="{39615120-F8F8-4F16-8463-EFBBCDF9DA1B}" userId="S::michel.farias@pr.senac.br::9dc7402b-2c10-47ab-a03b-0ed25167a1a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E33D3E-AF90-418E-8D95-5AED96DE355B}" name="Tabela3" displayName="Tabela3" ref="A1:C4" totalsRowShown="0">
  <autoFilter ref="A1:C4" xr:uid="{3EE33D3E-AF90-418E-8D95-5AED96DE355B}"/>
  <tableColumns count="3">
    <tableColumn id="1" xr3:uid="{B4744ED2-0A31-4BAC-A2E2-84C0A1B6E21F}" name="Nome"/>
    <tableColumn id="2" xr3:uid="{AA709E74-3F8E-4C80-BC52-EFF159A18D2B}" name="E-mail " dataCellStyle="Hyperlink"/>
    <tableColumn id="3" xr3:uid="{20A8B177-6B8E-46D8-AD61-489E8401538C}" name="Região " dataDxfId="46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3E43A0-DD1E-476A-8BCF-12FDB92B9DC2}" name="Tabela2" displayName="Tabela2" ref="A1:AA85" totalsRowShown="0" headerRowDxfId="179" tableBorderDxfId="178">
  <autoFilter ref="A1:AA85" xr:uid="{3A3E43A0-DD1E-476A-8BCF-12FDB92B9DC2}"/>
  <tableColumns count="27">
    <tableColumn id="2" xr3:uid="{D261BB2C-243C-41F7-9B8A-4486551D1741}" name="Data da Visita 1" dataDxfId="177"/>
    <tableColumn id="3" xr3:uid="{B33F7C7B-F29D-4A11-97E4-10A754E80407}" name="Status Visita 1" dataDxfId="176">
      <calculatedColumnFormula>IF(ISBLANK(A2), "Pendente", "Realizada")</calculatedColumnFormula>
    </tableColumn>
    <tableColumn id="4" xr3:uid="{181C9E53-98FF-4D9D-98EA-ED61508A8613}" name="Data da Visita 2" dataDxfId="175">
      <calculatedColumnFormula>IF(A2="", "", EDATE(A2, 3))</calculatedColumnFormula>
    </tableColumn>
    <tableColumn id="5" xr3:uid="{65B73C33-C7E7-44BF-9FC6-93C953D6343A}" name="Status Visita " dataDxfId="174"/>
    <tableColumn id="6" xr3:uid="{7967C63E-9F6B-4A28-A530-1E5398B1FB9A}" name="Data da Visita 3" dataDxfId="173">
      <calculatedColumnFormula>IF(C2="", "", EDATE(C2, 3))</calculatedColumnFormula>
    </tableColumn>
    <tableColumn id="7" xr3:uid="{F8DB4E39-C62B-4F55-B60F-542E186FC9F1}" name="Status Visita 2" dataDxfId="172"/>
    <tableColumn id="8" xr3:uid="{F90D1F9D-5881-495C-8F31-11FB76280ED9}" name="Turma"/>
    <tableColumn id="9" xr3:uid="{95107383-1C92-462F-B5B7-00D3F06DA36E}" name="Apr. Nome"/>
    <tableColumn id="10" xr3:uid="{A638987D-3B4A-4F56-957C-77BA456E1563}" name="Curso"/>
    <tableColumn id="11" xr3:uid="{D8E77687-9BC5-4D7E-A913-A185CA2878FD}" name="TurDatIni"/>
    <tableColumn id="12" xr3:uid="{AA5D9B1D-9932-4CD5-BA0D-2114425178F2}" name="TurDatFim"/>
    <tableColumn id="13" xr3:uid="{7D190CA3-2FA2-47E8-AD68-41CFC9C3DE51}" name="Razao Social"/>
    <tableColumn id="14" xr3:uid="{4A2D2BDA-4280-4653-BDDE-C8EBAD69BBF0}" name="CNPJ"/>
    <tableColumn id="15" xr3:uid="{42166C81-8148-4441-AD35-41ADBAF512C6}" name="Endereço " dataDxfId="171"/>
    <tableColumn id="16" xr3:uid="{67C2D31D-2FF9-4669-A4E2-9D1CE92624F9}" name="Link Google Maps" dataDxfId="170" dataCellStyle="Hyperlink"/>
    <tableColumn id="17" xr3:uid="{20D4BDE0-B07A-4AA5-B66F-68FDCB7A30D7}" name="Emp. Cidade"/>
    <tableColumn id="18" xr3:uid="{B8F6F4B4-B064-4881-9B8A-740071020948}" name="UF" dataDxfId="169"/>
    <tableColumn id="19" xr3:uid="{DDD17A9C-C492-42F5-8BD8-6A058B4B478B}" name="Atuação Senac" dataDxfId="168">
      <calculatedColumnFormula>VLOOKUP(P2,'Dados das Regiões '!A:B,2,0)</calculatedColumnFormula>
    </tableColumn>
    <tableColumn id="20" xr3:uid="{2E296295-B740-4583-9735-CDA688DE33C1}" name="Sup. Cadastrado"/>
    <tableColumn id="22" xr3:uid="{4EB9B46E-D962-4DCE-9276-381AAA621D3A}" name="Sup Telefone"/>
    <tableColumn id="23" xr3:uid="{D3624EE0-BB3C-479A-8ED3-C969D3605C06}" name="Sup Celular" dataDxfId="167"/>
    <tableColumn id="24" xr3:uid="{D9FCD8A5-4D2B-4F12-972F-AF27535EDF58}" name="Sup. Email"/>
    <tableColumn id="25" xr3:uid="{5D8F7209-A28A-4587-B873-88AEB0FB78C4}" name="Teoria Hr Ini"/>
    <tableColumn id="26" xr3:uid="{C6A02900-EF32-4500-BA5D-9AAEACBF02AE}" name="Pratica Hr Ini" dataDxfId="166"/>
    <tableColumn id="27" xr3:uid="{074D0989-AB63-40A5-A794-E715253B01C1}" name="Situação" dataDxfId="165"/>
    <tableColumn id="28" xr3:uid="{46E07296-7083-4E60-9A5B-EED7844E2AE6}" name="Observação Visita" dataDxfId="164"/>
    <tableColumn id="30" xr3:uid="{30CA2B3D-D876-486F-80A9-86A869438788}" name="Centro de Custos " dataDxfId="163">
      <calculatedColumnFormula>VLOOKUP(Tabela2[[#This Row],[Turma]],CC!E1:F56,2,TRUE)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26811-1B87-4DF1-8015-CACB35859024}" name="Tabela1" displayName="Tabela1" ref="G1:AA1047934" totalsRowShown="0" headerRowDxfId="72" headerRowBorderDxfId="70" tableBorderDxfId="71">
  <autoFilter ref="G1:AA1047934" xr:uid="{23926811-1B87-4DF1-8015-CACB35859024}"/>
  <sortState xmlns:xlrd2="http://schemas.microsoft.com/office/spreadsheetml/2017/richdata2" ref="G2:AA1047934">
    <sortCondition ref="N1:N1047934"/>
  </sortState>
  <tableColumns count="21">
    <tableColumn id="1" xr3:uid="{D49B2808-BBF3-4440-9507-FB6050D6D8E2}" name="Turma" dataDxfId="68" totalsRowDxfId="69"/>
    <tableColumn id="2" xr3:uid="{88D66562-C3A0-44A1-9F80-2A3A9AEBBD5F}" name="Apr. Nome" dataDxfId="66" totalsRowDxfId="67"/>
    <tableColumn id="3" xr3:uid="{B34A41C7-1EFC-417A-A88E-C69CEEC3E441}" name="Curso" dataDxfId="64" totalsRowDxfId="65"/>
    <tableColumn id="4" xr3:uid="{44E6F415-AA75-4609-886D-B3E5E2C688B3}" name="TurDatIni" dataDxfId="62" totalsRowDxfId="63"/>
    <tableColumn id="5" xr3:uid="{2695429F-85CC-49A6-BB5B-54AF19F868CD}" name="TurDatFim" dataDxfId="60" totalsRowDxfId="61"/>
    <tableColumn id="6" xr3:uid="{26514742-0B5C-4678-AD3C-B1FA8D4E1AF5}" name="Razao Social" dataDxfId="58" totalsRowDxfId="59"/>
    <tableColumn id="7" xr3:uid="{0B940562-1638-4F3F-8D20-AF771DE43502}" name="CNPJ" dataDxfId="56" totalsRowDxfId="57"/>
    <tableColumn id="8" xr3:uid="{7A1D6EB4-4D9A-4273-9C2F-885E9C788E4A}" name="Endereço " dataDxfId="54" totalsRowDxfId="55"/>
    <tableColumn id="9" xr3:uid="{1F0C1535-94A1-4A1C-95DD-6FBFC84B2F52}" name="Link Google Maps" dataDxfId="52" totalsRowDxfId="53"/>
    <tableColumn id="10" xr3:uid="{E38D5B95-DA0A-4D89-B281-99609CE3BAA0}" name="Emp. Cidade" dataDxfId="50" totalsRowDxfId="51"/>
    <tableColumn id="11" xr3:uid="{89CC9F26-10C8-4E63-808B-8F3C9E097F7A}" name="UF" dataDxfId="48" totalsRowDxfId="49"/>
    <tableColumn id="12" xr3:uid="{BC23B348-A2EE-497C-A707-8BC909349D6C}" name="Atuação Senac" dataDxfId="46" totalsRowDxfId="47"/>
    <tableColumn id="13" xr3:uid="{88D8F79C-952D-4677-A5F4-BDEB9D59AAC4}" name="Sup. Cadastrado" dataDxfId="44" totalsRowDxfId="45"/>
    <tableColumn id="14" xr3:uid="{15E93E5C-2317-442A-9ACD-FFBDFFDE43FE}" name="Sup. na Empresa" dataDxfId="42" totalsRowDxfId="43"/>
    <tableColumn id="15" xr3:uid="{E359F287-4290-4C5C-87B0-A014F95891AF}" name="Sup Telefone" dataDxfId="40" totalsRowDxfId="41"/>
    <tableColumn id="16" xr3:uid="{EA34F6A2-3FFB-464B-8E82-D4C8A2AD8777}" name="Sup Celular" dataDxfId="38" totalsRowDxfId="39"/>
    <tableColumn id="17" xr3:uid="{FC64A9A0-EFC8-475B-AF26-99F1D0D7CEE8}" name="Sup. Email" dataDxfId="36" totalsRowDxfId="37"/>
    <tableColumn id="18" xr3:uid="{4D029F2D-B052-48B6-B498-AB5267149F8D}" name="Teoria Hr Ini" dataDxfId="35"/>
    <tableColumn id="19" xr3:uid="{3357A4ED-4782-41E5-983A-EB86C8BFBAF3}" name="Pratica Hr Ini" dataDxfId="34"/>
    <tableColumn id="20" xr3:uid="{75B1B612-7349-4FE4-B3FE-3D9FD87793AF}" name="Situação" dataDxfId="32" totalsRowDxfId="33"/>
    <tableColumn id="21" xr3:uid="{72389141-E343-454F-9C54-3FB6CA51C3DE}" name="Observação Visita" dataDxfId="30" totalsRowDxfId="3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30" dT="2025-08-07T12:26:50.17" personId="{39615120-F8F8-4F16-8463-EFBBCDF9DA1B}" id="{9C38312C-F338-4DF4-9202-9E81094BC1AC}">
    <text>Jovem estava de atestado no dia da visita 27/06/2025</text>
  </threadedComment>
  <threadedComment ref="L328" dT="2025-06-03T11:31:08.49" personId="{39615120-F8F8-4F16-8463-EFBBCDF9DA1B}" id="{D0DA3CEA-A9EB-407E-9729-A2F79748F7DC}">
    <text xml:space="preserve">Aguardando retorno da Dani, mas o CNPJ está para a atuação em Curitiba e não Francisco Beltrão </text>
  </threadedComment>
  <threadedComment ref="L331" dT="2025-06-03T11:31:15.89" personId="{39615120-F8F8-4F16-8463-EFBBCDF9DA1B}" id="{CBF145CC-9A13-42A9-AC54-EE68A6C6ADA7}">
    <text xml:space="preserve">Aguardando retorno da Dani, mas o CNPJ está para a atuação em Curitiba e não Francisco Beltrão </text>
  </threadedComment>
  <threadedComment ref="L332" dT="2025-06-03T11:31:19.97" personId="{39615120-F8F8-4F16-8463-EFBBCDF9DA1B}" id="{ABF275B9-1B25-4DF1-8BDF-40C3C6F93D83}">
    <text xml:space="preserve">Aguardando retorno da Dani, mas o CNPJ está para a atuação em Curitiba e não Francisco Beltrão </text>
  </threadedComment>
  <threadedComment ref="L333" dT="2025-06-03T11:31:23.66" personId="{39615120-F8F8-4F16-8463-EFBBCDF9DA1B}" id="{B1863B1E-DE12-4A47-946E-72B90A3058F6}">
    <text xml:space="preserve">Aguardando retorno da Dani, mas o CNPJ está para a atuação em Curitiba e não Francisco Beltrão </text>
  </threadedComment>
  <threadedComment ref="L534" dT="2025-06-03T11:31:08.49" personId="{39615120-F8F8-4F16-8463-EFBBCDF9DA1B}" id="{791F95B8-79D9-44A0-AD20-F856FDD8CEF4}">
    <text xml:space="preserve">Aguardando retorno da Dani, mas o CNPJ está para a atuação em Curitiba e não Francisco Beltrão </text>
  </threadedComment>
  <threadedComment ref="L537" dT="2025-06-03T11:31:15.89" personId="{39615120-F8F8-4F16-8463-EFBBCDF9DA1B}" id="{41CED728-EDFB-421E-A2CB-923079C7E503}">
    <text xml:space="preserve">Aguardando retorno da Dani, mas o CNPJ está para a atuação em Curitiba e não Francisco Beltrão </text>
  </threadedComment>
  <threadedComment ref="L538" dT="2025-06-03T11:31:19.97" personId="{39615120-F8F8-4F16-8463-EFBBCDF9DA1B}" id="{DED43983-FFD7-439E-9009-AC04F0E84590}">
    <text xml:space="preserve">Aguardando retorno da Dani, mas o CNPJ está para a atuação em Curitiba e não Francisco Beltrão </text>
  </threadedComment>
  <threadedComment ref="L539" dT="2025-06-03T11:31:23.66" personId="{39615120-F8F8-4F16-8463-EFBBCDF9DA1B}" id="{26886BD4-928C-4DB7-B6B7-F715982A6227}">
    <text xml:space="preserve">Aguardando retorno da Dani, mas o CNPJ está para a atuação em Curitiba e não Francisco Beltrão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3" dT="2025-09-26T14:31:52.98" personId="{39615120-F8F8-4F16-8463-EFBBCDF9DA1B}" id="{B43540BB-9AE5-48D8-8428-5CF60E91BEEC}">
    <text xml:space="preserve">CT - terça
</text>
  </threadedComment>
  <threadedComment ref="E5" dT="2025-09-26T14:33:20.45" personId="{39615120-F8F8-4F16-8463-EFBBCDF9DA1B}" id="{ABD9AB4C-5621-4E7F-8E4A-6090C9E422BD}">
    <text xml:space="preserve">CT - terça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4" dT="2025-05-26T20:26:44.15" personId="{39615120-F8F8-4F16-8463-EFBBCDF9DA1B}" id="{A5E5689C-3D62-4B8D-8098-DA72E9C8EB2D}">
    <text xml:space="preserve">Ligar para a empresa e confirmar endereço, não foi achado em pesquisa no mapa
</text>
  </threadedComment>
  <threadedComment ref="H96" dT="2025-05-26T20:26:56.66" personId="{39615120-F8F8-4F16-8463-EFBBCDF9DA1B}" id="{795F215F-259F-4094-B1EB-3D17FCF1D768}">
    <text xml:space="preserve">Ligar para a empresa e confirmar endereço, não foi achado em pesquisa no mapa
</text>
  </threadedComment>
  <threadedComment ref="M323" dT="2025-06-03T12:13:23.63" personId="{39615120-F8F8-4F16-8463-EFBBCDF9DA1B}" id="{9BF3BEBB-E359-4476-BFFC-1BF9CCBB7C23}">
    <text xml:space="preserve">Ligar para a empresa e confirmar o endereço. </text>
  </threadedComment>
  <threadedComment ref="M327" dT="2025-06-03T12:13:28.40" personId="{39615120-F8F8-4F16-8463-EFBBCDF9DA1B}" id="{F87C80E9-AB7D-4968-A189-60915D3B7AA4}">
    <text xml:space="preserve">Ligar para a empresa e confirmar o endereço. 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luciano.ramos@docente.pr.senac.br" TargetMode="External"/><Relationship Id="rId2" Type="http://schemas.openxmlformats.org/officeDocument/2006/relationships/hyperlink" Target="mailto:michelly.gronkoski@docente.pr.senac.br" TargetMode="External"/><Relationship Id="rId1" Type="http://schemas.openxmlformats.org/officeDocument/2006/relationships/hyperlink" Target="mailto:samoel.pitz@docente.pr.senac.br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redicoamo.com.br/agencias" TargetMode="External"/><Relationship Id="rId2" Type="http://schemas.openxmlformats.org/officeDocument/2006/relationships/hyperlink" Target="https://assissupermercados.com.br/nossas-lojas/" TargetMode="External"/><Relationship Id="rId1" Type="http://schemas.openxmlformats.org/officeDocument/2006/relationships/hyperlink" Target="https://www.credicoamo.com.br/agencias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cocamar.com.br/onde-atuamo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KLjZHPf5yXiujz9F9" TargetMode="External"/><Relationship Id="rId2" Type="http://schemas.openxmlformats.org/officeDocument/2006/relationships/hyperlink" Target="https://maps.app.goo.gl/KLjZHPf5yXiujz9F9" TargetMode="External"/><Relationship Id="rId1" Type="http://schemas.openxmlformats.org/officeDocument/2006/relationships/hyperlink" Target="https://maps.app.goo.gl/KLjZHPf5yXiujz9F9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m6Q3jLSwN1sSqPoi6" TargetMode="External"/><Relationship Id="rId3" Type="http://schemas.openxmlformats.org/officeDocument/2006/relationships/hyperlink" Target="https://maps.app.goo.gl/RRCYVWk8bkvcbKQH8" TargetMode="External"/><Relationship Id="rId7" Type="http://schemas.openxmlformats.org/officeDocument/2006/relationships/hyperlink" Target="https://maps.app.goo.gl/i8v3JWR6tTrzVZ4u7" TargetMode="External"/><Relationship Id="rId2" Type="http://schemas.openxmlformats.org/officeDocument/2006/relationships/hyperlink" Target="https://maps.app.goo.gl/RRCYVWk8bkvcbKQH8" TargetMode="External"/><Relationship Id="rId1" Type="http://schemas.openxmlformats.org/officeDocument/2006/relationships/hyperlink" Target="https://maps.app.goo.gl/bt6bQjEXJbmEnube8" TargetMode="External"/><Relationship Id="rId6" Type="http://schemas.openxmlformats.org/officeDocument/2006/relationships/hyperlink" Target="https://maps.app.goo.gl/RRCYVWk8bkvcbKQH8" TargetMode="External"/><Relationship Id="rId5" Type="http://schemas.openxmlformats.org/officeDocument/2006/relationships/hyperlink" Target="https://maps.app.goo.gl/RRCYVWk8bkvcbKQH8" TargetMode="External"/><Relationship Id="rId10" Type="http://schemas.openxmlformats.org/officeDocument/2006/relationships/hyperlink" Target="mailto:JOSENILDA_RADULSKI@SICREDI.COM.BR" TargetMode="External"/><Relationship Id="rId4" Type="http://schemas.openxmlformats.org/officeDocument/2006/relationships/hyperlink" Target="https://maps.app.goo.gl/RRCYVWk8bkvcbKQH8" TargetMode="External"/><Relationship Id="rId9" Type="http://schemas.openxmlformats.org/officeDocument/2006/relationships/hyperlink" Target="https://maps.app.goo.gl/RRCYVWk8bkvcbKQH8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s.app.goo.gl/V36zVmpjS6ZRCK9Q7" TargetMode="External"/><Relationship Id="rId21" Type="http://schemas.openxmlformats.org/officeDocument/2006/relationships/hyperlink" Target="https://maps.app.goo.gl/HVtdoodKzfKys6Vc9" TargetMode="External"/><Relationship Id="rId324" Type="http://schemas.openxmlformats.org/officeDocument/2006/relationships/hyperlink" Target="https://maps.app.goo.gl/wCZUApt5rcZL42QBA" TargetMode="External"/><Relationship Id="rId170" Type="http://schemas.openxmlformats.org/officeDocument/2006/relationships/hyperlink" Target="https://maps.app.goo.gl/fn5W5mj6Qb42aZRF9" TargetMode="External"/><Relationship Id="rId226" Type="http://schemas.openxmlformats.org/officeDocument/2006/relationships/hyperlink" Target="https://maps.app.goo.gl/tHEDu93dBdZyPPjJ8" TargetMode="External"/><Relationship Id="rId433" Type="http://schemas.openxmlformats.org/officeDocument/2006/relationships/hyperlink" Target="https://maps.app.goo.gl/8UWmxfHt8Zn1TEAb7" TargetMode="External"/><Relationship Id="rId268" Type="http://schemas.openxmlformats.org/officeDocument/2006/relationships/hyperlink" Target="https://maps.app.goo.gl/cQQpecY4vJmMas9X9" TargetMode="External"/><Relationship Id="rId475" Type="http://schemas.openxmlformats.org/officeDocument/2006/relationships/hyperlink" Target="https://maps.app.goo.gl/w4tnipc1a89jFaqu9" TargetMode="External"/><Relationship Id="rId32" Type="http://schemas.openxmlformats.org/officeDocument/2006/relationships/hyperlink" Target="https://maps.app.goo.gl/FoMXSvx4tFca3Wkk6" TargetMode="External"/><Relationship Id="rId74" Type="http://schemas.openxmlformats.org/officeDocument/2006/relationships/hyperlink" Target="https://maps.app.goo.gl/z8TdkxpWogRHys8k8" TargetMode="External"/><Relationship Id="rId128" Type="http://schemas.openxmlformats.org/officeDocument/2006/relationships/hyperlink" Target="https://maps.app.goo.gl/HGNNaoXG1z9Tg7Sv6" TargetMode="External"/><Relationship Id="rId335" Type="http://schemas.openxmlformats.org/officeDocument/2006/relationships/hyperlink" Target="https://maps.app.goo.gl/fn5W5mj6Qb42aZRF9" TargetMode="External"/><Relationship Id="rId377" Type="http://schemas.openxmlformats.org/officeDocument/2006/relationships/hyperlink" Target="https://maps.app.goo.gl/YKZFqXK5TRddfLVX6" TargetMode="External"/><Relationship Id="rId500" Type="http://schemas.openxmlformats.org/officeDocument/2006/relationships/hyperlink" Target="https://maps.app.goo.gl/BHehLFAXZDVwzfxk6" TargetMode="External"/><Relationship Id="rId5" Type="http://schemas.openxmlformats.org/officeDocument/2006/relationships/hyperlink" Target="https://maps.app.goo.gl/yWygdbQRJW52mTD47" TargetMode="External"/><Relationship Id="rId181" Type="http://schemas.openxmlformats.org/officeDocument/2006/relationships/hyperlink" Target="https://maps.app.goo.gl/k2DAomHr1JhyVJXE6" TargetMode="External"/><Relationship Id="rId237" Type="http://schemas.openxmlformats.org/officeDocument/2006/relationships/hyperlink" Target="https://maps.app.goo.gl/r6AcX95VYiSE68Jv7" TargetMode="External"/><Relationship Id="rId402" Type="http://schemas.openxmlformats.org/officeDocument/2006/relationships/hyperlink" Target="https://maps.app.goo.gl/RyDrqM6ADinybSWLA" TargetMode="External"/><Relationship Id="rId279" Type="http://schemas.openxmlformats.org/officeDocument/2006/relationships/hyperlink" Target="https://maps.app.goo.gl/HtkSmSEzBoxXGz7Z8" TargetMode="External"/><Relationship Id="rId444" Type="http://schemas.openxmlformats.org/officeDocument/2006/relationships/hyperlink" Target="https://maps.app.goo.gl/8ooj369UfZ7yjZPh8" TargetMode="External"/><Relationship Id="rId486" Type="http://schemas.openxmlformats.org/officeDocument/2006/relationships/hyperlink" Target="https://maps.app.goo.gl/8ub9gWrjcPMbQy5X7" TargetMode="External"/><Relationship Id="rId43" Type="http://schemas.openxmlformats.org/officeDocument/2006/relationships/hyperlink" Target="https://maps.app.goo.gl/B9atv2qTZt1ML9xG8" TargetMode="External"/><Relationship Id="rId139" Type="http://schemas.openxmlformats.org/officeDocument/2006/relationships/hyperlink" Target="https://maps.app.goo.gl/zzLvbtNYy7vYnhZ57" TargetMode="External"/><Relationship Id="rId290" Type="http://schemas.openxmlformats.org/officeDocument/2006/relationships/hyperlink" Target="https://maps.app.goo.gl/3fHgUWu36UwJCzcs5" TargetMode="External"/><Relationship Id="rId304" Type="http://schemas.openxmlformats.org/officeDocument/2006/relationships/hyperlink" Target="https://maps.app.goo.gl/K77dHJo63saeT1TQ6" TargetMode="External"/><Relationship Id="rId346" Type="http://schemas.openxmlformats.org/officeDocument/2006/relationships/hyperlink" Target="https://maps.app.goo.gl/EyqxEdQAaEpxL6Wu9" TargetMode="External"/><Relationship Id="rId388" Type="http://schemas.openxmlformats.org/officeDocument/2006/relationships/hyperlink" Target="https://maps.app.goo.gl/J3o6yWPb8MXdMVf36" TargetMode="External"/><Relationship Id="rId511" Type="http://schemas.openxmlformats.org/officeDocument/2006/relationships/hyperlink" Target="https://maps.app.goo.gl/AVQ8bbee9mGvsHc96" TargetMode="External"/><Relationship Id="rId85" Type="http://schemas.openxmlformats.org/officeDocument/2006/relationships/hyperlink" Target="https://maps.app.goo.gl/hYrZmGFrVysGypRT7" TargetMode="External"/><Relationship Id="rId150" Type="http://schemas.openxmlformats.org/officeDocument/2006/relationships/hyperlink" Target="https://maps.app.goo.gl/JWou2oxPeXNxCyyj7" TargetMode="External"/><Relationship Id="rId192" Type="http://schemas.openxmlformats.org/officeDocument/2006/relationships/hyperlink" Target="https://maps.app.goo.gl/k2DAomHr1JhyVJXE6" TargetMode="External"/><Relationship Id="rId206" Type="http://schemas.openxmlformats.org/officeDocument/2006/relationships/hyperlink" Target="https://maps.app.goo.gl/7K5UWHyXcskUXTaD6" TargetMode="External"/><Relationship Id="rId413" Type="http://schemas.openxmlformats.org/officeDocument/2006/relationships/hyperlink" Target="https://maps.app.goo.gl/EfEATnoCuXodbWqz5" TargetMode="External"/><Relationship Id="rId248" Type="http://schemas.openxmlformats.org/officeDocument/2006/relationships/hyperlink" Target="https://maps.app.goo.gl/atu8MXD4ERBZLfYe9" TargetMode="External"/><Relationship Id="rId455" Type="http://schemas.openxmlformats.org/officeDocument/2006/relationships/hyperlink" Target="https://maps.app.goo.gl/ptYGCue339hq6TARA" TargetMode="External"/><Relationship Id="rId497" Type="http://schemas.openxmlformats.org/officeDocument/2006/relationships/hyperlink" Target="https://maps.app.goo.gl/UC3Qa8tA5L1R9brQ6" TargetMode="External"/><Relationship Id="rId12" Type="http://schemas.openxmlformats.org/officeDocument/2006/relationships/hyperlink" Target="https://maps.app.goo.gl/oT87b5aEaQ4Z5bkV9" TargetMode="External"/><Relationship Id="rId108" Type="http://schemas.openxmlformats.org/officeDocument/2006/relationships/hyperlink" Target="https://maps.app.goo.gl/Kw83tSCGoQnHG7x99" TargetMode="External"/><Relationship Id="rId315" Type="http://schemas.openxmlformats.org/officeDocument/2006/relationships/hyperlink" Target="https://maps.app.goo.gl/yWKDXRpj1AecJruL7" TargetMode="External"/><Relationship Id="rId357" Type="http://schemas.openxmlformats.org/officeDocument/2006/relationships/hyperlink" Target="https://maps.app.goo.gl/uxk8pkVoD4Gva27Y8" TargetMode="External"/><Relationship Id="rId54" Type="http://schemas.openxmlformats.org/officeDocument/2006/relationships/hyperlink" Target="https://maps.app.goo.gl/MJY9nE3EAn3rceq4A" TargetMode="External"/><Relationship Id="rId96" Type="http://schemas.openxmlformats.org/officeDocument/2006/relationships/hyperlink" Target="https://maps.app.goo.gl/R8c58dSNvuv9gSnV9" TargetMode="External"/><Relationship Id="rId161" Type="http://schemas.openxmlformats.org/officeDocument/2006/relationships/hyperlink" Target="https://maps.app.goo.gl/1d8JcyL99E16BvU38" TargetMode="External"/><Relationship Id="rId217" Type="http://schemas.openxmlformats.org/officeDocument/2006/relationships/hyperlink" Target="https://maps.app.goo.gl/PKAWbinU7MUxhLZ66" TargetMode="External"/><Relationship Id="rId399" Type="http://schemas.openxmlformats.org/officeDocument/2006/relationships/hyperlink" Target="https://maps.app.goo.gl/qke8mz4C32qdAhDG7" TargetMode="External"/><Relationship Id="rId259" Type="http://schemas.openxmlformats.org/officeDocument/2006/relationships/hyperlink" Target="https://maps.app.goo.gl/wtNyyb4bweVYomBw5" TargetMode="External"/><Relationship Id="rId424" Type="http://schemas.openxmlformats.org/officeDocument/2006/relationships/hyperlink" Target="https://maps.app.goo.gl/LGg9iEyxGgGopqz59" TargetMode="External"/><Relationship Id="rId466" Type="http://schemas.openxmlformats.org/officeDocument/2006/relationships/hyperlink" Target="https://maps.app.goo.gl/EDy8t4EiKHYLVk1s9" TargetMode="External"/><Relationship Id="rId23" Type="http://schemas.openxmlformats.org/officeDocument/2006/relationships/hyperlink" Target="https://maps.app.goo.gl/n141kaiNyGSatP2E8" TargetMode="External"/><Relationship Id="rId119" Type="http://schemas.openxmlformats.org/officeDocument/2006/relationships/hyperlink" Target="https://maps.app.goo.gl/cGHuC2mKrAemLTbd7" TargetMode="External"/><Relationship Id="rId270" Type="http://schemas.openxmlformats.org/officeDocument/2006/relationships/hyperlink" Target="https://maps.app.goo.gl/vbGPTxGCD4m487wN8" TargetMode="External"/><Relationship Id="rId326" Type="http://schemas.openxmlformats.org/officeDocument/2006/relationships/hyperlink" Target="mailto:ger610@quero-quero.com.br" TargetMode="External"/><Relationship Id="rId65" Type="http://schemas.openxmlformats.org/officeDocument/2006/relationships/hyperlink" Target="https://maps.app.goo.gl/zjnGLGuwfNqe9CD47" TargetMode="External"/><Relationship Id="rId130" Type="http://schemas.openxmlformats.org/officeDocument/2006/relationships/hyperlink" Target="https://maps.app.goo.gl/QvWSDeQtfD4PbcFL8" TargetMode="External"/><Relationship Id="rId368" Type="http://schemas.openxmlformats.org/officeDocument/2006/relationships/hyperlink" Target="https://maps.app.goo.gl/9Tnnd2BqhQTsviLn8" TargetMode="External"/><Relationship Id="rId172" Type="http://schemas.openxmlformats.org/officeDocument/2006/relationships/hyperlink" Target="https://maps.app.goo.gl/iGZJNa2TkBcgqADJ8" TargetMode="External"/><Relationship Id="rId228" Type="http://schemas.openxmlformats.org/officeDocument/2006/relationships/hyperlink" Target="https://maps.app.goo.gl/JVCoarCLtyQdZVy19" TargetMode="External"/><Relationship Id="rId435" Type="http://schemas.openxmlformats.org/officeDocument/2006/relationships/hyperlink" Target="https://maps.app.goo.gl/KLjZHPf5yXiujz9F9" TargetMode="External"/><Relationship Id="rId477" Type="http://schemas.openxmlformats.org/officeDocument/2006/relationships/hyperlink" Target="https://maps.app.goo.gl/63fWM2vT8XvXshoG7" TargetMode="External"/><Relationship Id="rId281" Type="http://schemas.openxmlformats.org/officeDocument/2006/relationships/hyperlink" Target="https://maps.app.goo.gl/eLhp1RtwZj4ghXte8" TargetMode="External"/><Relationship Id="rId337" Type="http://schemas.openxmlformats.org/officeDocument/2006/relationships/hyperlink" Target="https://maps.app.goo.gl/o1EnhzBkJEXdjj9t7" TargetMode="External"/><Relationship Id="rId502" Type="http://schemas.openxmlformats.org/officeDocument/2006/relationships/hyperlink" Target="https://maps.app.goo.gl/APj2DVmCKYtY6prv7" TargetMode="External"/><Relationship Id="rId34" Type="http://schemas.openxmlformats.org/officeDocument/2006/relationships/hyperlink" Target="https://maps.app.goo.gl/7K5UWHyXcskUXTaD6" TargetMode="External"/><Relationship Id="rId76" Type="http://schemas.openxmlformats.org/officeDocument/2006/relationships/hyperlink" Target="https://maps.app.goo.gl/atu8MXD4ERBZLfYe9" TargetMode="External"/><Relationship Id="rId141" Type="http://schemas.openxmlformats.org/officeDocument/2006/relationships/hyperlink" Target="https://maps.app.goo.gl/dCWdSEMusEbFf9xJ6" TargetMode="External"/><Relationship Id="rId379" Type="http://schemas.openxmlformats.org/officeDocument/2006/relationships/hyperlink" Target="https://maps.app.goo.gl/5Kjki3A1uSgA7NeN9" TargetMode="External"/><Relationship Id="rId7" Type="http://schemas.openxmlformats.org/officeDocument/2006/relationships/hyperlink" Target="https://maps.app.goo.gl/XLQEPsFk5QoJvhub6" TargetMode="External"/><Relationship Id="rId183" Type="http://schemas.openxmlformats.org/officeDocument/2006/relationships/hyperlink" Target="https://maps.app.goo.gl/SqYxZ8JwjaAZSzPP7" TargetMode="External"/><Relationship Id="rId239" Type="http://schemas.openxmlformats.org/officeDocument/2006/relationships/hyperlink" Target="https://maps.app.goo.gl/gUEUMPkWA2M1ekoD9" TargetMode="External"/><Relationship Id="rId390" Type="http://schemas.openxmlformats.org/officeDocument/2006/relationships/hyperlink" Target="https://maps.app.goo.gl/RsDK6sYwh2wEarJo6" TargetMode="External"/><Relationship Id="rId404" Type="http://schemas.openxmlformats.org/officeDocument/2006/relationships/hyperlink" Target="https://maps.app.goo.gl/8tQVcSYcUmLDRCF18" TargetMode="External"/><Relationship Id="rId446" Type="http://schemas.openxmlformats.org/officeDocument/2006/relationships/hyperlink" Target="https://maps.app.goo.gl/Eua1jmNtBdQsuaMd8" TargetMode="External"/><Relationship Id="rId250" Type="http://schemas.openxmlformats.org/officeDocument/2006/relationships/hyperlink" Target="https://maps.app.goo.gl/RhToMNgw33vDa8fx6" TargetMode="External"/><Relationship Id="rId292" Type="http://schemas.openxmlformats.org/officeDocument/2006/relationships/hyperlink" Target="https://maps.app.goo.gl/w3WNUe3p5fEdHtnv8" TargetMode="External"/><Relationship Id="rId306" Type="http://schemas.openxmlformats.org/officeDocument/2006/relationships/hyperlink" Target="https://maps.app.goo.gl/zzLvbtNYy7vYnhZ57" TargetMode="External"/><Relationship Id="rId488" Type="http://schemas.openxmlformats.org/officeDocument/2006/relationships/hyperlink" Target="https://maps.app.goo.gl/Y6fmqXQdjzd6wDcx8" TargetMode="External"/><Relationship Id="rId45" Type="http://schemas.openxmlformats.org/officeDocument/2006/relationships/hyperlink" Target="https://maps.app.goo.gl/z17VLCRawJHW2KT27" TargetMode="External"/><Relationship Id="rId87" Type="http://schemas.openxmlformats.org/officeDocument/2006/relationships/hyperlink" Target="https://maps.app.goo.gl/NWac9WTxhrCF8mcP8" TargetMode="External"/><Relationship Id="rId110" Type="http://schemas.openxmlformats.org/officeDocument/2006/relationships/hyperlink" Target="https://maps.app.goo.gl/ccwiNKsa6NE7d7cb6" TargetMode="External"/><Relationship Id="rId348" Type="http://schemas.openxmlformats.org/officeDocument/2006/relationships/hyperlink" Target="https://maps.app.goo.gl/BE1KKnMuo76rApreA" TargetMode="External"/><Relationship Id="rId513" Type="http://schemas.openxmlformats.org/officeDocument/2006/relationships/hyperlink" Target="https://maps.app.goo.gl/i7ECNA7vSdMPBD6EA" TargetMode="External"/><Relationship Id="rId152" Type="http://schemas.openxmlformats.org/officeDocument/2006/relationships/hyperlink" Target="https://maps.app.goo.gl/VVwywiR2ysQKiLEH9" TargetMode="External"/><Relationship Id="rId194" Type="http://schemas.openxmlformats.org/officeDocument/2006/relationships/hyperlink" Target="https://maps.app.goo.gl/HVtdoodKzfKys6Vc9" TargetMode="External"/><Relationship Id="rId208" Type="http://schemas.openxmlformats.org/officeDocument/2006/relationships/hyperlink" Target="https://maps.app.goo.gl/T2YFSebQrS9uRt6h6" TargetMode="External"/><Relationship Id="rId415" Type="http://schemas.openxmlformats.org/officeDocument/2006/relationships/hyperlink" Target="https://maps.app.goo.gl/WicNsoYZyXHbbCyH9" TargetMode="External"/><Relationship Id="rId457" Type="http://schemas.openxmlformats.org/officeDocument/2006/relationships/hyperlink" Target="https://maps.app.goo.gl/xCdgv7BH89UsQgx36" TargetMode="External"/><Relationship Id="rId261" Type="http://schemas.openxmlformats.org/officeDocument/2006/relationships/hyperlink" Target="https://maps.app.goo.gl/RJhSs5zLcCo63sbs8" TargetMode="External"/><Relationship Id="rId499" Type="http://schemas.openxmlformats.org/officeDocument/2006/relationships/hyperlink" Target="https://maps.app.goo.gl/8ub9gWrjcPMbQy5X7" TargetMode="External"/><Relationship Id="rId14" Type="http://schemas.openxmlformats.org/officeDocument/2006/relationships/hyperlink" Target="https://maps.app.goo.gl/9DVs9s2XhcSNskJH6" TargetMode="External"/><Relationship Id="rId56" Type="http://schemas.openxmlformats.org/officeDocument/2006/relationships/hyperlink" Target="https://maps.app.goo.gl/smYVwLsdrsfeC8Ab6" TargetMode="External"/><Relationship Id="rId317" Type="http://schemas.openxmlformats.org/officeDocument/2006/relationships/hyperlink" Target="https://maps.app.goo.gl/gtMYGSfxFkbKbKJX6" TargetMode="External"/><Relationship Id="rId359" Type="http://schemas.openxmlformats.org/officeDocument/2006/relationships/hyperlink" Target="https://maps.app.goo.gl/XP1xDbKuFgE5KU4s7" TargetMode="External"/><Relationship Id="rId98" Type="http://schemas.openxmlformats.org/officeDocument/2006/relationships/hyperlink" Target="https://maps.app.goo.gl/32rXzyCJR9B1pgV9A" TargetMode="External"/><Relationship Id="rId121" Type="http://schemas.openxmlformats.org/officeDocument/2006/relationships/hyperlink" Target="https://maps.app.goo.gl/6cUdmrHgXQbnUM9G8" TargetMode="External"/><Relationship Id="rId163" Type="http://schemas.openxmlformats.org/officeDocument/2006/relationships/hyperlink" Target="https://maps.app.goo.gl/pvSE7CXuzJqLUDDC7" TargetMode="External"/><Relationship Id="rId219" Type="http://schemas.openxmlformats.org/officeDocument/2006/relationships/hyperlink" Target="https://maps.app.goo.gl/6puRt7U6pjzzawhD8" TargetMode="External"/><Relationship Id="rId370" Type="http://schemas.openxmlformats.org/officeDocument/2006/relationships/hyperlink" Target="https://maps.app.goo.gl/aMERQvb8EFcXJpoX6" TargetMode="External"/><Relationship Id="rId426" Type="http://schemas.openxmlformats.org/officeDocument/2006/relationships/hyperlink" Target="https://maps.app.goo.gl/hDDusMkpfbjJiu3W6" TargetMode="External"/><Relationship Id="rId230" Type="http://schemas.openxmlformats.org/officeDocument/2006/relationships/hyperlink" Target="https://maps.app.goo.gl/cYUtXvFEezqwUTmV9" TargetMode="External"/><Relationship Id="rId468" Type="http://schemas.openxmlformats.org/officeDocument/2006/relationships/hyperlink" Target="https://maps.app.goo.gl/nzqP81KiuQKxpqSC8" TargetMode="External"/><Relationship Id="rId25" Type="http://schemas.openxmlformats.org/officeDocument/2006/relationships/hyperlink" Target="https://maps.app.goo.gl/n141kaiNyGSatP2E8" TargetMode="External"/><Relationship Id="rId67" Type="http://schemas.openxmlformats.org/officeDocument/2006/relationships/hyperlink" Target="https://maps.app.goo.gl/gUEUMPkWA2M1ekoD9" TargetMode="External"/><Relationship Id="rId272" Type="http://schemas.openxmlformats.org/officeDocument/2006/relationships/hyperlink" Target="https://maps.app.goo.gl/UAqqz3ZmFnHfB5WE8" TargetMode="External"/><Relationship Id="rId328" Type="http://schemas.openxmlformats.org/officeDocument/2006/relationships/hyperlink" Target="https://maps.app.goo.gl/nEvzDp3PH6wfDDQn7" TargetMode="External"/><Relationship Id="rId132" Type="http://schemas.openxmlformats.org/officeDocument/2006/relationships/hyperlink" Target="https://maps.app.goo.gl/Gpftdp7gBv9gr9TF8" TargetMode="External"/><Relationship Id="rId174" Type="http://schemas.openxmlformats.org/officeDocument/2006/relationships/hyperlink" Target="https://maps.app.goo.gl/qi87e6ZqFaKwoiNo7" TargetMode="External"/><Relationship Id="rId381" Type="http://schemas.openxmlformats.org/officeDocument/2006/relationships/hyperlink" Target="https://maps.app.goo.gl/gXsF9YW892cWcdxF7" TargetMode="External"/><Relationship Id="rId241" Type="http://schemas.openxmlformats.org/officeDocument/2006/relationships/hyperlink" Target="https://maps.app.goo.gl/JRVsW4Q3vmFX2YRs9" TargetMode="External"/><Relationship Id="rId437" Type="http://schemas.openxmlformats.org/officeDocument/2006/relationships/hyperlink" Target="https://maps.app.goo.gl/yWKDXRpj1AecJruL7" TargetMode="External"/><Relationship Id="rId479" Type="http://schemas.openxmlformats.org/officeDocument/2006/relationships/hyperlink" Target="https://maps.app.goo.gl/6qgHt4JwjysVp2hc9" TargetMode="External"/><Relationship Id="rId36" Type="http://schemas.openxmlformats.org/officeDocument/2006/relationships/hyperlink" Target="https://maps.app.goo.gl/T2YFSebQrS9uRt6h6" TargetMode="External"/><Relationship Id="rId283" Type="http://schemas.openxmlformats.org/officeDocument/2006/relationships/hyperlink" Target="https://maps.app.goo.gl/2QayW4gLU2jNx6rx5" TargetMode="External"/><Relationship Id="rId339" Type="http://schemas.openxmlformats.org/officeDocument/2006/relationships/hyperlink" Target="https://maps.app.goo.gl/iGZJNa2TkBcgqADJ8" TargetMode="External"/><Relationship Id="rId490" Type="http://schemas.openxmlformats.org/officeDocument/2006/relationships/hyperlink" Target="https://maps.app.goo.gl/Y6fmqXQdjzd6wDcx8" TargetMode="External"/><Relationship Id="rId504" Type="http://schemas.openxmlformats.org/officeDocument/2006/relationships/hyperlink" Target="https://maps.app.goo.gl/HaeHR6KGBYkeoqwq6" TargetMode="External"/><Relationship Id="rId78" Type="http://schemas.openxmlformats.org/officeDocument/2006/relationships/hyperlink" Target="https://maps.app.goo.gl/o1EnhzBkJEXdjj9t7" TargetMode="External"/><Relationship Id="rId101" Type="http://schemas.openxmlformats.org/officeDocument/2006/relationships/hyperlink" Target="https://maps.app.goo.gl/cQQpecY4vJmMas9X9" TargetMode="External"/><Relationship Id="rId143" Type="http://schemas.openxmlformats.org/officeDocument/2006/relationships/hyperlink" Target="https://maps.app.goo.gl/ZRyZ1JwABqYBRwaC8" TargetMode="External"/><Relationship Id="rId185" Type="http://schemas.openxmlformats.org/officeDocument/2006/relationships/hyperlink" Target="https://maps.app.goo.gl/oT87b5aEaQ4Z5bkV9" TargetMode="External"/><Relationship Id="rId350" Type="http://schemas.openxmlformats.org/officeDocument/2006/relationships/hyperlink" Target="https://maps.app.goo.gl/DkPwGGGdaLLeKKHv6" TargetMode="External"/><Relationship Id="rId406" Type="http://schemas.openxmlformats.org/officeDocument/2006/relationships/hyperlink" Target="https://maps.app.goo.gl/8tQVcSYcUmLDRCF18" TargetMode="External"/><Relationship Id="rId9" Type="http://schemas.openxmlformats.org/officeDocument/2006/relationships/hyperlink" Target="https://maps.app.goo.gl/5A2GYQKvEZg4HWhs7" TargetMode="External"/><Relationship Id="rId210" Type="http://schemas.openxmlformats.org/officeDocument/2006/relationships/hyperlink" Target="https://maps.app.goo.gl/yFuLe3HW8vQHBL1k7" TargetMode="External"/><Relationship Id="rId392" Type="http://schemas.openxmlformats.org/officeDocument/2006/relationships/hyperlink" Target="https://maps.app.goo.gl/yE8kCShbwVAT8uck7" TargetMode="External"/><Relationship Id="rId448" Type="http://schemas.openxmlformats.org/officeDocument/2006/relationships/hyperlink" Target="https://maps.app.goo.gl/GnE2m5LVKsBP27x3A" TargetMode="External"/><Relationship Id="rId252" Type="http://schemas.openxmlformats.org/officeDocument/2006/relationships/hyperlink" Target="https://maps.app.goo.gl/6H4S8SwbMPQYt7tQ7" TargetMode="External"/><Relationship Id="rId294" Type="http://schemas.openxmlformats.org/officeDocument/2006/relationships/hyperlink" Target="https://maps.app.goo.gl/KZ6t1h8V43FPYfrj7" TargetMode="External"/><Relationship Id="rId308" Type="http://schemas.openxmlformats.org/officeDocument/2006/relationships/hyperlink" Target="https://maps.app.goo.gl/dCWdSEMusEbFf9xJ6" TargetMode="External"/><Relationship Id="rId515" Type="http://schemas.openxmlformats.org/officeDocument/2006/relationships/hyperlink" Target="https://maps.app.goo.gl/1in39UoWSHkjfQc4A" TargetMode="External"/><Relationship Id="rId47" Type="http://schemas.openxmlformats.org/officeDocument/2006/relationships/hyperlink" Target="https://maps.app.goo.gl/oxKmEHacAZDirxQU8" TargetMode="External"/><Relationship Id="rId89" Type="http://schemas.openxmlformats.org/officeDocument/2006/relationships/hyperlink" Target="https://maps.app.goo.gl/rHPVMbS2YNGc3N128" TargetMode="External"/><Relationship Id="rId112" Type="http://schemas.openxmlformats.org/officeDocument/2006/relationships/hyperlink" Target="https://maps.app.goo.gl/HtkSmSEzBoxXGz7Z8" TargetMode="External"/><Relationship Id="rId154" Type="http://schemas.openxmlformats.org/officeDocument/2006/relationships/hyperlink" Target="https://maps.app.goo.gl/6tm3eEP5bLMzGPoFA" TargetMode="External"/><Relationship Id="rId361" Type="http://schemas.openxmlformats.org/officeDocument/2006/relationships/hyperlink" Target="https://maps.app.goo.gl/ptYGCue339hq6TARA" TargetMode="External"/><Relationship Id="rId196" Type="http://schemas.openxmlformats.org/officeDocument/2006/relationships/hyperlink" Target="https://maps.app.goo.gl/n141kaiNyGSatP2E8" TargetMode="External"/><Relationship Id="rId417" Type="http://schemas.openxmlformats.org/officeDocument/2006/relationships/hyperlink" Target="https://maps.app.goo.gl/VAynSkaL3uj2Xwta6" TargetMode="External"/><Relationship Id="rId459" Type="http://schemas.openxmlformats.org/officeDocument/2006/relationships/hyperlink" Target="https://maps.app.goo.gl/6xYxFZNRntatmHdC7" TargetMode="External"/><Relationship Id="rId16" Type="http://schemas.openxmlformats.org/officeDocument/2006/relationships/hyperlink" Target="https://maps.app.goo.gl/3RYUjpKcRusFnCL69" TargetMode="External"/><Relationship Id="rId221" Type="http://schemas.openxmlformats.org/officeDocument/2006/relationships/hyperlink" Target="https://maps.app.goo.gl/oxKmEHacAZDirxQU8" TargetMode="External"/><Relationship Id="rId263" Type="http://schemas.openxmlformats.org/officeDocument/2006/relationships/hyperlink" Target="https://maps.app.goo.gl/SG7B8PxoE9aLTV4x8" TargetMode="External"/><Relationship Id="rId319" Type="http://schemas.openxmlformats.org/officeDocument/2006/relationships/hyperlink" Target="https://maps.app.goo.gl/DLuHFSmnu5hvuTBNA" TargetMode="External"/><Relationship Id="rId470" Type="http://schemas.openxmlformats.org/officeDocument/2006/relationships/hyperlink" Target="https://maps.app.goo.gl/iRPWUBX29jkv7WVi7" TargetMode="External"/><Relationship Id="rId58" Type="http://schemas.openxmlformats.org/officeDocument/2006/relationships/hyperlink" Target="https://maps.app.goo.gl/hJDdJqLQr8CaxX9b6" TargetMode="External"/><Relationship Id="rId123" Type="http://schemas.openxmlformats.org/officeDocument/2006/relationships/hyperlink" Target="https://maps.app.goo.gl/3fHgUWu36UwJCzcs5" TargetMode="External"/><Relationship Id="rId330" Type="http://schemas.openxmlformats.org/officeDocument/2006/relationships/hyperlink" Target="https://maps.app.goo.gl/4KSw5XpULmJgDs2m7" TargetMode="External"/><Relationship Id="rId165" Type="http://schemas.openxmlformats.org/officeDocument/2006/relationships/hyperlink" Target="https://maps.app.goo.gl/mJuEGLHcC44pqs1aA" TargetMode="External"/><Relationship Id="rId372" Type="http://schemas.openxmlformats.org/officeDocument/2006/relationships/hyperlink" Target="https://maps.app.goo.gl/RmZ1ex3PVSvRk1C6A" TargetMode="External"/><Relationship Id="rId428" Type="http://schemas.openxmlformats.org/officeDocument/2006/relationships/hyperlink" Target="https://maps.app.goo.gl/KwmAEu4AANQgFAWS8" TargetMode="External"/><Relationship Id="rId232" Type="http://schemas.openxmlformats.org/officeDocument/2006/relationships/hyperlink" Target="https://maps.app.goo.gl/i6c1QKRnTSXeVPmL8" TargetMode="External"/><Relationship Id="rId274" Type="http://schemas.openxmlformats.org/officeDocument/2006/relationships/hyperlink" Target="https://maps.app.goo.gl/7Fq3664yqBXcfp9x6" TargetMode="External"/><Relationship Id="rId481" Type="http://schemas.openxmlformats.org/officeDocument/2006/relationships/hyperlink" Target="https://maps.app.goo.gl/Rs9AkkEzoeUosdyf6" TargetMode="External"/><Relationship Id="rId27" Type="http://schemas.openxmlformats.org/officeDocument/2006/relationships/hyperlink" Target="https://maps.app.goo.gl/BNhES6EYXDeXLUSa7" TargetMode="External"/><Relationship Id="rId69" Type="http://schemas.openxmlformats.org/officeDocument/2006/relationships/hyperlink" Target="https://maps.app.goo.gl/JRVsW4Q3vmFX2YRs9" TargetMode="External"/><Relationship Id="rId134" Type="http://schemas.openxmlformats.org/officeDocument/2006/relationships/hyperlink" Target="https://maps.app.goo.gl/7NW7AUCsPHtrSvva7" TargetMode="External"/><Relationship Id="rId80" Type="http://schemas.openxmlformats.org/officeDocument/2006/relationships/hyperlink" Target="https://maps.app.goo.gl/gkJiReAJ9QYywemw8" TargetMode="External"/><Relationship Id="rId176" Type="http://schemas.openxmlformats.org/officeDocument/2006/relationships/hyperlink" Target="https://maps.app.goo.gl/qmKdyweMY5Ur2BqA8" TargetMode="External"/><Relationship Id="rId341" Type="http://schemas.openxmlformats.org/officeDocument/2006/relationships/hyperlink" Target="https://maps.app.goo.gl/Dz27DV7SKFVstPuw5" TargetMode="External"/><Relationship Id="rId383" Type="http://schemas.openxmlformats.org/officeDocument/2006/relationships/hyperlink" Target="https://maps.app.goo.gl/qFHs3JUXZHybGEbFA" TargetMode="External"/><Relationship Id="rId439" Type="http://schemas.openxmlformats.org/officeDocument/2006/relationships/hyperlink" Target="https://maps.app.goo.gl/py972yUDgj9X6pzn7" TargetMode="External"/><Relationship Id="rId201" Type="http://schemas.openxmlformats.org/officeDocument/2006/relationships/hyperlink" Target="https://maps.app.goo.gl/BNhES6EYXDeXLUSa7" TargetMode="External"/><Relationship Id="rId243" Type="http://schemas.openxmlformats.org/officeDocument/2006/relationships/hyperlink" Target="https://maps.app.goo.gl/PZqZJSYDrbHW5kgt7" TargetMode="External"/><Relationship Id="rId285" Type="http://schemas.openxmlformats.org/officeDocument/2006/relationships/hyperlink" Target="https://maps.app.goo.gl/corWGsqn5xXffD6RA" TargetMode="External"/><Relationship Id="rId450" Type="http://schemas.openxmlformats.org/officeDocument/2006/relationships/hyperlink" Target="https://maps.app.goo.gl/Vvod3yUPm3dTw2kW7" TargetMode="External"/><Relationship Id="rId506" Type="http://schemas.openxmlformats.org/officeDocument/2006/relationships/hyperlink" Target="https://maps.app.goo.gl/jxEmkjftybhwNDAV9" TargetMode="External"/><Relationship Id="rId38" Type="http://schemas.openxmlformats.org/officeDocument/2006/relationships/hyperlink" Target="https://maps.app.goo.gl/yFuLe3HW8vQHBL1k7" TargetMode="External"/><Relationship Id="rId103" Type="http://schemas.openxmlformats.org/officeDocument/2006/relationships/hyperlink" Target="https://maps.app.goo.gl/vbGPTxGCD4m487wN8" TargetMode="External"/><Relationship Id="rId310" Type="http://schemas.openxmlformats.org/officeDocument/2006/relationships/hyperlink" Target="https://maps.app.goo.gl/ZRyZ1JwABqYBRwaC8" TargetMode="External"/><Relationship Id="rId492" Type="http://schemas.openxmlformats.org/officeDocument/2006/relationships/hyperlink" Target="https://maps.app.goo.gl/Y6fmqXQdjzd6wDcx8" TargetMode="External"/><Relationship Id="rId91" Type="http://schemas.openxmlformats.org/officeDocument/2006/relationships/hyperlink" Target="https://maps.app.goo.gl/M6pvg8ievkhhfB7r9" TargetMode="External"/><Relationship Id="rId145" Type="http://schemas.openxmlformats.org/officeDocument/2006/relationships/hyperlink" Target="https://maps.app.goo.gl/edPmWRAqYtLuiK5d9" TargetMode="External"/><Relationship Id="rId187" Type="http://schemas.openxmlformats.org/officeDocument/2006/relationships/hyperlink" Target="https://maps.app.goo.gl/9DVs9s2XhcSNskJH6" TargetMode="External"/><Relationship Id="rId352" Type="http://schemas.openxmlformats.org/officeDocument/2006/relationships/hyperlink" Target="https://maps.app.goo.gl/52sH9sgJd5dr7fA68" TargetMode="External"/><Relationship Id="rId394" Type="http://schemas.openxmlformats.org/officeDocument/2006/relationships/hyperlink" Target="https://maps.app.goo.gl/KBi8cZ5sTyZeRqmR7" TargetMode="External"/><Relationship Id="rId408" Type="http://schemas.openxmlformats.org/officeDocument/2006/relationships/hyperlink" Target="https://maps.app.goo.gl/WeL6f6pR4ozzTYf49" TargetMode="External"/><Relationship Id="rId212" Type="http://schemas.openxmlformats.org/officeDocument/2006/relationships/hyperlink" Target="https://maps.app.goo.gl/7dKzFi19Q7yfNi6w7" TargetMode="External"/><Relationship Id="rId254" Type="http://schemas.openxmlformats.org/officeDocument/2006/relationships/hyperlink" Target="https://maps.app.goo.gl/rTjwvpV6ZGCKNist5" TargetMode="External"/><Relationship Id="rId49" Type="http://schemas.openxmlformats.org/officeDocument/2006/relationships/hyperlink" Target="https://maps.app.goo.gl/oxKmEHacAZDirxQU8" TargetMode="External"/><Relationship Id="rId114" Type="http://schemas.openxmlformats.org/officeDocument/2006/relationships/hyperlink" Target="https://maps.app.goo.gl/eLhp1RtwZj4ghXte8" TargetMode="External"/><Relationship Id="rId296" Type="http://schemas.openxmlformats.org/officeDocument/2006/relationships/hyperlink" Target="https://maps.app.goo.gl/GXTgiMX6h7Awd7fw6" TargetMode="External"/><Relationship Id="rId461" Type="http://schemas.openxmlformats.org/officeDocument/2006/relationships/hyperlink" Target="https://maps.app.goo.gl/Q4e5w9yi3ghYfPpN7" TargetMode="External"/><Relationship Id="rId517" Type="http://schemas.openxmlformats.org/officeDocument/2006/relationships/hyperlink" Target="https://maps.app.goo.gl/Nux4qBHj83Mm5PHu8" TargetMode="External"/><Relationship Id="rId60" Type="http://schemas.openxmlformats.org/officeDocument/2006/relationships/hyperlink" Target="https://maps.app.goo.gl/duGnJr5Wb3P9zsGP8" TargetMode="External"/><Relationship Id="rId156" Type="http://schemas.openxmlformats.org/officeDocument/2006/relationships/hyperlink" Target="https://maps.app.goo.gl/fYWCaELgVZog1Tyu7" TargetMode="External"/><Relationship Id="rId198" Type="http://schemas.openxmlformats.org/officeDocument/2006/relationships/hyperlink" Target="https://maps.app.goo.gl/n141kaiNyGSatP2E8" TargetMode="External"/><Relationship Id="rId321" Type="http://schemas.openxmlformats.org/officeDocument/2006/relationships/hyperlink" Target="https://maps.app.goo.gl/fYWCaELgVZog1Tyu7" TargetMode="External"/><Relationship Id="rId363" Type="http://schemas.openxmlformats.org/officeDocument/2006/relationships/hyperlink" Target="https://maps.app.goo.gl/qxvRdwcyeJQjnnAA8" TargetMode="External"/><Relationship Id="rId419" Type="http://schemas.openxmlformats.org/officeDocument/2006/relationships/hyperlink" Target="https://maps.app.goo.gl/GR6JMNGBeKqL5JZu6" TargetMode="External"/><Relationship Id="rId223" Type="http://schemas.openxmlformats.org/officeDocument/2006/relationships/hyperlink" Target="https://maps.app.goo.gl/baKafCazjv4sXBnG9" TargetMode="External"/><Relationship Id="rId430" Type="http://schemas.openxmlformats.org/officeDocument/2006/relationships/hyperlink" Target="https://maps.app.goo.gl/8UWmxfHt8Zn1TEAb7" TargetMode="External"/><Relationship Id="rId18" Type="http://schemas.openxmlformats.org/officeDocument/2006/relationships/hyperlink" Target="https://maps.app.goo.gl/k2DAomHr1JhyVJXE6" TargetMode="External"/><Relationship Id="rId265" Type="http://schemas.openxmlformats.org/officeDocument/2006/relationships/hyperlink" Target="https://maps.app.goo.gl/32rXzyCJR9B1pgV9A" TargetMode="External"/><Relationship Id="rId472" Type="http://schemas.openxmlformats.org/officeDocument/2006/relationships/hyperlink" Target="https://maps.app.goo.gl/yHY4EHYNv1Vp7REV9" TargetMode="External"/><Relationship Id="rId125" Type="http://schemas.openxmlformats.org/officeDocument/2006/relationships/hyperlink" Target="https://maps.app.goo.gl/w3WNUe3p5fEdHtnv8" TargetMode="External"/><Relationship Id="rId167" Type="http://schemas.openxmlformats.org/officeDocument/2006/relationships/hyperlink" Target="https://maps.app.goo.gl/fn5W5mj6Qb42aZRF9" TargetMode="External"/><Relationship Id="rId332" Type="http://schemas.openxmlformats.org/officeDocument/2006/relationships/hyperlink" Target="https://maps.app.goo.gl/tuimDttmtVbXYSza9" TargetMode="External"/><Relationship Id="rId374" Type="http://schemas.openxmlformats.org/officeDocument/2006/relationships/hyperlink" Target="https://maps.app.goo.gl/CbPK2jJyr47AykHS8" TargetMode="External"/><Relationship Id="rId71" Type="http://schemas.openxmlformats.org/officeDocument/2006/relationships/hyperlink" Target="https://maps.app.goo.gl/PZqZJSYDrbHW5kgt7" TargetMode="External"/><Relationship Id="rId234" Type="http://schemas.openxmlformats.org/officeDocument/2006/relationships/hyperlink" Target="https://maps.app.goo.gl/RVGmpLjcSB34XfWH8" TargetMode="External"/><Relationship Id="rId2" Type="http://schemas.openxmlformats.org/officeDocument/2006/relationships/hyperlink" Target="https://maps.app.goo.gl/gkJiReAJ9QYywemw8" TargetMode="External"/><Relationship Id="rId29" Type="http://schemas.openxmlformats.org/officeDocument/2006/relationships/hyperlink" Target="https://maps.app.goo.gl/wAM2d3kzBRMJh9Fv7" TargetMode="External"/><Relationship Id="rId276" Type="http://schemas.openxmlformats.org/officeDocument/2006/relationships/hyperlink" Target="https://maps.app.goo.gl/Kw83tSCGoQnHG7x99" TargetMode="External"/><Relationship Id="rId441" Type="http://schemas.openxmlformats.org/officeDocument/2006/relationships/hyperlink" Target="https://maps.app.goo.gl/gVxxUXYpuJKqccSs5" TargetMode="External"/><Relationship Id="rId483" Type="http://schemas.openxmlformats.org/officeDocument/2006/relationships/hyperlink" Target="https://maps.app.goo.gl/2Acjm7nwMW9nka6d7" TargetMode="External"/><Relationship Id="rId40" Type="http://schemas.openxmlformats.org/officeDocument/2006/relationships/hyperlink" Target="https://maps.app.goo.gl/7dKzFi19Q7yfNi6w7" TargetMode="External"/><Relationship Id="rId136" Type="http://schemas.openxmlformats.org/officeDocument/2006/relationships/hyperlink" Target="https://maps.app.goo.gl/pQPx2nnGXZksQqMM6" TargetMode="External"/><Relationship Id="rId178" Type="http://schemas.openxmlformats.org/officeDocument/2006/relationships/hyperlink" Target="https://maps.app.goo.gl/yWygdbQRJW52mTD47" TargetMode="External"/><Relationship Id="rId301" Type="http://schemas.openxmlformats.org/officeDocument/2006/relationships/hyperlink" Target="https://maps.app.goo.gl/7NW7AUCsPHtrSvva7" TargetMode="External"/><Relationship Id="rId343" Type="http://schemas.openxmlformats.org/officeDocument/2006/relationships/hyperlink" Target="https://maps.app.goo.gl/wL16jT3FWKT747W47" TargetMode="External"/><Relationship Id="rId82" Type="http://schemas.openxmlformats.org/officeDocument/2006/relationships/hyperlink" Target="https://maps.app.goo.gl/zoovuPCLZkP3ossi6" TargetMode="External"/><Relationship Id="rId203" Type="http://schemas.openxmlformats.org/officeDocument/2006/relationships/hyperlink" Target="https://maps.app.goo.gl/oqYfQj1sfqeU1gQQA" TargetMode="External"/><Relationship Id="rId385" Type="http://schemas.openxmlformats.org/officeDocument/2006/relationships/hyperlink" Target="https://maps.app.goo.gl/mjnPtjYZLprUkRzMA" TargetMode="External"/><Relationship Id="rId245" Type="http://schemas.openxmlformats.org/officeDocument/2006/relationships/hyperlink" Target="https://maps.app.goo.gl/damiF9rqEp7XrHnv5" TargetMode="External"/><Relationship Id="rId287" Type="http://schemas.openxmlformats.org/officeDocument/2006/relationships/hyperlink" Target="https://maps.app.goo.gl/tF6s4hHvovSe1cNx7" TargetMode="External"/><Relationship Id="rId410" Type="http://schemas.openxmlformats.org/officeDocument/2006/relationships/hyperlink" Target="https://maps.app.goo.gl/3RJRfTMcvxVJ7Zdd7" TargetMode="External"/><Relationship Id="rId452" Type="http://schemas.openxmlformats.org/officeDocument/2006/relationships/hyperlink" Target="https://maps.app.goo.gl/1ueQhrYkPRxNcHAB8" TargetMode="External"/><Relationship Id="rId494" Type="http://schemas.openxmlformats.org/officeDocument/2006/relationships/hyperlink" Target="https://maps.app.goo.gl/StjrpsY1kRuzJrQEA" TargetMode="External"/><Relationship Id="rId508" Type="http://schemas.openxmlformats.org/officeDocument/2006/relationships/hyperlink" Target="https://maps.app.goo.gl/aZnpQ7HqeTbUaxMHA" TargetMode="External"/><Relationship Id="rId105" Type="http://schemas.openxmlformats.org/officeDocument/2006/relationships/hyperlink" Target="https://maps.app.goo.gl/UAqqz3ZmFnHfB5WE8" TargetMode="External"/><Relationship Id="rId147" Type="http://schemas.openxmlformats.org/officeDocument/2006/relationships/hyperlink" Target="https://maps.app.goo.gl/yWKDXRpj1AecJruL7" TargetMode="External"/><Relationship Id="rId312" Type="http://schemas.openxmlformats.org/officeDocument/2006/relationships/hyperlink" Target="https://maps.app.goo.gl/3ntoxymwnjdjSw9i7" TargetMode="External"/><Relationship Id="rId354" Type="http://schemas.openxmlformats.org/officeDocument/2006/relationships/hyperlink" Target="https://maps.app.goo.gl/BkdaWKmd5FRPJJEg9" TargetMode="External"/><Relationship Id="rId51" Type="http://schemas.openxmlformats.org/officeDocument/2006/relationships/hyperlink" Target="https://maps.app.goo.gl/NFdWPjmCpSgbgMaLA" TargetMode="External"/><Relationship Id="rId93" Type="http://schemas.openxmlformats.org/officeDocument/2006/relationships/hyperlink" Target="https://maps.app.goo.gl/RJhSs5zLcCo63sbs8" TargetMode="External"/><Relationship Id="rId189" Type="http://schemas.openxmlformats.org/officeDocument/2006/relationships/hyperlink" Target="https://maps.app.goo.gl/3RYUjpKcRusFnCL69" TargetMode="External"/><Relationship Id="rId396" Type="http://schemas.openxmlformats.org/officeDocument/2006/relationships/hyperlink" Target="https://maps.app.goo.gl/1in39UoWSHkjfQc4A" TargetMode="External"/><Relationship Id="rId214" Type="http://schemas.openxmlformats.org/officeDocument/2006/relationships/hyperlink" Target="https://maps.app.goo.gl/ybT6snCBuFxPuy2a9" TargetMode="External"/><Relationship Id="rId256" Type="http://schemas.openxmlformats.org/officeDocument/2006/relationships/hyperlink" Target="https://maps.app.goo.gl/hYrZmGFrVysGypRT7" TargetMode="External"/><Relationship Id="rId298" Type="http://schemas.openxmlformats.org/officeDocument/2006/relationships/hyperlink" Target="https://maps.app.goo.gl/n9vTyeLwkwCSntqN8" TargetMode="External"/><Relationship Id="rId421" Type="http://schemas.openxmlformats.org/officeDocument/2006/relationships/hyperlink" Target="https://maps.app.goo.gl/GR6JMNGBeKqL5JZu6" TargetMode="External"/><Relationship Id="rId463" Type="http://schemas.openxmlformats.org/officeDocument/2006/relationships/hyperlink" Target="https://maps.app.goo.gl/MY7Qb9bjTRSkzdY27" TargetMode="External"/><Relationship Id="rId519" Type="http://schemas.openxmlformats.org/officeDocument/2006/relationships/comments" Target="../comments1.xml"/><Relationship Id="rId116" Type="http://schemas.openxmlformats.org/officeDocument/2006/relationships/hyperlink" Target="https://maps.app.goo.gl/2QayW4gLU2jNx6rx5" TargetMode="External"/><Relationship Id="rId158" Type="http://schemas.openxmlformats.org/officeDocument/2006/relationships/hyperlink" Target="https://maps.app.goo.gl/wCZUApt5rcZL42QBA" TargetMode="External"/><Relationship Id="rId323" Type="http://schemas.openxmlformats.org/officeDocument/2006/relationships/hyperlink" Target="https://maps.app.goo.gl/9oVJe6KXBCMy9Vd59" TargetMode="External"/><Relationship Id="rId20" Type="http://schemas.openxmlformats.org/officeDocument/2006/relationships/hyperlink" Target="https://maps.app.goo.gl/k2DAomHr1JhyVJXE6" TargetMode="External"/><Relationship Id="rId62" Type="http://schemas.openxmlformats.org/officeDocument/2006/relationships/hyperlink" Target="https://maps.app.goo.gl/2iL4Ju6HXEyeRkG77" TargetMode="External"/><Relationship Id="rId365" Type="http://schemas.openxmlformats.org/officeDocument/2006/relationships/hyperlink" Target="https://maps.app.goo.gl/DRR8rTHPGTXodQns9" TargetMode="External"/><Relationship Id="rId225" Type="http://schemas.openxmlformats.org/officeDocument/2006/relationships/hyperlink" Target="https://maps.app.goo.gl/TaRWXzMUvJrJzV86A" TargetMode="External"/><Relationship Id="rId267" Type="http://schemas.openxmlformats.org/officeDocument/2006/relationships/hyperlink" Target="https://maps.app.goo.gl/sFWcjvgxAyJMwVHW9" TargetMode="External"/><Relationship Id="rId432" Type="http://schemas.openxmlformats.org/officeDocument/2006/relationships/hyperlink" Target="https://maps.app.goo.gl/8UWmxfHt8Zn1TEAb7" TargetMode="External"/><Relationship Id="rId474" Type="http://schemas.openxmlformats.org/officeDocument/2006/relationships/hyperlink" Target="https://maps.app.goo.gl/p5xn9UAeFzXBx7da6" TargetMode="External"/><Relationship Id="rId127" Type="http://schemas.openxmlformats.org/officeDocument/2006/relationships/hyperlink" Target="https://maps.app.goo.gl/KZ6t1h8V43FPYfrj7" TargetMode="External"/><Relationship Id="rId31" Type="http://schemas.openxmlformats.org/officeDocument/2006/relationships/hyperlink" Target="https://maps.app.goo.gl/AFSLJTMWGMY85qXp6" TargetMode="External"/><Relationship Id="rId73" Type="http://schemas.openxmlformats.org/officeDocument/2006/relationships/hyperlink" Target="https://maps.app.goo.gl/damiF9rqEp7XrHnv5" TargetMode="External"/><Relationship Id="rId169" Type="http://schemas.openxmlformats.org/officeDocument/2006/relationships/hyperlink" Target="https://maps.app.goo.gl/fn5W5mj6Qb42aZRF9" TargetMode="External"/><Relationship Id="rId334" Type="http://schemas.openxmlformats.org/officeDocument/2006/relationships/hyperlink" Target="https://maps.app.goo.gl/fn5W5mj6Qb42aZRF9" TargetMode="External"/><Relationship Id="rId376" Type="http://schemas.openxmlformats.org/officeDocument/2006/relationships/hyperlink" Target="https://maps.app.goo.gl/fmgkN3yUorzAdqXY7" TargetMode="External"/><Relationship Id="rId4" Type="http://schemas.openxmlformats.org/officeDocument/2006/relationships/hyperlink" Target="https://maps.app.goo.gl/MFNPuD2ykSenSE1x9" TargetMode="External"/><Relationship Id="rId180" Type="http://schemas.openxmlformats.org/officeDocument/2006/relationships/hyperlink" Target="https://maps.app.goo.gl/XLQEPsFk5QoJvhub6" TargetMode="External"/><Relationship Id="rId236" Type="http://schemas.openxmlformats.org/officeDocument/2006/relationships/hyperlink" Target="https://maps.app.goo.gl/T5yR3KDZAgkna1Ch9" TargetMode="External"/><Relationship Id="rId278" Type="http://schemas.openxmlformats.org/officeDocument/2006/relationships/hyperlink" Target="https://maps.app.goo.gl/e5TSAzw6bkcBThy17" TargetMode="External"/><Relationship Id="rId401" Type="http://schemas.openxmlformats.org/officeDocument/2006/relationships/hyperlink" Target="https://maps.app.goo.gl/2t2yriroFEUYFQwbA" TargetMode="External"/><Relationship Id="rId443" Type="http://schemas.openxmlformats.org/officeDocument/2006/relationships/hyperlink" Target="https://maps.app.goo.gl/85soGe2nBbMgsWi39" TargetMode="External"/><Relationship Id="rId303" Type="http://schemas.openxmlformats.org/officeDocument/2006/relationships/hyperlink" Target="https://maps.app.goo.gl/pQPx2nnGXZksQqMM6" TargetMode="External"/><Relationship Id="rId485" Type="http://schemas.openxmlformats.org/officeDocument/2006/relationships/hyperlink" Target="https://maps.app.goo.gl/tv5aVyCnbK6NQ34H8" TargetMode="External"/><Relationship Id="rId42" Type="http://schemas.openxmlformats.org/officeDocument/2006/relationships/hyperlink" Target="https://maps.app.goo.gl/eG3L9v9Fy2d9zJfVA" TargetMode="External"/><Relationship Id="rId84" Type="http://schemas.openxmlformats.org/officeDocument/2006/relationships/hyperlink" Target="https://maps.app.goo.gl/hYrZmGFrVysGypRT7" TargetMode="External"/><Relationship Id="rId138" Type="http://schemas.openxmlformats.org/officeDocument/2006/relationships/hyperlink" Target="https://maps.app.goo.gl/pVnTMgGYSYgtY2CZ6" TargetMode="External"/><Relationship Id="rId345" Type="http://schemas.openxmlformats.org/officeDocument/2006/relationships/hyperlink" Target="https://maps.app.goo.gl/MAqcY2maaaYZHPeX8" TargetMode="External"/><Relationship Id="rId387" Type="http://schemas.openxmlformats.org/officeDocument/2006/relationships/hyperlink" Target="https://maps.app.goo.gl/J3o6yWPb8MXdMVf36" TargetMode="External"/><Relationship Id="rId510" Type="http://schemas.openxmlformats.org/officeDocument/2006/relationships/hyperlink" Target="https://maps.app.goo.gl/kTkRE5wxp5Lhb5yZ7" TargetMode="External"/><Relationship Id="rId191" Type="http://schemas.openxmlformats.org/officeDocument/2006/relationships/hyperlink" Target="https://maps.app.goo.gl/k2DAomHr1JhyVJXE6" TargetMode="External"/><Relationship Id="rId205" Type="http://schemas.openxmlformats.org/officeDocument/2006/relationships/hyperlink" Target="https://maps.app.goo.gl/FoMXSvx4tFca3Wkk6" TargetMode="External"/><Relationship Id="rId247" Type="http://schemas.openxmlformats.org/officeDocument/2006/relationships/hyperlink" Target="https://maps.app.goo.gl/y8cBpuW7hH1a2Mne7" TargetMode="External"/><Relationship Id="rId412" Type="http://schemas.openxmlformats.org/officeDocument/2006/relationships/hyperlink" Target="https://maps.app.goo.gl/N38uTc811K7qWeEX6" TargetMode="External"/><Relationship Id="rId107" Type="http://schemas.openxmlformats.org/officeDocument/2006/relationships/hyperlink" Target="https://maps.app.goo.gl/7Fq3664yqBXcfp9x6" TargetMode="External"/><Relationship Id="rId289" Type="http://schemas.openxmlformats.org/officeDocument/2006/relationships/hyperlink" Target="https://maps.app.goo.gl/oT87b5aEaQ4Z5bkV9" TargetMode="External"/><Relationship Id="rId454" Type="http://schemas.openxmlformats.org/officeDocument/2006/relationships/hyperlink" Target="https://maps.app.goo.gl/ptYGCue339hq6TARA" TargetMode="External"/><Relationship Id="rId496" Type="http://schemas.openxmlformats.org/officeDocument/2006/relationships/hyperlink" Target="https://maps.app.goo.gl/Y6fmqXQdjzd6wDcx8" TargetMode="External"/><Relationship Id="rId11" Type="http://schemas.openxmlformats.org/officeDocument/2006/relationships/hyperlink" Target="https://maps.app.goo.gl/ZNsA2SUdvuq5mLXv9" TargetMode="External"/><Relationship Id="rId53" Type="http://schemas.openxmlformats.org/officeDocument/2006/relationships/hyperlink" Target="https://maps.app.goo.gl/tHEDu93dBdZyPPjJ8" TargetMode="External"/><Relationship Id="rId149" Type="http://schemas.openxmlformats.org/officeDocument/2006/relationships/hyperlink" Target="https://maps.app.goo.gl/yWKDXRpj1AecJruL7" TargetMode="External"/><Relationship Id="rId314" Type="http://schemas.openxmlformats.org/officeDocument/2006/relationships/hyperlink" Target="https://maps.app.goo.gl/yWKDXRpj1AecJruL7" TargetMode="External"/><Relationship Id="rId356" Type="http://schemas.openxmlformats.org/officeDocument/2006/relationships/hyperlink" Target="https://maps.app.goo.gl/BkdaWKmd5FRPJJEg9" TargetMode="External"/><Relationship Id="rId398" Type="http://schemas.openxmlformats.org/officeDocument/2006/relationships/hyperlink" Target="https://maps.app.goo.gl/8DvunFbyEFDxcUxW6" TargetMode="External"/><Relationship Id="rId95" Type="http://schemas.openxmlformats.org/officeDocument/2006/relationships/hyperlink" Target="https://maps.app.goo.gl/SG7B8PxoE9aLTV4x8" TargetMode="External"/><Relationship Id="rId160" Type="http://schemas.openxmlformats.org/officeDocument/2006/relationships/hyperlink" Target="mailto:ger610@quero-quero.com.br" TargetMode="External"/><Relationship Id="rId216" Type="http://schemas.openxmlformats.org/officeDocument/2006/relationships/hyperlink" Target="https://maps.app.goo.gl/B9atv2qTZt1ML9xG8" TargetMode="External"/><Relationship Id="rId423" Type="http://schemas.openxmlformats.org/officeDocument/2006/relationships/hyperlink" Target="https://maps.app.goo.gl/zAuayaCZ1ery8mrc9" TargetMode="External"/><Relationship Id="rId258" Type="http://schemas.openxmlformats.org/officeDocument/2006/relationships/hyperlink" Target="https://maps.app.goo.gl/rHPVMbS2YNGc3N128" TargetMode="External"/><Relationship Id="rId465" Type="http://schemas.openxmlformats.org/officeDocument/2006/relationships/hyperlink" Target="https://maps.app.goo.gl/EDy8t4EiKHYLVk1s9" TargetMode="External"/><Relationship Id="rId22" Type="http://schemas.openxmlformats.org/officeDocument/2006/relationships/hyperlink" Target="https://maps.app.goo.gl/6SDvWX1qDtQjcKBz9" TargetMode="External"/><Relationship Id="rId64" Type="http://schemas.openxmlformats.org/officeDocument/2006/relationships/hyperlink" Target="https://maps.app.goo.gl/r6AcX95VYiSE68Jv7" TargetMode="External"/><Relationship Id="rId118" Type="http://schemas.openxmlformats.org/officeDocument/2006/relationships/hyperlink" Target="https://maps.app.goo.gl/corWGsqn5xXffD6RA" TargetMode="External"/><Relationship Id="rId325" Type="http://schemas.openxmlformats.org/officeDocument/2006/relationships/hyperlink" Target="https://maps.app.goo.gl/S9jcnDQXiGPjY3ms5" TargetMode="External"/><Relationship Id="rId367" Type="http://schemas.openxmlformats.org/officeDocument/2006/relationships/hyperlink" Target="https://maps.app.goo.gl/ZNghqe4ojNSjUxas6" TargetMode="External"/><Relationship Id="rId171" Type="http://schemas.openxmlformats.org/officeDocument/2006/relationships/hyperlink" Target="https://maps.app.goo.gl/uYrbUYRfYdCQb3VCA" TargetMode="External"/><Relationship Id="rId227" Type="http://schemas.openxmlformats.org/officeDocument/2006/relationships/hyperlink" Target="https://maps.app.goo.gl/MJY9nE3EAn3rceq4A" TargetMode="External"/><Relationship Id="rId269" Type="http://schemas.openxmlformats.org/officeDocument/2006/relationships/hyperlink" Target="https://maps.app.goo.gl/NhzBBbwNdJTjXYaW9" TargetMode="External"/><Relationship Id="rId434" Type="http://schemas.openxmlformats.org/officeDocument/2006/relationships/hyperlink" Target="https://maps.app.goo.gl/KLjZHPf5yXiujz9F9" TargetMode="External"/><Relationship Id="rId476" Type="http://schemas.openxmlformats.org/officeDocument/2006/relationships/hyperlink" Target="https://maps.app.goo.gl/CbPK2jJyr47AykHS8" TargetMode="External"/><Relationship Id="rId33" Type="http://schemas.openxmlformats.org/officeDocument/2006/relationships/hyperlink" Target="https://maps.app.goo.gl/7K5UWHyXcskUXTaD6" TargetMode="External"/><Relationship Id="rId129" Type="http://schemas.openxmlformats.org/officeDocument/2006/relationships/hyperlink" Target="https://maps.app.goo.gl/GXTgiMX6h7Awd7fw6" TargetMode="External"/><Relationship Id="rId280" Type="http://schemas.openxmlformats.org/officeDocument/2006/relationships/hyperlink" Target="https://maps.app.goo.gl/vHX4DzYAX8BbNAh88" TargetMode="External"/><Relationship Id="rId336" Type="http://schemas.openxmlformats.org/officeDocument/2006/relationships/hyperlink" Target="https://maps.app.goo.gl/fn5W5mj6Qb42aZRF9" TargetMode="External"/><Relationship Id="rId501" Type="http://schemas.openxmlformats.org/officeDocument/2006/relationships/hyperlink" Target="https://maps.app.goo.gl/rBfjzYc1S4jMMJ3TA" TargetMode="External"/><Relationship Id="rId75" Type="http://schemas.openxmlformats.org/officeDocument/2006/relationships/hyperlink" Target="https://maps.app.goo.gl/y8cBpuW7hH1a2Mne7" TargetMode="External"/><Relationship Id="rId140" Type="http://schemas.openxmlformats.org/officeDocument/2006/relationships/hyperlink" Target="https://maps.app.goo.gl/ifmNkZwSRy4nrVvF8" TargetMode="External"/><Relationship Id="rId182" Type="http://schemas.openxmlformats.org/officeDocument/2006/relationships/hyperlink" Target="https://maps.app.goo.gl/5A2GYQKvEZg4HWhs7" TargetMode="External"/><Relationship Id="rId378" Type="http://schemas.openxmlformats.org/officeDocument/2006/relationships/hyperlink" Target="https://maps.app.goo.gl/eF6YLnHWMdg5CnRk6" TargetMode="External"/><Relationship Id="rId403" Type="http://schemas.openxmlformats.org/officeDocument/2006/relationships/hyperlink" Target="https://maps.app.goo.gl/GR6JMNGBeKqL5JZu6" TargetMode="External"/><Relationship Id="rId6" Type="http://schemas.openxmlformats.org/officeDocument/2006/relationships/hyperlink" Target="https://maps.app.goo.gl/u2o4VgcDsPoMmCkE8" TargetMode="External"/><Relationship Id="rId238" Type="http://schemas.openxmlformats.org/officeDocument/2006/relationships/hyperlink" Target="https://maps.app.goo.gl/8UAETXqUdsBDKzza9" TargetMode="External"/><Relationship Id="rId445" Type="http://schemas.openxmlformats.org/officeDocument/2006/relationships/hyperlink" Target="https://maps.app.goo.gl/Eua1jmNtBdQsuaMd8" TargetMode="External"/><Relationship Id="rId487" Type="http://schemas.openxmlformats.org/officeDocument/2006/relationships/hyperlink" Target="https://maps.app.goo.gl/Y6fmqXQdjzd6wDcx8" TargetMode="External"/><Relationship Id="rId291" Type="http://schemas.openxmlformats.org/officeDocument/2006/relationships/hyperlink" Target="https://maps.app.goo.gl/w3WNUe3p5fEdHtnv8" TargetMode="External"/><Relationship Id="rId305" Type="http://schemas.openxmlformats.org/officeDocument/2006/relationships/hyperlink" Target="https://maps.app.goo.gl/pVnTMgGYSYgtY2CZ6" TargetMode="External"/><Relationship Id="rId347" Type="http://schemas.openxmlformats.org/officeDocument/2006/relationships/hyperlink" Target="https://maps.app.goo.gl/rmQjbh3kjYyrZTUY6" TargetMode="External"/><Relationship Id="rId512" Type="http://schemas.openxmlformats.org/officeDocument/2006/relationships/hyperlink" Target="https://maps.app.goo.gl/AVQ8bbee9mGvsHc96" TargetMode="External"/><Relationship Id="rId44" Type="http://schemas.openxmlformats.org/officeDocument/2006/relationships/hyperlink" Target="https://maps.app.goo.gl/PKAWbinU7MUxhLZ66" TargetMode="External"/><Relationship Id="rId86" Type="http://schemas.openxmlformats.org/officeDocument/2006/relationships/hyperlink" Target="https://maps.app.goo.gl/hYrZmGFrVysGypRT7" TargetMode="External"/><Relationship Id="rId151" Type="http://schemas.openxmlformats.org/officeDocument/2006/relationships/hyperlink" Target="https://maps.app.goo.gl/gtMYGSfxFkbKbKJX6" TargetMode="External"/><Relationship Id="rId389" Type="http://schemas.openxmlformats.org/officeDocument/2006/relationships/hyperlink" Target="https://maps.app.goo.gl/jxEmkjftybhwNDAV9" TargetMode="External"/><Relationship Id="rId193" Type="http://schemas.openxmlformats.org/officeDocument/2006/relationships/hyperlink" Target="https://maps.app.goo.gl/k2DAomHr1JhyVJXE6" TargetMode="External"/><Relationship Id="rId207" Type="http://schemas.openxmlformats.org/officeDocument/2006/relationships/hyperlink" Target="https://maps.app.goo.gl/7K5UWHyXcskUXTaD6" TargetMode="External"/><Relationship Id="rId249" Type="http://schemas.openxmlformats.org/officeDocument/2006/relationships/hyperlink" Target="https://maps.app.goo.gl/PVNhWdmHpENEwSmX7" TargetMode="External"/><Relationship Id="rId414" Type="http://schemas.openxmlformats.org/officeDocument/2006/relationships/hyperlink" Target="https://maps.app.goo.gl/dajv1EKdTEWn2NT8A" TargetMode="External"/><Relationship Id="rId456" Type="http://schemas.openxmlformats.org/officeDocument/2006/relationships/hyperlink" Target="https://maps.app.goo.gl/qxgvpSizDzZTpvL48" TargetMode="External"/><Relationship Id="rId498" Type="http://schemas.openxmlformats.org/officeDocument/2006/relationships/hyperlink" Target="https://maps.app.goo.gl/UC3Qa8tA5L1R9brQ6" TargetMode="External"/><Relationship Id="rId13" Type="http://schemas.openxmlformats.org/officeDocument/2006/relationships/hyperlink" Target="https://maps.app.goo.gl/3fHgUWu36UwJCzcs5" TargetMode="External"/><Relationship Id="rId109" Type="http://schemas.openxmlformats.org/officeDocument/2006/relationships/hyperlink" Target="https://maps.app.goo.gl/Kw83tSCGoQnHG7x99" TargetMode="External"/><Relationship Id="rId260" Type="http://schemas.openxmlformats.org/officeDocument/2006/relationships/hyperlink" Target="https://maps.app.goo.gl/ySydTqbnktwgtKGH8" TargetMode="External"/><Relationship Id="rId316" Type="http://schemas.openxmlformats.org/officeDocument/2006/relationships/hyperlink" Target="https://maps.app.goo.gl/JWou2oxPeXNxCyyj7" TargetMode="External"/><Relationship Id="rId55" Type="http://schemas.openxmlformats.org/officeDocument/2006/relationships/hyperlink" Target="https://maps.app.goo.gl/JVCoarCLtyQdZVy19" TargetMode="External"/><Relationship Id="rId97" Type="http://schemas.openxmlformats.org/officeDocument/2006/relationships/hyperlink" Target="https://maps.app.goo.gl/XRmGFo8vnXtJwhGb6" TargetMode="External"/><Relationship Id="rId120" Type="http://schemas.openxmlformats.org/officeDocument/2006/relationships/hyperlink" Target="https://maps.app.goo.gl/tF6s4hHvovSe1cNx7" TargetMode="External"/><Relationship Id="rId358" Type="http://schemas.openxmlformats.org/officeDocument/2006/relationships/hyperlink" Target="https://maps.app.goo.gl/hTBtfxgFrjjXe8U28" TargetMode="External"/><Relationship Id="rId162" Type="http://schemas.openxmlformats.org/officeDocument/2006/relationships/hyperlink" Target="https://maps.app.goo.gl/nEvzDp3PH6wfDDQn7" TargetMode="External"/><Relationship Id="rId218" Type="http://schemas.openxmlformats.org/officeDocument/2006/relationships/hyperlink" Target="https://maps.app.goo.gl/z17VLCRawJHW2KT27" TargetMode="External"/><Relationship Id="rId425" Type="http://schemas.openxmlformats.org/officeDocument/2006/relationships/hyperlink" Target="https://maps.app.goo.gl/hDDusMkpfbjJiu3W6" TargetMode="External"/><Relationship Id="rId467" Type="http://schemas.openxmlformats.org/officeDocument/2006/relationships/hyperlink" Target="https://maps.app.goo.gl/bkw8h6M5HKYM2NBd8" TargetMode="External"/><Relationship Id="rId271" Type="http://schemas.openxmlformats.org/officeDocument/2006/relationships/hyperlink" Target="https://maps.app.goo.gl/eHomBAbY7nAqsy8dA" TargetMode="External"/><Relationship Id="rId24" Type="http://schemas.openxmlformats.org/officeDocument/2006/relationships/hyperlink" Target="https://maps.app.goo.gl/n141kaiNyGSatP2E8" TargetMode="External"/><Relationship Id="rId66" Type="http://schemas.openxmlformats.org/officeDocument/2006/relationships/hyperlink" Target="https://maps.app.goo.gl/8UAETXqUdsBDKzza9" TargetMode="External"/><Relationship Id="rId131" Type="http://schemas.openxmlformats.org/officeDocument/2006/relationships/hyperlink" Target="https://maps.app.goo.gl/n9vTyeLwkwCSntqN8" TargetMode="External"/><Relationship Id="rId327" Type="http://schemas.openxmlformats.org/officeDocument/2006/relationships/hyperlink" Target="https://maps.app.goo.gl/1d8JcyL99E16BvU38" TargetMode="External"/><Relationship Id="rId369" Type="http://schemas.openxmlformats.org/officeDocument/2006/relationships/hyperlink" Target="https://maps.app.goo.gl/8oS13BZAC1ztUipx8" TargetMode="External"/><Relationship Id="rId173" Type="http://schemas.openxmlformats.org/officeDocument/2006/relationships/hyperlink" Target="https://maps.app.goo.gl/T2YFSebQrS9uRt6h6" TargetMode="External"/><Relationship Id="rId229" Type="http://schemas.openxmlformats.org/officeDocument/2006/relationships/hyperlink" Target="https://maps.app.goo.gl/smYVwLsdrsfeC8Ab6" TargetMode="External"/><Relationship Id="rId380" Type="http://schemas.openxmlformats.org/officeDocument/2006/relationships/hyperlink" Target="https://maps.app.goo.gl/Z9UUw8uzHdcMfwYw6" TargetMode="External"/><Relationship Id="rId436" Type="http://schemas.openxmlformats.org/officeDocument/2006/relationships/hyperlink" Target="https://maps.app.goo.gl/KLjZHPf5yXiujz9F9" TargetMode="External"/><Relationship Id="rId240" Type="http://schemas.openxmlformats.org/officeDocument/2006/relationships/hyperlink" Target="https://maps.app.goo.gl/C2EoT2v31nvymFem8" TargetMode="External"/><Relationship Id="rId478" Type="http://schemas.openxmlformats.org/officeDocument/2006/relationships/hyperlink" Target="https://maps.app.goo.gl/Cdtgz71MdA5uo9Jj8" TargetMode="External"/><Relationship Id="rId35" Type="http://schemas.openxmlformats.org/officeDocument/2006/relationships/hyperlink" Target="https://maps.app.goo.gl/T2YFSebQrS9uRt6h6" TargetMode="External"/><Relationship Id="rId77" Type="http://schemas.openxmlformats.org/officeDocument/2006/relationships/hyperlink" Target="https://maps.app.goo.gl/PVNhWdmHpENEwSmX7" TargetMode="External"/><Relationship Id="rId100" Type="http://schemas.openxmlformats.org/officeDocument/2006/relationships/hyperlink" Target="https://maps.app.goo.gl/sFWcjvgxAyJMwVHW9" TargetMode="External"/><Relationship Id="rId282" Type="http://schemas.openxmlformats.org/officeDocument/2006/relationships/hyperlink" Target="https://maps.app.goo.gl/x6KhaJN2e41j5XUN9" TargetMode="External"/><Relationship Id="rId338" Type="http://schemas.openxmlformats.org/officeDocument/2006/relationships/hyperlink" Target="https://maps.app.goo.gl/uYrbUYRfYdCQb3VCA" TargetMode="External"/><Relationship Id="rId503" Type="http://schemas.openxmlformats.org/officeDocument/2006/relationships/hyperlink" Target="https://maps.app.goo.gl/5hugU4vvH4tYz8sc6" TargetMode="External"/><Relationship Id="rId8" Type="http://schemas.openxmlformats.org/officeDocument/2006/relationships/hyperlink" Target="https://maps.app.goo.gl/k2DAomHr1JhyVJXE6" TargetMode="External"/><Relationship Id="rId142" Type="http://schemas.openxmlformats.org/officeDocument/2006/relationships/hyperlink" Target="https://maps.app.goo.gl/huPDD4zazETNAi129" TargetMode="External"/><Relationship Id="rId184" Type="http://schemas.openxmlformats.org/officeDocument/2006/relationships/hyperlink" Target="https://maps.app.goo.gl/ZNsA2SUdvuq5mLXv9" TargetMode="External"/><Relationship Id="rId391" Type="http://schemas.openxmlformats.org/officeDocument/2006/relationships/hyperlink" Target="https://maps.app.goo.gl/XLMQGCXU5xKGFhFh8" TargetMode="External"/><Relationship Id="rId405" Type="http://schemas.openxmlformats.org/officeDocument/2006/relationships/hyperlink" Target="https://maps.app.goo.gl/8tQVcSYcUmLDRCF18" TargetMode="External"/><Relationship Id="rId447" Type="http://schemas.openxmlformats.org/officeDocument/2006/relationships/hyperlink" Target="https://maps.app.goo.gl/DNLU3rSC6T6gpw7BA" TargetMode="External"/><Relationship Id="rId251" Type="http://schemas.openxmlformats.org/officeDocument/2006/relationships/hyperlink" Target="https://maps.app.goo.gl/gkJiReAJ9QYywemw8" TargetMode="External"/><Relationship Id="rId489" Type="http://schemas.openxmlformats.org/officeDocument/2006/relationships/hyperlink" Target="https://maps.app.goo.gl/Y6fmqXQdjzd6wDcx8" TargetMode="External"/><Relationship Id="rId46" Type="http://schemas.openxmlformats.org/officeDocument/2006/relationships/hyperlink" Target="https://maps.app.goo.gl/6puRt7U6pjzzawhD8" TargetMode="External"/><Relationship Id="rId293" Type="http://schemas.openxmlformats.org/officeDocument/2006/relationships/hyperlink" Target="https://maps.app.goo.gl/VaByQkZRXJA2XnmW6" TargetMode="External"/><Relationship Id="rId307" Type="http://schemas.openxmlformats.org/officeDocument/2006/relationships/hyperlink" Target="https://maps.app.goo.gl/ifmNkZwSRy4nrVvF8" TargetMode="External"/><Relationship Id="rId349" Type="http://schemas.openxmlformats.org/officeDocument/2006/relationships/hyperlink" Target="https://maps.app.goo.gl/yeEpdjgReRbuREcz9" TargetMode="External"/><Relationship Id="rId514" Type="http://schemas.openxmlformats.org/officeDocument/2006/relationships/hyperlink" Target="https://maps.app.goo.gl/fnDpKA14NiqT2BvU9" TargetMode="External"/><Relationship Id="rId88" Type="http://schemas.openxmlformats.org/officeDocument/2006/relationships/hyperlink" Target="https://maps.app.goo.gl/NWac9WTxhrCF8mcP8" TargetMode="External"/><Relationship Id="rId111" Type="http://schemas.openxmlformats.org/officeDocument/2006/relationships/hyperlink" Target="https://maps.app.goo.gl/e5TSAzw6bkcBThy17" TargetMode="External"/><Relationship Id="rId153" Type="http://schemas.openxmlformats.org/officeDocument/2006/relationships/hyperlink" Target="https://maps.app.goo.gl/DLuHFSmnu5hvuTBNA" TargetMode="External"/><Relationship Id="rId195" Type="http://schemas.openxmlformats.org/officeDocument/2006/relationships/hyperlink" Target="https://maps.app.goo.gl/6SDvWX1qDtQjcKBz9" TargetMode="External"/><Relationship Id="rId209" Type="http://schemas.openxmlformats.org/officeDocument/2006/relationships/hyperlink" Target="https://maps.app.goo.gl/T2YFSebQrS9uRt6h6" TargetMode="External"/><Relationship Id="rId360" Type="http://schemas.openxmlformats.org/officeDocument/2006/relationships/hyperlink" Target="https://maps.app.goo.gl/V7wxdqkRcqkRr5Tx5" TargetMode="External"/><Relationship Id="rId416" Type="http://schemas.openxmlformats.org/officeDocument/2006/relationships/hyperlink" Target="https://maps.app.goo.gl/omVtZ5PTru86V4cG8" TargetMode="External"/><Relationship Id="rId220" Type="http://schemas.openxmlformats.org/officeDocument/2006/relationships/hyperlink" Target="https://maps.app.goo.gl/oxKmEHacAZDirxQU8" TargetMode="External"/><Relationship Id="rId458" Type="http://schemas.openxmlformats.org/officeDocument/2006/relationships/hyperlink" Target="https://maps.app.goo.gl/xCdgv7BH89UsQgx36" TargetMode="External"/><Relationship Id="rId15" Type="http://schemas.openxmlformats.org/officeDocument/2006/relationships/hyperlink" Target="https://maps.app.goo.gl/XLQEPsFk5QoJvhub6" TargetMode="External"/><Relationship Id="rId57" Type="http://schemas.openxmlformats.org/officeDocument/2006/relationships/hyperlink" Target="https://maps.app.goo.gl/cYUtXvFEezqwUTmV9" TargetMode="External"/><Relationship Id="rId262" Type="http://schemas.openxmlformats.org/officeDocument/2006/relationships/hyperlink" Target="https://maps.app.goo.gl/qdhG25GBr5a3afcw6" TargetMode="External"/><Relationship Id="rId318" Type="http://schemas.openxmlformats.org/officeDocument/2006/relationships/hyperlink" Target="https://maps.app.goo.gl/VVwywiR2ysQKiLEH9" TargetMode="External"/><Relationship Id="rId99" Type="http://schemas.openxmlformats.org/officeDocument/2006/relationships/hyperlink" Target="https://maps.app.goo.gl/ZNsA2SUdvuq5mLXv9" TargetMode="External"/><Relationship Id="rId122" Type="http://schemas.openxmlformats.org/officeDocument/2006/relationships/hyperlink" Target="https://maps.app.goo.gl/oT87b5aEaQ4Z5bkV9" TargetMode="External"/><Relationship Id="rId164" Type="http://schemas.openxmlformats.org/officeDocument/2006/relationships/hyperlink" Target="https://maps.app.goo.gl/4KSw5XpULmJgDs2m7" TargetMode="External"/><Relationship Id="rId371" Type="http://schemas.openxmlformats.org/officeDocument/2006/relationships/hyperlink" Target="https://maps.app.goo.gl/vKomBwEV7zpRLm2L6" TargetMode="External"/><Relationship Id="rId427" Type="http://schemas.openxmlformats.org/officeDocument/2006/relationships/hyperlink" Target="https://maps.app.goo.gl/hDDusMkpfbjJiu3W6" TargetMode="External"/><Relationship Id="rId469" Type="http://schemas.openxmlformats.org/officeDocument/2006/relationships/hyperlink" Target="https://maps.app.goo.gl/c4CW1YRPu7D6cSSj9" TargetMode="External"/><Relationship Id="rId26" Type="http://schemas.openxmlformats.org/officeDocument/2006/relationships/hyperlink" Target="https://maps.app.goo.gl/BNhES6EYXDeXLUSa7" TargetMode="External"/><Relationship Id="rId231" Type="http://schemas.openxmlformats.org/officeDocument/2006/relationships/hyperlink" Target="https://maps.app.goo.gl/hJDdJqLQr8CaxX9b6" TargetMode="External"/><Relationship Id="rId273" Type="http://schemas.openxmlformats.org/officeDocument/2006/relationships/hyperlink" Target="https://maps.app.goo.gl/TwA98DiKDH7gWyze9" TargetMode="External"/><Relationship Id="rId329" Type="http://schemas.openxmlformats.org/officeDocument/2006/relationships/hyperlink" Target="https://maps.app.goo.gl/pvSE7CXuzJqLUDDC7" TargetMode="External"/><Relationship Id="rId480" Type="http://schemas.openxmlformats.org/officeDocument/2006/relationships/hyperlink" Target="https://maps.app.goo.gl/Rs9AkkEzoeUosdyf6" TargetMode="External"/><Relationship Id="rId68" Type="http://schemas.openxmlformats.org/officeDocument/2006/relationships/hyperlink" Target="https://maps.app.goo.gl/C2EoT2v31nvymFem8" TargetMode="External"/><Relationship Id="rId133" Type="http://schemas.openxmlformats.org/officeDocument/2006/relationships/hyperlink" Target="https://maps.app.goo.gl/FgdFA2mqTCHBWKX56" TargetMode="External"/><Relationship Id="rId175" Type="http://schemas.openxmlformats.org/officeDocument/2006/relationships/hyperlink" Target="https://maps.app.goo.gl/gkJiReAJ9QYywemw8" TargetMode="External"/><Relationship Id="rId340" Type="http://schemas.openxmlformats.org/officeDocument/2006/relationships/hyperlink" Target="https://maps.app.goo.gl/qi87e6ZqFaKwoiNo7" TargetMode="External"/><Relationship Id="rId200" Type="http://schemas.openxmlformats.org/officeDocument/2006/relationships/hyperlink" Target="https://maps.app.goo.gl/BNhES6EYXDeXLUSa7" TargetMode="External"/><Relationship Id="rId382" Type="http://schemas.openxmlformats.org/officeDocument/2006/relationships/hyperlink" Target="https://maps.app.goo.gl/5QUnAsU4TqJdg9GYA" TargetMode="External"/><Relationship Id="rId438" Type="http://schemas.openxmlformats.org/officeDocument/2006/relationships/hyperlink" Target="https://maps.app.goo.gl/KLjZHPf5yXiujz9F9" TargetMode="External"/><Relationship Id="rId242" Type="http://schemas.openxmlformats.org/officeDocument/2006/relationships/hyperlink" Target="https://maps.app.goo.gl/n2SeAQ9YFPxJCrwx6" TargetMode="External"/><Relationship Id="rId284" Type="http://schemas.openxmlformats.org/officeDocument/2006/relationships/hyperlink" Target="https://maps.app.goo.gl/V36zVmpjS6ZRCK9Q7" TargetMode="External"/><Relationship Id="rId491" Type="http://schemas.openxmlformats.org/officeDocument/2006/relationships/hyperlink" Target="https://maps.app.goo.gl/Y6fmqXQdjzd6wDcx8" TargetMode="External"/><Relationship Id="rId505" Type="http://schemas.openxmlformats.org/officeDocument/2006/relationships/hyperlink" Target="https://maps.app.goo.gl/H7HX72WqxbbTV5ySA" TargetMode="External"/><Relationship Id="rId37" Type="http://schemas.openxmlformats.org/officeDocument/2006/relationships/hyperlink" Target="https://maps.app.goo.gl/yFuLe3HW8vQHBL1k7" TargetMode="External"/><Relationship Id="rId79" Type="http://schemas.openxmlformats.org/officeDocument/2006/relationships/hyperlink" Target="https://maps.app.goo.gl/RhToMNgw33vDa8fx6" TargetMode="External"/><Relationship Id="rId102" Type="http://schemas.openxmlformats.org/officeDocument/2006/relationships/hyperlink" Target="https://maps.app.goo.gl/NhzBBbwNdJTjXYaW9" TargetMode="External"/><Relationship Id="rId144" Type="http://schemas.openxmlformats.org/officeDocument/2006/relationships/hyperlink" Target="https://maps.app.goo.gl/FqJRuU4ea4pGpTRF6" TargetMode="External"/><Relationship Id="rId90" Type="http://schemas.openxmlformats.org/officeDocument/2006/relationships/hyperlink" Target="https://maps.app.goo.gl/wtNyyb4bweVYomBw5" TargetMode="External"/><Relationship Id="rId186" Type="http://schemas.openxmlformats.org/officeDocument/2006/relationships/hyperlink" Target="https://maps.app.goo.gl/3fHgUWu36UwJCzcs5" TargetMode="External"/><Relationship Id="rId351" Type="http://schemas.openxmlformats.org/officeDocument/2006/relationships/hyperlink" Target="https://maps.app.goo.gl/nHXaAQaqXS3neKXv6" TargetMode="External"/><Relationship Id="rId393" Type="http://schemas.openxmlformats.org/officeDocument/2006/relationships/hyperlink" Target="https://maps.app.goo.gl/tWyrWxBnnVgb8R5d7" TargetMode="External"/><Relationship Id="rId407" Type="http://schemas.openxmlformats.org/officeDocument/2006/relationships/hyperlink" Target="https://maps.app.goo.gl/S9jcnDQXiGPjY3ms5" TargetMode="External"/><Relationship Id="rId449" Type="http://schemas.openxmlformats.org/officeDocument/2006/relationships/hyperlink" Target="https://maps.app.goo.gl/S8z3uDEKfR8KS5Fq8" TargetMode="External"/><Relationship Id="rId211" Type="http://schemas.openxmlformats.org/officeDocument/2006/relationships/hyperlink" Target="https://maps.app.goo.gl/yFuLe3HW8vQHBL1k7" TargetMode="External"/><Relationship Id="rId253" Type="http://schemas.openxmlformats.org/officeDocument/2006/relationships/hyperlink" Target="https://maps.app.goo.gl/zoovuPCLZkP3ossi6" TargetMode="External"/><Relationship Id="rId295" Type="http://schemas.openxmlformats.org/officeDocument/2006/relationships/hyperlink" Target="https://maps.app.goo.gl/HGNNaoXG1z9Tg7Sv6" TargetMode="External"/><Relationship Id="rId309" Type="http://schemas.openxmlformats.org/officeDocument/2006/relationships/hyperlink" Target="https://maps.app.goo.gl/huPDD4zazETNAi129" TargetMode="External"/><Relationship Id="rId460" Type="http://schemas.openxmlformats.org/officeDocument/2006/relationships/hyperlink" Target="https://maps.app.goo.gl/Pa5R2LDJ7C3vuVVZ7" TargetMode="External"/><Relationship Id="rId516" Type="http://schemas.openxmlformats.org/officeDocument/2006/relationships/hyperlink" Target="https://maps.app.goo.gl/gEJiDUiopRLjrptdA" TargetMode="External"/><Relationship Id="rId48" Type="http://schemas.openxmlformats.org/officeDocument/2006/relationships/hyperlink" Target="https://maps.app.goo.gl/oxKmEHacAZDirxQU8" TargetMode="External"/><Relationship Id="rId113" Type="http://schemas.openxmlformats.org/officeDocument/2006/relationships/hyperlink" Target="https://maps.app.goo.gl/vHX4DzYAX8BbNAh88" TargetMode="External"/><Relationship Id="rId320" Type="http://schemas.openxmlformats.org/officeDocument/2006/relationships/hyperlink" Target="https://maps.app.goo.gl/6tm3eEP5bLMzGPoFA" TargetMode="External"/><Relationship Id="rId155" Type="http://schemas.openxmlformats.org/officeDocument/2006/relationships/hyperlink" Target="https://maps.app.goo.gl/fYWCaELgVZog1Tyu7" TargetMode="External"/><Relationship Id="rId197" Type="http://schemas.openxmlformats.org/officeDocument/2006/relationships/hyperlink" Target="https://maps.app.goo.gl/n141kaiNyGSatP2E8" TargetMode="External"/><Relationship Id="rId362" Type="http://schemas.openxmlformats.org/officeDocument/2006/relationships/hyperlink" Target="https://maps.app.goo.gl/ptYGCue339hq6TARA" TargetMode="External"/><Relationship Id="rId418" Type="http://schemas.openxmlformats.org/officeDocument/2006/relationships/hyperlink" Target="https://maps.app.goo.gl/GR6JMNGBeKqL5JZu6" TargetMode="External"/><Relationship Id="rId222" Type="http://schemas.openxmlformats.org/officeDocument/2006/relationships/hyperlink" Target="https://maps.app.goo.gl/oxKmEHacAZDirxQU8" TargetMode="External"/><Relationship Id="rId264" Type="http://schemas.openxmlformats.org/officeDocument/2006/relationships/hyperlink" Target="https://maps.app.goo.gl/R8c58dSNvuv9gSnV9" TargetMode="External"/><Relationship Id="rId471" Type="http://schemas.openxmlformats.org/officeDocument/2006/relationships/hyperlink" Target="https://maps.app.goo.gl/NVeqC33dPmcB8DFp6" TargetMode="External"/><Relationship Id="rId17" Type="http://schemas.openxmlformats.org/officeDocument/2006/relationships/hyperlink" Target="https://maps.app.goo.gl/k2DAomHr1JhyVJXE6" TargetMode="External"/><Relationship Id="rId59" Type="http://schemas.openxmlformats.org/officeDocument/2006/relationships/hyperlink" Target="https://maps.app.goo.gl/i6c1QKRnTSXeVPmL8" TargetMode="External"/><Relationship Id="rId124" Type="http://schemas.openxmlformats.org/officeDocument/2006/relationships/hyperlink" Target="https://maps.app.goo.gl/w3WNUe3p5fEdHtnv8" TargetMode="External"/><Relationship Id="rId70" Type="http://schemas.openxmlformats.org/officeDocument/2006/relationships/hyperlink" Target="https://maps.app.goo.gl/n2SeAQ9YFPxJCrwx6" TargetMode="External"/><Relationship Id="rId166" Type="http://schemas.openxmlformats.org/officeDocument/2006/relationships/hyperlink" Target="https://maps.app.goo.gl/tuimDttmtVbXYSza9" TargetMode="External"/><Relationship Id="rId331" Type="http://schemas.openxmlformats.org/officeDocument/2006/relationships/hyperlink" Target="https://maps.app.goo.gl/mJuEGLHcC44pqs1aA" TargetMode="External"/><Relationship Id="rId373" Type="http://schemas.openxmlformats.org/officeDocument/2006/relationships/hyperlink" Target="https://maps.app.goo.gl/qke8mz4C32qdAhDG7" TargetMode="External"/><Relationship Id="rId429" Type="http://schemas.openxmlformats.org/officeDocument/2006/relationships/hyperlink" Target="https://maps.app.goo.gl/naVdFXrwWSS7ixqZ6" TargetMode="External"/><Relationship Id="rId1" Type="http://schemas.openxmlformats.org/officeDocument/2006/relationships/hyperlink" Target="https://maps.app.goo.gl/mR9kGPRZ8fjkFxJE8" TargetMode="External"/><Relationship Id="rId233" Type="http://schemas.openxmlformats.org/officeDocument/2006/relationships/hyperlink" Target="https://maps.app.goo.gl/duGnJr5Wb3P9zsGP8" TargetMode="External"/><Relationship Id="rId440" Type="http://schemas.openxmlformats.org/officeDocument/2006/relationships/hyperlink" Target="https://maps.app.goo.gl/RLS8uju5BXbDH7b1A" TargetMode="External"/><Relationship Id="rId28" Type="http://schemas.openxmlformats.org/officeDocument/2006/relationships/hyperlink" Target="https://maps.app.goo.gl/BNhES6EYXDeXLUSa7" TargetMode="External"/><Relationship Id="rId275" Type="http://schemas.openxmlformats.org/officeDocument/2006/relationships/hyperlink" Target="https://maps.app.goo.gl/Kw83tSCGoQnHG7x99" TargetMode="External"/><Relationship Id="rId300" Type="http://schemas.openxmlformats.org/officeDocument/2006/relationships/hyperlink" Target="https://maps.app.goo.gl/FgdFA2mqTCHBWKX56" TargetMode="External"/><Relationship Id="rId482" Type="http://schemas.openxmlformats.org/officeDocument/2006/relationships/hyperlink" Target="https://maps.app.goo.gl/z219tyUGnrxbeade6" TargetMode="External"/><Relationship Id="rId81" Type="http://schemas.openxmlformats.org/officeDocument/2006/relationships/hyperlink" Target="https://maps.app.goo.gl/6H4S8SwbMPQYt7tQ7" TargetMode="External"/><Relationship Id="rId135" Type="http://schemas.openxmlformats.org/officeDocument/2006/relationships/hyperlink" Target="https://maps.app.goo.gl/dRxuLJStM8WS42tV7" TargetMode="External"/><Relationship Id="rId177" Type="http://schemas.openxmlformats.org/officeDocument/2006/relationships/hyperlink" Target="https://maps.app.goo.gl/MFNPuD2ykSenSE1x9" TargetMode="External"/><Relationship Id="rId342" Type="http://schemas.openxmlformats.org/officeDocument/2006/relationships/hyperlink" Target="https://maps.app.goo.gl/wL16jT3FWKT747W47" TargetMode="External"/><Relationship Id="rId384" Type="http://schemas.openxmlformats.org/officeDocument/2006/relationships/hyperlink" Target="https://maps.app.goo.gl/GSB9tPAsv3Fmehyx5" TargetMode="External"/><Relationship Id="rId202" Type="http://schemas.openxmlformats.org/officeDocument/2006/relationships/hyperlink" Target="https://maps.app.goo.gl/wAM2d3kzBRMJh9Fv7" TargetMode="External"/><Relationship Id="rId244" Type="http://schemas.openxmlformats.org/officeDocument/2006/relationships/hyperlink" Target="https://maps.app.goo.gl/2LPBCSr1fExJEQFp9" TargetMode="External"/><Relationship Id="rId39" Type="http://schemas.openxmlformats.org/officeDocument/2006/relationships/hyperlink" Target="https://maps.app.goo.gl/7dKzFi19Q7yfNi6w7" TargetMode="External"/><Relationship Id="rId286" Type="http://schemas.openxmlformats.org/officeDocument/2006/relationships/hyperlink" Target="https://maps.app.goo.gl/cGHuC2mKrAemLTbd7" TargetMode="External"/><Relationship Id="rId451" Type="http://schemas.openxmlformats.org/officeDocument/2006/relationships/hyperlink" Target="https://maps.app.goo.gl/U81aTWvW2hkVRqvy6" TargetMode="External"/><Relationship Id="rId493" Type="http://schemas.openxmlformats.org/officeDocument/2006/relationships/hyperlink" Target="https://maps.app.goo.gl/Y6fmqXQdjzd6wDcx8" TargetMode="External"/><Relationship Id="rId507" Type="http://schemas.openxmlformats.org/officeDocument/2006/relationships/hyperlink" Target="https://maps.app.goo.gl/jxEmkjftybhwNDAV9" TargetMode="External"/><Relationship Id="rId50" Type="http://schemas.openxmlformats.org/officeDocument/2006/relationships/hyperlink" Target="https://maps.app.goo.gl/baKafCazjv4sXBnG9" TargetMode="External"/><Relationship Id="rId104" Type="http://schemas.openxmlformats.org/officeDocument/2006/relationships/hyperlink" Target="https://maps.app.goo.gl/eHomBAbY7nAqsy8dA" TargetMode="External"/><Relationship Id="rId146" Type="http://schemas.openxmlformats.org/officeDocument/2006/relationships/hyperlink" Target="https://maps.app.goo.gl/3ntoxymwnjdjSw9i7" TargetMode="External"/><Relationship Id="rId188" Type="http://schemas.openxmlformats.org/officeDocument/2006/relationships/hyperlink" Target="https://maps.app.goo.gl/XLQEPsFk5QoJvhub6" TargetMode="External"/><Relationship Id="rId311" Type="http://schemas.openxmlformats.org/officeDocument/2006/relationships/hyperlink" Target="https://maps.app.goo.gl/edPmWRAqYtLuiK5d9" TargetMode="External"/><Relationship Id="rId353" Type="http://schemas.openxmlformats.org/officeDocument/2006/relationships/hyperlink" Target="https://maps.app.goo.gl/BkdaWKmd5FRPJJEg9" TargetMode="External"/><Relationship Id="rId395" Type="http://schemas.openxmlformats.org/officeDocument/2006/relationships/hyperlink" Target="https://maps.app.goo.gl/KBi8cZ5sTyZeRqmR7" TargetMode="External"/><Relationship Id="rId409" Type="http://schemas.openxmlformats.org/officeDocument/2006/relationships/hyperlink" Target="https://maps.app.goo.gl/RyDrqM6ADinybSWLA" TargetMode="External"/><Relationship Id="rId92" Type="http://schemas.openxmlformats.org/officeDocument/2006/relationships/hyperlink" Target="https://maps.app.goo.gl/ySydTqbnktwgtKGH8" TargetMode="External"/><Relationship Id="rId213" Type="http://schemas.openxmlformats.org/officeDocument/2006/relationships/hyperlink" Target="https://maps.app.goo.gl/7dKzFi19Q7yfNi6w7" TargetMode="External"/><Relationship Id="rId420" Type="http://schemas.openxmlformats.org/officeDocument/2006/relationships/hyperlink" Target="https://maps.app.goo.gl/GR6JMNGBeKqL5JZu6" TargetMode="External"/><Relationship Id="rId255" Type="http://schemas.openxmlformats.org/officeDocument/2006/relationships/hyperlink" Target="https://maps.app.goo.gl/hYrZmGFrVysGypRT7" TargetMode="External"/><Relationship Id="rId297" Type="http://schemas.openxmlformats.org/officeDocument/2006/relationships/hyperlink" Target="https://maps.app.goo.gl/QvWSDeQtfD4PbcFL8" TargetMode="External"/><Relationship Id="rId462" Type="http://schemas.openxmlformats.org/officeDocument/2006/relationships/hyperlink" Target="https://maps.app.goo.gl/mfEdALjD6Tr5vWwT8" TargetMode="External"/><Relationship Id="rId518" Type="http://schemas.openxmlformats.org/officeDocument/2006/relationships/vmlDrawing" Target="../drawings/vmlDrawing1.vml"/><Relationship Id="rId115" Type="http://schemas.openxmlformats.org/officeDocument/2006/relationships/hyperlink" Target="https://maps.app.goo.gl/x6KhaJN2e41j5XUN9" TargetMode="External"/><Relationship Id="rId157" Type="http://schemas.openxmlformats.org/officeDocument/2006/relationships/hyperlink" Target="https://maps.app.goo.gl/9oVJe6KXBCMy9Vd59" TargetMode="External"/><Relationship Id="rId322" Type="http://schemas.openxmlformats.org/officeDocument/2006/relationships/hyperlink" Target="https://maps.app.goo.gl/fYWCaELgVZog1Tyu7" TargetMode="External"/><Relationship Id="rId364" Type="http://schemas.openxmlformats.org/officeDocument/2006/relationships/hyperlink" Target="https://maps.app.goo.gl/bSxXGxqiyCDB5CyY7" TargetMode="External"/><Relationship Id="rId61" Type="http://schemas.openxmlformats.org/officeDocument/2006/relationships/hyperlink" Target="https://maps.app.goo.gl/RVGmpLjcSB34XfWH8" TargetMode="External"/><Relationship Id="rId199" Type="http://schemas.openxmlformats.org/officeDocument/2006/relationships/hyperlink" Target="https://maps.app.goo.gl/BNhES6EYXDeXLUSa7" TargetMode="External"/><Relationship Id="rId19" Type="http://schemas.openxmlformats.org/officeDocument/2006/relationships/hyperlink" Target="https://maps.app.goo.gl/k2DAomHr1JhyVJXE6" TargetMode="External"/><Relationship Id="rId224" Type="http://schemas.openxmlformats.org/officeDocument/2006/relationships/hyperlink" Target="https://maps.app.goo.gl/NFdWPjmCpSgbgMaLA" TargetMode="External"/><Relationship Id="rId266" Type="http://schemas.openxmlformats.org/officeDocument/2006/relationships/hyperlink" Target="https://maps.app.goo.gl/ZNsA2SUdvuq5mLXv9" TargetMode="External"/><Relationship Id="rId431" Type="http://schemas.openxmlformats.org/officeDocument/2006/relationships/hyperlink" Target="https://maps.app.goo.gl/8UWmxfHt8Zn1TEAb7" TargetMode="External"/><Relationship Id="rId473" Type="http://schemas.openxmlformats.org/officeDocument/2006/relationships/hyperlink" Target="https://maps.app.goo.gl/fkK73xxFCdUX8Be7A" TargetMode="External"/><Relationship Id="rId30" Type="http://schemas.openxmlformats.org/officeDocument/2006/relationships/hyperlink" Target="https://maps.app.goo.gl/oqYfQj1sfqeU1gQQA" TargetMode="External"/><Relationship Id="rId126" Type="http://schemas.openxmlformats.org/officeDocument/2006/relationships/hyperlink" Target="https://maps.app.goo.gl/VaByQkZRXJA2XnmW6" TargetMode="External"/><Relationship Id="rId168" Type="http://schemas.openxmlformats.org/officeDocument/2006/relationships/hyperlink" Target="https://maps.app.goo.gl/fn5W5mj6Qb42aZRF9" TargetMode="External"/><Relationship Id="rId333" Type="http://schemas.openxmlformats.org/officeDocument/2006/relationships/hyperlink" Target="https://maps.app.goo.gl/fn5W5mj6Qb42aZRF9" TargetMode="External"/><Relationship Id="rId72" Type="http://schemas.openxmlformats.org/officeDocument/2006/relationships/hyperlink" Target="https://maps.app.goo.gl/2LPBCSr1fExJEQFp9" TargetMode="External"/><Relationship Id="rId375" Type="http://schemas.openxmlformats.org/officeDocument/2006/relationships/hyperlink" Target="https://maps.app.goo.gl/2DF8HfVWQM1pSBpS8" TargetMode="External"/><Relationship Id="rId3" Type="http://schemas.openxmlformats.org/officeDocument/2006/relationships/hyperlink" Target="https://maps.app.goo.gl/qmKdyweMY5Ur2BqA8" TargetMode="External"/><Relationship Id="rId235" Type="http://schemas.openxmlformats.org/officeDocument/2006/relationships/hyperlink" Target="https://maps.app.goo.gl/2iL4Ju6HXEyeRkG77" TargetMode="External"/><Relationship Id="rId277" Type="http://schemas.openxmlformats.org/officeDocument/2006/relationships/hyperlink" Target="https://maps.app.goo.gl/ccwiNKsa6NE7d7cb6" TargetMode="External"/><Relationship Id="rId400" Type="http://schemas.openxmlformats.org/officeDocument/2006/relationships/hyperlink" Target="https://maps.app.goo.gl/NS4hHZ6TkjbiLEzJ6" TargetMode="External"/><Relationship Id="rId442" Type="http://schemas.openxmlformats.org/officeDocument/2006/relationships/hyperlink" Target="https://maps.app.goo.gl/AynniHo76fc8owfMA" TargetMode="External"/><Relationship Id="rId484" Type="http://schemas.openxmlformats.org/officeDocument/2006/relationships/hyperlink" Target="https://maps.app.goo.gl/MprcXusdDf93fMqF8" TargetMode="External"/><Relationship Id="rId137" Type="http://schemas.openxmlformats.org/officeDocument/2006/relationships/hyperlink" Target="https://maps.app.goo.gl/K77dHJo63saeT1TQ6" TargetMode="External"/><Relationship Id="rId302" Type="http://schemas.openxmlformats.org/officeDocument/2006/relationships/hyperlink" Target="https://maps.app.goo.gl/dRxuLJStM8WS42tV7" TargetMode="External"/><Relationship Id="rId344" Type="http://schemas.openxmlformats.org/officeDocument/2006/relationships/hyperlink" Target="https://maps.app.goo.gl/wL16jT3FWKT747W47" TargetMode="External"/><Relationship Id="rId41" Type="http://schemas.openxmlformats.org/officeDocument/2006/relationships/hyperlink" Target="https://maps.app.goo.gl/ybT6snCBuFxPuy2a9" TargetMode="External"/><Relationship Id="rId83" Type="http://schemas.openxmlformats.org/officeDocument/2006/relationships/hyperlink" Target="https://maps.app.goo.gl/rTjwvpV6ZGCKNist5" TargetMode="External"/><Relationship Id="rId179" Type="http://schemas.openxmlformats.org/officeDocument/2006/relationships/hyperlink" Target="https://maps.app.goo.gl/u2o4VgcDsPoMmCkE8" TargetMode="External"/><Relationship Id="rId386" Type="http://schemas.openxmlformats.org/officeDocument/2006/relationships/hyperlink" Target="https://maps.app.goo.gl/HaeHR6KGBYkeoqwq6" TargetMode="External"/><Relationship Id="rId190" Type="http://schemas.openxmlformats.org/officeDocument/2006/relationships/hyperlink" Target="https://maps.app.goo.gl/k2DAomHr1JhyVJXE6" TargetMode="External"/><Relationship Id="rId204" Type="http://schemas.openxmlformats.org/officeDocument/2006/relationships/hyperlink" Target="https://maps.app.goo.gl/AFSLJTMWGMY85qXp6" TargetMode="External"/><Relationship Id="rId246" Type="http://schemas.openxmlformats.org/officeDocument/2006/relationships/hyperlink" Target="https://maps.app.goo.gl/z8TdkxpWogRHys8k8" TargetMode="External"/><Relationship Id="rId288" Type="http://schemas.openxmlformats.org/officeDocument/2006/relationships/hyperlink" Target="https://maps.app.goo.gl/6cUdmrHgXQbnUM9G8" TargetMode="External"/><Relationship Id="rId411" Type="http://schemas.openxmlformats.org/officeDocument/2006/relationships/hyperlink" Target="https://maps.app.goo.gl/zQDqqiu24xiYKJSWA" TargetMode="External"/><Relationship Id="rId453" Type="http://schemas.openxmlformats.org/officeDocument/2006/relationships/hyperlink" Target="https://maps.app.goo.gl/8By8Ut4do9SqT1SD9" TargetMode="External"/><Relationship Id="rId509" Type="http://schemas.openxmlformats.org/officeDocument/2006/relationships/hyperlink" Target="https://maps.app.goo.gl/aZnpQ7HqeTbUaxMHA" TargetMode="External"/><Relationship Id="rId106" Type="http://schemas.openxmlformats.org/officeDocument/2006/relationships/hyperlink" Target="https://maps.app.goo.gl/TwA98DiKDH7gWyze9" TargetMode="External"/><Relationship Id="rId313" Type="http://schemas.openxmlformats.org/officeDocument/2006/relationships/hyperlink" Target="https://maps.app.goo.gl/yWKDXRpj1AecJruL7" TargetMode="External"/><Relationship Id="rId495" Type="http://schemas.openxmlformats.org/officeDocument/2006/relationships/hyperlink" Target="https://maps.app.goo.gl/StjrpsY1kRuzJrQEA" TargetMode="External"/><Relationship Id="rId10" Type="http://schemas.openxmlformats.org/officeDocument/2006/relationships/hyperlink" Target="https://maps.app.goo.gl/SqYxZ8JwjaAZSzPP7" TargetMode="External"/><Relationship Id="rId52" Type="http://schemas.openxmlformats.org/officeDocument/2006/relationships/hyperlink" Target="https://maps.app.goo.gl/TaRWXzMUvJrJzV86A" TargetMode="External"/><Relationship Id="rId94" Type="http://schemas.openxmlformats.org/officeDocument/2006/relationships/hyperlink" Target="https://maps.app.goo.gl/qdhG25GBr5a3afcw6" TargetMode="External"/><Relationship Id="rId148" Type="http://schemas.openxmlformats.org/officeDocument/2006/relationships/hyperlink" Target="https://maps.app.goo.gl/yWKDXRpj1AecJruL7" TargetMode="External"/><Relationship Id="rId355" Type="http://schemas.openxmlformats.org/officeDocument/2006/relationships/hyperlink" Target="https://maps.app.goo.gl/BkdaWKmd5FRPJJEg9" TargetMode="External"/><Relationship Id="rId397" Type="http://schemas.openxmlformats.org/officeDocument/2006/relationships/hyperlink" Target="https://maps.app.goo.gl/gEJiDUiopRLjrptdA" TargetMode="External"/><Relationship Id="rId520" Type="http://schemas.microsoft.com/office/2017/10/relationships/threadedComment" Target="../threadedComments/threadedComment1.xml"/><Relationship Id="rId215" Type="http://schemas.openxmlformats.org/officeDocument/2006/relationships/hyperlink" Target="https://maps.app.goo.gl/eG3L9v9Fy2d9zJfVA" TargetMode="External"/><Relationship Id="rId257" Type="http://schemas.openxmlformats.org/officeDocument/2006/relationships/hyperlink" Target="https://maps.app.goo.gl/NWac9WTxhrCF8mcP8" TargetMode="External"/><Relationship Id="rId422" Type="http://schemas.openxmlformats.org/officeDocument/2006/relationships/hyperlink" Target="https://maps.app.goo.gl/GR6JMNGBeKqL5JZu6" TargetMode="External"/><Relationship Id="rId464" Type="http://schemas.openxmlformats.org/officeDocument/2006/relationships/hyperlink" Target="https://maps.app.goo.gl/Ws7ffgWTYzWg3zqm7" TargetMode="External"/><Relationship Id="rId299" Type="http://schemas.openxmlformats.org/officeDocument/2006/relationships/hyperlink" Target="https://maps.app.goo.gl/Gpftdp7gBv9gr9TF8" TargetMode="External"/><Relationship Id="rId63" Type="http://schemas.openxmlformats.org/officeDocument/2006/relationships/hyperlink" Target="https://maps.app.goo.gl/T5yR3KDZAgkna1Ch9" TargetMode="External"/><Relationship Id="rId159" Type="http://schemas.openxmlformats.org/officeDocument/2006/relationships/hyperlink" Target="https://maps.app.goo.gl/S9jcnDQXiGPjY3ms5" TargetMode="External"/><Relationship Id="rId366" Type="http://schemas.openxmlformats.org/officeDocument/2006/relationships/hyperlink" Target="https://maps.app.goo.gl/jouXQdtTLaNNK8J16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tpMKcCzxbc8PJoYT9" TargetMode="External"/><Relationship Id="rId13" Type="http://schemas.openxmlformats.org/officeDocument/2006/relationships/hyperlink" Target="mailto:Supermercadomanfron@gmail.com" TargetMode="External"/><Relationship Id="rId3" Type="http://schemas.openxmlformats.org/officeDocument/2006/relationships/hyperlink" Target="https://maps.app.goo.gl/RyDrqM6ADinybSWLA" TargetMode="External"/><Relationship Id="rId7" Type="http://schemas.openxmlformats.org/officeDocument/2006/relationships/hyperlink" Target="https://maps.app.goo.gl/yWKDXRpj1AecJruL7" TargetMode="External"/><Relationship Id="rId12" Type="http://schemas.openxmlformats.org/officeDocument/2006/relationships/hyperlink" Target="mailto:Supermercadomanfron@gmail.com" TargetMode="External"/><Relationship Id="rId2" Type="http://schemas.openxmlformats.org/officeDocument/2006/relationships/hyperlink" Target="https://maps.app.goo.gl/RyDrqM6ADinybSWLA" TargetMode="External"/><Relationship Id="rId1" Type="http://schemas.openxmlformats.org/officeDocument/2006/relationships/hyperlink" Target="https://maps.app.goo.gl/RyDrqM6ADinybSWLA" TargetMode="External"/><Relationship Id="rId6" Type="http://schemas.openxmlformats.org/officeDocument/2006/relationships/hyperlink" Target="https://maps.app.goo.gl/yWKDXRpj1AecJruL7" TargetMode="External"/><Relationship Id="rId11" Type="http://schemas.openxmlformats.org/officeDocument/2006/relationships/hyperlink" Target="mailto:Supermercadomanfron@gmail.com" TargetMode="External"/><Relationship Id="rId5" Type="http://schemas.openxmlformats.org/officeDocument/2006/relationships/hyperlink" Target="https://maps.app.goo.gl/yWKDXRpj1AecJruL7" TargetMode="External"/><Relationship Id="rId10" Type="http://schemas.openxmlformats.org/officeDocument/2006/relationships/hyperlink" Target="mailto:ger525@quero-quero.com.br" TargetMode="External"/><Relationship Id="rId4" Type="http://schemas.openxmlformats.org/officeDocument/2006/relationships/hyperlink" Target="https://maps.app.goo.gl/RyDrqM6ADinybSWLA" TargetMode="External"/><Relationship Id="rId9" Type="http://schemas.openxmlformats.org/officeDocument/2006/relationships/hyperlink" Target="https://maps.app.goo.gl/EuQsVwDGqHWFgkNs7" TargetMode="External"/><Relationship Id="rId14" Type="http://schemas.openxmlformats.org/officeDocument/2006/relationships/hyperlink" Target="mailto:Supermercadomanfron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vbGPTxGCD4m487wN8" TargetMode="External"/><Relationship Id="rId13" Type="http://schemas.openxmlformats.org/officeDocument/2006/relationships/hyperlink" Target="https://maps.app.goo.gl/fdp6qZZnxhi2kNQm7" TargetMode="External"/><Relationship Id="rId18" Type="http://schemas.openxmlformats.org/officeDocument/2006/relationships/hyperlink" Target="https://maps.app.goo.gl/VFgPsLzvEmYWv4d8A" TargetMode="External"/><Relationship Id="rId3" Type="http://schemas.openxmlformats.org/officeDocument/2006/relationships/hyperlink" Target="https://maps.app.goo.gl/po2fYuJ9ogrzga938" TargetMode="External"/><Relationship Id="rId21" Type="http://schemas.openxmlformats.org/officeDocument/2006/relationships/vmlDrawing" Target="../drawings/vmlDrawing2.vml"/><Relationship Id="rId7" Type="http://schemas.openxmlformats.org/officeDocument/2006/relationships/hyperlink" Target="https://maps.app.goo.gl/ogiDtoBh2ouxmKxw9" TargetMode="External"/><Relationship Id="rId12" Type="http://schemas.openxmlformats.org/officeDocument/2006/relationships/hyperlink" Target="https://maps.app.goo.gl/o7UUKpQ53nVQHYBR7" TargetMode="External"/><Relationship Id="rId17" Type="http://schemas.openxmlformats.org/officeDocument/2006/relationships/hyperlink" Target="https://maps.app.goo.gl/VFgPsLzvEmYWv4d8A" TargetMode="External"/><Relationship Id="rId2" Type="http://schemas.openxmlformats.org/officeDocument/2006/relationships/hyperlink" Target="https://maps.app.goo.gl/w4MgTaJEdiMbbJRr5" TargetMode="External"/><Relationship Id="rId16" Type="http://schemas.openxmlformats.org/officeDocument/2006/relationships/hyperlink" Target="https://maps.app.goo.gl/fdp6qZZnxhi2kNQm7" TargetMode="External"/><Relationship Id="rId20" Type="http://schemas.openxmlformats.org/officeDocument/2006/relationships/hyperlink" Target="https://maps.app.goo.gl/cQQpecY4vJmMas9X9" TargetMode="External"/><Relationship Id="rId1" Type="http://schemas.openxmlformats.org/officeDocument/2006/relationships/hyperlink" Target="https://maps.app.goo.gl/sFWcjvgxAyJMwVHW9" TargetMode="External"/><Relationship Id="rId6" Type="http://schemas.openxmlformats.org/officeDocument/2006/relationships/hyperlink" Target="https://maps.app.goo.gl/eHomBAbY7nAqsy8dA" TargetMode="External"/><Relationship Id="rId11" Type="http://schemas.openxmlformats.org/officeDocument/2006/relationships/hyperlink" Target="https://maps.app.goo.gl/o7UUKpQ53nVQHYBR7" TargetMode="External"/><Relationship Id="rId5" Type="http://schemas.openxmlformats.org/officeDocument/2006/relationships/hyperlink" Target="https://maps.app.goo.gl/9cKPi8PWirU87nUJA" TargetMode="External"/><Relationship Id="rId15" Type="http://schemas.openxmlformats.org/officeDocument/2006/relationships/hyperlink" Target="https://maps.app.goo.gl/8YRQM3bdCtzdj22m9" TargetMode="External"/><Relationship Id="rId23" Type="http://schemas.microsoft.com/office/2017/10/relationships/threadedComment" Target="../threadedComments/threadedComment2.xml"/><Relationship Id="rId10" Type="http://schemas.openxmlformats.org/officeDocument/2006/relationships/hyperlink" Target="https://maps.app.goo.gl/NhzBBbwNdJTjXYaW9" TargetMode="External"/><Relationship Id="rId19" Type="http://schemas.openxmlformats.org/officeDocument/2006/relationships/hyperlink" Target="https://maps.app.goo.gl/VFgPsLzvEmYWv4d8A" TargetMode="External"/><Relationship Id="rId4" Type="http://schemas.openxmlformats.org/officeDocument/2006/relationships/hyperlink" Target="https://maps.app.goo.gl/8YRQM3bdCtzdj22m9" TargetMode="External"/><Relationship Id="rId9" Type="http://schemas.openxmlformats.org/officeDocument/2006/relationships/hyperlink" Target="https://maps.app.goo.gl/o7UUKpQ53nVQHYBR7" TargetMode="External"/><Relationship Id="rId14" Type="http://schemas.openxmlformats.org/officeDocument/2006/relationships/hyperlink" Target="https://maps.app.goo.gl/fdp6qZZnxhi2kNQm7" TargetMode="External"/><Relationship Id="rId2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mKykTiuueCLECmn87" TargetMode="External"/><Relationship Id="rId3" Type="http://schemas.openxmlformats.org/officeDocument/2006/relationships/hyperlink" Target="https://maps.app.goo.gl/WicNsoYZyXHbbCyH9" TargetMode="External"/><Relationship Id="rId7" Type="http://schemas.openxmlformats.org/officeDocument/2006/relationships/hyperlink" Target="https://maps.app.goo.gl/cYUtXvFEezqwUTmV9" TargetMode="External"/><Relationship Id="rId2" Type="http://schemas.openxmlformats.org/officeDocument/2006/relationships/hyperlink" Target="https://maps.app.goo.gl/hTtMBgxrmAYYx4nB9" TargetMode="External"/><Relationship Id="rId1" Type="http://schemas.openxmlformats.org/officeDocument/2006/relationships/hyperlink" Target="https://maps.app.goo.gl/4b8qrt9rmDgQQRFC8" TargetMode="External"/><Relationship Id="rId6" Type="http://schemas.openxmlformats.org/officeDocument/2006/relationships/hyperlink" Target="https://maps.app.goo.gl/hJDdJqLQr8CaxX9b6" TargetMode="External"/><Relationship Id="rId5" Type="http://schemas.openxmlformats.org/officeDocument/2006/relationships/hyperlink" Target="mailto:Rh.loja18@boxatacadista.com.br" TargetMode="External"/><Relationship Id="rId4" Type="http://schemas.openxmlformats.org/officeDocument/2006/relationships/hyperlink" Target="mailto:Rh.loja18@boxatacadista.com.br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7JxfndbCUcdhQFED7" TargetMode="External"/><Relationship Id="rId2" Type="http://schemas.openxmlformats.org/officeDocument/2006/relationships/hyperlink" Target="https://maps.app.goo.gl/WXB6MHStnFekvUL97" TargetMode="External"/><Relationship Id="rId1" Type="http://schemas.openxmlformats.org/officeDocument/2006/relationships/hyperlink" Target="mailto:giovanneluis455@gmail.com" TargetMode="External"/><Relationship Id="rId5" Type="http://schemas.openxmlformats.org/officeDocument/2006/relationships/hyperlink" Target="https://maps.app.goo.gl/NxvisLLKNZGq3yBv8" TargetMode="External"/><Relationship Id="rId4" Type="http://schemas.openxmlformats.org/officeDocument/2006/relationships/hyperlink" Target="https://maps.app.goo.gl/NxvisLLKNZGq3yBv8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8UWmxfHt8Zn1TEAb7" TargetMode="External"/><Relationship Id="rId2" Type="http://schemas.openxmlformats.org/officeDocument/2006/relationships/hyperlink" Target="https://maps.app.goo.gl/8UWmxfHt8Zn1TEAb7" TargetMode="External"/><Relationship Id="rId1" Type="http://schemas.openxmlformats.org/officeDocument/2006/relationships/hyperlink" Target="https://maps.app.goo.gl/8UWmxfHt8Zn1TEAb7" TargetMode="External"/><Relationship Id="rId4" Type="http://schemas.openxmlformats.org/officeDocument/2006/relationships/hyperlink" Target="https://maps.app.goo.gl/8UWmxfHt8Zn1TEAb7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zjnGLGuwfNqe9CD47" TargetMode="External"/><Relationship Id="rId2" Type="http://schemas.openxmlformats.org/officeDocument/2006/relationships/hyperlink" Target="https://maps.app.goo.gl/zjnGLGuwfNqe9CD47" TargetMode="External"/><Relationship Id="rId1" Type="http://schemas.openxmlformats.org/officeDocument/2006/relationships/hyperlink" Target="https://maps.app.goo.gl/zjnGLGuwfNqe9CD47" TargetMode="Externa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hyperlink" Target="https://maps.app.goo.gl/joGN18srEeikK4t48" TargetMode="External"/><Relationship Id="rId21" Type="http://schemas.openxmlformats.org/officeDocument/2006/relationships/hyperlink" Target="https://maps.app.goo.gl/b6bWG7isNNKUMtKB8" TargetMode="External"/><Relationship Id="rId42" Type="http://schemas.openxmlformats.org/officeDocument/2006/relationships/hyperlink" Target="https://maps.app.goo.gl/B36DxRJN5GvqhdAC9" TargetMode="External"/><Relationship Id="rId47" Type="http://schemas.openxmlformats.org/officeDocument/2006/relationships/hyperlink" Target="https://maps.app.goo.gl/KPtZg1i3EK1L2myM6" TargetMode="External"/><Relationship Id="rId63" Type="http://schemas.openxmlformats.org/officeDocument/2006/relationships/hyperlink" Target="https://maps.app.goo.gl/A5fviXFMkv3UQicE8" TargetMode="External"/><Relationship Id="rId68" Type="http://schemas.openxmlformats.org/officeDocument/2006/relationships/hyperlink" Target="https://maps.app.goo.gl/198boThMmJVppM1k6" TargetMode="External"/><Relationship Id="rId84" Type="http://schemas.openxmlformats.org/officeDocument/2006/relationships/hyperlink" Target="https://maps.app.goo.gl/UYnJMYULPn88QsPR8" TargetMode="External"/><Relationship Id="rId89" Type="http://schemas.openxmlformats.org/officeDocument/2006/relationships/table" Target="../tables/table2.xml"/><Relationship Id="rId16" Type="http://schemas.openxmlformats.org/officeDocument/2006/relationships/hyperlink" Target="https://maps.app.goo.gl/LQMEufsbJDpA13ji9" TargetMode="External"/><Relationship Id="rId11" Type="http://schemas.openxmlformats.org/officeDocument/2006/relationships/hyperlink" Target="https://maps.app.goo.gl/piWQdBvnXMrMKBsc9" TargetMode="External"/><Relationship Id="rId32" Type="http://schemas.openxmlformats.org/officeDocument/2006/relationships/hyperlink" Target="https://maps.app.goo.gl/PpGbHarrBuZ2tVYz7" TargetMode="External"/><Relationship Id="rId37" Type="http://schemas.openxmlformats.org/officeDocument/2006/relationships/hyperlink" Target="https://maps.app.goo.gl/GRsavmmjUEQjibK16" TargetMode="External"/><Relationship Id="rId53" Type="http://schemas.openxmlformats.org/officeDocument/2006/relationships/hyperlink" Target="https://maps.app.goo.gl/UYnJMYULPn88QsPR8" TargetMode="External"/><Relationship Id="rId58" Type="http://schemas.openxmlformats.org/officeDocument/2006/relationships/hyperlink" Target="https://maps.app.goo.gl/W1EigpLdrGt56fjE9" TargetMode="External"/><Relationship Id="rId74" Type="http://schemas.openxmlformats.org/officeDocument/2006/relationships/hyperlink" Target="https://maps.app.goo.gl/6rTbi4ftz5ymnn4C6" TargetMode="External"/><Relationship Id="rId79" Type="http://schemas.openxmlformats.org/officeDocument/2006/relationships/hyperlink" Target="https://maps.app.goo.gl/C18cTnt6qsJg1qwYA" TargetMode="External"/><Relationship Id="rId5" Type="http://schemas.openxmlformats.org/officeDocument/2006/relationships/hyperlink" Target="https://maps.app.goo.gl/SifDk2fJcM2NXfa38" TargetMode="External"/><Relationship Id="rId90" Type="http://schemas.openxmlformats.org/officeDocument/2006/relationships/comments" Target="../comments3.xml"/><Relationship Id="rId14" Type="http://schemas.openxmlformats.org/officeDocument/2006/relationships/hyperlink" Target="https://maps.app.goo.gl/FvBz36ANam1AYYA98" TargetMode="External"/><Relationship Id="rId22" Type="http://schemas.openxmlformats.org/officeDocument/2006/relationships/hyperlink" Target="https://maps.app.goo.gl/ZS1buQTgNroahbgBA" TargetMode="External"/><Relationship Id="rId27" Type="http://schemas.openxmlformats.org/officeDocument/2006/relationships/hyperlink" Target="https://maps.app.goo.gl/xyPhv3xuvNdGDPKY7" TargetMode="External"/><Relationship Id="rId30" Type="http://schemas.openxmlformats.org/officeDocument/2006/relationships/hyperlink" Target="https://maps.app.goo.gl/4rYPgmPxNTX49NbY7" TargetMode="External"/><Relationship Id="rId35" Type="http://schemas.openxmlformats.org/officeDocument/2006/relationships/hyperlink" Target="https://maps.app.goo.gl/AZyJF3fHwvzwqAWR7" TargetMode="External"/><Relationship Id="rId43" Type="http://schemas.openxmlformats.org/officeDocument/2006/relationships/hyperlink" Target="https://maps.app.goo.gl/r7FbNEUcbzQntkx29" TargetMode="External"/><Relationship Id="rId48" Type="http://schemas.openxmlformats.org/officeDocument/2006/relationships/hyperlink" Target="https://maps.app.goo.gl/KPtZg1i3EK1L2myM6" TargetMode="External"/><Relationship Id="rId56" Type="http://schemas.openxmlformats.org/officeDocument/2006/relationships/hyperlink" Target="https://maps.app.goo.gl/W1EigpLdrGt56fjE9" TargetMode="External"/><Relationship Id="rId64" Type="http://schemas.openxmlformats.org/officeDocument/2006/relationships/hyperlink" Target="https://maps.app.goo.gl/A5fviXFMkv3UQicE8" TargetMode="External"/><Relationship Id="rId69" Type="http://schemas.openxmlformats.org/officeDocument/2006/relationships/hyperlink" Target="https://maps.app.goo.gl/b4B2naSDiWhRmHBFA" TargetMode="External"/><Relationship Id="rId77" Type="http://schemas.openxmlformats.org/officeDocument/2006/relationships/hyperlink" Target="https://maps.app.goo.gl/C18cTnt6qsJg1qwYA" TargetMode="External"/><Relationship Id="rId8" Type="http://schemas.openxmlformats.org/officeDocument/2006/relationships/hyperlink" Target="https://maps.app.goo.gl/gHpHneWvEQnHEoEX6" TargetMode="External"/><Relationship Id="rId51" Type="http://schemas.openxmlformats.org/officeDocument/2006/relationships/hyperlink" Target="https://maps.app.goo.gl/5EaFvWgB8QZkD7Qf7" TargetMode="External"/><Relationship Id="rId72" Type="http://schemas.openxmlformats.org/officeDocument/2006/relationships/hyperlink" Target="https://maps.app.goo.gl/K2DbQB7kQdDUPNyu9" TargetMode="External"/><Relationship Id="rId80" Type="http://schemas.openxmlformats.org/officeDocument/2006/relationships/hyperlink" Target="https://maps.app.goo.gl/EFmQeF7sR3Yg5Afw9" TargetMode="External"/><Relationship Id="rId85" Type="http://schemas.openxmlformats.org/officeDocument/2006/relationships/hyperlink" Target="https://maps.app.goo.gl/AZyJF3fHwvzwqAWR7" TargetMode="External"/><Relationship Id="rId3" Type="http://schemas.openxmlformats.org/officeDocument/2006/relationships/hyperlink" Target="https://maps.app.goo.gl/pLi9FMKV1hijQMPc6" TargetMode="External"/><Relationship Id="rId12" Type="http://schemas.openxmlformats.org/officeDocument/2006/relationships/hyperlink" Target="https://maps.app.goo.gl/4WnBZAdxRYXYZph69" TargetMode="External"/><Relationship Id="rId17" Type="http://schemas.openxmlformats.org/officeDocument/2006/relationships/hyperlink" Target="https://maps.app.goo.gl/gfLFUeUNYRDvF8DU9" TargetMode="External"/><Relationship Id="rId25" Type="http://schemas.openxmlformats.org/officeDocument/2006/relationships/hyperlink" Target="https://maps.app.goo.gl/S41g33W8Js4UbShb9" TargetMode="External"/><Relationship Id="rId33" Type="http://schemas.openxmlformats.org/officeDocument/2006/relationships/hyperlink" Target="https://maps.app.goo.gl/7J3ohX2W99Wzg4Nb7" TargetMode="External"/><Relationship Id="rId38" Type="http://schemas.openxmlformats.org/officeDocument/2006/relationships/hyperlink" Target="https://maps.app.goo.gl/DJb2RdFHSsR8FMXc9" TargetMode="External"/><Relationship Id="rId46" Type="http://schemas.openxmlformats.org/officeDocument/2006/relationships/hyperlink" Target="https://maps.app.goo.gl/KPtZg1i3EK1L2myM6" TargetMode="External"/><Relationship Id="rId59" Type="http://schemas.openxmlformats.org/officeDocument/2006/relationships/hyperlink" Target="https://maps.app.goo.gl/W1EigpLdrGt56fjE9" TargetMode="External"/><Relationship Id="rId67" Type="http://schemas.openxmlformats.org/officeDocument/2006/relationships/hyperlink" Target="https://maps.app.goo.gl/1UY565oDt33ws6wZ7" TargetMode="External"/><Relationship Id="rId20" Type="http://schemas.openxmlformats.org/officeDocument/2006/relationships/hyperlink" Target="https://maps.app.goo.gl/n15ZDeSG17HgY9mS9" TargetMode="External"/><Relationship Id="rId41" Type="http://schemas.openxmlformats.org/officeDocument/2006/relationships/hyperlink" Target="https://maps.app.goo.gl/Yh2TgWqBagGom2kG9" TargetMode="External"/><Relationship Id="rId54" Type="http://schemas.openxmlformats.org/officeDocument/2006/relationships/hyperlink" Target="https://maps.app.goo.gl/PE6GYcgeCYuMYJh29" TargetMode="External"/><Relationship Id="rId62" Type="http://schemas.openxmlformats.org/officeDocument/2006/relationships/hyperlink" Target="https://maps.app.goo.gl/UzDvWmLu5LZbb8vQ8" TargetMode="External"/><Relationship Id="rId70" Type="http://schemas.openxmlformats.org/officeDocument/2006/relationships/hyperlink" Target="https://maps.app.goo.gl/USgeM2aphMvFMvCW7" TargetMode="External"/><Relationship Id="rId75" Type="http://schemas.openxmlformats.org/officeDocument/2006/relationships/hyperlink" Target="https://maps.app.goo.gl/K2DbQB7kQdDUPNyu9" TargetMode="External"/><Relationship Id="rId83" Type="http://schemas.openxmlformats.org/officeDocument/2006/relationships/hyperlink" Target="https://maps.app.goo.gl/UYnJMYULPn88QsPR8" TargetMode="External"/><Relationship Id="rId88" Type="http://schemas.openxmlformats.org/officeDocument/2006/relationships/vmlDrawing" Target="../drawings/vmlDrawing3.vml"/><Relationship Id="rId1" Type="http://schemas.openxmlformats.org/officeDocument/2006/relationships/hyperlink" Target="https://maps.app.goo.gl/7noRcru9PJG6hkzh8" TargetMode="External"/><Relationship Id="rId6" Type="http://schemas.openxmlformats.org/officeDocument/2006/relationships/hyperlink" Target="https://maps.app.goo.gl/mxYnhCmnj9fqwozY8" TargetMode="External"/><Relationship Id="rId15" Type="http://schemas.openxmlformats.org/officeDocument/2006/relationships/hyperlink" Target="https://maps.app.goo.gl/D27BeV4jVPhHkeBf6" TargetMode="External"/><Relationship Id="rId23" Type="http://schemas.openxmlformats.org/officeDocument/2006/relationships/hyperlink" Target="https://maps.app.goo.gl/RiwWpcTUMDzEGNHZ6" TargetMode="External"/><Relationship Id="rId28" Type="http://schemas.openxmlformats.org/officeDocument/2006/relationships/hyperlink" Target="https://maps.app.goo.gl/xSHgxemQPtfruo678" TargetMode="External"/><Relationship Id="rId36" Type="http://schemas.openxmlformats.org/officeDocument/2006/relationships/hyperlink" Target="https://maps.app.goo.gl/Bv72reeCJtGqSzHw7" TargetMode="External"/><Relationship Id="rId49" Type="http://schemas.openxmlformats.org/officeDocument/2006/relationships/hyperlink" Target="https://maps.app.goo.gl/KPtZg1i3EK1L2myM6" TargetMode="External"/><Relationship Id="rId57" Type="http://schemas.openxmlformats.org/officeDocument/2006/relationships/hyperlink" Target="https://maps.app.goo.gl/PE6GYcgeCYuMYJh29" TargetMode="External"/><Relationship Id="rId10" Type="http://schemas.openxmlformats.org/officeDocument/2006/relationships/hyperlink" Target="https://maps.app.goo.gl/N3ae5xxE8K19To6QA" TargetMode="External"/><Relationship Id="rId31" Type="http://schemas.openxmlformats.org/officeDocument/2006/relationships/hyperlink" Target="https://maps.app.goo.gl/iNV7WVkmT7Y6W6V2A" TargetMode="External"/><Relationship Id="rId44" Type="http://schemas.openxmlformats.org/officeDocument/2006/relationships/hyperlink" Target="https://maps.app.goo.gl/BETV3ns8d6AhrSPfA" TargetMode="External"/><Relationship Id="rId52" Type="http://schemas.openxmlformats.org/officeDocument/2006/relationships/hyperlink" Target="https://maps.app.goo.gl/yqScbqMepfWNftp9A" TargetMode="External"/><Relationship Id="rId60" Type="http://schemas.openxmlformats.org/officeDocument/2006/relationships/hyperlink" Target="https://maps.app.goo.gl/W1EigpLdrGt56fjE9" TargetMode="External"/><Relationship Id="rId65" Type="http://schemas.openxmlformats.org/officeDocument/2006/relationships/hyperlink" Target="https://maps.app.goo.gl/1UY565oDt33ws6wZ7" TargetMode="External"/><Relationship Id="rId73" Type="http://schemas.openxmlformats.org/officeDocument/2006/relationships/hyperlink" Target="https://maps.app.goo.gl/Vt2ELX3oj2xgsdox8" TargetMode="External"/><Relationship Id="rId78" Type="http://schemas.openxmlformats.org/officeDocument/2006/relationships/hyperlink" Target="https://maps.app.goo.gl/C18cTnt6qsJg1qwYA" TargetMode="External"/><Relationship Id="rId81" Type="http://schemas.openxmlformats.org/officeDocument/2006/relationships/hyperlink" Target="https://maps.app.goo.gl/EFmQeF7sR3Yg5Afw9" TargetMode="External"/><Relationship Id="rId86" Type="http://schemas.openxmlformats.org/officeDocument/2006/relationships/hyperlink" Target="https://maps.app.goo.gl/AZyJF3fHwvzwqAWR7" TargetMode="External"/><Relationship Id="rId4" Type="http://schemas.openxmlformats.org/officeDocument/2006/relationships/hyperlink" Target="https://maps.app.goo.gl/SifDk2fJcM2NXfa38" TargetMode="External"/><Relationship Id="rId9" Type="http://schemas.openxmlformats.org/officeDocument/2006/relationships/hyperlink" Target="https://maps.app.goo.gl/Sj5R5vo4PA8pU6FKA" TargetMode="External"/><Relationship Id="rId13" Type="http://schemas.openxmlformats.org/officeDocument/2006/relationships/hyperlink" Target="https://maps.app.goo.gl/74QuKwd6q8VqQ7c48" TargetMode="External"/><Relationship Id="rId18" Type="http://schemas.openxmlformats.org/officeDocument/2006/relationships/hyperlink" Target="https://maps.app.goo.gl/Y9FRxdCsfyWv9Cwj6" TargetMode="External"/><Relationship Id="rId39" Type="http://schemas.openxmlformats.org/officeDocument/2006/relationships/hyperlink" Target="https://maps.app.goo.gl/LRYoPnfuicw239cbA" TargetMode="External"/><Relationship Id="rId34" Type="http://schemas.openxmlformats.org/officeDocument/2006/relationships/hyperlink" Target="https://maps.app.goo.gl/7ZJGrXGsDmuUsLyT6" TargetMode="External"/><Relationship Id="rId50" Type="http://schemas.openxmlformats.org/officeDocument/2006/relationships/hyperlink" Target="https://maps.app.goo.gl/5711GANE1irMr94c6" TargetMode="External"/><Relationship Id="rId55" Type="http://schemas.openxmlformats.org/officeDocument/2006/relationships/hyperlink" Target="https://maps.app.goo.gl/PE6GYcgeCYuMYJh29" TargetMode="External"/><Relationship Id="rId76" Type="http://schemas.openxmlformats.org/officeDocument/2006/relationships/hyperlink" Target="https://maps.app.goo.gl/6rTbi4ftz5ymnn4C6" TargetMode="External"/><Relationship Id="rId7" Type="http://schemas.openxmlformats.org/officeDocument/2006/relationships/hyperlink" Target="https://maps.app.goo.gl/6X8Ga11b8qMpqmZy8" TargetMode="External"/><Relationship Id="rId71" Type="http://schemas.openxmlformats.org/officeDocument/2006/relationships/hyperlink" Target="https://maps.app.goo.gl/dMs8NaBnvPeLRqWy7" TargetMode="External"/><Relationship Id="rId2" Type="http://schemas.openxmlformats.org/officeDocument/2006/relationships/hyperlink" Target="https://maps.app.goo.gl/pLi9FMKV1hijQMPc6" TargetMode="External"/><Relationship Id="rId29" Type="http://schemas.openxmlformats.org/officeDocument/2006/relationships/hyperlink" Target="https://maps.app.goo.gl/kuM7JpRV6y4tepAz5" TargetMode="External"/><Relationship Id="rId24" Type="http://schemas.openxmlformats.org/officeDocument/2006/relationships/hyperlink" Target="https://maps.app.goo.gl/CYHK8j6ssiMqsD8X7" TargetMode="External"/><Relationship Id="rId40" Type="http://schemas.openxmlformats.org/officeDocument/2006/relationships/hyperlink" Target="https://maps.app.goo.gl/CdxFCJsFkHqGB5Hs7" TargetMode="External"/><Relationship Id="rId45" Type="http://schemas.openxmlformats.org/officeDocument/2006/relationships/hyperlink" Target="https://maps.app.goo.gl/uRLN2LPU79qw9Yvs5" TargetMode="External"/><Relationship Id="rId66" Type="http://schemas.openxmlformats.org/officeDocument/2006/relationships/hyperlink" Target="https://maps.app.goo.gl/198boThMmJVppM1k6" TargetMode="External"/><Relationship Id="rId87" Type="http://schemas.openxmlformats.org/officeDocument/2006/relationships/hyperlink" Target="https://maps.app.goo.gl/AZyJF3fHwvzwqAWR7" TargetMode="External"/><Relationship Id="rId61" Type="http://schemas.openxmlformats.org/officeDocument/2006/relationships/hyperlink" Target="https://maps.app.goo.gl/UzDvWmLu5LZbb8vQ8" TargetMode="External"/><Relationship Id="rId82" Type="http://schemas.openxmlformats.org/officeDocument/2006/relationships/hyperlink" Target="https://maps.app.goo.gl/EFmQeF7sR3Yg5Afw9" TargetMode="External"/><Relationship Id="rId19" Type="http://schemas.openxmlformats.org/officeDocument/2006/relationships/hyperlink" Target="https://maps.app.goo.gl/1Kvb2iuaxb1dSHDq5" TargetMode="Externa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s.app.goo.gl/uKhTDMSxTNVb3wGC9" TargetMode="External"/><Relationship Id="rId21" Type="http://schemas.openxmlformats.org/officeDocument/2006/relationships/hyperlink" Target="https://maps.app.goo.gl/32cgmbfPJXJfig7Y7" TargetMode="External"/><Relationship Id="rId324" Type="http://schemas.openxmlformats.org/officeDocument/2006/relationships/hyperlink" Target="https://maps.app.goo.gl/HGNNaoXG1z9Tg7Sv6" TargetMode="External"/><Relationship Id="rId531" Type="http://schemas.openxmlformats.org/officeDocument/2006/relationships/hyperlink" Target="https://maps.app.goo.gl/5ess77g2WV2SGUfPA" TargetMode="External"/><Relationship Id="rId170" Type="http://schemas.openxmlformats.org/officeDocument/2006/relationships/hyperlink" Target="https://maps.app.goo.gl/USjePtZ91eEfRrUH9" TargetMode="External"/><Relationship Id="rId268" Type="http://schemas.openxmlformats.org/officeDocument/2006/relationships/hyperlink" Target="https://maps.app.goo.gl/so3H4WZnSBh9iRyr6" TargetMode="External"/><Relationship Id="rId475" Type="http://schemas.openxmlformats.org/officeDocument/2006/relationships/hyperlink" Target="https://maps.app.goo.gl/mkSvXyzqonTxWStJ9" TargetMode="External"/><Relationship Id="rId32" Type="http://schemas.openxmlformats.org/officeDocument/2006/relationships/hyperlink" Target="https://maps.app.goo.gl/FHSot3qC8bFaZUDw7" TargetMode="External"/><Relationship Id="rId128" Type="http://schemas.openxmlformats.org/officeDocument/2006/relationships/hyperlink" Target="https://maps.app.goo.gl/1FdgYJ8z2GQTdR24A" TargetMode="External"/><Relationship Id="rId335" Type="http://schemas.openxmlformats.org/officeDocument/2006/relationships/hyperlink" Target="https://maps.app.goo.gl/XmzUXZc8HUAtybwPA" TargetMode="External"/><Relationship Id="rId542" Type="http://schemas.openxmlformats.org/officeDocument/2006/relationships/hyperlink" Target="https://maps.app.goo.gl/qRdpVFZ9x9fCYHwJA" TargetMode="External"/><Relationship Id="rId181" Type="http://schemas.openxmlformats.org/officeDocument/2006/relationships/hyperlink" Target="https://maps.app.goo.gl/yFuLe3HW8vQHBL1k7" TargetMode="External"/><Relationship Id="rId402" Type="http://schemas.openxmlformats.org/officeDocument/2006/relationships/hyperlink" Target="https://maps.app.goo.gl/SJuVS1rAnYZJkEFv9" TargetMode="External"/><Relationship Id="rId279" Type="http://schemas.openxmlformats.org/officeDocument/2006/relationships/hyperlink" Target="https://maps.app.goo.gl/XABPcy4C85QPy7247" TargetMode="External"/><Relationship Id="rId486" Type="http://schemas.openxmlformats.org/officeDocument/2006/relationships/hyperlink" Target="https://maps.app.goo.gl/8UWmxfHt8Zn1TEAb7" TargetMode="External"/><Relationship Id="rId43" Type="http://schemas.openxmlformats.org/officeDocument/2006/relationships/hyperlink" Target="https://maps.app.goo.gl/Bkp4xhLHoAKxob5v6" TargetMode="External"/><Relationship Id="rId139" Type="http://schemas.openxmlformats.org/officeDocument/2006/relationships/hyperlink" Target="https://maps.app.goo.gl/h1UcffiVRcDWS7j78" TargetMode="External"/><Relationship Id="rId346" Type="http://schemas.openxmlformats.org/officeDocument/2006/relationships/hyperlink" Target="https://maps.app.goo.gl/RsDK6sYwh2wEarJo6" TargetMode="External"/><Relationship Id="rId553" Type="http://schemas.openxmlformats.org/officeDocument/2006/relationships/vmlDrawing" Target="../drawings/vmlDrawing4.vml"/><Relationship Id="rId192" Type="http://schemas.openxmlformats.org/officeDocument/2006/relationships/hyperlink" Target="https://maps.app.goo.gl/yWygdbQRJW52mTD47" TargetMode="External"/><Relationship Id="rId206" Type="http://schemas.openxmlformats.org/officeDocument/2006/relationships/hyperlink" Target="https://maps.app.goo.gl/JRVsW4Q3vmFX2YRs9" TargetMode="External"/><Relationship Id="rId413" Type="http://schemas.openxmlformats.org/officeDocument/2006/relationships/hyperlink" Target="https://maps.app.goo.gl/Eua1jmNtBdQsuaMd8" TargetMode="External"/><Relationship Id="rId497" Type="http://schemas.openxmlformats.org/officeDocument/2006/relationships/hyperlink" Target="https://maps.app.goo.gl/brpoJRQzKbp4eJpJ9" TargetMode="External"/><Relationship Id="rId357" Type="http://schemas.openxmlformats.org/officeDocument/2006/relationships/hyperlink" Target="https://maps.app.goo.gl/c4CW1YRPu7D6cSSj9" TargetMode="External"/><Relationship Id="rId54" Type="http://schemas.openxmlformats.org/officeDocument/2006/relationships/hyperlink" Target="https://maps.app.goo.gl/BvNx9sQiisGWhg3c8" TargetMode="External"/><Relationship Id="rId96" Type="http://schemas.openxmlformats.org/officeDocument/2006/relationships/hyperlink" Target="https://maps.app.goo.gl/hVuBQmv45xGntzLr6" TargetMode="External"/><Relationship Id="rId161" Type="http://schemas.openxmlformats.org/officeDocument/2006/relationships/hyperlink" Target="https://maps.app.goo.gl/RsDK6sYwh2wEarJo6" TargetMode="External"/><Relationship Id="rId217" Type="http://schemas.openxmlformats.org/officeDocument/2006/relationships/hyperlink" Target="https://maps.app.goo.gl/fn5W5mj6Qb42aZRF9" TargetMode="External"/><Relationship Id="rId399" Type="http://schemas.openxmlformats.org/officeDocument/2006/relationships/hyperlink" Target="https://maps.app.goo.gl/iJYjBnaDju8At1ui6" TargetMode="External"/><Relationship Id="rId259" Type="http://schemas.openxmlformats.org/officeDocument/2006/relationships/hyperlink" Target="https://maps.app.goo.gl/NhzBBbwNdJTjXYaW9" TargetMode="External"/><Relationship Id="rId424" Type="http://schemas.openxmlformats.org/officeDocument/2006/relationships/hyperlink" Target="https://maps.app.goo.gl/nVMRJLNCMAJJVcSZA" TargetMode="External"/><Relationship Id="rId466" Type="http://schemas.openxmlformats.org/officeDocument/2006/relationships/hyperlink" Target="https://maps.app.goo.gl/85soGe2nBbMgsWi39" TargetMode="External"/><Relationship Id="rId23" Type="http://schemas.openxmlformats.org/officeDocument/2006/relationships/hyperlink" Target="https://maps.app.goo.gl/eyWNnGjALs5ag7949" TargetMode="External"/><Relationship Id="rId119" Type="http://schemas.openxmlformats.org/officeDocument/2006/relationships/hyperlink" Target="https://maps.app.goo.gl/eDB8drrWtWYRpmHL9" TargetMode="External"/><Relationship Id="rId270" Type="http://schemas.openxmlformats.org/officeDocument/2006/relationships/hyperlink" Target="https://maps.app.goo.gl/qxd3tvi9ohULovZs9" TargetMode="External"/><Relationship Id="rId326" Type="http://schemas.openxmlformats.org/officeDocument/2006/relationships/hyperlink" Target="https://maps.app.goo.gl/iGZJNa2TkBcgqADJ8" TargetMode="External"/><Relationship Id="rId533" Type="http://schemas.openxmlformats.org/officeDocument/2006/relationships/hyperlink" Target="https://maps.app.goo.gl/FsjKy3NCx2Kkoigs5" TargetMode="External"/><Relationship Id="rId65" Type="http://schemas.openxmlformats.org/officeDocument/2006/relationships/hyperlink" Target="https://maps.app.goo.gl/S9jcnDQXiGPjY3ms5" TargetMode="External"/><Relationship Id="rId130" Type="http://schemas.openxmlformats.org/officeDocument/2006/relationships/hyperlink" Target="https://maps.app.goo.gl/QmrpPcKVtnzG3YbZ9" TargetMode="External"/><Relationship Id="rId368" Type="http://schemas.openxmlformats.org/officeDocument/2006/relationships/hyperlink" Target="https://maps.app.goo.gl/2Acjm7nwMW9nka6d7" TargetMode="External"/><Relationship Id="rId172" Type="http://schemas.openxmlformats.org/officeDocument/2006/relationships/hyperlink" Target="https://maps.app.goo.gl/8YRQM3bdCtzdj22m9" TargetMode="External"/><Relationship Id="rId228" Type="http://schemas.openxmlformats.org/officeDocument/2006/relationships/hyperlink" Target="https://maps.app.goo.gl/Sogoy4dGcgAe9azs7" TargetMode="External"/><Relationship Id="rId435" Type="http://schemas.openxmlformats.org/officeDocument/2006/relationships/hyperlink" Target="https://maps.app.goo.gl/HGNNaoXG1z9Tg7Sv6" TargetMode="External"/><Relationship Id="rId477" Type="http://schemas.openxmlformats.org/officeDocument/2006/relationships/hyperlink" Target="https://maps.app.goo.gl/8gAsJzZWJLTFZLbX8" TargetMode="External"/><Relationship Id="rId281" Type="http://schemas.openxmlformats.org/officeDocument/2006/relationships/hyperlink" Target="https://maps.app.goo.gl/gUEUMPkWA2M1ekoD9" TargetMode="External"/><Relationship Id="rId337" Type="http://schemas.openxmlformats.org/officeDocument/2006/relationships/hyperlink" Target="https://maps.app.goo.gl/rbvyHGELnx5Qin5V6" TargetMode="External"/><Relationship Id="rId502" Type="http://schemas.openxmlformats.org/officeDocument/2006/relationships/hyperlink" Target="https://maps.app.goo.gl/uM2N8KmrPVdcT6gN7" TargetMode="External"/><Relationship Id="rId34" Type="http://schemas.openxmlformats.org/officeDocument/2006/relationships/hyperlink" Target="https://maps.app.goo.gl/ceLYfhAyoc3PuGrq8" TargetMode="External"/><Relationship Id="rId76" Type="http://schemas.openxmlformats.org/officeDocument/2006/relationships/hyperlink" Target="https://maps.app.goo.gl/QcYgmU4jCFadFpVc8" TargetMode="External"/><Relationship Id="rId141" Type="http://schemas.openxmlformats.org/officeDocument/2006/relationships/hyperlink" Target="https://maps.app.goo.gl/13LQGnLMj78oyp2g7" TargetMode="External"/><Relationship Id="rId379" Type="http://schemas.openxmlformats.org/officeDocument/2006/relationships/hyperlink" Target="https://maps.app.goo.gl/85soGe2nBbMgsWi39" TargetMode="External"/><Relationship Id="rId544" Type="http://schemas.openxmlformats.org/officeDocument/2006/relationships/hyperlink" Target="https://maps.app.goo.gl/qRdpVFZ9x9fCYHwJA" TargetMode="External"/><Relationship Id="rId7" Type="http://schemas.openxmlformats.org/officeDocument/2006/relationships/hyperlink" Target="https://maps.app.goo.gl/i7ECNA7vSdMPBD6EA" TargetMode="External"/><Relationship Id="rId183" Type="http://schemas.openxmlformats.org/officeDocument/2006/relationships/hyperlink" Target="https://maps.app.goo.gl/XmzUXZc8HUAtybwPA" TargetMode="External"/><Relationship Id="rId239" Type="http://schemas.openxmlformats.org/officeDocument/2006/relationships/hyperlink" Target="https://maps.app.goo.gl/e5TSAzw6bkcBThy17" TargetMode="External"/><Relationship Id="rId390" Type="http://schemas.openxmlformats.org/officeDocument/2006/relationships/hyperlink" Target="https://maps.app.goo.gl/Dd4jh3Tw1V5VdjjW9" TargetMode="External"/><Relationship Id="rId404" Type="http://schemas.openxmlformats.org/officeDocument/2006/relationships/hyperlink" Target="https://maps.app.goo.gl/ujZMxQ6ZbUhFasNK7" TargetMode="External"/><Relationship Id="rId446" Type="http://schemas.openxmlformats.org/officeDocument/2006/relationships/hyperlink" Target="https://maps.app.goo.gl/J3o6yWPb8MXdMVf36" TargetMode="External"/><Relationship Id="rId250" Type="http://schemas.openxmlformats.org/officeDocument/2006/relationships/hyperlink" Target="https://maps.app.goo.gl/wfDsw2UzbreawBJK9" TargetMode="External"/><Relationship Id="rId292" Type="http://schemas.openxmlformats.org/officeDocument/2006/relationships/hyperlink" Target="https://maps.app.goo.gl/n2SeAQ9YFPxJCrwx6" TargetMode="External"/><Relationship Id="rId306" Type="http://schemas.openxmlformats.org/officeDocument/2006/relationships/hyperlink" Target="https://maps.app.goo.gl/EgUsVCrADbktZvuE9" TargetMode="External"/><Relationship Id="rId488" Type="http://schemas.openxmlformats.org/officeDocument/2006/relationships/hyperlink" Target="https://maps.app.goo.gl/8UWmxfHt8Zn1TEAb7" TargetMode="External"/><Relationship Id="rId45" Type="http://schemas.openxmlformats.org/officeDocument/2006/relationships/hyperlink" Target="https://maps.app.goo.gl/vFqnas4phNm9tXeK6" TargetMode="External"/><Relationship Id="rId87" Type="http://schemas.openxmlformats.org/officeDocument/2006/relationships/hyperlink" Target="https://maps.app.goo.gl/nHXaAQaqXS3neKXv6" TargetMode="External"/><Relationship Id="rId110" Type="http://schemas.openxmlformats.org/officeDocument/2006/relationships/hyperlink" Target="https://maps.app.goo.gl/adhpe1vJdgPpXWnM9" TargetMode="External"/><Relationship Id="rId348" Type="http://schemas.openxmlformats.org/officeDocument/2006/relationships/hyperlink" Target="https://maps.app.goo.gl/KBi8cZ5sTyZeRqmR7" TargetMode="External"/><Relationship Id="rId513" Type="http://schemas.openxmlformats.org/officeDocument/2006/relationships/hyperlink" Target="https://maps.app.goo.gl/1DTpGtdvpHgeXDnL8" TargetMode="External"/><Relationship Id="rId555" Type="http://schemas.openxmlformats.org/officeDocument/2006/relationships/comments" Target="../comments4.xml"/><Relationship Id="rId152" Type="http://schemas.openxmlformats.org/officeDocument/2006/relationships/hyperlink" Target="https://maps.app.goo.gl/MFNPuD2ykSenSE1x9" TargetMode="External"/><Relationship Id="rId194" Type="http://schemas.openxmlformats.org/officeDocument/2006/relationships/hyperlink" Target="https://maps.app.goo.gl/n141kaiNyGSatP2E8" TargetMode="External"/><Relationship Id="rId208" Type="http://schemas.openxmlformats.org/officeDocument/2006/relationships/hyperlink" Target="https://maps.app.goo.gl/HVtdoodKzfKys6Vc9" TargetMode="External"/><Relationship Id="rId415" Type="http://schemas.openxmlformats.org/officeDocument/2006/relationships/hyperlink" Target="https://maps.app.goo.gl/StjrpsY1kRuzJrQEA" TargetMode="External"/><Relationship Id="rId457" Type="http://schemas.openxmlformats.org/officeDocument/2006/relationships/hyperlink" Target="https://maps.app.goo.gl/CbPK2jJyr47AykHS8" TargetMode="External"/><Relationship Id="rId261" Type="http://schemas.openxmlformats.org/officeDocument/2006/relationships/hyperlink" Target="https://maps.app.goo.gl/sFWcjvgxAyJMwVHW9" TargetMode="External"/><Relationship Id="rId499" Type="http://schemas.openxmlformats.org/officeDocument/2006/relationships/hyperlink" Target="https://maps.app.goo.gl/i4bEq5XS5PsckY9x7" TargetMode="External"/><Relationship Id="rId14" Type="http://schemas.openxmlformats.org/officeDocument/2006/relationships/hyperlink" Target="https://maps.app.goo.gl/Hq95h9r6XWDMX6Jn7" TargetMode="External"/><Relationship Id="rId56" Type="http://schemas.openxmlformats.org/officeDocument/2006/relationships/hyperlink" Target="https://maps.app.goo.gl/xkk5wQeL5ZbrKeL28" TargetMode="External"/><Relationship Id="rId317" Type="http://schemas.openxmlformats.org/officeDocument/2006/relationships/hyperlink" Target="https://maps.app.goo.gl/o7UUKpQ53nVQHYBR7" TargetMode="External"/><Relationship Id="rId359" Type="http://schemas.openxmlformats.org/officeDocument/2006/relationships/hyperlink" Target="https://maps.app.goo.gl/WFGSPB1YEevtTzvZ6" TargetMode="External"/><Relationship Id="rId524" Type="http://schemas.openxmlformats.org/officeDocument/2006/relationships/hyperlink" Target="https://maps.app.goo.gl/51xKoA9oQvSuocdt9" TargetMode="External"/><Relationship Id="rId98" Type="http://schemas.openxmlformats.org/officeDocument/2006/relationships/hyperlink" Target="https://maps.app.goo.gl/hVuBQmv45xGntzLr6" TargetMode="External"/><Relationship Id="rId121" Type="http://schemas.openxmlformats.org/officeDocument/2006/relationships/hyperlink" Target="https://maps.app.goo.gl/TLGPghjdgQw3hth86" TargetMode="External"/><Relationship Id="rId163" Type="http://schemas.openxmlformats.org/officeDocument/2006/relationships/hyperlink" Target="https://maps.app.goo.gl/XLMQGCXU5xKGFhFh8" TargetMode="External"/><Relationship Id="rId219" Type="http://schemas.openxmlformats.org/officeDocument/2006/relationships/hyperlink" Target="https://maps.app.goo.gl/fn5W5mj6Qb42aZRF9" TargetMode="External"/><Relationship Id="rId370" Type="http://schemas.openxmlformats.org/officeDocument/2006/relationships/hyperlink" Target="https://maps.app.goo.gl/AynniHo76fc8owfMA" TargetMode="External"/><Relationship Id="rId426" Type="http://schemas.openxmlformats.org/officeDocument/2006/relationships/hyperlink" Target="https://maps.app.goo.gl/jxEmkjftybhwNDAV9" TargetMode="External"/><Relationship Id="rId230" Type="http://schemas.openxmlformats.org/officeDocument/2006/relationships/hyperlink" Target="https://maps.app.goo.gl/Sogoy4dGcgAe9azs7" TargetMode="External"/><Relationship Id="rId468" Type="http://schemas.openxmlformats.org/officeDocument/2006/relationships/hyperlink" Target="https://maps.app.goo.gl/w4tnipc1a89jFaqu9" TargetMode="External"/><Relationship Id="rId25" Type="http://schemas.openxmlformats.org/officeDocument/2006/relationships/hyperlink" Target="https://maps.app.goo.gl/cqdJBUm4qeGD5qS2A" TargetMode="External"/><Relationship Id="rId67" Type="http://schemas.openxmlformats.org/officeDocument/2006/relationships/hyperlink" Target="https://maps.app.goo.gl/2tUQvTQNQ765i5MNA" TargetMode="External"/><Relationship Id="rId272" Type="http://schemas.openxmlformats.org/officeDocument/2006/relationships/hyperlink" Target="https://maps.app.goo.gl/8UAETXqUdsBDKzza9" TargetMode="External"/><Relationship Id="rId328" Type="http://schemas.openxmlformats.org/officeDocument/2006/relationships/hyperlink" Target="https://maps.app.goo.gl/b1wJD1FbyJjF1XNWA" TargetMode="External"/><Relationship Id="rId535" Type="http://schemas.openxmlformats.org/officeDocument/2006/relationships/hyperlink" Target="https://maps.app.goo.gl/FyLMs9kSYiPRFCU68" TargetMode="External"/><Relationship Id="rId132" Type="http://schemas.openxmlformats.org/officeDocument/2006/relationships/hyperlink" Target="https://maps.app.goo.gl/xpmrdK34VbHk2EVL7" TargetMode="External"/><Relationship Id="rId174" Type="http://schemas.openxmlformats.org/officeDocument/2006/relationships/hyperlink" Target="https://maps.app.goo.gl/qecbASY6bmEJxqVe6" TargetMode="External"/><Relationship Id="rId381" Type="http://schemas.openxmlformats.org/officeDocument/2006/relationships/hyperlink" Target="https://maps.app.goo.gl/QPS87LtAFsqyveMXA" TargetMode="External"/><Relationship Id="rId241" Type="http://schemas.openxmlformats.org/officeDocument/2006/relationships/hyperlink" Target="https://maps.app.goo.gl/6H4S8SwbMPQYt7tQ7" TargetMode="External"/><Relationship Id="rId437" Type="http://schemas.openxmlformats.org/officeDocument/2006/relationships/hyperlink" Target="https://maps.app.goo.gl/AVQ8bbee9mGvsHc96" TargetMode="External"/><Relationship Id="rId479" Type="http://schemas.openxmlformats.org/officeDocument/2006/relationships/hyperlink" Target="https://maps.app.goo.gl/KLjZHPf5yXiujz9F9" TargetMode="External"/><Relationship Id="rId36" Type="http://schemas.openxmlformats.org/officeDocument/2006/relationships/hyperlink" Target="https://maps.app.goo.gl/ceLYfhAyoc3PuGrq8" TargetMode="External"/><Relationship Id="rId283" Type="http://schemas.openxmlformats.org/officeDocument/2006/relationships/hyperlink" Target="https://maps.app.goo.gl/atu8MXD4ERBZLfYe9" TargetMode="External"/><Relationship Id="rId339" Type="http://schemas.openxmlformats.org/officeDocument/2006/relationships/hyperlink" Target="https://maps.app.goo.gl/rbvyHGELnx5Qin5V6" TargetMode="External"/><Relationship Id="rId490" Type="http://schemas.openxmlformats.org/officeDocument/2006/relationships/hyperlink" Target="https://maps.app.goo.gl/7XRuP7EPAKKbAbak9" TargetMode="External"/><Relationship Id="rId504" Type="http://schemas.openxmlformats.org/officeDocument/2006/relationships/hyperlink" Target="https://maps.app.goo.gl/enwuyLvnGTeq68Yi7" TargetMode="External"/><Relationship Id="rId546" Type="http://schemas.openxmlformats.org/officeDocument/2006/relationships/hyperlink" Target="callto:42)%2099943-8825" TargetMode="External"/><Relationship Id="rId78" Type="http://schemas.openxmlformats.org/officeDocument/2006/relationships/hyperlink" Target="https://maps.app.goo.gl/vMAwzAtRTha4pYfC8" TargetMode="External"/><Relationship Id="rId101" Type="http://schemas.openxmlformats.org/officeDocument/2006/relationships/hyperlink" Target="https://maps.app.goo.gl/URYJGMMhb8uPwgcM6" TargetMode="External"/><Relationship Id="rId143" Type="http://schemas.openxmlformats.org/officeDocument/2006/relationships/hyperlink" Target="https://maps.app.goo.gl/RZTGBvDacgL32tY97" TargetMode="External"/><Relationship Id="rId185" Type="http://schemas.openxmlformats.org/officeDocument/2006/relationships/hyperlink" Target="https://maps.app.goo.gl/AiMZtbqbiyyduz7G8" TargetMode="External"/><Relationship Id="rId350" Type="http://schemas.openxmlformats.org/officeDocument/2006/relationships/hyperlink" Target="https://maps.app.goo.gl/gEJiDUiopRLjrptdA" TargetMode="External"/><Relationship Id="rId406" Type="http://schemas.openxmlformats.org/officeDocument/2006/relationships/hyperlink" Target="https://maps.app.goo.gl/8MVhGbhg9u6RKzWK8" TargetMode="External"/><Relationship Id="rId9" Type="http://schemas.openxmlformats.org/officeDocument/2006/relationships/hyperlink" Target="https://maps.app.goo.gl/XLMQGCXU5xKGFhFh8" TargetMode="External"/><Relationship Id="rId210" Type="http://schemas.openxmlformats.org/officeDocument/2006/relationships/hyperlink" Target="https://maps.app.goo.gl/rTjwvpV6ZGCKNist5" TargetMode="External"/><Relationship Id="rId392" Type="http://schemas.openxmlformats.org/officeDocument/2006/relationships/hyperlink" Target="https://maps.app.goo.gl/xgXDubccWB57iJrEA" TargetMode="External"/><Relationship Id="rId448" Type="http://schemas.openxmlformats.org/officeDocument/2006/relationships/hyperlink" Target="https://maps.app.goo.gl/1ueQhrYkPRxNcHAB8" TargetMode="External"/><Relationship Id="rId252" Type="http://schemas.openxmlformats.org/officeDocument/2006/relationships/hyperlink" Target="https://maps.app.goo.gl/REX8axsUmdTsdH2w5" TargetMode="External"/><Relationship Id="rId294" Type="http://schemas.openxmlformats.org/officeDocument/2006/relationships/hyperlink" Target="https://maps.app.goo.gl/eoB5X3JuNewmTJQ58" TargetMode="External"/><Relationship Id="rId308" Type="http://schemas.openxmlformats.org/officeDocument/2006/relationships/hyperlink" Target="https://maps.app.goo.gl/9cKPi8PWirU87nUJA" TargetMode="External"/><Relationship Id="rId515" Type="http://schemas.openxmlformats.org/officeDocument/2006/relationships/hyperlink" Target="https://maps.app.goo.gl/C6UZBMUQyxQTuzdf6" TargetMode="External"/><Relationship Id="rId47" Type="http://schemas.openxmlformats.org/officeDocument/2006/relationships/hyperlink" Target="https://maps.app.goo.gl/kTkRE5wxp5Lhb5yZ7" TargetMode="External"/><Relationship Id="rId89" Type="http://schemas.openxmlformats.org/officeDocument/2006/relationships/hyperlink" Target="https://maps.app.goo.gl/GVhrDYZqXNFTjND88" TargetMode="External"/><Relationship Id="rId112" Type="http://schemas.openxmlformats.org/officeDocument/2006/relationships/hyperlink" Target="https://maps.app.goo.gl/6neQiZi2dq1Jgz4V6" TargetMode="External"/><Relationship Id="rId154" Type="http://schemas.openxmlformats.org/officeDocument/2006/relationships/hyperlink" Target="https://maps.app.goo.gl/5hugU4vvH4tYz8sc6" TargetMode="External"/><Relationship Id="rId361" Type="http://schemas.openxmlformats.org/officeDocument/2006/relationships/hyperlink" Target="https://maps.app.goo.gl/mjnPtjYZLprUkRzMA" TargetMode="External"/><Relationship Id="rId196" Type="http://schemas.openxmlformats.org/officeDocument/2006/relationships/hyperlink" Target="https://maps.app.goo.gl/n141kaiNyGSatP2E8" TargetMode="External"/><Relationship Id="rId417" Type="http://schemas.openxmlformats.org/officeDocument/2006/relationships/hyperlink" Target="https://maps.app.goo.gl/nzqP81KiuQKxpqSC8" TargetMode="External"/><Relationship Id="rId459" Type="http://schemas.openxmlformats.org/officeDocument/2006/relationships/hyperlink" Target="https://maps.app.goo.gl/CbPK2jJyr47AykHS8" TargetMode="External"/><Relationship Id="rId16" Type="http://schemas.openxmlformats.org/officeDocument/2006/relationships/hyperlink" Target="https://maps.app.goo.gl/AVdWSfd7DKCbLwq26" TargetMode="External"/><Relationship Id="rId221" Type="http://schemas.openxmlformats.org/officeDocument/2006/relationships/hyperlink" Target="https://maps.app.goo.gl/fn5W5mj6Qb42aZRF9" TargetMode="External"/><Relationship Id="rId263" Type="http://schemas.openxmlformats.org/officeDocument/2006/relationships/hyperlink" Target="https://maps.app.goo.gl/32rXzyCJR9B1pgV9A" TargetMode="External"/><Relationship Id="rId319" Type="http://schemas.openxmlformats.org/officeDocument/2006/relationships/hyperlink" Target="https://maps.app.goo.gl/o7UUKpQ53nVQHYBR7" TargetMode="External"/><Relationship Id="rId470" Type="http://schemas.openxmlformats.org/officeDocument/2006/relationships/hyperlink" Target="https://maps.app.goo.gl/7mrkjbiZnKxmAY2L7" TargetMode="External"/><Relationship Id="rId526" Type="http://schemas.openxmlformats.org/officeDocument/2006/relationships/hyperlink" Target="https://maps.app.goo.gl/yKYBTRQHVzShXTEL9" TargetMode="External"/><Relationship Id="rId58" Type="http://schemas.openxmlformats.org/officeDocument/2006/relationships/hyperlink" Target="https://maps.app.goo.gl/TG5pvXmTcdx9yURe9" TargetMode="External"/><Relationship Id="rId123" Type="http://schemas.openxmlformats.org/officeDocument/2006/relationships/hyperlink" Target="https://maps.app.goo.gl/CbPK2jJyr47AykHS8" TargetMode="External"/><Relationship Id="rId330" Type="http://schemas.openxmlformats.org/officeDocument/2006/relationships/hyperlink" Target="https://maps.app.goo.gl/6puRt7U6pjzzawhD8" TargetMode="External"/><Relationship Id="rId165" Type="http://schemas.openxmlformats.org/officeDocument/2006/relationships/hyperlink" Target="https://maps.app.goo.gl/yE8kCShbwVAT8uck7" TargetMode="External"/><Relationship Id="rId372" Type="http://schemas.openxmlformats.org/officeDocument/2006/relationships/hyperlink" Target="https://maps.app.goo.gl/eyWNnGjALs5ag7949" TargetMode="External"/><Relationship Id="rId428" Type="http://schemas.openxmlformats.org/officeDocument/2006/relationships/hyperlink" Target="https://maps.app.goo.gl/yHY4EHYNv1Vp7REV9" TargetMode="External"/><Relationship Id="rId232" Type="http://schemas.openxmlformats.org/officeDocument/2006/relationships/hyperlink" Target="https://maps.app.goo.gl/Sogoy4dGcgAe9azs7" TargetMode="External"/><Relationship Id="rId274" Type="http://schemas.openxmlformats.org/officeDocument/2006/relationships/hyperlink" Target="https://maps.app.goo.gl/Usb7BQGaPkhaKHRM8" TargetMode="External"/><Relationship Id="rId481" Type="http://schemas.openxmlformats.org/officeDocument/2006/relationships/hyperlink" Target="https://maps.app.goo.gl/KLjZHPf5yXiujz9F9" TargetMode="External"/><Relationship Id="rId27" Type="http://schemas.openxmlformats.org/officeDocument/2006/relationships/hyperlink" Target="https://maps.app.goo.gl/7i3a22gHFdyzDkne8" TargetMode="External"/><Relationship Id="rId69" Type="http://schemas.openxmlformats.org/officeDocument/2006/relationships/hyperlink" Target="https://maps.app.goo.gl/Q6FiCemVhfej4oaLA" TargetMode="External"/><Relationship Id="rId134" Type="http://schemas.openxmlformats.org/officeDocument/2006/relationships/hyperlink" Target="https://maps.app.goo.gl/nVMRJLNCMAJJVcSZA" TargetMode="External"/><Relationship Id="rId537" Type="http://schemas.openxmlformats.org/officeDocument/2006/relationships/hyperlink" Target="https://maps.app.goo.gl/bbmwJsiFuUKgTsyN8" TargetMode="External"/><Relationship Id="rId80" Type="http://schemas.openxmlformats.org/officeDocument/2006/relationships/hyperlink" Target="https://maps.app.goo.gl/k5cY1j76geeZo2Re8" TargetMode="External"/><Relationship Id="rId176" Type="http://schemas.openxmlformats.org/officeDocument/2006/relationships/hyperlink" Target="https://maps.app.goo.gl/SG7B8PxoE9aLTV4x8" TargetMode="External"/><Relationship Id="rId341" Type="http://schemas.openxmlformats.org/officeDocument/2006/relationships/hyperlink" Target="https://maps.app.goo.gl/CaPuVBUAG8SzGREc7" TargetMode="External"/><Relationship Id="rId383" Type="http://schemas.openxmlformats.org/officeDocument/2006/relationships/hyperlink" Target="https://maps.app.goo.gl/gg9UAXM4tcmmyC9K7" TargetMode="External"/><Relationship Id="rId439" Type="http://schemas.openxmlformats.org/officeDocument/2006/relationships/hyperlink" Target="https://maps.app.goo.gl/Hk554D68xePQYTym6" TargetMode="External"/><Relationship Id="rId201" Type="http://schemas.openxmlformats.org/officeDocument/2006/relationships/hyperlink" Target="https://maps.app.goo.gl/PVNhWdmHpENEwSmX7" TargetMode="External"/><Relationship Id="rId243" Type="http://schemas.openxmlformats.org/officeDocument/2006/relationships/hyperlink" Target="https://maps.app.goo.gl/hJDdJqLQr8CaxX9b6" TargetMode="External"/><Relationship Id="rId285" Type="http://schemas.openxmlformats.org/officeDocument/2006/relationships/hyperlink" Target="https://maps.app.goo.gl/QcaK7mu4niQJiBru8" TargetMode="External"/><Relationship Id="rId450" Type="http://schemas.openxmlformats.org/officeDocument/2006/relationships/hyperlink" Target="https://maps.app.goo.gl/Nux4qBHj83Mm5PHu8" TargetMode="External"/><Relationship Id="rId506" Type="http://schemas.openxmlformats.org/officeDocument/2006/relationships/hyperlink" Target="https://maps.app.goo.gl/ctWKxgHBeqbeAcNDA" TargetMode="External"/><Relationship Id="rId38" Type="http://schemas.openxmlformats.org/officeDocument/2006/relationships/hyperlink" Target="https://maps.app.goo.gl/SKMnoqyznWoM3WF69" TargetMode="External"/><Relationship Id="rId103" Type="http://schemas.openxmlformats.org/officeDocument/2006/relationships/hyperlink" Target="https://maps.app.goo.gl/3n8pyLAuMN1YZGZ48" TargetMode="External"/><Relationship Id="rId310" Type="http://schemas.openxmlformats.org/officeDocument/2006/relationships/hyperlink" Target="https://maps.app.goo.gl/iA6teASuFaf6oEtr6" TargetMode="External"/><Relationship Id="rId492" Type="http://schemas.openxmlformats.org/officeDocument/2006/relationships/hyperlink" Target="https://maps.app.goo.gl/hbRDywmLbvb9TGa8A" TargetMode="External"/><Relationship Id="rId548" Type="http://schemas.openxmlformats.org/officeDocument/2006/relationships/hyperlink" Target="mailto:luiz.felipe@coasul.com.br" TargetMode="External"/><Relationship Id="rId91" Type="http://schemas.openxmlformats.org/officeDocument/2006/relationships/hyperlink" Target="https://maps.app.goo.gl/E266fHjSjtUFWnHL7" TargetMode="External"/><Relationship Id="rId145" Type="http://schemas.openxmlformats.org/officeDocument/2006/relationships/hyperlink" Target="https://maps.app.goo.gl/Hk554D68xePQYTym6" TargetMode="External"/><Relationship Id="rId187" Type="http://schemas.openxmlformats.org/officeDocument/2006/relationships/hyperlink" Target="https://maps.app.goo.gl/6SDvWX1qDtQjcKBz9" TargetMode="External"/><Relationship Id="rId352" Type="http://schemas.openxmlformats.org/officeDocument/2006/relationships/hyperlink" Target="https://maps.app.goo.gl/1in39UoWSHkjfQc4A" TargetMode="External"/><Relationship Id="rId394" Type="http://schemas.openxmlformats.org/officeDocument/2006/relationships/hyperlink" Target="https://maps.app.goo.gl/SPRqPytUzmrZmsd76" TargetMode="External"/><Relationship Id="rId408" Type="http://schemas.openxmlformats.org/officeDocument/2006/relationships/hyperlink" Target="https://maps.app.goo.gl/gfvwJW47GEjxVBL26" TargetMode="External"/><Relationship Id="rId212" Type="http://schemas.openxmlformats.org/officeDocument/2006/relationships/hyperlink" Target="https://maps.app.goo.gl/yWKDXRpj1AecJruL7" TargetMode="External"/><Relationship Id="rId254" Type="http://schemas.openxmlformats.org/officeDocument/2006/relationships/hyperlink" Target="https://maps.app.goo.gl/eHomBAbY7nAqsy8dA" TargetMode="External"/><Relationship Id="rId49" Type="http://schemas.openxmlformats.org/officeDocument/2006/relationships/hyperlink" Target="https://maps.app.goo.gl/Anrbkq3ubMj7Uchc9" TargetMode="External"/><Relationship Id="rId114" Type="http://schemas.openxmlformats.org/officeDocument/2006/relationships/hyperlink" Target="https://maps.app.goo.gl/pMx5woj8ieqXs74n9" TargetMode="External"/><Relationship Id="rId296" Type="http://schemas.openxmlformats.org/officeDocument/2006/relationships/hyperlink" Target="https://maps.app.goo.gl/AFSLJTMWGMY85qXp6" TargetMode="External"/><Relationship Id="rId461" Type="http://schemas.openxmlformats.org/officeDocument/2006/relationships/hyperlink" Target="https://maps.app.goo.gl/c4CW1YRPu7D6cSSj9" TargetMode="External"/><Relationship Id="rId517" Type="http://schemas.openxmlformats.org/officeDocument/2006/relationships/hyperlink" Target="https://maps.app.goo.gl/wUg2gqpHotZXKLZr8" TargetMode="External"/><Relationship Id="rId60" Type="http://schemas.openxmlformats.org/officeDocument/2006/relationships/hyperlink" Target="https://maps.app.goo.gl/edpHeLNzyGwGhj5E8" TargetMode="External"/><Relationship Id="rId156" Type="http://schemas.openxmlformats.org/officeDocument/2006/relationships/hyperlink" Target="https://maps.app.goo.gl/78pmQPWArX2mcFXj8" TargetMode="External"/><Relationship Id="rId198" Type="http://schemas.openxmlformats.org/officeDocument/2006/relationships/hyperlink" Target="https://maps.app.goo.gl/tF6s4hHvovSe1cNx7" TargetMode="External"/><Relationship Id="rId321" Type="http://schemas.openxmlformats.org/officeDocument/2006/relationships/hyperlink" Target="https://maps.app.goo.gl/VFgPsLzvEmYWv4d8A" TargetMode="External"/><Relationship Id="rId363" Type="http://schemas.openxmlformats.org/officeDocument/2006/relationships/hyperlink" Target="https://maps.app.goo.gl/Qi6kGYAM4sfZ5p2h9" TargetMode="External"/><Relationship Id="rId419" Type="http://schemas.openxmlformats.org/officeDocument/2006/relationships/hyperlink" Target="https://maps.app.goo.gl/UC3Qa8tA5L1R9brQ6" TargetMode="External"/><Relationship Id="rId223" Type="http://schemas.openxmlformats.org/officeDocument/2006/relationships/hyperlink" Target="https://maps.app.goo.gl/B9atv2qTZt1ML9xG8" TargetMode="External"/><Relationship Id="rId430" Type="http://schemas.openxmlformats.org/officeDocument/2006/relationships/hyperlink" Target="https://maps.app.goo.gl/kTkRE5wxp5Lhb5yZ7" TargetMode="External"/><Relationship Id="rId18" Type="http://schemas.openxmlformats.org/officeDocument/2006/relationships/hyperlink" Target="https://maps.app.goo.gl/C2dWE9Rbr7DiZVuq6" TargetMode="External"/><Relationship Id="rId265" Type="http://schemas.openxmlformats.org/officeDocument/2006/relationships/hyperlink" Target="https://maps.app.goo.gl/NFdWPjmCpSgbgMaLA" TargetMode="External"/><Relationship Id="rId472" Type="http://schemas.openxmlformats.org/officeDocument/2006/relationships/hyperlink" Target="https://maps.app.goo.gl/zmUZjZAyuFze2yoR7" TargetMode="External"/><Relationship Id="rId528" Type="http://schemas.openxmlformats.org/officeDocument/2006/relationships/hyperlink" Target="https://maps.app.goo.gl/GAgdBSM7mD8uMg5EA" TargetMode="External"/><Relationship Id="rId125" Type="http://schemas.openxmlformats.org/officeDocument/2006/relationships/hyperlink" Target="https://maps.app.goo.gl/RRCYVWk8bkvcbKQH8" TargetMode="External"/><Relationship Id="rId167" Type="http://schemas.openxmlformats.org/officeDocument/2006/relationships/hyperlink" Target="https://maps.app.goo.gl/iLPYzngmmy8fbV5Z9" TargetMode="External"/><Relationship Id="rId332" Type="http://schemas.openxmlformats.org/officeDocument/2006/relationships/hyperlink" Target="https://maps.app.goo.gl/TwA98DiKDH7gWyze9" TargetMode="External"/><Relationship Id="rId374" Type="http://schemas.openxmlformats.org/officeDocument/2006/relationships/hyperlink" Target="https://maps.app.goo.gl/yE8kCShbwVAT8uck7" TargetMode="External"/><Relationship Id="rId71" Type="http://schemas.openxmlformats.org/officeDocument/2006/relationships/hyperlink" Target="https://maps.app.goo.gl/3X21Nft7y7wrcbLK7" TargetMode="External"/><Relationship Id="rId234" Type="http://schemas.openxmlformats.org/officeDocument/2006/relationships/hyperlink" Target="https://maps.app.goo.gl/Sogoy4dGcgAe9azs7" TargetMode="External"/><Relationship Id="rId2" Type="http://schemas.openxmlformats.org/officeDocument/2006/relationships/hyperlink" Target="https://maps.app.goo.gl/eWMni9V3gfiP2Hti8" TargetMode="External"/><Relationship Id="rId29" Type="http://schemas.openxmlformats.org/officeDocument/2006/relationships/hyperlink" Target="https://maps.app.goo.gl/qFHs3JUXZHybGEbFA" TargetMode="External"/><Relationship Id="rId276" Type="http://schemas.openxmlformats.org/officeDocument/2006/relationships/hyperlink" Target="https://maps.app.goo.gl/egN5uLQKpKqtsygT6" TargetMode="External"/><Relationship Id="rId441" Type="http://schemas.openxmlformats.org/officeDocument/2006/relationships/hyperlink" Target="https://maps.app.goo.gl/H7HX72WqxbbTV5ySA" TargetMode="External"/><Relationship Id="rId483" Type="http://schemas.openxmlformats.org/officeDocument/2006/relationships/hyperlink" Target="https://maps.app.goo.gl/KLjZHPf5yXiujz9F9" TargetMode="External"/><Relationship Id="rId539" Type="http://schemas.openxmlformats.org/officeDocument/2006/relationships/hyperlink" Target="https://maps.app.goo.gl/RyDrqM6ADinybSWLA" TargetMode="External"/><Relationship Id="rId40" Type="http://schemas.openxmlformats.org/officeDocument/2006/relationships/hyperlink" Target="https://maps.app.goo.gl/xx1jiw73AqQTmXB59" TargetMode="External"/><Relationship Id="rId136" Type="http://schemas.openxmlformats.org/officeDocument/2006/relationships/hyperlink" Target="https://maps.app.goo.gl/5s2E1ZZ1vTAzXJrd7" TargetMode="External"/><Relationship Id="rId178" Type="http://schemas.openxmlformats.org/officeDocument/2006/relationships/hyperlink" Target="https://maps.app.goo.gl/mmQD94suwuDry2NA6" TargetMode="External"/><Relationship Id="rId301" Type="http://schemas.openxmlformats.org/officeDocument/2006/relationships/hyperlink" Target="https://maps.app.goo.gl/3XNCyGVUVbMzbECn8" TargetMode="External"/><Relationship Id="rId343" Type="http://schemas.openxmlformats.org/officeDocument/2006/relationships/hyperlink" Target="https://maps.app.goo.gl/3mrpkwptYiaZbfgUA" TargetMode="External"/><Relationship Id="rId550" Type="http://schemas.openxmlformats.org/officeDocument/2006/relationships/hyperlink" Target="mailto:adenilson.rdelgado@gmail.com" TargetMode="External"/><Relationship Id="rId82" Type="http://schemas.openxmlformats.org/officeDocument/2006/relationships/hyperlink" Target="https://maps.app.goo.gl/2uQVZgrvn2WTN3u1A" TargetMode="External"/><Relationship Id="rId203" Type="http://schemas.openxmlformats.org/officeDocument/2006/relationships/hyperlink" Target="https://maps.app.goo.gl/ybT6snCBuFxPuy2a9" TargetMode="External"/><Relationship Id="rId385" Type="http://schemas.openxmlformats.org/officeDocument/2006/relationships/hyperlink" Target="https://maps.app.goo.gl/GQHcauaDMq85f5VXA" TargetMode="External"/><Relationship Id="rId245" Type="http://schemas.openxmlformats.org/officeDocument/2006/relationships/hyperlink" Target="https://maps.app.goo.gl/oAK15v6XXJoq5F6H8" TargetMode="External"/><Relationship Id="rId287" Type="http://schemas.openxmlformats.org/officeDocument/2006/relationships/hyperlink" Target="https://maps.app.goo.gl/LKb7MV1LmxBZq4mj6" TargetMode="External"/><Relationship Id="rId410" Type="http://schemas.openxmlformats.org/officeDocument/2006/relationships/hyperlink" Target="https://maps.app.goo.gl/RLS8uju5BXbDH7b1A" TargetMode="External"/><Relationship Id="rId452" Type="http://schemas.openxmlformats.org/officeDocument/2006/relationships/hyperlink" Target="https://maps.app.goo.gl/tv5aVyCnbK6NQ34H8" TargetMode="External"/><Relationship Id="rId494" Type="http://schemas.openxmlformats.org/officeDocument/2006/relationships/hyperlink" Target="https://maps.app.goo.gl/Z4sBhvXUniLWiVDF7" TargetMode="External"/><Relationship Id="rId508" Type="http://schemas.openxmlformats.org/officeDocument/2006/relationships/hyperlink" Target="https://maps.app.goo.gl/Uh8LwAockPBuUaea6" TargetMode="External"/><Relationship Id="rId105" Type="http://schemas.openxmlformats.org/officeDocument/2006/relationships/hyperlink" Target="https://maps.app.goo.gl/3n8pyLAuMN1YZGZ48" TargetMode="External"/><Relationship Id="rId147" Type="http://schemas.openxmlformats.org/officeDocument/2006/relationships/hyperlink" Target="https://maps.app.goo.gl/KNDqg4qiv4fTxJX89" TargetMode="External"/><Relationship Id="rId312" Type="http://schemas.openxmlformats.org/officeDocument/2006/relationships/hyperlink" Target="https://maps.app.goo.gl/9DVs9s2XhcSNskJH6" TargetMode="External"/><Relationship Id="rId354" Type="http://schemas.openxmlformats.org/officeDocument/2006/relationships/hyperlink" Target="https://maps.app.goo.gl/4KExSYcpv41KV2sNA" TargetMode="External"/><Relationship Id="rId51" Type="http://schemas.openxmlformats.org/officeDocument/2006/relationships/hyperlink" Target="https://maps.app.goo.gl/mmE9M5GttifMzNW69" TargetMode="External"/><Relationship Id="rId93" Type="http://schemas.openxmlformats.org/officeDocument/2006/relationships/hyperlink" Target="https://maps.app.goo.gl/79fsyWEFgYfd4wPYA" TargetMode="External"/><Relationship Id="rId189" Type="http://schemas.openxmlformats.org/officeDocument/2006/relationships/hyperlink" Target="https://maps.app.goo.gl/6SDvWX1qDtQjcKBz9" TargetMode="External"/><Relationship Id="rId396" Type="http://schemas.openxmlformats.org/officeDocument/2006/relationships/hyperlink" Target="https://maps.app.goo.gl/mu2Ahkok9AWG58Yd6" TargetMode="External"/><Relationship Id="rId214" Type="http://schemas.openxmlformats.org/officeDocument/2006/relationships/hyperlink" Target="https://maps.app.goo.gl/zjnGLGuwfNqe9CD47" TargetMode="External"/><Relationship Id="rId256" Type="http://schemas.openxmlformats.org/officeDocument/2006/relationships/hyperlink" Target="https://maps.app.goo.gl/7sXqKEPPpcpo3Rpt5" TargetMode="External"/><Relationship Id="rId298" Type="http://schemas.openxmlformats.org/officeDocument/2006/relationships/hyperlink" Target="https://maps.app.goo.gl/6TKsRoY4eR9tiC2u8" TargetMode="External"/><Relationship Id="rId421" Type="http://schemas.openxmlformats.org/officeDocument/2006/relationships/hyperlink" Target="https://maps.app.goo.gl/8ub9gWrjcPMbQy5X7" TargetMode="External"/><Relationship Id="rId463" Type="http://schemas.openxmlformats.org/officeDocument/2006/relationships/hyperlink" Target="https://maps.app.goo.gl/8ooj369UfZ7yjZPh8" TargetMode="External"/><Relationship Id="rId519" Type="http://schemas.openxmlformats.org/officeDocument/2006/relationships/hyperlink" Target="https://maps.app.goo.gl/T1gzhEc5pa9yPgB9A" TargetMode="External"/><Relationship Id="rId116" Type="http://schemas.openxmlformats.org/officeDocument/2006/relationships/hyperlink" Target="https://maps.app.goo.gl/3YRztLpec34ThCwJ9" TargetMode="External"/><Relationship Id="rId158" Type="http://schemas.openxmlformats.org/officeDocument/2006/relationships/hyperlink" Target="https://maps.app.goo.gl/DKLNnLKj7F6qmZoN6" TargetMode="External"/><Relationship Id="rId323" Type="http://schemas.openxmlformats.org/officeDocument/2006/relationships/hyperlink" Target="https://maps.app.goo.gl/VFgPsLzvEmYWv4d8A" TargetMode="External"/><Relationship Id="rId530" Type="http://schemas.openxmlformats.org/officeDocument/2006/relationships/hyperlink" Target="https://maps.app.goo.gl/Hj2avCuDHC3iWfEY7" TargetMode="External"/><Relationship Id="rId20" Type="http://schemas.openxmlformats.org/officeDocument/2006/relationships/hyperlink" Target="https://maps.app.goo.gl/eGBSKH9Wy79oZ98S7" TargetMode="External"/><Relationship Id="rId62" Type="http://schemas.openxmlformats.org/officeDocument/2006/relationships/hyperlink" Target="https://maps.app.goo.gl/955EvSHiv9ZNry8N7" TargetMode="External"/><Relationship Id="rId365" Type="http://schemas.openxmlformats.org/officeDocument/2006/relationships/hyperlink" Target="https://maps.app.goo.gl/7Ns6XUXjHzrLPPgo7" TargetMode="External"/><Relationship Id="rId225" Type="http://schemas.openxmlformats.org/officeDocument/2006/relationships/hyperlink" Target="https://maps.app.goo.gl/Sogoy4dGcgAe9azs7" TargetMode="External"/><Relationship Id="rId267" Type="http://schemas.openxmlformats.org/officeDocument/2006/relationships/hyperlink" Target="https://maps.app.goo.gl/JVCoarCLtyQdZVy19" TargetMode="External"/><Relationship Id="rId432" Type="http://schemas.openxmlformats.org/officeDocument/2006/relationships/hyperlink" Target="https://maps.app.goo.gl/yWKDXRpj1AecJruL7" TargetMode="External"/><Relationship Id="rId474" Type="http://schemas.openxmlformats.org/officeDocument/2006/relationships/hyperlink" Target="https://maps.app.goo.gl/yehKY7NopxfSmqnAA" TargetMode="External"/><Relationship Id="rId127" Type="http://schemas.openxmlformats.org/officeDocument/2006/relationships/hyperlink" Target="https://maps.app.goo.gl/YMysFGA74QuLFr958" TargetMode="External"/><Relationship Id="rId31" Type="http://schemas.openxmlformats.org/officeDocument/2006/relationships/hyperlink" Target="https://maps.app.goo.gl/FHSot3qC8bFaZUDw7" TargetMode="External"/><Relationship Id="rId73" Type="http://schemas.openxmlformats.org/officeDocument/2006/relationships/hyperlink" Target="https://maps.app.goo.gl/w8sdcBQ6feyHHvE36" TargetMode="External"/><Relationship Id="rId169" Type="http://schemas.openxmlformats.org/officeDocument/2006/relationships/hyperlink" Target="https://maps.app.goo.gl/rkvyxcHBCViHqpHP9" TargetMode="External"/><Relationship Id="rId334" Type="http://schemas.openxmlformats.org/officeDocument/2006/relationships/hyperlink" Target="https://maps.app.goo.gl/XmzUXZc8HUAtybwPA" TargetMode="External"/><Relationship Id="rId376" Type="http://schemas.openxmlformats.org/officeDocument/2006/relationships/hyperlink" Target="https://maps.app.goo.gl/J3o6yWPb8MXdMVf36" TargetMode="External"/><Relationship Id="rId541" Type="http://schemas.openxmlformats.org/officeDocument/2006/relationships/hyperlink" Target="https://maps.app.goo.gl/qRdpVFZ9x9fCYHwJA" TargetMode="External"/><Relationship Id="rId4" Type="http://schemas.openxmlformats.org/officeDocument/2006/relationships/hyperlink" Target="mailto:Rh.loja18@boxatacadista.com.br" TargetMode="External"/><Relationship Id="rId180" Type="http://schemas.openxmlformats.org/officeDocument/2006/relationships/hyperlink" Target="https://maps.app.goo.gl/gkJiReAJ9QYywemw8" TargetMode="External"/><Relationship Id="rId236" Type="http://schemas.openxmlformats.org/officeDocument/2006/relationships/hyperlink" Target="https://maps.app.goo.gl/V6gAC9mqPgJJnuSdA" TargetMode="External"/><Relationship Id="rId278" Type="http://schemas.openxmlformats.org/officeDocument/2006/relationships/hyperlink" Target="https://maps.app.goo.gl/FqJRuU4ea4pGpTRF6" TargetMode="External"/><Relationship Id="rId401" Type="http://schemas.openxmlformats.org/officeDocument/2006/relationships/hyperlink" Target="https://maps.app.goo.gl/wcxynRiyxzL2WhrK7" TargetMode="External"/><Relationship Id="rId443" Type="http://schemas.openxmlformats.org/officeDocument/2006/relationships/hyperlink" Target="https://maps.app.goo.gl/BHehLFAXZDVwzfxk6" TargetMode="External"/><Relationship Id="rId303" Type="http://schemas.openxmlformats.org/officeDocument/2006/relationships/hyperlink" Target="https://maps.app.goo.gl/BKshdVdi7uCiPGiQ7" TargetMode="External"/><Relationship Id="rId485" Type="http://schemas.openxmlformats.org/officeDocument/2006/relationships/hyperlink" Target="https://maps.app.goo.gl/8UWmxfHt8Zn1TEAb7" TargetMode="External"/><Relationship Id="rId42" Type="http://schemas.openxmlformats.org/officeDocument/2006/relationships/hyperlink" Target="https://maps.app.goo.gl/tiEjqZZCfMf9eCNu9" TargetMode="External"/><Relationship Id="rId84" Type="http://schemas.openxmlformats.org/officeDocument/2006/relationships/hyperlink" Target="https://maps.app.goo.gl/Tx4TeFBuEr2gY2jWA" TargetMode="External"/><Relationship Id="rId138" Type="http://schemas.openxmlformats.org/officeDocument/2006/relationships/hyperlink" Target="https://maps.app.goo.gl/h1UcffiVRcDWS7j78" TargetMode="External"/><Relationship Id="rId345" Type="http://schemas.openxmlformats.org/officeDocument/2006/relationships/hyperlink" Target="mailto:ger525@quero-quero.com" TargetMode="External"/><Relationship Id="rId387" Type="http://schemas.openxmlformats.org/officeDocument/2006/relationships/hyperlink" Target="https://maps.app.goo.gl/1kB3PFZJbnrdGFRUA" TargetMode="External"/><Relationship Id="rId510" Type="http://schemas.openxmlformats.org/officeDocument/2006/relationships/hyperlink" Target="https://maps.app.goo.gl/f77n3bLEkiJqyaCe7" TargetMode="External"/><Relationship Id="rId552" Type="http://schemas.openxmlformats.org/officeDocument/2006/relationships/hyperlink" Target="mailto:ECHAGAS@COAMO.COM.BR" TargetMode="External"/><Relationship Id="rId191" Type="http://schemas.openxmlformats.org/officeDocument/2006/relationships/hyperlink" Target="https://maps.app.goo.gl/RyDrqM6ADinybSWLA" TargetMode="External"/><Relationship Id="rId205" Type="http://schemas.openxmlformats.org/officeDocument/2006/relationships/hyperlink" Target="https://maps.app.goo.gl/qmKdyweMY5Ur2BqA8" TargetMode="External"/><Relationship Id="rId247" Type="http://schemas.openxmlformats.org/officeDocument/2006/relationships/hyperlink" Target="https://maps.app.goo.gl/7K5UWHyXcskUXTaD6" TargetMode="External"/><Relationship Id="rId412" Type="http://schemas.openxmlformats.org/officeDocument/2006/relationships/hyperlink" Target="https://maps.app.goo.gl/Eua1jmNtBdQsuaMd8" TargetMode="External"/><Relationship Id="rId107" Type="http://schemas.openxmlformats.org/officeDocument/2006/relationships/hyperlink" Target="https://maps.app.goo.gl/19UrHDFtYxC5fhyk7" TargetMode="External"/><Relationship Id="rId289" Type="http://schemas.openxmlformats.org/officeDocument/2006/relationships/hyperlink" Target="https://maps.app.goo.gl/wAM2d3kzBRMJh9Fv7" TargetMode="External"/><Relationship Id="rId454" Type="http://schemas.openxmlformats.org/officeDocument/2006/relationships/hyperlink" Target="https://maps.app.goo.gl/63fWM2vT8XvXshoG7" TargetMode="External"/><Relationship Id="rId496" Type="http://schemas.openxmlformats.org/officeDocument/2006/relationships/hyperlink" Target="https://maps.app.goo.gl/ZPcWsgo7nVMLDfpZA" TargetMode="External"/><Relationship Id="rId11" Type="http://schemas.openxmlformats.org/officeDocument/2006/relationships/hyperlink" Target="https://maps.app.goo.gl/uxk8pkVoD4Gva27Y8" TargetMode="External"/><Relationship Id="rId53" Type="http://schemas.openxmlformats.org/officeDocument/2006/relationships/hyperlink" Target="https://maps.app.goo.gl/YuwW8asLna3YpK4y6" TargetMode="External"/><Relationship Id="rId149" Type="http://schemas.openxmlformats.org/officeDocument/2006/relationships/hyperlink" Target="https://maps.app.goo.gl/pShNJHRpZLURdaSd8" TargetMode="External"/><Relationship Id="rId314" Type="http://schemas.openxmlformats.org/officeDocument/2006/relationships/hyperlink" Target="https://maps.app.goo.gl/fdp6qZZnxhi2kNQm7" TargetMode="External"/><Relationship Id="rId356" Type="http://schemas.openxmlformats.org/officeDocument/2006/relationships/hyperlink" Target="https://maps.app.goo.gl/CbPK2jJyr47AykHS8" TargetMode="External"/><Relationship Id="rId398" Type="http://schemas.openxmlformats.org/officeDocument/2006/relationships/hyperlink" Target="https://maps.app.goo.gl/g63VQWSs4My7nKza9" TargetMode="External"/><Relationship Id="rId521" Type="http://schemas.openxmlformats.org/officeDocument/2006/relationships/hyperlink" Target="https://maps.app.goo.gl/J8e3wY3S5kr2DUeV7" TargetMode="External"/><Relationship Id="rId95" Type="http://schemas.openxmlformats.org/officeDocument/2006/relationships/hyperlink" Target="https://maps.app.goo.gl/pwwMkexqg54hqUVR8" TargetMode="External"/><Relationship Id="rId160" Type="http://schemas.openxmlformats.org/officeDocument/2006/relationships/hyperlink" Target="https://maps.app.goo.gl/LGqaEqNTgx2towuEA" TargetMode="External"/><Relationship Id="rId216" Type="http://schemas.openxmlformats.org/officeDocument/2006/relationships/hyperlink" Target="https://maps.app.goo.gl/z8TdkxpWogRHys8k8" TargetMode="External"/><Relationship Id="rId423" Type="http://schemas.openxmlformats.org/officeDocument/2006/relationships/hyperlink" Target="https://maps.app.goo.gl/aZnpQ7HqeTbUaxMHA" TargetMode="External"/><Relationship Id="rId258" Type="http://schemas.openxmlformats.org/officeDocument/2006/relationships/hyperlink" Target="https://maps.app.goo.gl/3RYUjpKcRusFnCL69" TargetMode="External"/><Relationship Id="rId465" Type="http://schemas.openxmlformats.org/officeDocument/2006/relationships/hyperlink" Target="https://maps.app.goo.gl/AynniHo76fc8owfMA" TargetMode="External"/><Relationship Id="rId22" Type="http://schemas.openxmlformats.org/officeDocument/2006/relationships/hyperlink" Target="https://maps.app.goo.gl/EzxbkAQ1YxXe6Mwu6" TargetMode="External"/><Relationship Id="rId64" Type="http://schemas.openxmlformats.org/officeDocument/2006/relationships/hyperlink" Target="https://maps.app.goo.gl/S9jcnDQXiGPjY3ms5" TargetMode="External"/><Relationship Id="rId118" Type="http://schemas.openxmlformats.org/officeDocument/2006/relationships/hyperlink" Target="https://maps.app.goo.gl/eoB5X3JuNewmTJQ58" TargetMode="External"/><Relationship Id="rId325" Type="http://schemas.openxmlformats.org/officeDocument/2006/relationships/hyperlink" Target="https://maps.app.goo.gl/TyvK46WhNCfP2VBS6" TargetMode="External"/><Relationship Id="rId367" Type="http://schemas.openxmlformats.org/officeDocument/2006/relationships/hyperlink" Target="https://maps.app.goo.gl/C2dWE9Rbr7DiZVuq6" TargetMode="External"/><Relationship Id="rId532" Type="http://schemas.openxmlformats.org/officeDocument/2006/relationships/hyperlink" Target="https://maps.app.goo.gl/5ess77g2WV2SGUfPA" TargetMode="External"/><Relationship Id="rId171" Type="http://schemas.openxmlformats.org/officeDocument/2006/relationships/hyperlink" Target="https://maps.app.goo.gl/UAqqz3ZmFnHfB5WE8" TargetMode="External"/><Relationship Id="rId227" Type="http://schemas.openxmlformats.org/officeDocument/2006/relationships/hyperlink" Target="https://maps.app.goo.gl/Sogoy4dGcgAe9azs7" TargetMode="External"/><Relationship Id="rId269" Type="http://schemas.openxmlformats.org/officeDocument/2006/relationships/hyperlink" Target="https://maps.app.goo.gl/FgdFA2mqTCHBWKX56" TargetMode="External"/><Relationship Id="rId434" Type="http://schemas.openxmlformats.org/officeDocument/2006/relationships/hyperlink" Target="https://maps.app.goo.gl/gEJiDUiopRLjrptdA" TargetMode="External"/><Relationship Id="rId476" Type="http://schemas.openxmlformats.org/officeDocument/2006/relationships/hyperlink" Target="https://maps.app.goo.gl/mkSvXyzqonTxWStJ9" TargetMode="External"/><Relationship Id="rId33" Type="http://schemas.openxmlformats.org/officeDocument/2006/relationships/hyperlink" Target="https://maps.app.goo.gl/aZnpQ7HqeTbUaxMHA" TargetMode="External"/><Relationship Id="rId129" Type="http://schemas.openxmlformats.org/officeDocument/2006/relationships/hyperlink" Target="https://maps.app.goo.gl/wkLqdFoBmWQBkgUb9" TargetMode="External"/><Relationship Id="rId280" Type="http://schemas.openxmlformats.org/officeDocument/2006/relationships/hyperlink" Target="https://maps.app.goo.gl/7NW7AUCsPHtrSvva7" TargetMode="External"/><Relationship Id="rId336" Type="http://schemas.openxmlformats.org/officeDocument/2006/relationships/hyperlink" Target="https://maps.app.goo.gl/XmzUXZc8HUAtybwPA" TargetMode="External"/><Relationship Id="rId501" Type="http://schemas.openxmlformats.org/officeDocument/2006/relationships/hyperlink" Target="https://maps.app.goo.gl/bgcMQ8Rw6iGnvZt67" TargetMode="External"/><Relationship Id="rId543" Type="http://schemas.openxmlformats.org/officeDocument/2006/relationships/hyperlink" Target="https://maps.app.goo.gl/qRdpVFZ9x9fCYHwJA" TargetMode="External"/><Relationship Id="rId75" Type="http://schemas.openxmlformats.org/officeDocument/2006/relationships/hyperlink" Target="https://maps.app.goo.gl/ft2WEDReYYyVkbAE7" TargetMode="External"/><Relationship Id="rId140" Type="http://schemas.openxmlformats.org/officeDocument/2006/relationships/hyperlink" Target="https://maps.app.goo.gl/9r1GbDD6LF9iufgs7" TargetMode="External"/><Relationship Id="rId182" Type="http://schemas.openxmlformats.org/officeDocument/2006/relationships/hyperlink" Target="https://maps.app.goo.gl/yFuLe3HW8vQHBL1k7" TargetMode="External"/><Relationship Id="rId378" Type="http://schemas.openxmlformats.org/officeDocument/2006/relationships/hyperlink" Target="https://maps.app.goo.gl/nVMRJLNCMAJJVcSZA" TargetMode="External"/><Relationship Id="rId403" Type="http://schemas.openxmlformats.org/officeDocument/2006/relationships/hyperlink" Target="https://maps.app.goo.gl/tbHi4139TVmw9qXXA" TargetMode="External"/><Relationship Id="rId6" Type="http://schemas.openxmlformats.org/officeDocument/2006/relationships/hyperlink" Target="https://maps.app.goo.gl/78pmQPWArX2mcFXj8" TargetMode="External"/><Relationship Id="rId238" Type="http://schemas.openxmlformats.org/officeDocument/2006/relationships/hyperlink" Target="https://maps.app.goo.gl/wtNyyb4bweVYomBw5" TargetMode="External"/><Relationship Id="rId445" Type="http://schemas.openxmlformats.org/officeDocument/2006/relationships/hyperlink" Target="https://maps.app.goo.gl/Vvod3yUPm3dTw2kW7" TargetMode="External"/><Relationship Id="rId487" Type="http://schemas.openxmlformats.org/officeDocument/2006/relationships/hyperlink" Target="https://maps.app.goo.gl/8UWmxfHt8Zn1TEAb7" TargetMode="External"/><Relationship Id="rId291" Type="http://schemas.openxmlformats.org/officeDocument/2006/relationships/hyperlink" Target="https://maps.app.goo.gl/cYUtXvFEezqwUTmV9" TargetMode="External"/><Relationship Id="rId305" Type="http://schemas.openxmlformats.org/officeDocument/2006/relationships/hyperlink" Target="https://maps.app.goo.gl/KnNVq9ewCoBWQUws7" TargetMode="External"/><Relationship Id="rId347" Type="http://schemas.openxmlformats.org/officeDocument/2006/relationships/hyperlink" Target="https://maps.app.goo.gl/fnwdZGy9NdeCpzHb9" TargetMode="External"/><Relationship Id="rId512" Type="http://schemas.openxmlformats.org/officeDocument/2006/relationships/hyperlink" Target="https://maps.app.goo.gl/gQvEkrg1QYAwxXpS8" TargetMode="External"/><Relationship Id="rId44" Type="http://schemas.openxmlformats.org/officeDocument/2006/relationships/hyperlink" Target="https://maps.app.goo.gl/J3o6yWPb8MXdMVf36" TargetMode="External"/><Relationship Id="rId86" Type="http://schemas.openxmlformats.org/officeDocument/2006/relationships/hyperlink" Target="https://maps.app.goo.gl/wnDw7oMJh2uPv63v6" TargetMode="External"/><Relationship Id="rId151" Type="http://schemas.openxmlformats.org/officeDocument/2006/relationships/hyperlink" Target="https://maps.app.goo.gl/xXUT4HxJGgRZcGoc7" TargetMode="External"/><Relationship Id="rId389" Type="http://schemas.openxmlformats.org/officeDocument/2006/relationships/hyperlink" Target="https://maps.app.goo.gl/948crJKLohaiQjD28" TargetMode="External"/><Relationship Id="rId554" Type="http://schemas.openxmlformats.org/officeDocument/2006/relationships/table" Target="../tables/table3.xml"/><Relationship Id="rId193" Type="http://schemas.openxmlformats.org/officeDocument/2006/relationships/hyperlink" Target="https://maps.app.goo.gl/zT2A1rkTPJx3c2Q69" TargetMode="External"/><Relationship Id="rId207" Type="http://schemas.openxmlformats.org/officeDocument/2006/relationships/hyperlink" Target="https://maps.app.goo.gl/HVtdoodKzfKys6Vc9" TargetMode="External"/><Relationship Id="rId249" Type="http://schemas.openxmlformats.org/officeDocument/2006/relationships/hyperlink" Target="https://maps.app.goo.gl/1siRVFhyg3GcKEww5" TargetMode="External"/><Relationship Id="rId414" Type="http://schemas.openxmlformats.org/officeDocument/2006/relationships/hyperlink" Target="https://maps.app.goo.gl/ft2WEDReYYyVkbAE7" TargetMode="External"/><Relationship Id="rId456" Type="http://schemas.openxmlformats.org/officeDocument/2006/relationships/hyperlink" Target="https://maps.app.goo.gl/gVxxUXYpuJKqccSs5" TargetMode="External"/><Relationship Id="rId498" Type="http://schemas.openxmlformats.org/officeDocument/2006/relationships/hyperlink" Target="https://maps.app.goo.gl/SSuHPfnssQxHF85i9" TargetMode="External"/><Relationship Id="rId13" Type="http://schemas.openxmlformats.org/officeDocument/2006/relationships/hyperlink" Target="https://maps.app.goo.gl/gQLuPv9fqj2ADr2o7" TargetMode="External"/><Relationship Id="rId109" Type="http://schemas.openxmlformats.org/officeDocument/2006/relationships/hyperlink" Target="https://maps.app.goo.gl/eHaqc5xa3FKon2YJ9" TargetMode="External"/><Relationship Id="rId260" Type="http://schemas.openxmlformats.org/officeDocument/2006/relationships/hyperlink" Target="https://maps.app.goo.gl/ySydTqbnktwgtKGH8" TargetMode="External"/><Relationship Id="rId316" Type="http://schemas.openxmlformats.org/officeDocument/2006/relationships/hyperlink" Target="https://maps.app.goo.gl/fdp6qZZnxhi2kNQm7" TargetMode="External"/><Relationship Id="rId523" Type="http://schemas.openxmlformats.org/officeDocument/2006/relationships/hyperlink" Target="https://maps.app.goo.gl/51xKoA9oQvSuocdt9" TargetMode="External"/><Relationship Id="rId55" Type="http://schemas.openxmlformats.org/officeDocument/2006/relationships/hyperlink" Target="https://maps.app.goo.gl/hzQiu69GKpv3H8SF6" TargetMode="External"/><Relationship Id="rId97" Type="http://schemas.openxmlformats.org/officeDocument/2006/relationships/hyperlink" Target="https://maps.app.goo.gl/hVuBQmv45xGntzLr6" TargetMode="External"/><Relationship Id="rId120" Type="http://schemas.openxmlformats.org/officeDocument/2006/relationships/hyperlink" Target="https://maps.app.goo.gl/T3stwYYDWjSX1rD56" TargetMode="External"/><Relationship Id="rId358" Type="http://schemas.openxmlformats.org/officeDocument/2006/relationships/hyperlink" Target="https://maps.app.goo.gl/NVeqC33dPmcB8DFp6" TargetMode="External"/><Relationship Id="rId162" Type="http://schemas.openxmlformats.org/officeDocument/2006/relationships/hyperlink" Target="https://maps.app.goo.gl/RsDK6sYwh2wEarJo6" TargetMode="External"/><Relationship Id="rId218" Type="http://schemas.openxmlformats.org/officeDocument/2006/relationships/hyperlink" Target="https://maps.app.goo.gl/fn5W5mj6Qb42aZRF9" TargetMode="External"/><Relationship Id="rId425" Type="http://schemas.openxmlformats.org/officeDocument/2006/relationships/hyperlink" Target="https://maps.app.goo.gl/bkw8h6M5HKYM2NBd8" TargetMode="External"/><Relationship Id="rId467" Type="http://schemas.openxmlformats.org/officeDocument/2006/relationships/hyperlink" Target="https://maps.app.goo.gl/py972yUDgj9X6pzn7" TargetMode="External"/><Relationship Id="rId271" Type="http://schemas.openxmlformats.org/officeDocument/2006/relationships/hyperlink" Target="https://maps.app.goo.gl/KZ6t1h8V43FPYfrj7" TargetMode="External"/><Relationship Id="rId24" Type="http://schemas.openxmlformats.org/officeDocument/2006/relationships/hyperlink" Target="https://maps.app.goo.gl/gVCTBR71e6743acN8" TargetMode="External"/><Relationship Id="rId66" Type="http://schemas.openxmlformats.org/officeDocument/2006/relationships/hyperlink" Target="https://maps.app.goo.gl/S9jcnDQXiGPjY3ms5" TargetMode="External"/><Relationship Id="rId131" Type="http://schemas.openxmlformats.org/officeDocument/2006/relationships/hyperlink" Target="https://maps.app.goo.gl/dPGjYDZ6h97YKDNN7" TargetMode="External"/><Relationship Id="rId327" Type="http://schemas.openxmlformats.org/officeDocument/2006/relationships/hyperlink" Target="https://maps.app.goo.gl/zoovuPCLZkP3ossi6" TargetMode="External"/><Relationship Id="rId369" Type="http://schemas.openxmlformats.org/officeDocument/2006/relationships/hyperlink" Target="https://maps.app.goo.gl/tv5aVyCnbK6NQ34H8" TargetMode="External"/><Relationship Id="rId534" Type="http://schemas.openxmlformats.org/officeDocument/2006/relationships/hyperlink" Target="https://maps.app.goo.gl/mRo2XZM5gswL15ZW9" TargetMode="External"/><Relationship Id="rId173" Type="http://schemas.openxmlformats.org/officeDocument/2006/relationships/hyperlink" Target="https://maps.app.goo.gl/8YRQM3bdCtzdj22m9" TargetMode="External"/><Relationship Id="rId229" Type="http://schemas.openxmlformats.org/officeDocument/2006/relationships/hyperlink" Target="https://maps.app.goo.gl/Sogoy4dGcgAe9azs7" TargetMode="External"/><Relationship Id="rId380" Type="http://schemas.openxmlformats.org/officeDocument/2006/relationships/hyperlink" Target="https://maps.app.goo.gl/Vf498cARThnSueZi9" TargetMode="External"/><Relationship Id="rId436" Type="http://schemas.openxmlformats.org/officeDocument/2006/relationships/hyperlink" Target="https://maps.app.goo.gl/AVQ8bbee9mGvsHc96" TargetMode="External"/><Relationship Id="rId240" Type="http://schemas.openxmlformats.org/officeDocument/2006/relationships/hyperlink" Target="https://maps.app.goo.gl/mR9kGPRZ8fjkFxJE8" TargetMode="External"/><Relationship Id="rId478" Type="http://schemas.openxmlformats.org/officeDocument/2006/relationships/hyperlink" Target="https://maps.app.goo.gl/KLjZHPf5yXiujz9F9" TargetMode="External"/><Relationship Id="rId35" Type="http://schemas.openxmlformats.org/officeDocument/2006/relationships/hyperlink" Target="https://maps.app.goo.gl/ceLYfhAyoc3PuGrq8" TargetMode="External"/><Relationship Id="rId77" Type="http://schemas.openxmlformats.org/officeDocument/2006/relationships/hyperlink" Target="https://maps.app.goo.gl/UyHuhMbnpwYjutSB9" TargetMode="External"/><Relationship Id="rId100" Type="http://schemas.openxmlformats.org/officeDocument/2006/relationships/hyperlink" Target="https://maps.app.goo.gl/URYJGMMhb8uPwgcM6" TargetMode="External"/><Relationship Id="rId282" Type="http://schemas.openxmlformats.org/officeDocument/2006/relationships/hyperlink" Target="https://maps.app.goo.gl/vbGPTxGCD4m487wN8" TargetMode="External"/><Relationship Id="rId338" Type="http://schemas.openxmlformats.org/officeDocument/2006/relationships/hyperlink" Target="https://maps.app.goo.gl/rbvyHGELnx5Qin5V6" TargetMode="External"/><Relationship Id="rId503" Type="http://schemas.openxmlformats.org/officeDocument/2006/relationships/hyperlink" Target="https://maps.app.goo.gl/uM2N8KmrPVdcT6gN7" TargetMode="External"/><Relationship Id="rId545" Type="http://schemas.openxmlformats.org/officeDocument/2006/relationships/hyperlink" Target="mailto:mcreis@coamo.com.br" TargetMode="External"/><Relationship Id="rId8" Type="http://schemas.openxmlformats.org/officeDocument/2006/relationships/hyperlink" Target="https://maps.app.goo.gl/RsDK6sYwh2wEarJo6" TargetMode="External"/><Relationship Id="rId142" Type="http://schemas.openxmlformats.org/officeDocument/2006/relationships/hyperlink" Target="https://maps.app.goo.gl/VzfQnaNo5XyryFhJ9" TargetMode="External"/><Relationship Id="rId184" Type="http://schemas.openxmlformats.org/officeDocument/2006/relationships/hyperlink" Target="https://maps.app.goo.gl/XFSjzQVXPfrp9aj76" TargetMode="External"/><Relationship Id="rId391" Type="http://schemas.openxmlformats.org/officeDocument/2006/relationships/hyperlink" Target="https://maps.app.goo.gl/gCpBQbSV1zZHZyif6" TargetMode="External"/><Relationship Id="rId405" Type="http://schemas.openxmlformats.org/officeDocument/2006/relationships/hyperlink" Target="https://maps.app.goo.gl/jYzk3HUTkQJ8Fs519" TargetMode="External"/><Relationship Id="rId447" Type="http://schemas.openxmlformats.org/officeDocument/2006/relationships/hyperlink" Target="https://maps.app.goo.gl/p5xn9UAeFzXBx7da6" TargetMode="External"/><Relationship Id="rId251" Type="http://schemas.openxmlformats.org/officeDocument/2006/relationships/hyperlink" Target="https://maps.app.goo.gl/REX8axsUmdTsdH2w5" TargetMode="External"/><Relationship Id="rId489" Type="http://schemas.openxmlformats.org/officeDocument/2006/relationships/hyperlink" Target="https://maps.app.goo.gl/8UWmxfHt8Zn1TEAb7" TargetMode="External"/><Relationship Id="rId46" Type="http://schemas.openxmlformats.org/officeDocument/2006/relationships/hyperlink" Target="https://maps.app.goo.gl/vFqnas4phNm9tXeK6" TargetMode="External"/><Relationship Id="rId293" Type="http://schemas.openxmlformats.org/officeDocument/2006/relationships/hyperlink" Target="https://maps.app.goo.gl/eoB5X3JuNewmTJQ58" TargetMode="External"/><Relationship Id="rId307" Type="http://schemas.openxmlformats.org/officeDocument/2006/relationships/hyperlink" Target="https://maps.app.goo.gl/EgUsVCrADbktZvuE9" TargetMode="External"/><Relationship Id="rId349" Type="http://schemas.openxmlformats.org/officeDocument/2006/relationships/hyperlink" Target="https://maps.app.goo.gl/tWyrWxBnnVgb8R5d7" TargetMode="External"/><Relationship Id="rId514" Type="http://schemas.openxmlformats.org/officeDocument/2006/relationships/hyperlink" Target="https://maps.app.goo.gl/C6UZBMUQyxQTuzdf6" TargetMode="External"/><Relationship Id="rId556" Type="http://schemas.microsoft.com/office/2017/10/relationships/threadedComment" Target="../threadedComments/threadedComment3.xml"/><Relationship Id="rId88" Type="http://schemas.openxmlformats.org/officeDocument/2006/relationships/hyperlink" Target="https://maps.app.goo.gl/nHXaAQaqXS3neKXv6" TargetMode="External"/><Relationship Id="rId111" Type="http://schemas.openxmlformats.org/officeDocument/2006/relationships/hyperlink" Target="https://maps.app.goo.gl/adhpe1vJdgPpXWnM9" TargetMode="External"/><Relationship Id="rId153" Type="http://schemas.openxmlformats.org/officeDocument/2006/relationships/hyperlink" Target="https://maps.app.goo.gl/5hugU4vvH4tYz8sc6" TargetMode="External"/><Relationship Id="rId195" Type="http://schemas.openxmlformats.org/officeDocument/2006/relationships/hyperlink" Target="https://maps.app.goo.gl/n141kaiNyGSatP2E8" TargetMode="External"/><Relationship Id="rId209" Type="http://schemas.openxmlformats.org/officeDocument/2006/relationships/hyperlink" Target="https://maps.app.goo.gl/rTjwvpV6ZGCKNist5" TargetMode="External"/><Relationship Id="rId360" Type="http://schemas.openxmlformats.org/officeDocument/2006/relationships/hyperlink" Target="https://maps.app.goo.gl/mXY9viyYwVhL6LTw9" TargetMode="External"/><Relationship Id="rId416" Type="http://schemas.openxmlformats.org/officeDocument/2006/relationships/hyperlink" Target="https://maps.app.goo.gl/StjrpsY1kRuzJrQEA" TargetMode="External"/><Relationship Id="rId220" Type="http://schemas.openxmlformats.org/officeDocument/2006/relationships/hyperlink" Target="https://maps.app.goo.gl/fn5W5mj6Qb42aZRF9" TargetMode="External"/><Relationship Id="rId458" Type="http://schemas.openxmlformats.org/officeDocument/2006/relationships/hyperlink" Target="https://maps.app.goo.gl/CbPK2jJyr47AykHS8" TargetMode="External"/><Relationship Id="rId15" Type="http://schemas.openxmlformats.org/officeDocument/2006/relationships/hyperlink" Target="https://maps.app.goo.gl/8BWvRvri8F9qm83K7" TargetMode="External"/><Relationship Id="rId57" Type="http://schemas.openxmlformats.org/officeDocument/2006/relationships/hyperlink" Target="https://maps.app.goo.gl/ARvLF7vygSCeoL8JA" TargetMode="External"/><Relationship Id="rId262" Type="http://schemas.openxmlformats.org/officeDocument/2006/relationships/hyperlink" Target="https://maps.app.goo.gl/FoMXSvx4tFca3Wkk6" TargetMode="External"/><Relationship Id="rId318" Type="http://schemas.openxmlformats.org/officeDocument/2006/relationships/hyperlink" Target="https://maps.app.goo.gl/o7UUKpQ53nVQHYBR7" TargetMode="External"/><Relationship Id="rId525" Type="http://schemas.openxmlformats.org/officeDocument/2006/relationships/hyperlink" Target="https://maps.app.goo.gl/4smLkCTbAW3kGC6H9" TargetMode="External"/><Relationship Id="rId99" Type="http://schemas.openxmlformats.org/officeDocument/2006/relationships/hyperlink" Target="https://maps.app.goo.gl/hVuBQmv45xGntzLr6" TargetMode="External"/><Relationship Id="rId122" Type="http://schemas.openxmlformats.org/officeDocument/2006/relationships/hyperlink" Target="https://maps.app.goo.gl/TLGPghjdgQw3hth86" TargetMode="External"/><Relationship Id="rId164" Type="http://schemas.openxmlformats.org/officeDocument/2006/relationships/hyperlink" Target="https://maps.app.goo.gl/tiEjqZZCfMf9eCNu9" TargetMode="External"/><Relationship Id="rId371" Type="http://schemas.openxmlformats.org/officeDocument/2006/relationships/hyperlink" Target="https://maps.app.goo.gl/HaeHR6KGBYkeoqwq6" TargetMode="External"/><Relationship Id="rId427" Type="http://schemas.openxmlformats.org/officeDocument/2006/relationships/hyperlink" Target="https://maps.app.goo.gl/jxEmkjftybhwNDAV9" TargetMode="External"/><Relationship Id="rId469" Type="http://schemas.openxmlformats.org/officeDocument/2006/relationships/hyperlink" Target="https://maps.app.goo.gl/MYY3mWNTVTXXaTvm8" TargetMode="External"/><Relationship Id="rId26" Type="http://schemas.openxmlformats.org/officeDocument/2006/relationships/hyperlink" Target="https://maps.app.goo.gl/xCdgv7BH89UsQgx36" TargetMode="External"/><Relationship Id="rId231" Type="http://schemas.openxmlformats.org/officeDocument/2006/relationships/hyperlink" Target="https://maps.app.goo.gl/Sogoy4dGcgAe9azs7" TargetMode="External"/><Relationship Id="rId273" Type="http://schemas.openxmlformats.org/officeDocument/2006/relationships/hyperlink" Target="https://maps.app.goo.gl/dQzPTH9HKGSHKUTn7" TargetMode="External"/><Relationship Id="rId329" Type="http://schemas.openxmlformats.org/officeDocument/2006/relationships/hyperlink" Target="https://maps.app.goo.gl/r1aoD4eSpYXpxbhq6" TargetMode="External"/><Relationship Id="rId480" Type="http://schemas.openxmlformats.org/officeDocument/2006/relationships/hyperlink" Target="https://maps.app.goo.gl/KLjZHPf5yXiujz9F9" TargetMode="External"/><Relationship Id="rId536" Type="http://schemas.openxmlformats.org/officeDocument/2006/relationships/hyperlink" Target="https://maps.app.goo.gl/FyLMs9kSYiPRFCU68" TargetMode="External"/><Relationship Id="rId68" Type="http://schemas.openxmlformats.org/officeDocument/2006/relationships/hyperlink" Target="https://maps.app.goo.gl/ExK3KBbSQT4smUzB7" TargetMode="External"/><Relationship Id="rId133" Type="http://schemas.openxmlformats.org/officeDocument/2006/relationships/hyperlink" Target="https://maps.app.goo.gl/hTtMBgxrmAYYx4nB9" TargetMode="External"/><Relationship Id="rId175" Type="http://schemas.openxmlformats.org/officeDocument/2006/relationships/hyperlink" Target="https://maps.app.goo.gl/aoEdjmYrK9cSa77R8" TargetMode="External"/><Relationship Id="rId340" Type="http://schemas.openxmlformats.org/officeDocument/2006/relationships/hyperlink" Target="https://maps.app.goo.gl/mmQD94suwuDry2NA6" TargetMode="External"/><Relationship Id="rId200" Type="http://schemas.openxmlformats.org/officeDocument/2006/relationships/hyperlink" Target="https://maps.app.goo.gl/HczfTU2KqRt4idjs8" TargetMode="External"/><Relationship Id="rId382" Type="http://schemas.openxmlformats.org/officeDocument/2006/relationships/hyperlink" Target="https://maps.app.goo.gl/rRSeoGGeWRQWbP6H6" TargetMode="External"/><Relationship Id="rId438" Type="http://schemas.openxmlformats.org/officeDocument/2006/relationships/hyperlink" Target="https://maps.app.goo.gl/1in39UoWSHkjfQc4A" TargetMode="External"/><Relationship Id="rId242" Type="http://schemas.openxmlformats.org/officeDocument/2006/relationships/hyperlink" Target="https://maps.app.goo.gl/oqYfQj1sfqeU1gQQA" TargetMode="External"/><Relationship Id="rId284" Type="http://schemas.openxmlformats.org/officeDocument/2006/relationships/hyperlink" Target="https://maps.app.goo.gl/DLuHFSmnu5hvuTBNA" TargetMode="External"/><Relationship Id="rId491" Type="http://schemas.openxmlformats.org/officeDocument/2006/relationships/hyperlink" Target="https://maps.app.goo.gl/xo4ZULtX4arLxzQZ8" TargetMode="External"/><Relationship Id="rId505" Type="http://schemas.openxmlformats.org/officeDocument/2006/relationships/hyperlink" Target="https://maps.app.goo.gl/jF6wTrfzsEpA3Rhz9" TargetMode="External"/><Relationship Id="rId37" Type="http://schemas.openxmlformats.org/officeDocument/2006/relationships/hyperlink" Target="https://maps.app.goo.gl/SKMnoqyznWoM3WF69" TargetMode="External"/><Relationship Id="rId79" Type="http://schemas.openxmlformats.org/officeDocument/2006/relationships/hyperlink" Target="https://maps.app.goo.gl/CANPA2KaiBQ1zKNi6" TargetMode="External"/><Relationship Id="rId102" Type="http://schemas.openxmlformats.org/officeDocument/2006/relationships/hyperlink" Target="https://maps.app.goo.gl/3n8pyLAuMN1YZGZ48" TargetMode="External"/><Relationship Id="rId144" Type="http://schemas.openxmlformats.org/officeDocument/2006/relationships/hyperlink" Target="https://maps.app.goo.gl/wf9BPEQb2VKyMqMw8" TargetMode="External"/><Relationship Id="rId547" Type="http://schemas.openxmlformats.org/officeDocument/2006/relationships/hyperlink" Target="callto:42)%2099943-8825" TargetMode="External"/><Relationship Id="rId90" Type="http://schemas.openxmlformats.org/officeDocument/2006/relationships/hyperlink" Target="https://maps.app.goo.gl/GVhrDYZqXNFTjND88" TargetMode="External"/><Relationship Id="rId186" Type="http://schemas.openxmlformats.org/officeDocument/2006/relationships/hyperlink" Target="https://maps.app.goo.gl/TGd6BsQuggDNznNW7" TargetMode="External"/><Relationship Id="rId351" Type="http://schemas.openxmlformats.org/officeDocument/2006/relationships/hyperlink" Target="https://maps.app.goo.gl/iLPYzngmmy8fbV5Z9" TargetMode="External"/><Relationship Id="rId393" Type="http://schemas.openxmlformats.org/officeDocument/2006/relationships/hyperlink" Target="https://maps.app.goo.gl/nVR8ZTGX5VgCF56A7" TargetMode="External"/><Relationship Id="rId407" Type="http://schemas.openxmlformats.org/officeDocument/2006/relationships/hyperlink" Target="https://maps.app.goo.gl/N9vNYhBsxgsVruMJ9" TargetMode="External"/><Relationship Id="rId449" Type="http://schemas.openxmlformats.org/officeDocument/2006/relationships/hyperlink" Target="https://maps.app.goo.gl/GnE2m5LVKsBP27x3A" TargetMode="External"/><Relationship Id="rId211" Type="http://schemas.openxmlformats.org/officeDocument/2006/relationships/hyperlink" Target="https://maps.app.goo.gl/yWKDXRpj1AecJruL7" TargetMode="External"/><Relationship Id="rId253" Type="http://schemas.openxmlformats.org/officeDocument/2006/relationships/hyperlink" Target="https://maps.app.goo.gl/tuimDttmtVbXYSza9" TargetMode="External"/><Relationship Id="rId295" Type="http://schemas.openxmlformats.org/officeDocument/2006/relationships/hyperlink" Target="https://maps.app.goo.gl/eoB5X3JuNewmTJQ58" TargetMode="External"/><Relationship Id="rId309" Type="http://schemas.openxmlformats.org/officeDocument/2006/relationships/hyperlink" Target="https://maps.app.goo.gl/HRwJKzX333PTqjeL8" TargetMode="External"/><Relationship Id="rId460" Type="http://schemas.openxmlformats.org/officeDocument/2006/relationships/hyperlink" Target="https://maps.app.goo.gl/fkK73xxFCdUX8Be7A" TargetMode="External"/><Relationship Id="rId516" Type="http://schemas.openxmlformats.org/officeDocument/2006/relationships/hyperlink" Target="https://maps.app.goo.gl/wYmeN8vpdDfBRwct5" TargetMode="External"/><Relationship Id="rId48" Type="http://schemas.openxmlformats.org/officeDocument/2006/relationships/hyperlink" Target="https://maps.app.goo.gl/kTkRE5wxp5Lhb5yZ7" TargetMode="External"/><Relationship Id="rId113" Type="http://schemas.openxmlformats.org/officeDocument/2006/relationships/hyperlink" Target="https://maps.app.goo.gl/6neQiZi2dq1Jgz4V6" TargetMode="External"/><Relationship Id="rId320" Type="http://schemas.openxmlformats.org/officeDocument/2006/relationships/hyperlink" Target="https://maps.app.goo.gl/izKRhE4fF6TUFU847" TargetMode="External"/><Relationship Id="rId155" Type="http://schemas.openxmlformats.org/officeDocument/2006/relationships/hyperlink" Target="https://maps.app.goo.gl/mjnPtjYZLprUkRzMA" TargetMode="External"/><Relationship Id="rId197" Type="http://schemas.openxmlformats.org/officeDocument/2006/relationships/hyperlink" Target="https://maps.app.goo.gl/2LPBCSr1fExJEQFp9" TargetMode="External"/><Relationship Id="rId362" Type="http://schemas.openxmlformats.org/officeDocument/2006/relationships/hyperlink" Target="https://maps.app.goo.gl/URYJGMMhb8uPwgcM6" TargetMode="External"/><Relationship Id="rId418" Type="http://schemas.openxmlformats.org/officeDocument/2006/relationships/hyperlink" Target="https://maps.app.goo.gl/UC3Qa8tA5L1R9brQ6" TargetMode="External"/><Relationship Id="rId222" Type="http://schemas.openxmlformats.org/officeDocument/2006/relationships/hyperlink" Target="https://maps.app.goo.gl/fn5W5mj6Qb42aZRF9" TargetMode="External"/><Relationship Id="rId264" Type="http://schemas.openxmlformats.org/officeDocument/2006/relationships/hyperlink" Target="https://maps.app.goo.gl/rHPVMbS2YNGc3N128" TargetMode="External"/><Relationship Id="rId471" Type="http://schemas.openxmlformats.org/officeDocument/2006/relationships/hyperlink" Target="https://maps.app.goo.gl/YbMaQKURSSzkaBEw5" TargetMode="External"/><Relationship Id="rId17" Type="http://schemas.openxmlformats.org/officeDocument/2006/relationships/hyperlink" Target="https://maps.app.goo.gl/7aKMgiszDekWBTTs9" TargetMode="External"/><Relationship Id="rId59" Type="http://schemas.openxmlformats.org/officeDocument/2006/relationships/hyperlink" Target="https://maps.app.goo.gl/TG5pvXmTcdx9yURe9" TargetMode="External"/><Relationship Id="rId124" Type="http://schemas.openxmlformats.org/officeDocument/2006/relationships/hyperlink" Target="https://maps.app.goo.gl/i8v3JWR6tTrzVZ4u7" TargetMode="External"/><Relationship Id="rId527" Type="http://schemas.openxmlformats.org/officeDocument/2006/relationships/hyperlink" Target="https://maps.app.goo.gl/WetZPZwJ1DcGtf1LA" TargetMode="External"/><Relationship Id="rId70" Type="http://schemas.openxmlformats.org/officeDocument/2006/relationships/hyperlink" Target="https://maps.app.goo.gl/DrLTeSSDZ19vvFTc8" TargetMode="External"/><Relationship Id="rId166" Type="http://schemas.openxmlformats.org/officeDocument/2006/relationships/hyperlink" Target="https://maps.app.goo.gl/AVQ8bbee9mGvsHc96" TargetMode="External"/><Relationship Id="rId331" Type="http://schemas.openxmlformats.org/officeDocument/2006/relationships/hyperlink" Target="https://maps.app.goo.gl/7Fq3664yqBXcfp9x6" TargetMode="External"/><Relationship Id="rId373" Type="http://schemas.openxmlformats.org/officeDocument/2006/relationships/hyperlink" Target="https://maps.app.goo.gl/jxEmkjftybhwNDAV9" TargetMode="External"/><Relationship Id="rId429" Type="http://schemas.openxmlformats.org/officeDocument/2006/relationships/hyperlink" Target="https://maps.app.goo.gl/U81aTWvW2hkVRqvy6" TargetMode="External"/><Relationship Id="rId1" Type="http://schemas.openxmlformats.org/officeDocument/2006/relationships/hyperlink" Target="https://maps.app.goo.gl/eWMni9V3gfiP2Hti8" TargetMode="External"/><Relationship Id="rId233" Type="http://schemas.openxmlformats.org/officeDocument/2006/relationships/hyperlink" Target="https://maps.app.goo.gl/Sogoy4dGcgAe9azs7" TargetMode="External"/><Relationship Id="rId440" Type="http://schemas.openxmlformats.org/officeDocument/2006/relationships/hyperlink" Target="https://maps.app.goo.gl/HaeHR6KGBYkeoqwq6" TargetMode="External"/><Relationship Id="rId28" Type="http://schemas.openxmlformats.org/officeDocument/2006/relationships/hyperlink" Target="https://maps.app.goo.gl/RsDK6sYwh2wEarJo6" TargetMode="External"/><Relationship Id="rId275" Type="http://schemas.openxmlformats.org/officeDocument/2006/relationships/hyperlink" Target="https://maps.app.goo.gl/2QayW4gLU2jNx6rx5" TargetMode="External"/><Relationship Id="rId300" Type="http://schemas.openxmlformats.org/officeDocument/2006/relationships/hyperlink" Target="https://maps.app.goo.gl/3XNCyGVUVbMzbECn8" TargetMode="External"/><Relationship Id="rId482" Type="http://schemas.openxmlformats.org/officeDocument/2006/relationships/hyperlink" Target="https://maps.app.goo.gl/KLjZHPf5yXiujz9F9" TargetMode="External"/><Relationship Id="rId538" Type="http://schemas.openxmlformats.org/officeDocument/2006/relationships/hyperlink" Target="https://maps.app.goo.gl/tTQRfERkLRAfsxFL6" TargetMode="External"/><Relationship Id="rId81" Type="http://schemas.openxmlformats.org/officeDocument/2006/relationships/hyperlink" Target="https://maps.app.goo.gl/979TZKAsb1fBgdtT9" TargetMode="External"/><Relationship Id="rId135" Type="http://schemas.openxmlformats.org/officeDocument/2006/relationships/hyperlink" Target="https://maps.app.goo.gl/4xgbZGVJcKLjpN2K7" TargetMode="External"/><Relationship Id="rId177" Type="http://schemas.openxmlformats.org/officeDocument/2006/relationships/hyperlink" Target="https://maps.app.goo.gl/y8cBpuW7hH1a2Mne7" TargetMode="External"/><Relationship Id="rId342" Type="http://schemas.openxmlformats.org/officeDocument/2006/relationships/hyperlink" Target="https://maps.app.goo.gl/yFuLe3HW8vQHBL1k7" TargetMode="External"/><Relationship Id="rId384" Type="http://schemas.openxmlformats.org/officeDocument/2006/relationships/hyperlink" Target="https://maps.app.goo.gl/44wXmHN5xt5pTYZQ9" TargetMode="External"/><Relationship Id="rId202" Type="http://schemas.openxmlformats.org/officeDocument/2006/relationships/hyperlink" Target="https://maps.app.goo.gl/Gpftdp7gBv9gr9TF8" TargetMode="External"/><Relationship Id="rId244" Type="http://schemas.openxmlformats.org/officeDocument/2006/relationships/hyperlink" Target="https://maps.app.goo.gl/n9vTyeLwkwCSntqN8" TargetMode="External"/><Relationship Id="rId39" Type="http://schemas.openxmlformats.org/officeDocument/2006/relationships/hyperlink" Target="https://maps.app.goo.gl/ASZpwVYXdXGPRf667" TargetMode="External"/><Relationship Id="rId286" Type="http://schemas.openxmlformats.org/officeDocument/2006/relationships/hyperlink" Target="https://maps.app.goo.gl/auZ1AzViZwxSKskB8" TargetMode="External"/><Relationship Id="rId451" Type="http://schemas.openxmlformats.org/officeDocument/2006/relationships/hyperlink" Target="https://maps.app.goo.gl/8By8Ut4do9SqT1SD9" TargetMode="External"/><Relationship Id="rId493" Type="http://schemas.openxmlformats.org/officeDocument/2006/relationships/hyperlink" Target="https://maps.app.goo.gl/xo4ZULtX4arLxzQZ8" TargetMode="External"/><Relationship Id="rId507" Type="http://schemas.openxmlformats.org/officeDocument/2006/relationships/hyperlink" Target="https://maps.app.goo.gl/ctWKxgHBeqbeAcNDA" TargetMode="External"/><Relationship Id="rId549" Type="http://schemas.openxmlformats.org/officeDocument/2006/relationships/hyperlink" Target="mailto:luiz.felipe@coasul.com.br" TargetMode="External"/><Relationship Id="rId50" Type="http://schemas.openxmlformats.org/officeDocument/2006/relationships/hyperlink" Target="https://maps.app.goo.gl/DKLNnLKj7F6qmZoN6" TargetMode="External"/><Relationship Id="rId104" Type="http://schemas.openxmlformats.org/officeDocument/2006/relationships/hyperlink" Target="https://maps.app.goo.gl/3n8pyLAuMN1YZGZ48" TargetMode="External"/><Relationship Id="rId146" Type="http://schemas.openxmlformats.org/officeDocument/2006/relationships/hyperlink" Target="https://maps.app.goo.gl/gpF5KgiB3cq228UN6" TargetMode="External"/><Relationship Id="rId188" Type="http://schemas.openxmlformats.org/officeDocument/2006/relationships/hyperlink" Target="https://maps.app.goo.gl/6SDvWX1qDtQjcKBz9" TargetMode="External"/><Relationship Id="rId311" Type="http://schemas.openxmlformats.org/officeDocument/2006/relationships/hyperlink" Target="https://maps.app.goo.gl/SLT8Y9UUD2a1vWzQ9" TargetMode="External"/><Relationship Id="rId353" Type="http://schemas.openxmlformats.org/officeDocument/2006/relationships/hyperlink" Target="https://maps.app.goo.gl/KBi8cZ5sTyZeRqmR7" TargetMode="External"/><Relationship Id="rId395" Type="http://schemas.openxmlformats.org/officeDocument/2006/relationships/hyperlink" Target="https://maps.app.goo.gl/Hmxg57UHY55cvJjQA" TargetMode="External"/><Relationship Id="rId409" Type="http://schemas.openxmlformats.org/officeDocument/2006/relationships/hyperlink" Target="https://maps.app.goo.gl/xBjUiCFRcQZrpD78A" TargetMode="External"/><Relationship Id="rId92" Type="http://schemas.openxmlformats.org/officeDocument/2006/relationships/hyperlink" Target="https://maps.app.goo.gl/12vRezZKfD9bZCxi8" TargetMode="External"/><Relationship Id="rId213" Type="http://schemas.openxmlformats.org/officeDocument/2006/relationships/hyperlink" Target="https://maps.app.goo.gl/zjnGLGuwfNqe9CD47" TargetMode="External"/><Relationship Id="rId420" Type="http://schemas.openxmlformats.org/officeDocument/2006/relationships/hyperlink" Target="https://maps.app.goo.gl/UC3Qa8tA5L1R9brQ6" TargetMode="External"/><Relationship Id="rId255" Type="http://schemas.openxmlformats.org/officeDocument/2006/relationships/hyperlink" Target="https://maps.app.goo.gl/x4p9YDRTM9DJUj6K9" TargetMode="External"/><Relationship Id="rId297" Type="http://schemas.openxmlformats.org/officeDocument/2006/relationships/hyperlink" Target="https://maps.app.goo.gl/6TKsRoY4eR9tiC2u8" TargetMode="External"/><Relationship Id="rId462" Type="http://schemas.openxmlformats.org/officeDocument/2006/relationships/hyperlink" Target="https://maps.app.goo.gl/5hugU4vvH4tYz8sc6" TargetMode="External"/><Relationship Id="rId518" Type="http://schemas.openxmlformats.org/officeDocument/2006/relationships/hyperlink" Target="https://maps.app.goo.gl/MNRHBvJ668ZPBLEBA" TargetMode="External"/><Relationship Id="rId115" Type="http://schemas.openxmlformats.org/officeDocument/2006/relationships/hyperlink" Target="https://maps.app.goo.gl/po2fYuJ9ogrzga938" TargetMode="External"/><Relationship Id="rId157" Type="http://schemas.openxmlformats.org/officeDocument/2006/relationships/hyperlink" Target="https://maps.app.goo.gl/DKLNnLKj7F6qmZoN6" TargetMode="External"/><Relationship Id="rId322" Type="http://schemas.openxmlformats.org/officeDocument/2006/relationships/hyperlink" Target="https://maps.app.goo.gl/VFgPsLzvEmYWv4d8A" TargetMode="External"/><Relationship Id="rId364" Type="http://schemas.openxmlformats.org/officeDocument/2006/relationships/hyperlink" Target="https://maps.app.goo.gl/Qi6kGYAM4sfZ5p2h9" TargetMode="External"/><Relationship Id="rId61" Type="http://schemas.openxmlformats.org/officeDocument/2006/relationships/hyperlink" Target="https://maps.app.goo.gl/edpHeLNzyGwGhj5E8" TargetMode="External"/><Relationship Id="rId199" Type="http://schemas.openxmlformats.org/officeDocument/2006/relationships/hyperlink" Target="https://maps.app.goo.gl/RJhSs5zLcCo63sbs8" TargetMode="External"/><Relationship Id="rId19" Type="http://schemas.openxmlformats.org/officeDocument/2006/relationships/hyperlink" Target="https://maps.app.goo.gl/YNERSVS1BiX93sHn7" TargetMode="External"/><Relationship Id="rId224" Type="http://schemas.openxmlformats.org/officeDocument/2006/relationships/hyperlink" Target="https://maps.app.goo.gl/Sogoy4dGcgAe9azs7" TargetMode="External"/><Relationship Id="rId266" Type="http://schemas.openxmlformats.org/officeDocument/2006/relationships/hyperlink" Target="https://maps.app.goo.gl/rjiYtorm7usedjhG6" TargetMode="External"/><Relationship Id="rId431" Type="http://schemas.openxmlformats.org/officeDocument/2006/relationships/hyperlink" Target="https://maps.app.goo.gl/yWKDXRpj1AecJruL7" TargetMode="External"/><Relationship Id="rId473" Type="http://schemas.openxmlformats.org/officeDocument/2006/relationships/hyperlink" Target="https://maps.app.goo.gl/zmUZjZAyuFze2yoR7" TargetMode="External"/><Relationship Id="rId529" Type="http://schemas.openxmlformats.org/officeDocument/2006/relationships/hyperlink" Target="https://maps.app.goo.gl/AgwGMiAGvcBQbraH8" TargetMode="External"/><Relationship Id="rId30" Type="http://schemas.openxmlformats.org/officeDocument/2006/relationships/hyperlink" Target="https://maps.app.goo.gl/FHSot3qC8bFaZUDw7" TargetMode="External"/><Relationship Id="rId126" Type="http://schemas.openxmlformats.org/officeDocument/2006/relationships/hyperlink" Target="https://maps.app.goo.gl/bt6bQjEXJbmEnube8" TargetMode="External"/><Relationship Id="rId168" Type="http://schemas.openxmlformats.org/officeDocument/2006/relationships/hyperlink" Target="https://maps.app.goo.gl/KBi8cZ5sTyZeRqmR7" TargetMode="External"/><Relationship Id="rId333" Type="http://schemas.openxmlformats.org/officeDocument/2006/relationships/hyperlink" Target="https://maps.app.goo.gl/XmzUXZc8HUAtybwPA" TargetMode="External"/><Relationship Id="rId540" Type="http://schemas.openxmlformats.org/officeDocument/2006/relationships/hyperlink" Target="https://maps.app.goo.gl/QUJuwNx99XJY31AJ7" TargetMode="External"/><Relationship Id="rId72" Type="http://schemas.openxmlformats.org/officeDocument/2006/relationships/hyperlink" Target="https://maps.app.goo.gl/k8VvwzHseo2KfJxr6" TargetMode="External"/><Relationship Id="rId375" Type="http://schemas.openxmlformats.org/officeDocument/2006/relationships/hyperlink" Target="https://maps.app.goo.gl/J3o6yWPb8MXdMVf36" TargetMode="External"/><Relationship Id="rId3" Type="http://schemas.openxmlformats.org/officeDocument/2006/relationships/hyperlink" Target="https://maps.app.goo.gl/eWMni9V3gfiP2Hti8" TargetMode="External"/><Relationship Id="rId235" Type="http://schemas.openxmlformats.org/officeDocument/2006/relationships/hyperlink" Target="https://maps.app.goo.gl/tHEDu93dBdZyPPjJ8" TargetMode="External"/><Relationship Id="rId277" Type="http://schemas.openxmlformats.org/officeDocument/2006/relationships/hyperlink" Target="https://maps.app.goo.gl/cQQpecY4vJmMas9X9" TargetMode="External"/><Relationship Id="rId400" Type="http://schemas.openxmlformats.org/officeDocument/2006/relationships/hyperlink" Target="https://maps.app.goo.gl/mZC9Vi2ap3MMwWPs9" TargetMode="External"/><Relationship Id="rId442" Type="http://schemas.openxmlformats.org/officeDocument/2006/relationships/hyperlink" Target="https://maps.app.goo.gl/BHehLFAXZDVwzfxk6" TargetMode="External"/><Relationship Id="rId484" Type="http://schemas.openxmlformats.org/officeDocument/2006/relationships/hyperlink" Target="https://maps.app.goo.gl/8UWmxfHt8Zn1TEAb7" TargetMode="External"/><Relationship Id="rId137" Type="http://schemas.openxmlformats.org/officeDocument/2006/relationships/hyperlink" Target="https://maps.app.goo.gl/3axJWhgVgREx4wEJ6" TargetMode="External"/><Relationship Id="rId302" Type="http://schemas.openxmlformats.org/officeDocument/2006/relationships/hyperlink" Target="https://maps.app.goo.gl/3XNCyGVUVbMzbECn8" TargetMode="External"/><Relationship Id="rId344" Type="http://schemas.openxmlformats.org/officeDocument/2006/relationships/hyperlink" Target="https://maps.app.goo.gl/aKtZ37WSkFT3DpKY9" TargetMode="External"/><Relationship Id="rId41" Type="http://schemas.openxmlformats.org/officeDocument/2006/relationships/hyperlink" Target="https://maps.app.goo.gl/xx1jiw73AqQTmXB59" TargetMode="External"/><Relationship Id="rId83" Type="http://schemas.openxmlformats.org/officeDocument/2006/relationships/hyperlink" Target="https://maps.app.goo.gl/2uQVZgrvn2WTN3u1A" TargetMode="External"/><Relationship Id="rId179" Type="http://schemas.openxmlformats.org/officeDocument/2006/relationships/hyperlink" Target="https://maps.app.goo.gl/gkJiReAJ9QYywemw8" TargetMode="External"/><Relationship Id="rId386" Type="http://schemas.openxmlformats.org/officeDocument/2006/relationships/hyperlink" Target="https://maps.app.goo.gl/bneF737S2dAzGQjE6" TargetMode="External"/><Relationship Id="rId551" Type="http://schemas.openxmlformats.org/officeDocument/2006/relationships/hyperlink" Target="mailto:financeiro.ivai@supermercadoblum.com.br" TargetMode="External"/><Relationship Id="rId190" Type="http://schemas.openxmlformats.org/officeDocument/2006/relationships/hyperlink" Target="https://maps.app.goo.gl/6SDvWX1qDtQjcKBz9" TargetMode="External"/><Relationship Id="rId204" Type="http://schemas.openxmlformats.org/officeDocument/2006/relationships/hyperlink" Target="https://maps.app.goo.gl/qdhG25GBr5a3afcw6" TargetMode="External"/><Relationship Id="rId246" Type="http://schemas.openxmlformats.org/officeDocument/2006/relationships/hyperlink" Target="https://maps.app.goo.gl/RVGmpLjcSB34XfWH8" TargetMode="External"/><Relationship Id="rId288" Type="http://schemas.openxmlformats.org/officeDocument/2006/relationships/hyperlink" Target="https://maps.app.goo.gl/u2o4VgcDsPoMmCkE8" TargetMode="External"/><Relationship Id="rId411" Type="http://schemas.openxmlformats.org/officeDocument/2006/relationships/hyperlink" Target="https://maps.app.goo.gl/Eua1jmNtBdQsuaMd8" TargetMode="External"/><Relationship Id="rId453" Type="http://schemas.openxmlformats.org/officeDocument/2006/relationships/hyperlink" Target="https://maps.app.goo.gl/S8z3uDEKfR8KS5Fq8" TargetMode="External"/><Relationship Id="rId509" Type="http://schemas.openxmlformats.org/officeDocument/2006/relationships/hyperlink" Target="https://maps.app.goo.gl/WtupuiMHAzpbJzyeA" TargetMode="External"/><Relationship Id="rId106" Type="http://schemas.openxmlformats.org/officeDocument/2006/relationships/hyperlink" Target="https://maps.app.goo.gl/d74hQwjiXsySsMzq9" TargetMode="External"/><Relationship Id="rId313" Type="http://schemas.openxmlformats.org/officeDocument/2006/relationships/hyperlink" Target="https://maps.app.goo.gl/R8c58dSNvuv9gSnV9" TargetMode="External"/><Relationship Id="rId495" Type="http://schemas.openxmlformats.org/officeDocument/2006/relationships/hyperlink" Target="https://maps.app.goo.gl/ZPcWsgo7nVMLDfpZA" TargetMode="External"/><Relationship Id="rId10" Type="http://schemas.openxmlformats.org/officeDocument/2006/relationships/hyperlink" Target="https://maps.app.goo.gl/BE1KKnMuo76rApreA" TargetMode="External"/><Relationship Id="rId52" Type="http://schemas.openxmlformats.org/officeDocument/2006/relationships/hyperlink" Target="https://maps.app.goo.gl/Pu7Y3gjNnNSieZrJA" TargetMode="External"/><Relationship Id="rId94" Type="http://schemas.openxmlformats.org/officeDocument/2006/relationships/hyperlink" Target="https://maps.app.goo.gl/uqYLfkA3mPcF1yZo7" TargetMode="External"/><Relationship Id="rId148" Type="http://schemas.openxmlformats.org/officeDocument/2006/relationships/hyperlink" Target="https://maps.app.goo.gl/FqXPyjsdJccGcNBZ9" TargetMode="External"/><Relationship Id="rId355" Type="http://schemas.openxmlformats.org/officeDocument/2006/relationships/hyperlink" Target="https://maps.app.goo.gl/8BWvRvri8F9qm83K7" TargetMode="External"/><Relationship Id="rId397" Type="http://schemas.openxmlformats.org/officeDocument/2006/relationships/hyperlink" Target="https://maps.app.goo.gl/M8KY9W2x7UbEGoHr8" TargetMode="External"/><Relationship Id="rId520" Type="http://schemas.openxmlformats.org/officeDocument/2006/relationships/hyperlink" Target="https://maps.app.goo.gl/WbUCwAk76LezNR3K9" TargetMode="External"/><Relationship Id="rId215" Type="http://schemas.openxmlformats.org/officeDocument/2006/relationships/hyperlink" Target="https://maps.app.goo.gl/zjnGLGuwfNqe9CD47" TargetMode="External"/><Relationship Id="rId257" Type="http://schemas.openxmlformats.org/officeDocument/2006/relationships/hyperlink" Target="https://maps.app.goo.gl/GXTgiMX6h7Awd7fw6" TargetMode="External"/><Relationship Id="rId422" Type="http://schemas.openxmlformats.org/officeDocument/2006/relationships/hyperlink" Target="https://maps.app.goo.gl/aZnpQ7HqeTbUaxMHA" TargetMode="External"/><Relationship Id="rId464" Type="http://schemas.openxmlformats.org/officeDocument/2006/relationships/hyperlink" Target="https://maps.app.goo.gl/6qgHt4JwjysVp2hc9" TargetMode="External"/><Relationship Id="rId299" Type="http://schemas.openxmlformats.org/officeDocument/2006/relationships/hyperlink" Target="https://maps.app.goo.gl/6TKsRoY4eR9tiC2u8" TargetMode="External"/><Relationship Id="rId63" Type="http://schemas.openxmlformats.org/officeDocument/2006/relationships/hyperlink" Target="https://maps.app.goo.gl/955EvSHiv9ZNry8N7" TargetMode="External"/><Relationship Id="rId159" Type="http://schemas.openxmlformats.org/officeDocument/2006/relationships/hyperlink" Target="https://maps.app.goo.gl/LGqaEqNTgx2towuEA" TargetMode="External"/><Relationship Id="rId366" Type="http://schemas.openxmlformats.org/officeDocument/2006/relationships/hyperlink" Target="https://maps.app.goo.gl/7Ns6XUXjHzrLPPgo7" TargetMode="External"/><Relationship Id="rId226" Type="http://schemas.openxmlformats.org/officeDocument/2006/relationships/hyperlink" Target="https://maps.app.goo.gl/Sogoy4dGcgAe9azs7" TargetMode="External"/><Relationship Id="rId433" Type="http://schemas.openxmlformats.org/officeDocument/2006/relationships/hyperlink" Target="https://maps.app.goo.gl/i7ECNA7vSdMPBD6EA" TargetMode="External"/><Relationship Id="rId74" Type="http://schemas.openxmlformats.org/officeDocument/2006/relationships/hyperlink" Target="https://maps.app.goo.gl/tpMKcCzxbc8PJoYT9" TargetMode="External"/><Relationship Id="rId377" Type="http://schemas.openxmlformats.org/officeDocument/2006/relationships/hyperlink" Target="https://maps.app.goo.gl/nHXaAQaqXS3neKXv6" TargetMode="External"/><Relationship Id="rId500" Type="http://schemas.openxmlformats.org/officeDocument/2006/relationships/hyperlink" Target="https://maps.app.goo.gl/bgcMQ8Rw6iGnvZt67" TargetMode="External"/><Relationship Id="rId5" Type="http://schemas.openxmlformats.org/officeDocument/2006/relationships/hyperlink" Target="mailto:Rh.loja18@boxatacadista.com.br" TargetMode="External"/><Relationship Id="rId237" Type="http://schemas.openxmlformats.org/officeDocument/2006/relationships/hyperlink" Target="https://maps.app.goo.gl/TaRWXzMUvJrJzV86A" TargetMode="External"/><Relationship Id="rId444" Type="http://schemas.openxmlformats.org/officeDocument/2006/relationships/hyperlink" Target="https://maps.app.goo.gl/BHehLFAXZDVwzfxk6" TargetMode="External"/><Relationship Id="rId290" Type="http://schemas.openxmlformats.org/officeDocument/2006/relationships/hyperlink" Target="https://maps.app.goo.gl/r6AcX95VYiSE68Jv7" TargetMode="External"/><Relationship Id="rId304" Type="http://schemas.openxmlformats.org/officeDocument/2006/relationships/hyperlink" Target="https://maps.app.goo.gl/BKshdVdi7uCiPGiQ7" TargetMode="External"/><Relationship Id="rId388" Type="http://schemas.openxmlformats.org/officeDocument/2006/relationships/hyperlink" Target="https://maps.app.goo.gl/f7UE8GhQ4dyvm3Jx6" TargetMode="External"/><Relationship Id="rId511" Type="http://schemas.openxmlformats.org/officeDocument/2006/relationships/hyperlink" Target="https://maps.app.goo.gl/jkcoH29k7HMom2vu9" TargetMode="External"/><Relationship Id="rId85" Type="http://schemas.openxmlformats.org/officeDocument/2006/relationships/hyperlink" Target="https://maps.app.goo.gl/Tx4TeFBuEr2gY2jWA" TargetMode="External"/><Relationship Id="rId150" Type="http://schemas.openxmlformats.org/officeDocument/2006/relationships/hyperlink" Target="https://maps.app.goo.gl/kHzDHaErHJqGrkHs8" TargetMode="External"/><Relationship Id="rId248" Type="http://schemas.openxmlformats.org/officeDocument/2006/relationships/hyperlink" Target="https://maps.app.goo.gl/eLhp1RtwZj4ghXte8" TargetMode="External"/><Relationship Id="rId455" Type="http://schemas.openxmlformats.org/officeDocument/2006/relationships/hyperlink" Target="https://maps.app.goo.gl/iRPWUBX29jkv7WVi7" TargetMode="External"/><Relationship Id="rId12" Type="http://schemas.openxmlformats.org/officeDocument/2006/relationships/hyperlink" Target="https://maps.app.goo.gl/ASZpwVYXdXGPRf667" TargetMode="External"/><Relationship Id="rId108" Type="http://schemas.openxmlformats.org/officeDocument/2006/relationships/hyperlink" Target="https://maps.app.goo.gl/eHaqc5xa3FKon2YJ9" TargetMode="External"/><Relationship Id="rId315" Type="http://schemas.openxmlformats.org/officeDocument/2006/relationships/hyperlink" Target="https://maps.app.goo.gl/fdp6qZZnxhi2kNQm7" TargetMode="External"/><Relationship Id="rId522" Type="http://schemas.openxmlformats.org/officeDocument/2006/relationships/hyperlink" Target="https://maps.app.goo.gl/n2WGTY2uQNonYLQKA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U2BTrkrz1ctDh2i66" TargetMode="External"/><Relationship Id="rId7" Type="http://schemas.openxmlformats.org/officeDocument/2006/relationships/hyperlink" Target="https://maps.app.goo.gl/c8VZYsX3ry1K8xSBA" TargetMode="External"/><Relationship Id="rId2" Type="http://schemas.openxmlformats.org/officeDocument/2006/relationships/hyperlink" Target="https://maps.app.goo.gl/U2BTrkrz1ctDh2i66" TargetMode="External"/><Relationship Id="rId1" Type="http://schemas.openxmlformats.org/officeDocument/2006/relationships/hyperlink" Target="https://maps.app.goo.gl/U2BTrkrz1ctDh2i66" TargetMode="External"/><Relationship Id="rId6" Type="http://schemas.openxmlformats.org/officeDocument/2006/relationships/hyperlink" Target="https://maps.app.goo.gl/aoEdjmYrK9cSa77R8" TargetMode="External"/><Relationship Id="rId5" Type="http://schemas.openxmlformats.org/officeDocument/2006/relationships/hyperlink" Target="https://maps.app.goo.gl/U2BTrkrz1ctDh2i66" TargetMode="External"/><Relationship Id="rId4" Type="http://schemas.openxmlformats.org/officeDocument/2006/relationships/hyperlink" Target="https://maps.app.goo.gl/U2BTrkrz1ctDh2i66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rbvyHGELnx5Qin5V6" TargetMode="External"/><Relationship Id="rId2" Type="http://schemas.openxmlformats.org/officeDocument/2006/relationships/hyperlink" Target="https://maps.app.goo.gl/rbvyHGELnx5Qin5V6" TargetMode="External"/><Relationship Id="rId1" Type="http://schemas.openxmlformats.org/officeDocument/2006/relationships/hyperlink" Target="https://maps.app.goo.gl/rbvyHGELnx5Qin5V6" TargetMode="External"/><Relationship Id="rId4" Type="http://schemas.openxmlformats.org/officeDocument/2006/relationships/hyperlink" Target="https://maps.app.goo.gl/Ww6baf93B82iLTC96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maps.app.goo.gl/zT2A1rkTPJx3c2Q69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NS4hHZ6TkjbiLEzJ6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https://maps.app.goo.gl/edPmWRAqYtLuiK5d9" TargetMode="External"/><Relationship Id="rId1" Type="http://schemas.openxmlformats.org/officeDocument/2006/relationships/hyperlink" Target="https://maps.app.goo.gl/ZRyZ1JwABqYBRwaC8" TargetMode="External"/><Relationship Id="rId6" Type="http://schemas.openxmlformats.org/officeDocument/2006/relationships/hyperlink" Target="https://maps.app.goo.gl/ngDHDdTFVNW6pBNK9" TargetMode="External"/><Relationship Id="rId5" Type="http://schemas.openxmlformats.org/officeDocument/2006/relationships/hyperlink" Target="https://maps.app.goo.gl/7JxfndbCUcdhQFED7" TargetMode="External"/><Relationship Id="rId4" Type="http://schemas.openxmlformats.org/officeDocument/2006/relationships/hyperlink" Target="https://maps.app.goo.gl/2t2yriroFEUYFQwbA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maps.app.goo.gl/WeL6f6pR4ozzTYf4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8039-6E87-48B3-940A-BC581109E512}">
  <sheetPr codeName="Planilha3"/>
  <dimension ref="A1:F1115"/>
  <sheetViews>
    <sheetView workbookViewId="0">
      <selection activeCell="F4" sqref="F4"/>
    </sheetView>
  </sheetViews>
  <sheetFormatPr defaultRowHeight="15"/>
  <cols>
    <col min="1" max="1" width="13" customWidth="1"/>
    <col min="2" max="2" width="17.5703125" bestFit="1" customWidth="1"/>
    <col min="5" max="5" width="15.140625" bestFit="1" customWidth="1"/>
    <col min="6" max="6" width="17" bestFit="1" customWidth="1"/>
  </cols>
  <sheetData>
    <row r="1" spans="1:6">
      <c r="A1" s="361" t="s">
        <v>0</v>
      </c>
      <c r="B1" s="362" t="s">
        <v>1</v>
      </c>
      <c r="E1" s="421" t="s">
        <v>2</v>
      </c>
      <c r="F1" s="362" t="s">
        <v>1</v>
      </c>
    </row>
    <row r="2" spans="1:6">
      <c r="A2" s="363">
        <v>202401100</v>
      </c>
      <c r="B2" s="364" t="s">
        <v>3</v>
      </c>
      <c r="E2" s="422">
        <v>202500997</v>
      </c>
      <c r="F2" s="13" t="s">
        <v>4</v>
      </c>
    </row>
    <row r="3" spans="1:6">
      <c r="A3" s="363">
        <v>202401100</v>
      </c>
      <c r="B3" s="364" t="s">
        <v>3</v>
      </c>
      <c r="E3" s="22">
        <v>202500652</v>
      </c>
      <c r="F3" s="13" t="s">
        <v>5</v>
      </c>
    </row>
    <row r="4" spans="1:6">
      <c r="A4" s="363">
        <v>202400671</v>
      </c>
      <c r="B4" s="364" t="s">
        <v>6</v>
      </c>
      <c r="E4" s="422">
        <v>202500652</v>
      </c>
      <c r="F4" s="13" t="s">
        <v>5</v>
      </c>
    </row>
    <row r="5" spans="1:6">
      <c r="A5" s="363">
        <v>202400678</v>
      </c>
      <c r="B5" s="364" t="s">
        <v>6</v>
      </c>
      <c r="E5" s="22">
        <v>202500652</v>
      </c>
      <c r="F5" s="13" t="s">
        <v>5</v>
      </c>
    </row>
    <row r="6" spans="1:6">
      <c r="A6" s="363">
        <v>202401281</v>
      </c>
      <c r="B6" s="364" t="s">
        <v>7</v>
      </c>
      <c r="E6" s="422">
        <v>202500997</v>
      </c>
      <c r="F6" s="13" t="s">
        <v>4</v>
      </c>
    </row>
    <row r="7" spans="1:6">
      <c r="A7" s="363">
        <v>202401281</v>
      </c>
      <c r="B7" s="364" t="s">
        <v>7</v>
      </c>
      <c r="E7" s="22">
        <v>202500997</v>
      </c>
      <c r="F7" s="13" t="s">
        <v>4</v>
      </c>
    </row>
    <row r="8" spans="1:6">
      <c r="A8" s="363">
        <v>202400672</v>
      </c>
      <c r="B8" s="364" t="s">
        <v>8</v>
      </c>
      <c r="E8" s="422">
        <v>202500652</v>
      </c>
      <c r="F8" s="13" t="s">
        <v>5</v>
      </c>
    </row>
    <row r="9" spans="1:6">
      <c r="A9" s="363">
        <v>202400679</v>
      </c>
      <c r="B9" s="364" t="s">
        <v>9</v>
      </c>
      <c r="E9" s="22">
        <v>202500652</v>
      </c>
      <c r="F9" s="13" t="s">
        <v>5</v>
      </c>
    </row>
    <row r="10" spans="1:6">
      <c r="A10" s="363">
        <v>202401281</v>
      </c>
      <c r="B10" s="364" t="s">
        <v>7</v>
      </c>
      <c r="E10" s="22">
        <v>202500652</v>
      </c>
      <c r="F10" s="13" t="s">
        <v>5</v>
      </c>
    </row>
    <row r="11" spans="1:6">
      <c r="A11" s="363">
        <v>202400680</v>
      </c>
      <c r="B11" s="364" t="s">
        <v>10</v>
      </c>
      <c r="E11" s="422">
        <v>202500997</v>
      </c>
      <c r="F11" s="13" t="s">
        <v>4</v>
      </c>
    </row>
    <row r="12" spans="1:6">
      <c r="A12" s="363">
        <v>202400671</v>
      </c>
      <c r="B12" s="364" t="s">
        <v>6</v>
      </c>
      <c r="E12" s="422">
        <v>202500652</v>
      </c>
      <c r="F12" s="13" t="s">
        <v>5</v>
      </c>
    </row>
    <row r="13" spans="1:6">
      <c r="A13" s="363">
        <v>202400991</v>
      </c>
      <c r="B13" s="364" t="s">
        <v>11</v>
      </c>
      <c r="E13" s="22">
        <v>202500652</v>
      </c>
      <c r="F13" s="13" t="s">
        <v>5</v>
      </c>
    </row>
    <row r="14" spans="1:6">
      <c r="A14" s="363">
        <v>202400681</v>
      </c>
      <c r="B14" s="364" t="s">
        <v>12</v>
      </c>
      <c r="E14" s="422">
        <v>202500652</v>
      </c>
      <c r="F14" s="13" t="s">
        <v>5</v>
      </c>
    </row>
    <row r="15" spans="1:6">
      <c r="A15" s="363">
        <v>202400681</v>
      </c>
      <c r="B15" s="364" t="s">
        <v>12</v>
      </c>
      <c r="E15" s="22">
        <v>202500652</v>
      </c>
      <c r="F15" s="13" t="s">
        <v>5</v>
      </c>
    </row>
    <row r="16" spans="1:6">
      <c r="A16" s="363">
        <v>202400680</v>
      </c>
      <c r="B16" s="364" t="s">
        <v>10</v>
      </c>
      <c r="E16" s="422">
        <v>202500652</v>
      </c>
      <c r="F16" s="13" t="s">
        <v>5</v>
      </c>
    </row>
    <row r="17" spans="1:6">
      <c r="A17" s="363">
        <v>202400673</v>
      </c>
      <c r="B17" s="364" t="s">
        <v>13</v>
      </c>
      <c r="E17" s="22">
        <v>202500652</v>
      </c>
      <c r="F17" s="13" t="s">
        <v>5</v>
      </c>
    </row>
    <row r="18" spans="1:6">
      <c r="A18" s="363">
        <v>202400681</v>
      </c>
      <c r="B18" s="364" t="s">
        <v>12</v>
      </c>
      <c r="E18" s="422">
        <v>202500652</v>
      </c>
      <c r="F18" s="13" t="s">
        <v>5</v>
      </c>
    </row>
    <row r="19" spans="1:6">
      <c r="A19" s="363">
        <v>202400680</v>
      </c>
      <c r="B19" s="364" t="s">
        <v>10</v>
      </c>
      <c r="E19" s="22">
        <v>202500652</v>
      </c>
      <c r="F19" s="13" t="s">
        <v>5</v>
      </c>
    </row>
    <row r="20" spans="1:6">
      <c r="A20" s="363">
        <v>202400680</v>
      </c>
      <c r="B20" s="364" t="s">
        <v>10</v>
      </c>
      <c r="E20" s="422">
        <v>202500997</v>
      </c>
      <c r="F20" s="13" t="s">
        <v>4</v>
      </c>
    </row>
    <row r="21" spans="1:6">
      <c r="A21" s="363">
        <v>202400681</v>
      </c>
      <c r="B21" s="364" t="s">
        <v>12</v>
      </c>
      <c r="E21" s="22">
        <v>202500997</v>
      </c>
      <c r="F21" s="13" t="s">
        <v>4</v>
      </c>
    </row>
    <row r="22" spans="1:6">
      <c r="A22" s="363">
        <v>202401281</v>
      </c>
      <c r="B22" s="364" t="s">
        <v>7</v>
      </c>
      <c r="E22" s="422">
        <v>202500997</v>
      </c>
      <c r="F22" s="13" t="s">
        <v>4</v>
      </c>
    </row>
    <row r="23" spans="1:6">
      <c r="A23" s="363">
        <v>202400673</v>
      </c>
      <c r="B23" s="364" t="s">
        <v>13</v>
      </c>
      <c r="E23" s="22">
        <v>202500997</v>
      </c>
      <c r="F23" s="13" t="s">
        <v>4</v>
      </c>
    </row>
    <row r="24" spans="1:6">
      <c r="A24" s="363">
        <v>202400673</v>
      </c>
      <c r="B24" s="364" t="s">
        <v>13</v>
      </c>
      <c r="E24" s="422">
        <v>202500997</v>
      </c>
      <c r="F24" s="13" t="s">
        <v>4</v>
      </c>
    </row>
    <row r="25" spans="1:6">
      <c r="A25" s="363">
        <v>202400673</v>
      </c>
      <c r="B25" s="364" t="s">
        <v>13</v>
      </c>
      <c r="E25" s="22">
        <v>202500652</v>
      </c>
      <c r="F25" s="13" t="s">
        <v>5</v>
      </c>
    </row>
    <row r="26" spans="1:6">
      <c r="A26" s="365">
        <v>202400673</v>
      </c>
      <c r="B26" s="364" t="s">
        <v>13</v>
      </c>
      <c r="E26" s="422">
        <v>202500997</v>
      </c>
      <c r="F26" s="13" t="s">
        <v>4</v>
      </c>
    </row>
    <row r="27" spans="1:6">
      <c r="A27" s="363">
        <v>202400673</v>
      </c>
      <c r="B27" s="364" t="s">
        <v>13</v>
      </c>
      <c r="E27" s="422">
        <v>202500652</v>
      </c>
      <c r="F27" s="13" t="s">
        <v>5</v>
      </c>
    </row>
    <row r="28" spans="1:6">
      <c r="A28" s="363">
        <v>202400673</v>
      </c>
      <c r="B28" s="364" t="s">
        <v>13</v>
      </c>
      <c r="E28" s="22">
        <v>202500652</v>
      </c>
      <c r="F28" s="13" t="s">
        <v>5</v>
      </c>
    </row>
    <row r="29" spans="1:6">
      <c r="A29" s="363">
        <v>202400673</v>
      </c>
      <c r="B29" s="364" t="s">
        <v>13</v>
      </c>
      <c r="E29" s="422">
        <v>202500997</v>
      </c>
      <c r="F29" s="13" t="s">
        <v>4</v>
      </c>
    </row>
    <row r="30" spans="1:6">
      <c r="A30" s="363">
        <v>202400671</v>
      </c>
      <c r="B30" s="364" t="s">
        <v>6</v>
      </c>
      <c r="E30" s="22">
        <v>202500997</v>
      </c>
      <c r="F30" s="13" t="s">
        <v>4</v>
      </c>
    </row>
    <row r="31" spans="1:6">
      <c r="A31" s="363">
        <v>202400671</v>
      </c>
      <c r="B31" s="364" t="s">
        <v>6</v>
      </c>
      <c r="E31" s="422">
        <v>202500652</v>
      </c>
      <c r="F31" s="13" t="s">
        <v>5</v>
      </c>
    </row>
    <row r="32" spans="1:6">
      <c r="A32" s="363">
        <v>202400673</v>
      </c>
      <c r="B32" s="364" t="s">
        <v>13</v>
      </c>
      <c r="E32" s="22">
        <v>202500997</v>
      </c>
      <c r="F32" s="13" t="s">
        <v>4</v>
      </c>
    </row>
    <row r="33" spans="1:6">
      <c r="A33" s="363">
        <v>202400673</v>
      </c>
      <c r="B33" s="364" t="s">
        <v>13</v>
      </c>
      <c r="E33" s="422">
        <v>202500652</v>
      </c>
      <c r="F33" s="13" t="s">
        <v>5</v>
      </c>
    </row>
    <row r="34" spans="1:6">
      <c r="A34" s="363">
        <v>202400673</v>
      </c>
      <c r="B34" s="364" t="s">
        <v>13</v>
      </c>
      <c r="E34" s="22">
        <v>202500997</v>
      </c>
      <c r="F34" s="13" t="s">
        <v>4</v>
      </c>
    </row>
    <row r="35" spans="1:6">
      <c r="A35" s="363">
        <v>202400673</v>
      </c>
      <c r="B35" s="364" t="s">
        <v>13</v>
      </c>
      <c r="E35" s="422">
        <v>202500997</v>
      </c>
      <c r="F35" s="13" t="s">
        <v>4</v>
      </c>
    </row>
    <row r="36" spans="1:6">
      <c r="A36" s="363">
        <v>202400673</v>
      </c>
      <c r="B36" s="364" t="s">
        <v>13</v>
      </c>
      <c r="E36" s="22">
        <v>202500997</v>
      </c>
      <c r="F36" s="13" t="s">
        <v>4</v>
      </c>
    </row>
    <row r="37" spans="1:6">
      <c r="A37" s="363">
        <v>202400673</v>
      </c>
      <c r="B37" s="364" t="s">
        <v>13</v>
      </c>
      <c r="E37" s="422">
        <v>202500997</v>
      </c>
      <c r="F37" s="13" t="s">
        <v>4</v>
      </c>
    </row>
    <row r="38" spans="1:6">
      <c r="A38" s="363">
        <v>202400671</v>
      </c>
      <c r="B38" s="364" t="s">
        <v>6</v>
      </c>
      <c r="E38" s="22">
        <v>202500997</v>
      </c>
      <c r="F38" s="13" t="s">
        <v>4</v>
      </c>
    </row>
    <row r="39" spans="1:6">
      <c r="A39" s="363">
        <v>202400673</v>
      </c>
      <c r="B39" s="364" t="s">
        <v>13</v>
      </c>
      <c r="E39" s="22">
        <v>202500997</v>
      </c>
      <c r="F39" s="13" t="s">
        <v>4</v>
      </c>
    </row>
    <row r="40" spans="1:6">
      <c r="A40" s="363">
        <v>202400673</v>
      </c>
      <c r="B40" s="364" t="s">
        <v>13</v>
      </c>
      <c r="E40" s="422">
        <v>202500652</v>
      </c>
      <c r="F40" s="13" t="s">
        <v>5</v>
      </c>
    </row>
    <row r="41" spans="1:6">
      <c r="A41" s="363">
        <v>202400673</v>
      </c>
      <c r="B41" s="364" t="s">
        <v>13</v>
      </c>
      <c r="E41" s="22">
        <v>202500997</v>
      </c>
      <c r="F41" s="13" t="s">
        <v>4</v>
      </c>
    </row>
    <row r="42" spans="1:6">
      <c r="A42" s="365">
        <v>202400671</v>
      </c>
      <c r="B42" s="364" t="s">
        <v>6</v>
      </c>
      <c r="E42" s="422">
        <v>202500652</v>
      </c>
      <c r="F42" s="13" t="s">
        <v>5</v>
      </c>
    </row>
    <row r="43" spans="1:6">
      <c r="A43" s="363">
        <v>202400673</v>
      </c>
      <c r="B43" s="364" t="s">
        <v>13</v>
      </c>
      <c r="E43" s="22">
        <v>202500652</v>
      </c>
      <c r="F43" s="13" t="s">
        <v>5</v>
      </c>
    </row>
    <row r="44" spans="1:6">
      <c r="A44" s="363">
        <v>202400671</v>
      </c>
      <c r="B44" s="364" t="s">
        <v>6</v>
      </c>
      <c r="E44" s="422">
        <v>202500652</v>
      </c>
      <c r="F44" s="13" t="s">
        <v>5</v>
      </c>
    </row>
    <row r="45" spans="1:6">
      <c r="A45" s="363">
        <v>202400673</v>
      </c>
      <c r="B45" s="364" t="s">
        <v>13</v>
      </c>
      <c r="E45" s="22">
        <v>202500652</v>
      </c>
      <c r="F45" s="13" t="s">
        <v>5</v>
      </c>
    </row>
    <row r="46" spans="1:6">
      <c r="A46" s="363">
        <v>202400671</v>
      </c>
      <c r="B46" s="364" t="s">
        <v>6</v>
      </c>
      <c r="E46" s="422">
        <v>202500652</v>
      </c>
      <c r="F46" s="13" t="s">
        <v>5</v>
      </c>
    </row>
    <row r="47" spans="1:6">
      <c r="A47" s="363">
        <v>202400671</v>
      </c>
      <c r="B47" s="364" t="s">
        <v>6</v>
      </c>
      <c r="E47" s="22">
        <v>202500652</v>
      </c>
      <c r="F47" s="13" t="s">
        <v>5</v>
      </c>
    </row>
    <row r="48" spans="1:6">
      <c r="A48" s="365">
        <v>202400671</v>
      </c>
      <c r="B48" s="366" t="s">
        <v>6</v>
      </c>
      <c r="E48" s="422">
        <v>202500652</v>
      </c>
      <c r="F48" s="13" t="s">
        <v>5</v>
      </c>
    </row>
    <row r="49" spans="1:6">
      <c r="A49" s="363">
        <v>202400671</v>
      </c>
      <c r="B49" s="364" t="s">
        <v>6</v>
      </c>
      <c r="E49" s="22">
        <v>202500652</v>
      </c>
      <c r="F49" s="13" t="s">
        <v>5</v>
      </c>
    </row>
    <row r="50" spans="1:6">
      <c r="A50" s="363">
        <v>202400671</v>
      </c>
      <c r="B50" s="364" t="s">
        <v>6</v>
      </c>
      <c r="E50" s="22">
        <v>202500997</v>
      </c>
      <c r="F50" s="13" t="s">
        <v>4</v>
      </c>
    </row>
    <row r="51" spans="1:6">
      <c r="A51" s="363">
        <v>202400681</v>
      </c>
      <c r="B51" s="364" t="s">
        <v>12</v>
      </c>
      <c r="E51" s="422">
        <v>202500652</v>
      </c>
      <c r="F51" s="13" t="s">
        <v>5</v>
      </c>
    </row>
    <row r="52" spans="1:6">
      <c r="A52" s="363">
        <v>202400681</v>
      </c>
      <c r="B52" s="364" t="s">
        <v>12</v>
      </c>
      <c r="E52" s="22">
        <v>202500997</v>
      </c>
      <c r="F52" s="13" t="s">
        <v>4</v>
      </c>
    </row>
    <row r="53" spans="1:6">
      <c r="A53" s="363">
        <v>202400671</v>
      </c>
      <c r="B53" s="364" t="s">
        <v>6</v>
      </c>
      <c r="E53" s="422">
        <v>202500652</v>
      </c>
      <c r="F53" s="13" t="s">
        <v>5</v>
      </c>
    </row>
    <row r="54" spans="1:6">
      <c r="A54" s="363">
        <v>202400671</v>
      </c>
      <c r="B54" s="364" t="s">
        <v>6</v>
      </c>
      <c r="E54" s="22">
        <v>202500652</v>
      </c>
      <c r="F54" s="13" t="s">
        <v>5</v>
      </c>
    </row>
    <row r="55" spans="1:6">
      <c r="A55" s="363">
        <v>202400681</v>
      </c>
      <c r="B55" s="364" t="s">
        <v>12</v>
      </c>
      <c r="E55" s="422">
        <v>202500652</v>
      </c>
      <c r="F55" s="13" t="s">
        <v>5</v>
      </c>
    </row>
    <row r="56" spans="1:6">
      <c r="A56" s="363">
        <v>202400671</v>
      </c>
      <c r="B56" s="364" t="s">
        <v>6</v>
      </c>
      <c r="E56" s="22">
        <v>202500652</v>
      </c>
      <c r="F56" s="13" t="s">
        <v>5</v>
      </c>
    </row>
    <row r="57" spans="1:6">
      <c r="A57" s="363">
        <v>202400681</v>
      </c>
      <c r="B57" s="364" t="s">
        <v>12</v>
      </c>
    </row>
    <row r="58" spans="1:6">
      <c r="A58" s="363">
        <v>202400681</v>
      </c>
      <c r="B58" s="364" t="s">
        <v>12</v>
      </c>
    </row>
    <row r="59" spans="1:6">
      <c r="A59" s="363">
        <v>202400681</v>
      </c>
      <c r="B59" s="364" t="s">
        <v>12</v>
      </c>
    </row>
    <row r="60" spans="1:6">
      <c r="A60" s="363">
        <v>202400671</v>
      </c>
      <c r="B60" s="364" t="s">
        <v>6</v>
      </c>
    </row>
    <row r="61" spans="1:6">
      <c r="A61" s="363">
        <v>202400671</v>
      </c>
      <c r="B61" s="364" t="s">
        <v>6</v>
      </c>
    </row>
    <row r="62" spans="1:6">
      <c r="A62" s="363">
        <v>202400671</v>
      </c>
      <c r="B62" s="364" t="s">
        <v>6</v>
      </c>
    </row>
    <row r="63" spans="1:6">
      <c r="A63" s="363">
        <v>202400671</v>
      </c>
      <c r="B63" s="364" t="s">
        <v>6</v>
      </c>
    </row>
    <row r="64" spans="1:6">
      <c r="A64" s="363">
        <v>202400671</v>
      </c>
      <c r="B64" s="364" t="s">
        <v>6</v>
      </c>
    </row>
    <row r="65" spans="1:2">
      <c r="A65" s="363">
        <v>202400672</v>
      </c>
      <c r="B65" s="364" t="s">
        <v>8</v>
      </c>
    </row>
    <row r="66" spans="1:2">
      <c r="A66" s="363">
        <v>202400681</v>
      </c>
      <c r="B66" s="364" t="s">
        <v>12</v>
      </c>
    </row>
    <row r="67" spans="1:2">
      <c r="A67" s="363">
        <v>202400681</v>
      </c>
      <c r="B67" s="364" t="s">
        <v>12</v>
      </c>
    </row>
    <row r="68" spans="1:2">
      <c r="A68" s="363">
        <v>202400681</v>
      </c>
      <c r="B68" s="364" t="s">
        <v>12</v>
      </c>
    </row>
    <row r="69" spans="1:2">
      <c r="A69" s="363">
        <v>202400681</v>
      </c>
      <c r="B69" s="364" t="s">
        <v>12</v>
      </c>
    </row>
    <row r="70" spans="1:2">
      <c r="A70" s="363">
        <v>202400681</v>
      </c>
      <c r="B70" s="364" t="s">
        <v>12</v>
      </c>
    </row>
    <row r="71" spans="1:2">
      <c r="A71" s="363">
        <v>202400681</v>
      </c>
      <c r="B71" s="364" t="s">
        <v>12</v>
      </c>
    </row>
    <row r="72" spans="1:2">
      <c r="A72" s="363">
        <v>202400681</v>
      </c>
      <c r="B72" s="364" t="s">
        <v>12</v>
      </c>
    </row>
    <row r="73" spans="1:2">
      <c r="A73" s="363">
        <v>202400681</v>
      </c>
      <c r="B73" s="364" t="s">
        <v>12</v>
      </c>
    </row>
    <row r="74" spans="1:2">
      <c r="A74" s="363">
        <v>202400681</v>
      </c>
      <c r="B74" s="364" t="s">
        <v>12</v>
      </c>
    </row>
    <row r="75" spans="1:2">
      <c r="A75" s="363">
        <v>202400681</v>
      </c>
      <c r="B75" s="364" t="s">
        <v>12</v>
      </c>
    </row>
    <row r="76" spans="1:2">
      <c r="A76" s="363">
        <v>202400681</v>
      </c>
      <c r="B76" s="364" t="s">
        <v>12</v>
      </c>
    </row>
    <row r="77" spans="1:2">
      <c r="A77" s="363">
        <v>202400681</v>
      </c>
      <c r="B77" s="364" t="s">
        <v>12</v>
      </c>
    </row>
    <row r="78" spans="1:2">
      <c r="A78" s="363">
        <v>202400671</v>
      </c>
      <c r="B78" s="364" t="s">
        <v>6</v>
      </c>
    </row>
    <row r="79" spans="1:2">
      <c r="A79" s="363">
        <v>202400671</v>
      </c>
      <c r="B79" s="364" t="s">
        <v>6</v>
      </c>
    </row>
    <row r="80" spans="1:2">
      <c r="A80" s="365">
        <v>202400681</v>
      </c>
      <c r="B80" s="366" t="s">
        <v>12</v>
      </c>
    </row>
    <row r="81" spans="1:2">
      <c r="A81" s="363">
        <v>202400681</v>
      </c>
      <c r="B81" s="364" t="s">
        <v>12</v>
      </c>
    </row>
    <row r="82" spans="1:2">
      <c r="A82" s="365">
        <v>202400681</v>
      </c>
      <c r="B82" s="364" t="s">
        <v>12</v>
      </c>
    </row>
    <row r="83" spans="1:2">
      <c r="A83" s="363">
        <v>202400681</v>
      </c>
      <c r="B83" s="364" t="s">
        <v>12</v>
      </c>
    </row>
    <row r="84" spans="1:2">
      <c r="A84" s="363">
        <v>202400681</v>
      </c>
      <c r="B84" s="364" t="s">
        <v>12</v>
      </c>
    </row>
    <row r="85" spans="1:2">
      <c r="A85" s="363">
        <v>202400682</v>
      </c>
      <c r="B85" s="364" t="s">
        <v>14</v>
      </c>
    </row>
    <row r="86" spans="1:2">
      <c r="A86" s="363">
        <v>202400682</v>
      </c>
      <c r="B86" s="364" t="s">
        <v>14</v>
      </c>
    </row>
    <row r="87" spans="1:2">
      <c r="A87" s="363">
        <v>202400671</v>
      </c>
      <c r="B87" s="364" t="s">
        <v>6</v>
      </c>
    </row>
    <row r="88" spans="1:2">
      <c r="A88" s="363">
        <v>202400682</v>
      </c>
      <c r="B88" s="364" t="s">
        <v>14</v>
      </c>
    </row>
    <row r="89" spans="1:2">
      <c r="A89" s="363">
        <v>202400671</v>
      </c>
      <c r="B89" s="364" t="s">
        <v>6</v>
      </c>
    </row>
    <row r="90" spans="1:2">
      <c r="A90" s="363">
        <v>202400682</v>
      </c>
      <c r="B90" s="364" t="s">
        <v>14</v>
      </c>
    </row>
    <row r="91" spans="1:2">
      <c r="A91" s="363">
        <v>202400682</v>
      </c>
      <c r="B91" s="364" t="s">
        <v>14</v>
      </c>
    </row>
    <row r="92" spans="1:2">
      <c r="A92" s="363">
        <v>202400682</v>
      </c>
      <c r="B92" s="364" t="s">
        <v>14</v>
      </c>
    </row>
    <row r="93" spans="1:2">
      <c r="A93" s="363">
        <v>202400671</v>
      </c>
      <c r="B93" s="364" t="s">
        <v>6</v>
      </c>
    </row>
    <row r="94" spans="1:2">
      <c r="A94" s="363">
        <v>202400682</v>
      </c>
      <c r="B94" s="364" t="s">
        <v>14</v>
      </c>
    </row>
    <row r="95" spans="1:2">
      <c r="A95" s="367">
        <v>202400682</v>
      </c>
      <c r="B95" s="364" t="s">
        <v>14</v>
      </c>
    </row>
    <row r="96" spans="1:2">
      <c r="A96" s="363">
        <v>202400671</v>
      </c>
      <c r="B96" s="364" t="s">
        <v>6</v>
      </c>
    </row>
    <row r="97" spans="1:2">
      <c r="A97" s="363">
        <v>202400671</v>
      </c>
      <c r="B97" s="364" t="s">
        <v>6</v>
      </c>
    </row>
    <row r="98" spans="1:2">
      <c r="A98" s="363">
        <v>202400671</v>
      </c>
      <c r="B98" s="364" t="s">
        <v>6</v>
      </c>
    </row>
    <row r="99" spans="1:2">
      <c r="A99" s="363">
        <v>202400681</v>
      </c>
      <c r="B99" s="364" t="s">
        <v>12</v>
      </c>
    </row>
    <row r="100" spans="1:2">
      <c r="A100" s="365">
        <v>202400681</v>
      </c>
      <c r="B100" s="364" t="s">
        <v>12</v>
      </c>
    </row>
    <row r="101" spans="1:2">
      <c r="A101" s="363">
        <v>202400681</v>
      </c>
      <c r="B101" s="364" t="s">
        <v>12</v>
      </c>
    </row>
    <row r="102" spans="1:2">
      <c r="A102" s="363">
        <v>202400681</v>
      </c>
      <c r="B102" s="364" t="s">
        <v>12</v>
      </c>
    </row>
    <row r="103" spans="1:2">
      <c r="A103" s="367">
        <v>202400682</v>
      </c>
      <c r="B103" s="364" t="s">
        <v>14</v>
      </c>
    </row>
    <row r="104" spans="1:2">
      <c r="A104" s="367">
        <v>202400682</v>
      </c>
      <c r="B104" s="364" t="s">
        <v>14</v>
      </c>
    </row>
    <row r="105" spans="1:2">
      <c r="A105" s="367">
        <v>202400682</v>
      </c>
      <c r="B105" s="364" t="s">
        <v>14</v>
      </c>
    </row>
    <row r="106" spans="1:2">
      <c r="A106" s="367">
        <v>202400682</v>
      </c>
      <c r="B106" s="364" t="s">
        <v>14</v>
      </c>
    </row>
    <row r="107" spans="1:2">
      <c r="A107" s="367">
        <v>202400682</v>
      </c>
      <c r="B107" s="364" t="s">
        <v>14</v>
      </c>
    </row>
    <row r="108" spans="1:2">
      <c r="A108" s="365">
        <v>202400682</v>
      </c>
      <c r="B108" s="366" t="s">
        <v>14</v>
      </c>
    </row>
    <row r="109" spans="1:2">
      <c r="A109" s="363">
        <v>202400682</v>
      </c>
      <c r="B109" s="364" t="s">
        <v>14</v>
      </c>
    </row>
    <row r="110" spans="1:2">
      <c r="A110" s="363">
        <v>202400682</v>
      </c>
      <c r="B110" s="364" t="s">
        <v>14</v>
      </c>
    </row>
    <row r="111" spans="1:2">
      <c r="A111" s="363">
        <v>202400679</v>
      </c>
      <c r="B111" s="364" t="s">
        <v>9</v>
      </c>
    </row>
    <row r="112" spans="1:2">
      <c r="A112" s="363">
        <v>202400682</v>
      </c>
      <c r="B112" s="364" t="s">
        <v>14</v>
      </c>
    </row>
    <row r="113" spans="1:2">
      <c r="A113" s="363">
        <v>202400682</v>
      </c>
      <c r="B113" s="364" t="s">
        <v>14</v>
      </c>
    </row>
    <row r="114" spans="1:2">
      <c r="A114" s="363">
        <v>202400682</v>
      </c>
      <c r="B114" s="364" t="s">
        <v>14</v>
      </c>
    </row>
    <row r="115" spans="1:2">
      <c r="A115" s="363">
        <v>202400682</v>
      </c>
      <c r="B115" s="364" t="s">
        <v>14</v>
      </c>
    </row>
    <row r="116" spans="1:2">
      <c r="A116" s="363">
        <v>202400682</v>
      </c>
      <c r="B116" s="364" t="s">
        <v>14</v>
      </c>
    </row>
    <row r="117" spans="1:2">
      <c r="A117" s="363">
        <v>202400680</v>
      </c>
      <c r="B117" s="364" t="s">
        <v>10</v>
      </c>
    </row>
    <row r="118" spans="1:2">
      <c r="A118" s="363">
        <v>202400682</v>
      </c>
      <c r="B118" s="364" t="s">
        <v>14</v>
      </c>
    </row>
    <row r="119" spans="1:2">
      <c r="A119" s="363">
        <v>202400682</v>
      </c>
      <c r="B119" s="364" t="s">
        <v>14</v>
      </c>
    </row>
    <row r="120" spans="1:2">
      <c r="A120" s="363">
        <v>202400672</v>
      </c>
      <c r="B120" s="364" t="s">
        <v>8</v>
      </c>
    </row>
    <row r="121" spans="1:2">
      <c r="A121" s="363">
        <v>202400672</v>
      </c>
      <c r="B121" s="364" t="s">
        <v>8</v>
      </c>
    </row>
    <row r="122" spans="1:2">
      <c r="A122" s="363">
        <v>202400672</v>
      </c>
      <c r="B122" s="364" t="s">
        <v>8</v>
      </c>
    </row>
    <row r="123" spans="1:2">
      <c r="A123" s="363">
        <v>202400672</v>
      </c>
      <c r="B123" s="364" t="s">
        <v>8</v>
      </c>
    </row>
    <row r="124" spans="1:2">
      <c r="A124" s="363">
        <v>202400672</v>
      </c>
      <c r="B124" s="364" t="s">
        <v>8</v>
      </c>
    </row>
    <row r="125" spans="1:2">
      <c r="A125" s="363">
        <v>202400672</v>
      </c>
      <c r="B125" s="364" t="s">
        <v>8</v>
      </c>
    </row>
    <row r="126" spans="1:2">
      <c r="A126" s="363">
        <v>202400672</v>
      </c>
      <c r="B126" s="364" t="s">
        <v>8</v>
      </c>
    </row>
    <row r="127" spans="1:2">
      <c r="A127" s="363">
        <v>202400672</v>
      </c>
      <c r="B127" s="364" t="s">
        <v>8</v>
      </c>
    </row>
    <row r="128" spans="1:2">
      <c r="A128" s="363">
        <v>202400672</v>
      </c>
      <c r="B128" s="364" t="s">
        <v>8</v>
      </c>
    </row>
    <row r="129" spans="1:2">
      <c r="A129" s="363">
        <v>202400672</v>
      </c>
      <c r="B129" s="364" t="s">
        <v>8</v>
      </c>
    </row>
    <row r="130" spans="1:2">
      <c r="A130" s="363">
        <v>202400672</v>
      </c>
      <c r="B130" s="364" t="s">
        <v>8</v>
      </c>
    </row>
    <row r="131" spans="1:2">
      <c r="A131" s="363">
        <v>202400672</v>
      </c>
      <c r="B131" s="364" t="s">
        <v>8</v>
      </c>
    </row>
    <row r="132" spans="1:2">
      <c r="A132" s="363">
        <v>202400672</v>
      </c>
      <c r="B132" s="364" t="s">
        <v>8</v>
      </c>
    </row>
    <row r="133" spans="1:2">
      <c r="A133" s="363">
        <v>202400672</v>
      </c>
      <c r="B133" s="364" t="s">
        <v>8</v>
      </c>
    </row>
    <row r="134" spans="1:2">
      <c r="A134" s="363">
        <v>202400672</v>
      </c>
      <c r="B134" s="364" t="s">
        <v>8</v>
      </c>
    </row>
    <row r="135" spans="1:2">
      <c r="A135" s="363">
        <v>202400672</v>
      </c>
      <c r="B135" s="364" t="s">
        <v>8</v>
      </c>
    </row>
    <row r="136" spans="1:2">
      <c r="A136" s="363">
        <v>202400672</v>
      </c>
      <c r="B136" s="364" t="s">
        <v>8</v>
      </c>
    </row>
    <row r="137" spans="1:2">
      <c r="A137" s="363">
        <v>202400672</v>
      </c>
      <c r="B137" s="364" t="s">
        <v>8</v>
      </c>
    </row>
    <row r="138" spans="1:2">
      <c r="A138" s="363">
        <v>202400672</v>
      </c>
      <c r="B138" s="364" t="s">
        <v>8</v>
      </c>
    </row>
    <row r="139" spans="1:2">
      <c r="A139" s="363">
        <v>202400678</v>
      </c>
      <c r="B139" s="364" t="s">
        <v>6</v>
      </c>
    </row>
    <row r="140" spans="1:2">
      <c r="A140" s="363">
        <v>202400672</v>
      </c>
      <c r="B140" s="364" t="s">
        <v>8</v>
      </c>
    </row>
    <row r="141" spans="1:2">
      <c r="A141" s="363">
        <v>202400672</v>
      </c>
      <c r="B141" s="364" t="s">
        <v>8</v>
      </c>
    </row>
    <row r="142" spans="1:2">
      <c r="A142" s="363">
        <v>202400678</v>
      </c>
      <c r="B142" s="364" t="s">
        <v>6</v>
      </c>
    </row>
    <row r="143" spans="1:2">
      <c r="A143" s="363">
        <v>202400678</v>
      </c>
      <c r="B143" s="364" t="s">
        <v>6</v>
      </c>
    </row>
    <row r="144" spans="1:2">
      <c r="A144" s="363">
        <v>202400678</v>
      </c>
      <c r="B144" s="364" t="s">
        <v>6</v>
      </c>
    </row>
    <row r="145" spans="1:2">
      <c r="A145" s="363">
        <v>202400679</v>
      </c>
      <c r="B145" s="364" t="s">
        <v>9</v>
      </c>
    </row>
    <row r="146" spans="1:2">
      <c r="A146" s="363">
        <v>202400678</v>
      </c>
      <c r="B146" s="364" t="s">
        <v>6</v>
      </c>
    </row>
    <row r="147" spans="1:2">
      <c r="A147" s="363">
        <v>202400678</v>
      </c>
      <c r="B147" s="364" t="s">
        <v>6</v>
      </c>
    </row>
    <row r="148" spans="1:2">
      <c r="A148" s="363">
        <v>202400678</v>
      </c>
      <c r="B148" s="364" t="s">
        <v>6</v>
      </c>
    </row>
    <row r="149" spans="1:2">
      <c r="A149" s="363">
        <v>202400678</v>
      </c>
      <c r="B149" s="364" t="s">
        <v>6</v>
      </c>
    </row>
    <row r="150" spans="1:2">
      <c r="A150" s="363">
        <v>202400678</v>
      </c>
      <c r="B150" s="364" t="s">
        <v>6</v>
      </c>
    </row>
    <row r="151" spans="1:2">
      <c r="A151" s="363">
        <v>202400678</v>
      </c>
      <c r="B151" s="364" t="s">
        <v>6</v>
      </c>
    </row>
    <row r="152" spans="1:2">
      <c r="A152" s="363">
        <v>202400678</v>
      </c>
      <c r="B152" s="364" t="s">
        <v>6</v>
      </c>
    </row>
    <row r="153" spans="1:2">
      <c r="A153" s="367">
        <v>202400682</v>
      </c>
      <c r="B153" s="364" t="s">
        <v>14</v>
      </c>
    </row>
    <row r="154" spans="1:2">
      <c r="A154" s="367">
        <v>202400682</v>
      </c>
      <c r="B154" s="364" t="s">
        <v>14</v>
      </c>
    </row>
    <row r="155" spans="1:2">
      <c r="A155" s="363">
        <v>202400671</v>
      </c>
      <c r="B155" s="364" t="s">
        <v>6</v>
      </c>
    </row>
    <row r="156" spans="1:2">
      <c r="A156" s="367">
        <v>202400682</v>
      </c>
      <c r="B156" s="364" t="s">
        <v>14</v>
      </c>
    </row>
    <row r="157" spans="1:2">
      <c r="A157" s="363">
        <v>202400671</v>
      </c>
      <c r="B157" s="364" t="s">
        <v>6</v>
      </c>
    </row>
    <row r="158" spans="1:2">
      <c r="A158" s="363">
        <v>202400671</v>
      </c>
      <c r="B158" s="364" t="s">
        <v>6</v>
      </c>
    </row>
    <row r="159" spans="1:2">
      <c r="A159" s="363">
        <v>202400671</v>
      </c>
      <c r="B159" s="364" t="s">
        <v>6</v>
      </c>
    </row>
    <row r="160" spans="1:2">
      <c r="A160" s="363">
        <v>202400671</v>
      </c>
      <c r="B160" s="364" t="s">
        <v>6</v>
      </c>
    </row>
    <row r="161" spans="1:2">
      <c r="A161" s="363">
        <v>202400671</v>
      </c>
      <c r="B161" s="364" t="s">
        <v>6</v>
      </c>
    </row>
    <row r="162" spans="1:2">
      <c r="A162" s="363">
        <v>202400679</v>
      </c>
      <c r="B162" s="364" t="s">
        <v>9</v>
      </c>
    </row>
    <row r="163" spans="1:2">
      <c r="A163" s="363">
        <v>202400679</v>
      </c>
      <c r="B163" s="364" t="s">
        <v>9</v>
      </c>
    </row>
    <row r="164" spans="1:2">
      <c r="A164" s="367">
        <v>202400679</v>
      </c>
      <c r="B164" s="364" t="s">
        <v>9</v>
      </c>
    </row>
    <row r="165" spans="1:2">
      <c r="A165" s="363">
        <v>202400679</v>
      </c>
      <c r="B165" s="364" t="s">
        <v>9</v>
      </c>
    </row>
    <row r="166" spans="1:2">
      <c r="A166" s="363">
        <v>202400678</v>
      </c>
      <c r="B166" s="364" t="s">
        <v>6</v>
      </c>
    </row>
    <row r="167" spans="1:2">
      <c r="A167" s="363">
        <v>202400679</v>
      </c>
      <c r="B167" s="364" t="s">
        <v>9</v>
      </c>
    </row>
    <row r="168" spans="1:2">
      <c r="A168" s="363">
        <v>202400678</v>
      </c>
      <c r="B168" s="364" t="s">
        <v>6</v>
      </c>
    </row>
    <row r="169" spans="1:2">
      <c r="A169" s="363">
        <v>202400679</v>
      </c>
      <c r="B169" s="364" t="s">
        <v>9</v>
      </c>
    </row>
    <row r="170" spans="1:2">
      <c r="A170" s="363">
        <v>202400679</v>
      </c>
      <c r="B170" s="364" t="s">
        <v>9</v>
      </c>
    </row>
    <row r="171" spans="1:2">
      <c r="A171" s="363">
        <v>202400678</v>
      </c>
      <c r="B171" s="364" t="s">
        <v>6</v>
      </c>
    </row>
    <row r="172" spans="1:2">
      <c r="A172" s="363">
        <v>202400678</v>
      </c>
      <c r="B172" s="364" t="s">
        <v>6</v>
      </c>
    </row>
    <row r="173" spans="1:2">
      <c r="A173" s="363">
        <v>202400678</v>
      </c>
      <c r="B173" s="364" t="s">
        <v>6</v>
      </c>
    </row>
    <row r="174" spans="1:2">
      <c r="A174" s="363">
        <v>202400678</v>
      </c>
      <c r="B174" s="364" t="s">
        <v>6</v>
      </c>
    </row>
    <row r="175" spans="1:2">
      <c r="A175" s="363">
        <v>202400678</v>
      </c>
      <c r="B175" s="364" t="s">
        <v>6</v>
      </c>
    </row>
    <row r="176" spans="1:2">
      <c r="A176" s="363">
        <v>202400678</v>
      </c>
      <c r="B176" s="364" t="s">
        <v>6</v>
      </c>
    </row>
    <row r="177" spans="1:2">
      <c r="A177" s="367">
        <v>202400678</v>
      </c>
      <c r="B177" s="364" t="s">
        <v>6</v>
      </c>
    </row>
    <row r="178" spans="1:2">
      <c r="A178" s="363">
        <v>202400678</v>
      </c>
      <c r="B178" s="364" t="s">
        <v>6</v>
      </c>
    </row>
    <row r="179" spans="1:2">
      <c r="A179" s="363">
        <v>202400678</v>
      </c>
      <c r="B179" s="364" t="s">
        <v>6</v>
      </c>
    </row>
    <row r="180" spans="1:2">
      <c r="A180" s="363">
        <v>202400678</v>
      </c>
      <c r="B180" s="364" t="s">
        <v>6</v>
      </c>
    </row>
    <row r="181" spans="1:2">
      <c r="A181" s="363">
        <v>202400679</v>
      </c>
      <c r="B181" s="364" t="s">
        <v>9</v>
      </c>
    </row>
    <row r="182" spans="1:2">
      <c r="A182" s="363">
        <v>202400679</v>
      </c>
      <c r="B182" s="364" t="s">
        <v>9</v>
      </c>
    </row>
    <row r="183" spans="1:2">
      <c r="A183" s="363">
        <v>202400679</v>
      </c>
      <c r="B183" s="364" t="s">
        <v>9</v>
      </c>
    </row>
    <row r="184" spans="1:2">
      <c r="A184" s="363">
        <v>202400678</v>
      </c>
      <c r="B184" s="364" t="s">
        <v>6</v>
      </c>
    </row>
    <row r="185" spans="1:2">
      <c r="A185" s="363">
        <v>202400679</v>
      </c>
      <c r="B185" s="364" t="s">
        <v>9</v>
      </c>
    </row>
    <row r="186" spans="1:2">
      <c r="A186" s="365">
        <v>202400679</v>
      </c>
      <c r="B186" s="366" t="s">
        <v>9</v>
      </c>
    </row>
    <row r="187" spans="1:2">
      <c r="A187" s="363">
        <v>202400679</v>
      </c>
      <c r="B187" s="364" t="s">
        <v>9</v>
      </c>
    </row>
    <row r="188" spans="1:2">
      <c r="A188" s="363">
        <v>202400679</v>
      </c>
      <c r="B188" s="364" t="s">
        <v>9</v>
      </c>
    </row>
    <row r="189" spans="1:2">
      <c r="A189" s="363">
        <v>202400679</v>
      </c>
      <c r="B189" s="364" t="s">
        <v>9</v>
      </c>
    </row>
    <row r="190" spans="1:2">
      <c r="A190" s="363">
        <v>202400678</v>
      </c>
      <c r="B190" s="364" t="s">
        <v>6</v>
      </c>
    </row>
    <row r="191" spans="1:2">
      <c r="A191" s="363">
        <v>202400678</v>
      </c>
      <c r="B191" s="364" t="s">
        <v>6</v>
      </c>
    </row>
    <row r="192" spans="1:2">
      <c r="A192" s="363">
        <v>202400680</v>
      </c>
      <c r="B192" s="364" t="s">
        <v>10</v>
      </c>
    </row>
    <row r="193" spans="1:2">
      <c r="A193" s="363">
        <v>202400680</v>
      </c>
      <c r="B193" s="364" t="s">
        <v>10</v>
      </c>
    </row>
    <row r="194" spans="1:2">
      <c r="A194" s="363">
        <v>202400679</v>
      </c>
      <c r="B194" s="364" t="s">
        <v>9</v>
      </c>
    </row>
    <row r="195" spans="1:2">
      <c r="A195" s="363">
        <v>202400680</v>
      </c>
      <c r="B195" s="364" t="s">
        <v>10</v>
      </c>
    </row>
    <row r="196" spans="1:2">
      <c r="A196" s="363">
        <v>202400680</v>
      </c>
      <c r="B196" s="364" t="s">
        <v>10</v>
      </c>
    </row>
    <row r="197" spans="1:2">
      <c r="A197" s="363">
        <v>202400680</v>
      </c>
      <c r="B197" s="364" t="s">
        <v>10</v>
      </c>
    </row>
    <row r="198" spans="1:2">
      <c r="A198" s="363">
        <v>202400680</v>
      </c>
      <c r="B198" s="364" t="s">
        <v>10</v>
      </c>
    </row>
    <row r="199" spans="1:2">
      <c r="A199" s="363">
        <v>202400680</v>
      </c>
      <c r="B199" s="364" t="s">
        <v>10</v>
      </c>
    </row>
    <row r="200" spans="1:2">
      <c r="A200" s="363">
        <v>202400680</v>
      </c>
      <c r="B200" s="364" t="s">
        <v>10</v>
      </c>
    </row>
    <row r="201" spans="1:2">
      <c r="A201" s="363">
        <v>202400680</v>
      </c>
      <c r="B201" s="364" t="s">
        <v>10</v>
      </c>
    </row>
    <row r="202" spans="1:2">
      <c r="A202" s="363">
        <v>202400680</v>
      </c>
      <c r="B202" s="364" t="s">
        <v>10</v>
      </c>
    </row>
    <row r="203" spans="1:2">
      <c r="A203" s="363">
        <v>202400680</v>
      </c>
      <c r="B203" s="364" t="s">
        <v>10</v>
      </c>
    </row>
    <row r="204" spans="1:2">
      <c r="A204" s="363">
        <v>202400680</v>
      </c>
      <c r="B204" s="364" t="s">
        <v>10</v>
      </c>
    </row>
    <row r="205" spans="1:2">
      <c r="A205" s="363">
        <v>202400680</v>
      </c>
      <c r="B205" s="364" t="s">
        <v>10</v>
      </c>
    </row>
    <row r="206" spans="1:2">
      <c r="A206" s="365">
        <v>202400680</v>
      </c>
      <c r="B206" s="366" t="s">
        <v>10</v>
      </c>
    </row>
    <row r="207" spans="1:2">
      <c r="A207" s="363">
        <v>202400680</v>
      </c>
      <c r="B207" s="364" t="s">
        <v>10</v>
      </c>
    </row>
    <row r="208" spans="1:2">
      <c r="A208" s="363">
        <v>202400680</v>
      </c>
      <c r="B208" s="364" t="s">
        <v>10</v>
      </c>
    </row>
    <row r="209" spans="1:2">
      <c r="A209" s="363">
        <v>202400680</v>
      </c>
      <c r="B209" s="364" t="s">
        <v>10</v>
      </c>
    </row>
    <row r="210" spans="1:2">
      <c r="A210" s="363">
        <v>202400680</v>
      </c>
      <c r="B210" s="364" t="s">
        <v>10</v>
      </c>
    </row>
    <row r="211" spans="1:2">
      <c r="A211" s="368">
        <v>202400680</v>
      </c>
      <c r="B211" s="364" t="s">
        <v>10</v>
      </c>
    </row>
    <row r="212" spans="1:2">
      <c r="A212" s="365">
        <v>202400680</v>
      </c>
      <c r="B212" s="366" t="s">
        <v>10</v>
      </c>
    </row>
    <row r="213" spans="1:2">
      <c r="A213" s="363">
        <v>202400680</v>
      </c>
      <c r="B213" s="364" t="s">
        <v>10</v>
      </c>
    </row>
    <row r="214" spans="1:2">
      <c r="A214" s="363">
        <v>202400679</v>
      </c>
      <c r="B214" s="364" t="s">
        <v>9</v>
      </c>
    </row>
    <row r="215" spans="1:2">
      <c r="A215" s="363">
        <v>202400679</v>
      </c>
      <c r="B215" s="364" t="s">
        <v>9</v>
      </c>
    </row>
    <row r="216" spans="1:2">
      <c r="A216" s="365">
        <v>202400679</v>
      </c>
      <c r="B216" s="366" t="s">
        <v>9</v>
      </c>
    </row>
    <row r="217" spans="1:2">
      <c r="A217" s="363">
        <v>202400989</v>
      </c>
      <c r="B217" s="364" t="s">
        <v>15</v>
      </c>
    </row>
    <row r="218" spans="1:2">
      <c r="A218" s="363">
        <v>202400989</v>
      </c>
      <c r="B218" s="364" t="s">
        <v>15</v>
      </c>
    </row>
    <row r="219" spans="1:2">
      <c r="A219" s="363">
        <v>202400988</v>
      </c>
      <c r="B219" s="364" t="s">
        <v>16</v>
      </c>
    </row>
    <row r="220" spans="1:2">
      <c r="A220" s="365">
        <v>202400988</v>
      </c>
      <c r="B220" s="366" t="s">
        <v>16</v>
      </c>
    </row>
    <row r="221" spans="1:2">
      <c r="A221" s="363">
        <v>202400988</v>
      </c>
      <c r="B221" s="364" t="s">
        <v>16</v>
      </c>
    </row>
    <row r="222" spans="1:2">
      <c r="A222" s="365">
        <v>202400988</v>
      </c>
      <c r="B222" s="366" t="s">
        <v>16</v>
      </c>
    </row>
    <row r="223" spans="1:2">
      <c r="A223" s="363">
        <v>202400988</v>
      </c>
      <c r="B223" s="364" t="s">
        <v>16</v>
      </c>
    </row>
    <row r="224" spans="1:2">
      <c r="A224" s="363">
        <v>202400988</v>
      </c>
      <c r="B224" s="364" t="s">
        <v>16</v>
      </c>
    </row>
    <row r="225" spans="1:2">
      <c r="A225" s="363">
        <v>202400988</v>
      </c>
      <c r="B225" s="364" t="s">
        <v>16</v>
      </c>
    </row>
    <row r="226" spans="1:2">
      <c r="A226" s="363">
        <v>202400988</v>
      </c>
      <c r="B226" s="364" t="s">
        <v>16</v>
      </c>
    </row>
    <row r="227" spans="1:2">
      <c r="A227" s="363">
        <v>202400988</v>
      </c>
      <c r="B227" s="364" t="s">
        <v>16</v>
      </c>
    </row>
    <row r="228" spans="1:2">
      <c r="A228" s="363">
        <v>202400988</v>
      </c>
      <c r="B228" s="364" t="s">
        <v>16</v>
      </c>
    </row>
    <row r="229" spans="1:2">
      <c r="A229" s="363">
        <v>202400988</v>
      </c>
      <c r="B229" s="364" t="s">
        <v>16</v>
      </c>
    </row>
    <row r="230" spans="1:2">
      <c r="A230" s="363">
        <v>202400988</v>
      </c>
      <c r="B230" s="364" t="s">
        <v>16</v>
      </c>
    </row>
    <row r="231" spans="1:2">
      <c r="A231" s="363">
        <v>202400988</v>
      </c>
      <c r="B231" s="364" t="s">
        <v>16</v>
      </c>
    </row>
    <row r="232" spans="1:2">
      <c r="A232" s="363">
        <v>202400988</v>
      </c>
      <c r="B232" s="364" t="s">
        <v>16</v>
      </c>
    </row>
    <row r="233" spans="1:2">
      <c r="A233" s="363">
        <v>202400988</v>
      </c>
      <c r="B233" s="364" t="s">
        <v>16</v>
      </c>
    </row>
    <row r="234" spans="1:2">
      <c r="A234" s="363">
        <v>202400988</v>
      </c>
      <c r="B234" s="364" t="s">
        <v>16</v>
      </c>
    </row>
    <row r="235" spans="1:2">
      <c r="A235" s="363">
        <v>202400988</v>
      </c>
      <c r="B235" s="364" t="s">
        <v>16</v>
      </c>
    </row>
    <row r="236" spans="1:2">
      <c r="A236" s="363">
        <v>202400988</v>
      </c>
      <c r="B236" s="364" t="s">
        <v>16</v>
      </c>
    </row>
    <row r="237" spans="1:2">
      <c r="A237" s="363">
        <v>202400988</v>
      </c>
      <c r="B237" s="364" t="s">
        <v>16</v>
      </c>
    </row>
    <row r="238" spans="1:2">
      <c r="A238" s="363">
        <v>202400988</v>
      </c>
      <c r="B238" s="364" t="s">
        <v>16</v>
      </c>
    </row>
    <row r="239" spans="1:2">
      <c r="A239" s="363">
        <v>202400988</v>
      </c>
      <c r="B239" s="364" t="s">
        <v>16</v>
      </c>
    </row>
    <row r="240" spans="1:2">
      <c r="A240" s="363">
        <v>202400988</v>
      </c>
      <c r="B240" s="364" t="s">
        <v>16</v>
      </c>
    </row>
    <row r="241" spans="1:2">
      <c r="A241" s="363">
        <v>202400988</v>
      </c>
      <c r="B241" s="364" t="s">
        <v>16</v>
      </c>
    </row>
    <row r="242" spans="1:2">
      <c r="A242" s="363">
        <v>202400988</v>
      </c>
      <c r="B242" s="364" t="s">
        <v>16</v>
      </c>
    </row>
    <row r="243" spans="1:2">
      <c r="A243" s="363">
        <v>202400988</v>
      </c>
      <c r="B243" s="364" t="s">
        <v>16</v>
      </c>
    </row>
    <row r="244" spans="1:2">
      <c r="A244" s="363">
        <v>202400988</v>
      </c>
      <c r="B244" s="364" t="s">
        <v>16</v>
      </c>
    </row>
    <row r="245" spans="1:2">
      <c r="A245" s="363">
        <v>202400988</v>
      </c>
      <c r="B245" s="364" t="s">
        <v>16</v>
      </c>
    </row>
    <row r="246" spans="1:2">
      <c r="A246" s="363">
        <v>202400988</v>
      </c>
      <c r="B246" s="364" t="s">
        <v>16</v>
      </c>
    </row>
    <row r="247" spans="1:2">
      <c r="A247" s="363">
        <v>202400988</v>
      </c>
      <c r="B247" s="364" t="s">
        <v>16</v>
      </c>
    </row>
    <row r="248" spans="1:2">
      <c r="A248" s="363">
        <v>202400989</v>
      </c>
      <c r="B248" s="364" t="s">
        <v>15</v>
      </c>
    </row>
    <row r="249" spans="1:2">
      <c r="A249" s="363">
        <v>202400989</v>
      </c>
      <c r="B249" s="364" t="s">
        <v>15</v>
      </c>
    </row>
    <row r="250" spans="1:2">
      <c r="A250" s="363">
        <v>202400988</v>
      </c>
      <c r="B250" s="364" t="s">
        <v>16</v>
      </c>
    </row>
    <row r="251" spans="1:2">
      <c r="A251" s="363">
        <v>202400989</v>
      </c>
      <c r="B251" s="364" t="s">
        <v>15</v>
      </c>
    </row>
    <row r="252" spans="1:2">
      <c r="A252" s="363">
        <v>202400989</v>
      </c>
      <c r="B252" s="364" t="s">
        <v>15</v>
      </c>
    </row>
    <row r="253" spans="1:2">
      <c r="A253" s="363">
        <v>202400989</v>
      </c>
      <c r="B253" s="364" t="s">
        <v>15</v>
      </c>
    </row>
    <row r="254" spans="1:2">
      <c r="A254" s="363">
        <v>202400988</v>
      </c>
      <c r="B254" s="364" t="s">
        <v>16</v>
      </c>
    </row>
    <row r="255" spans="1:2">
      <c r="A255" s="363">
        <v>202400989</v>
      </c>
      <c r="B255" s="364" t="s">
        <v>15</v>
      </c>
    </row>
    <row r="256" spans="1:2">
      <c r="A256" s="363">
        <v>202400988</v>
      </c>
      <c r="B256" s="364" t="s">
        <v>16</v>
      </c>
    </row>
    <row r="257" spans="1:2">
      <c r="A257" s="363">
        <v>202400989</v>
      </c>
      <c r="B257" s="364" t="s">
        <v>15</v>
      </c>
    </row>
    <row r="258" spans="1:2">
      <c r="A258" s="363">
        <v>202400989</v>
      </c>
      <c r="B258" s="364" t="s">
        <v>15</v>
      </c>
    </row>
    <row r="259" spans="1:2">
      <c r="A259" s="363">
        <v>202400989</v>
      </c>
      <c r="B259" s="364" t="s">
        <v>15</v>
      </c>
    </row>
    <row r="260" spans="1:2">
      <c r="A260" s="363">
        <v>202400988</v>
      </c>
      <c r="B260" s="364" t="s">
        <v>16</v>
      </c>
    </row>
    <row r="261" spans="1:2">
      <c r="A261" s="363">
        <v>202400989</v>
      </c>
      <c r="B261" s="364" t="s">
        <v>15</v>
      </c>
    </row>
    <row r="262" spans="1:2">
      <c r="A262" s="363">
        <v>202400989</v>
      </c>
      <c r="B262" s="364" t="s">
        <v>15</v>
      </c>
    </row>
    <row r="263" spans="1:2">
      <c r="A263" s="363">
        <v>202400989</v>
      </c>
      <c r="B263" s="364" t="s">
        <v>15</v>
      </c>
    </row>
    <row r="264" spans="1:2">
      <c r="A264" s="363">
        <v>202400989</v>
      </c>
      <c r="B264" s="364" t="s">
        <v>15</v>
      </c>
    </row>
    <row r="265" spans="1:2">
      <c r="A265" s="363">
        <v>202400989</v>
      </c>
      <c r="B265" s="364" t="s">
        <v>15</v>
      </c>
    </row>
    <row r="266" spans="1:2">
      <c r="A266" s="363">
        <v>202400989</v>
      </c>
      <c r="B266" s="364" t="s">
        <v>15</v>
      </c>
    </row>
    <row r="267" spans="1:2">
      <c r="A267" s="363">
        <v>202400988</v>
      </c>
      <c r="B267" s="364" t="s">
        <v>16</v>
      </c>
    </row>
    <row r="268" spans="1:2">
      <c r="A268" s="363">
        <v>202400989</v>
      </c>
      <c r="B268" s="364" t="s">
        <v>15</v>
      </c>
    </row>
    <row r="269" spans="1:2">
      <c r="A269" s="363">
        <v>202400989</v>
      </c>
      <c r="B269" s="364" t="s">
        <v>15</v>
      </c>
    </row>
    <row r="270" spans="1:2">
      <c r="A270" s="363">
        <v>202400989</v>
      </c>
      <c r="B270" s="364" t="s">
        <v>15</v>
      </c>
    </row>
    <row r="271" spans="1:2">
      <c r="A271" s="363">
        <v>202400989</v>
      </c>
      <c r="B271" s="364" t="s">
        <v>15</v>
      </c>
    </row>
    <row r="272" spans="1:2">
      <c r="A272" s="363">
        <v>202400988</v>
      </c>
      <c r="B272" s="364" t="s">
        <v>16</v>
      </c>
    </row>
    <row r="273" spans="1:2">
      <c r="A273" s="363">
        <v>202400989</v>
      </c>
      <c r="B273" s="364" t="s">
        <v>15</v>
      </c>
    </row>
    <row r="274" spans="1:2">
      <c r="A274" s="363">
        <v>202400989</v>
      </c>
      <c r="B274" s="364" t="s">
        <v>15</v>
      </c>
    </row>
    <row r="275" spans="1:2">
      <c r="A275" s="363">
        <v>202400989</v>
      </c>
      <c r="B275" s="364" t="s">
        <v>15</v>
      </c>
    </row>
    <row r="276" spans="1:2">
      <c r="A276" s="363">
        <v>202400988</v>
      </c>
      <c r="B276" s="364" t="s">
        <v>16</v>
      </c>
    </row>
    <row r="277" spans="1:2">
      <c r="A277" s="363">
        <v>202400989</v>
      </c>
      <c r="B277" s="364" t="s">
        <v>15</v>
      </c>
    </row>
    <row r="278" spans="1:2">
      <c r="A278" s="363">
        <v>202400989</v>
      </c>
      <c r="B278" s="364" t="s">
        <v>15</v>
      </c>
    </row>
    <row r="279" spans="1:2">
      <c r="A279" s="363">
        <v>202400989</v>
      </c>
      <c r="B279" s="364" t="s">
        <v>15</v>
      </c>
    </row>
    <row r="280" spans="1:2">
      <c r="A280" s="363">
        <v>202400989</v>
      </c>
      <c r="B280" s="364" t="s">
        <v>15</v>
      </c>
    </row>
    <row r="281" spans="1:2">
      <c r="A281" s="363">
        <v>202400989</v>
      </c>
      <c r="B281" s="364" t="s">
        <v>15</v>
      </c>
    </row>
    <row r="282" spans="1:2">
      <c r="A282" s="363">
        <v>202400989</v>
      </c>
      <c r="B282" s="364" t="s">
        <v>15</v>
      </c>
    </row>
    <row r="283" spans="1:2">
      <c r="A283" s="363">
        <v>202400989</v>
      </c>
      <c r="B283" s="364" t="s">
        <v>15</v>
      </c>
    </row>
    <row r="284" spans="1:2">
      <c r="A284" s="363">
        <v>202400989</v>
      </c>
      <c r="B284" s="364" t="s">
        <v>15</v>
      </c>
    </row>
    <row r="285" spans="1:2">
      <c r="A285" s="363">
        <v>202401099</v>
      </c>
      <c r="B285" s="364" t="s">
        <v>17</v>
      </c>
    </row>
    <row r="286" spans="1:2">
      <c r="A286" s="363">
        <v>202401099</v>
      </c>
      <c r="B286" s="364" t="s">
        <v>17</v>
      </c>
    </row>
    <row r="287" spans="1:2">
      <c r="A287" s="363">
        <v>202401100</v>
      </c>
      <c r="B287" s="364" t="s">
        <v>3</v>
      </c>
    </row>
    <row r="288" spans="1:2">
      <c r="A288" s="363">
        <v>202401100</v>
      </c>
      <c r="B288" s="364" t="s">
        <v>3</v>
      </c>
    </row>
    <row r="289" spans="1:2">
      <c r="A289" s="363">
        <v>202401100</v>
      </c>
      <c r="B289" s="364" t="s">
        <v>3</v>
      </c>
    </row>
    <row r="290" spans="1:2">
      <c r="A290" s="363">
        <v>202401100</v>
      </c>
      <c r="B290" s="364" t="s">
        <v>3</v>
      </c>
    </row>
    <row r="291" spans="1:2">
      <c r="A291" s="363">
        <v>202401100</v>
      </c>
      <c r="B291" s="364" t="s">
        <v>3</v>
      </c>
    </row>
    <row r="292" spans="1:2">
      <c r="A292" s="363">
        <v>202401099</v>
      </c>
      <c r="B292" s="364" t="s">
        <v>17</v>
      </c>
    </row>
    <row r="293" spans="1:2">
      <c r="A293" s="363">
        <v>202401100</v>
      </c>
      <c r="B293" s="364" t="s">
        <v>3</v>
      </c>
    </row>
    <row r="294" spans="1:2">
      <c r="A294" s="363">
        <v>202401099</v>
      </c>
      <c r="B294" s="364" t="s">
        <v>17</v>
      </c>
    </row>
    <row r="295" spans="1:2">
      <c r="A295" s="363">
        <v>202401099</v>
      </c>
      <c r="B295" s="364" t="s">
        <v>17</v>
      </c>
    </row>
    <row r="296" spans="1:2">
      <c r="A296" s="363">
        <v>202401099</v>
      </c>
      <c r="B296" s="364" t="s">
        <v>17</v>
      </c>
    </row>
    <row r="297" spans="1:2">
      <c r="A297" s="363">
        <v>202401100</v>
      </c>
      <c r="B297" s="364" t="s">
        <v>3</v>
      </c>
    </row>
    <row r="298" spans="1:2">
      <c r="A298" s="363">
        <v>202401100</v>
      </c>
      <c r="B298" s="364" t="s">
        <v>3</v>
      </c>
    </row>
    <row r="299" spans="1:2">
      <c r="A299" s="363">
        <v>202401100</v>
      </c>
      <c r="B299" s="364" t="s">
        <v>3</v>
      </c>
    </row>
    <row r="300" spans="1:2">
      <c r="A300" s="363">
        <v>202401100</v>
      </c>
      <c r="B300" s="364" t="s">
        <v>3</v>
      </c>
    </row>
    <row r="301" spans="1:2">
      <c r="A301" s="363">
        <v>202401100</v>
      </c>
      <c r="B301" s="364" t="s">
        <v>3</v>
      </c>
    </row>
    <row r="302" spans="1:2">
      <c r="A302" s="363">
        <v>202401100</v>
      </c>
      <c r="B302" s="364" t="s">
        <v>3</v>
      </c>
    </row>
    <row r="303" spans="1:2">
      <c r="A303" s="363">
        <v>202401100</v>
      </c>
      <c r="B303" s="364" t="s">
        <v>3</v>
      </c>
    </row>
    <row r="304" spans="1:2">
      <c r="A304" s="363">
        <v>202401099</v>
      </c>
      <c r="B304" s="364" t="s">
        <v>17</v>
      </c>
    </row>
    <row r="305" spans="1:2">
      <c r="A305" s="363">
        <v>202401099</v>
      </c>
      <c r="B305" s="364" t="s">
        <v>17</v>
      </c>
    </row>
    <row r="306" spans="1:2">
      <c r="A306" s="363">
        <v>202401099</v>
      </c>
      <c r="B306" s="364" t="s">
        <v>17</v>
      </c>
    </row>
    <row r="307" spans="1:2">
      <c r="A307" s="363">
        <v>202401099</v>
      </c>
      <c r="B307" s="364" t="s">
        <v>17</v>
      </c>
    </row>
    <row r="308" spans="1:2">
      <c r="A308" s="363">
        <v>202401100</v>
      </c>
      <c r="B308" s="364" t="s">
        <v>3</v>
      </c>
    </row>
    <row r="309" spans="1:2">
      <c r="A309" s="363">
        <v>202401100</v>
      </c>
      <c r="B309" s="364" t="s">
        <v>3</v>
      </c>
    </row>
    <row r="310" spans="1:2">
      <c r="A310" s="363">
        <v>202401100</v>
      </c>
      <c r="B310" s="364" t="s">
        <v>3</v>
      </c>
    </row>
    <row r="311" spans="1:2">
      <c r="A311" s="363">
        <v>202401100</v>
      </c>
      <c r="B311" s="364" t="s">
        <v>3</v>
      </c>
    </row>
    <row r="312" spans="1:2">
      <c r="A312" s="363">
        <v>202401099</v>
      </c>
      <c r="B312" s="364" t="s">
        <v>17</v>
      </c>
    </row>
    <row r="313" spans="1:2">
      <c r="A313" s="363">
        <v>202401099</v>
      </c>
      <c r="B313" s="364" t="s">
        <v>17</v>
      </c>
    </row>
    <row r="314" spans="1:2">
      <c r="A314" s="363">
        <v>202401099</v>
      </c>
      <c r="B314" s="364" t="s">
        <v>17</v>
      </c>
    </row>
    <row r="315" spans="1:2">
      <c r="A315" s="363">
        <v>202401099</v>
      </c>
      <c r="B315" s="364" t="s">
        <v>17</v>
      </c>
    </row>
    <row r="316" spans="1:2">
      <c r="A316" s="363">
        <v>202401099</v>
      </c>
      <c r="B316" s="364" t="s">
        <v>17</v>
      </c>
    </row>
    <row r="317" spans="1:2">
      <c r="A317" s="363">
        <v>202401099</v>
      </c>
      <c r="B317" s="364" t="s">
        <v>17</v>
      </c>
    </row>
    <row r="318" spans="1:2">
      <c r="A318" s="363">
        <v>202401099</v>
      </c>
      <c r="B318" s="364" t="s">
        <v>17</v>
      </c>
    </row>
    <row r="319" spans="1:2">
      <c r="A319" s="363">
        <v>202400990</v>
      </c>
      <c r="B319" s="364" t="s">
        <v>18</v>
      </c>
    </row>
    <row r="320" spans="1:2">
      <c r="A320" s="363">
        <v>202401281</v>
      </c>
      <c r="B320" s="364" t="s">
        <v>7</v>
      </c>
    </row>
    <row r="321" spans="1:2">
      <c r="A321" s="363">
        <v>202400990</v>
      </c>
      <c r="B321" s="364" t="s">
        <v>18</v>
      </c>
    </row>
    <row r="322" spans="1:2">
      <c r="A322" s="363">
        <v>202401281</v>
      </c>
      <c r="B322" s="364" t="s">
        <v>7</v>
      </c>
    </row>
    <row r="323" spans="1:2">
      <c r="A323" s="363">
        <v>202400990</v>
      </c>
      <c r="B323" s="364" t="s">
        <v>18</v>
      </c>
    </row>
    <row r="324" spans="1:2">
      <c r="A324" s="363">
        <v>202400991</v>
      </c>
      <c r="B324" s="364" t="s">
        <v>11</v>
      </c>
    </row>
    <row r="325" spans="1:2">
      <c r="A325" s="363">
        <v>202400991</v>
      </c>
      <c r="B325" s="364" t="s">
        <v>11</v>
      </c>
    </row>
    <row r="326" spans="1:2">
      <c r="A326" s="363">
        <v>202400990</v>
      </c>
      <c r="B326" s="364" t="s">
        <v>18</v>
      </c>
    </row>
    <row r="327" spans="1:2">
      <c r="A327" s="363">
        <v>202400991</v>
      </c>
      <c r="B327" s="364" t="s">
        <v>11</v>
      </c>
    </row>
    <row r="328" spans="1:2">
      <c r="A328" s="363">
        <v>202400991</v>
      </c>
      <c r="B328" s="364" t="s">
        <v>11</v>
      </c>
    </row>
    <row r="329" spans="1:2">
      <c r="A329" s="363">
        <v>202400990</v>
      </c>
      <c r="B329" s="364" t="s">
        <v>18</v>
      </c>
    </row>
    <row r="330" spans="1:2">
      <c r="A330" s="363">
        <v>202400991</v>
      </c>
      <c r="B330" s="364" t="s">
        <v>11</v>
      </c>
    </row>
    <row r="331" spans="1:2">
      <c r="A331" s="363">
        <v>202400990</v>
      </c>
      <c r="B331" s="364" t="s">
        <v>18</v>
      </c>
    </row>
    <row r="332" spans="1:2">
      <c r="A332" s="363">
        <v>202400990</v>
      </c>
      <c r="B332" s="364" t="s">
        <v>18</v>
      </c>
    </row>
    <row r="333" spans="1:2">
      <c r="A333" s="363">
        <v>202400991</v>
      </c>
      <c r="B333" s="364" t="s">
        <v>11</v>
      </c>
    </row>
    <row r="334" spans="1:2">
      <c r="A334" s="363">
        <v>202400990</v>
      </c>
      <c r="B334" s="364" t="s">
        <v>18</v>
      </c>
    </row>
    <row r="335" spans="1:2">
      <c r="A335" s="363">
        <v>202400990</v>
      </c>
      <c r="B335" s="364" t="s">
        <v>18</v>
      </c>
    </row>
    <row r="336" spans="1:2">
      <c r="A336" s="363">
        <v>202400990</v>
      </c>
      <c r="B336" s="364" t="s">
        <v>18</v>
      </c>
    </row>
    <row r="337" spans="1:2">
      <c r="A337" s="363">
        <v>202400990</v>
      </c>
      <c r="B337" s="364" t="s">
        <v>18</v>
      </c>
    </row>
    <row r="338" spans="1:2">
      <c r="A338" s="363">
        <v>202400990</v>
      </c>
      <c r="B338" s="364" t="s">
        <v>18</v>
      </c>
    </row>
    <row r="339" spans="1:2">
      <c r="A339" s="363">
        <v>202400991</v>
      </c>
      <c r="B339" s="364" t="s">
        <v>11</v>
      </c>
    </row>
    <row r="340" spans="1:2">
      <c r="A340" s="363">
        <v>202400990</v>
      </c>
      <c r="B340" s="364" t="s">
        <v>18</v>
      </c>
    </row>
    <row r="341" spans="1:2">
      <c r="A341" s="363">
        <v>202400991</v>
      </c>
      <c r="B341" s="364" t="s">
        <v>11</v>
      </c>
    </row>
    <row r="342" spans="1:2">
      <c r="A342" s="363">
        <v>202400991</v>
      </c>
      <c r="B342" s="364" t="s">
        <v>11</v>
      </c>
    </row>
    <row r="343" spans="1:2">
      <c r="A343" s="363">
        <v>202400991</v>
      </c>
      <c r="B343" s="364" t="s">
        <v>11</v>
      </c>
    </row>
    <row r="344" spans="1:2">
      <c r="A344" s="363">
        <v>202400990</v>
      </c>
      <c r="B344" s="364" t="s">
        <v>18</v>
      </c>
    </row>
    <row r="345" spans="1:2">
      <c r="A345" s="363">
        <v>202400991</v>
      </c>
      <c r="B345" s="364" t="s">
        <v>11</v>
      </c>
    </row>
    <row r="346" spans="1:2">
      <c r="A346" s="363">
        <v>202400990</v>
      </c>
      <c r="B346" s="364" t="s">
        <v>18</v>
      </c>
    </row>
    <row r="347" spans="1:2">
      <c r="A347" s="363">
        <v>202400990</v>
      </c>
      <c r="B347" s="364" t="s">
        <v>18</v>
      </c>
    </row>
    <row r="348" spans="1:2">
      <c r="A348" s="363">
        <v>202401281</v>
      </c>
      <c r="B348" s="364" t="s">
        <v>7</v>
      </c>
    </row>
    <row r="349" spans="1:2">
      <c r="A349" s="363">
        <v>202400990</v>
      </c>
      <c r="B349" s="364" t="s">
        <v>18</v>
      </c>
    </row>
    <row r="350" spans="1:2">
      <c r="A350" s="363">
        <v>202400990</v>
      </c>
      <c r="B350" s="364" t="s">
        <v>18</v>
      </c>
    </row>
    <row r="351" spans="1:2">
      <c r="A351" s="363">
        <v>202400990</v>
      </c>
      <c r="B351" s="364" t="s">
        <v>18</v>
      </c>
    </row>
    <row r="352" spans="1:2">
      <c r="A352" s="363">
        <v>202401401</v>
      </c>
      <c r="B352" s="364" t="s">
        <v>19</v>
      </c>
    </row>
    <row r="353" spans="1:2">
      <c r="A353" s="363">
        <v>202401401</v>
      </c>
      <c r="B353" s="364" t="s">
        <v>19</v>
      </c>
    </row>
    <row r="354" spans="1:2">
      <c r="A354" s="363">
        <v>202400991</v>
      </c>
      <c r="B354" s="364" t="s">
        <v>11</v>
      </c>
    </row>
    <row r="355" spans="1:2">
      <c r="A355" s="363">
        <v>202400990</v>
      </c>
      <c r="B355" s="364" t="s">
        <v>18</v>
      </c>
    </row>
    <row r="356" spans="1:2">
      <c r="A356" s="363">
        <v>202401281</v>
      </c>
      <c r="B356" s="364" t="s">
        <v>7</v>
      </c>
    </row>
    <row r="357" spans="1:2">
      <c r="A357" s="363">
        <v>202400990</v>
      </c>
      <c r="B357" s="364" t="s">
        <v>18</v>
      </c>
    </row>
    <row r="358" spans="1:2">
      <c r="A358" s="363">
        <v>202400991</v>
      </c>
      <c r="B358" s="364" t="s">
        <v>11</v>
      </c>
    </row>
    <row r="359" spans="1:2">
      <c r="A359" s="363">
        <v>202401401</v>
      </c>
      <c r="B359" s="364" t="s">
        <v>19</v>
      </c>
    </row>
    <row r="360" spans="1:2">
      <c r="A360" s="363">
        <v>202401401</v>
      </c>
      <c r="B360" s="364" t="s">
        <v>19</v>
      </c>
    </row>
    <row r="361" spans="1:2">
      <c r="A361" s="363">
        <v>202400991</v>
      </c>
      <c r="B361" s="364" t="s">
        <v>11</v>
      </c>
    </row>
    <row r="362" spans="1:2">
      <c r="A362" s="363">
        <v>202400990</v>
      </c>
      <c r="B362" s="364" t="s">
        <v>18</v>
      </c>
    </row>
    <row r="363" spans="1:2">
      <c r="A363" s="363">
        <v>202400991</v>
      </c>
      <c r="B363" s="364" t="s">
        <v>11</v>
      </c>
    </row>
    <row r="364" spans="1:2">
      <c r="A364" s="363">
        <v>202401281</v>
      </c>
      <c r="B364" s="364" t="s">
        <v>7</v>
      </c>
    </row>
    <row r="365" spans="1:2">
      <c r="A365" s="363">
        <v>202400990</v>
      </c>
      <c r="B365" s="364" t="s">
        <v>18</v>
      </c>
    </row>
    <row r="366" spans="1:2">
      <c r="A366" s="363">
        <v>202400990</v>
      </c>
      <c r="B366" s="364" t="s">
        <v>18</v>
      </c>
    </row>
    <row r="367" spans="1:2">
      <c r="A367" s="363">
        <v>202400991</v>
      </c>
      <c r="B367" s="364" t="s">
        <v>11</v>
      </c>
    </row>
    <row r="368" spans="1:2">
      <c r="A368" s="363">
        <v>202401281</v>
      </c>
      <c r="B368" s="364" t="s">
        <v>7</v>
      </c>
    </row>
    <row r="369" spans="1:2">
      <c r="A369" s="363">
        <v>202401281</v>
      </c>
      <c r="B369" s="364" t="s">
        <v>7</v>
      </c>
    </row>
    <row r="370" spans="1:2">
      <c r="A370" s="363">
        <v>202400991</v>
      </c>
      <c r="B370" s="364" t="s">
        <v>11</v>
      </c>
    </row>
    <row r="371" spans="1:2">
      <c r="A371" s="363">
        <v>202401281</v>
      </c>
      <c r="B371" s="364" t="s">
        <v>7</v>
      </c>
    </row>
    <row r="372" spans="1:2">
      <c r="A372" s="363">
        <v>202401281</v>
      </c>
      <c r="B372" s="364" t="s">
        <v>7</v>
      </c>
    </row>
    <row r="373" spans="1:2">
      <c r="A373" s="363">
        <v>202400990</v>
      </c>
      <c r="B373" s="364" t="s">
        <v>18</v>
      </c>
    </row>
    <row r="374" spans="1:2">
      <c r="A374" s="363">
        <v>202400990</v>
      </c>
      <c r="B374" s="364" t="s">
        <v>18</v>
      </c>
    </row>
    <row r="375" spans="1:2">
      <c r="A375" s="363">
        <v>202400990</v>
      </c>
      <c r="B375" s="364" t="s">
        <v>18</v>
      </c>
    </row>
    <row r="376" spans="1:2">
      <c r="A376" s="363">
        <v>202401281</v>
      </c>
      <c r="B376" s="364" t="s">
        <v>7</v>
      </c>
    </row>
    <row r="377" spans="1:2">
      <c r="A377" s="363">
        <v>202400990</v>
      </c>
      <c r="B377" s="364" t="s">
        <v>18</v>
      </c>
    </row>
    <row r="378" spans="1:2">
      <c r="A378" s="363">
        <v>202400991</v>
      </c>
      <c r="B378" s="364" t="s">
        <v>11</v>
      </c>
    </row>
    <row r="379" spans="1:2">
      <c r="A379" s="363">
        <v>202400991</v>
      </c>
      <c r="B379" s="364" t="s">
        <v>11</v>
      </c>
    </row>
    <row r="380" spans="1:2">
      <c r="A380" s="363">
        <v>202401281</v>
      </c>
      <c r="B380" s="364" t="s">
        <v>7</v>
      </c>
    </row>
    <row r="381" spans="1:2">
      <c r="A381" s="363">
        <v>202400991</v>
      </c>
      <c r="B381" s="364" t="s">
        <v>11</v>
      </c>
    </row>
    <row r="382" spans="1:2">
      <c r="A382" s="363">
        <v>202400991</v>
      </c>
      <c r="B382" s="364" t="s">
        <v>11</v>
      </c>
    </row>
    <row r="383" spans="1:2">
      <c r="A383" s="363">
        <v>202400991</v>
      </c>
      <c r="B383" s="364" t="s">
        <v>11</v>
      </c>
    </row>
    <row r="384" spans="1:2">
      <c r="A384" s="363">
        <v>202400991</v>
      </c>
      <c r="B384" s="364" t="s">
        <v>11</v>
      </c>
    </row>
    <row r="385" spans="1:2">
      <c r="A385" s="363">
        <v>202400991</v>
      </c>
      <c r="B385" s="364" t="s">
        <v>11</v>
      </c>
    </row>
    <row r="386" spans="1:2">
      <c r="A386" s="363">
        <v>202400991</v>
      </c>
      <c r="B386" s="364" t="s">
        <v>11</v>
      </c>
    </row>
    <row r="387" spans="1:2">
      <c r="A387" s="363">
        <v>202401281</v>
      </c>
      <c r="B387" s="364" t="s">
        <v>7</v>
      </c>
    </row>
    <row r="388" spans="1:2">
      <c r="A388" s="363">
        <v>202401281</v>
      </c>
      <c r="B388" s="364" t="s">
        <v>7</v>
      </c>
    </row>
    <row r="389" spans="1:2">
      <c r="A389" s="363">
        <v>202401281</v>
      </c>
      <c r="B389" s="364" t="s">
        <v>7</v>
      </c>
    </row>
    <row r="390" spans="1:2">
      <c r="A390" s="363">
        <v>202400991</v>
      </c>
      <c r="B390" s="364" t="s">
        <v>11</v>
      </c>
    </row>
    <row r="391" spans="1:2">
      <c r="A391" s="363">
        <v>202401401</v>
      </c>
      <c r="B391" s="364" t="s">
        <v>19</v>
      </c>
    </row>
    <row r="392" spans="1:2">
      <c r="A392" s="363">
        <v>202401281</v>
      </c>
      <c r="B392" s="364" t="s">
        <v>7</v>
      </c>
    </row>
    <row r="393" spans="1:2">
      <c r="A393" s="363">
        <v>202401401</v>
      </c>
      <c r="B393" s="364" t="s">
        <v>19</v>
      </c>
    </row>
    <row r="394" spans="1:2">
      <c r="A394" s="363">
        <v>202401401</v>
      </c>
      <c r="B394" s="364" t="s">
        <v>19</v>
      </c>
    </row>
    <row r="395" spans="1:2">
      <c r="A395" s="363">
        <v>202401401</v>
      </c>
      <c r="B395" s="364" t="s">
        <v>19</v>
      </c>
    </row>
    <row r="396" spans="1:2">
      <c r="A396" s="363">
        <v>202400671</v>
      </c>
      <c r="B396" s="364" t="s">
        <v>6</v>
      </c>
    </row>
    <row r="397" spans="1:2">
      <c r="A397" s="365">
        <v>202400679</v>
      </c>
      <c r="B397" s="366" t="s">
        <v>9</v>
      </c>
    </row>
    <row r="398" spans="1:2">
      <c r="A398" s="363">
        <v>202400673</v>
      </c>
      <c r="B398" s="364" t="s">
        <v>13</v>
      </c>
    </row>
    <row r="399" spans="1:2">
      <c r="A399" s="363">
        <v>202400990</v>
      </c>
      <c r="B399" s="364" t="s">
        <v>18</v>
      </c>
    </row>
    <row r="400" spans="1:2">
      <c r="A400" s="363">
        <v>202401281</v>
      </c>
      <c r="B400" s="364" t="s">
        <v>7</v>
      </c>
    </row>
    <row r="401" spans="1:2">
      <c r="A401" s="363">
        <v>202401281</v>
      </c>
      <c r="B401" s="364" t="s">
        <v>7</v>
      </c>
    </row>
    <row r="402" spans="1:2">
      <c r="A402" s="363">
        <v>202400990</v>
      </c>
      <c r="B402" s="364" t="s">
        <v>18</v>
      </c>
    </row>
    <row r="403" spans="1:2">
      <c r="A403" s="363">
        <v>202401281</v>
      </c>
      <c r="B403" s="364" t="s">
        <v>7</v>
      </c>
    </row>
    <row r="404" spans="1:2">
      <c r="A404" s="363">
        <v>202401281</v>
      </c>
      <c r="B404" s="364" t="s">
        <v>7</v>
      </c>
    </row>
    <row r="405" spans="1:2">
      <c r="A405" s="363">
        <v>202401281</v>
      </c>
      <c r="B405" s="364" t="s">
        <v>7</v>
      </c>
    </row>
    <row r="406" spans="1:2">
      <c r="A406" s="363">
        <v>202400991</v>
      </c>
      <c r="B406" s="364" t="s">
        <v>11</v>
      </c>
    </row>
    <row r="407" spans="1:2">
      <c r="A407" s="363">
        <v>202401099</v>
      </c>
      <c r="B407" s="364" t="s">
        <v>17</v>
      </c>
    </row>
    <row r="408" spans="1:2">
      <c r="A408" s="363">
        <v>202400682</v>
      </c>
      <c r="B408" s="364" t="s">
        <v>14</v>
      </c>
    </row>
    <row r="409" spans="1:2">
      <c r="A409" s="363">
        <v>202400988</v>
      </c>
      <c r="B409" s="364" t="s">
        <v>16</v>
      </c>
    </row>
    <row r="410" spans="1:2">
      <c r="A410" s="363">
        <v>202401281</v>
      </c>
      <c r="B410" s="364" t="s">
        <v>7</v>
      </c>
    </row>
    <row r="411" spans="1:2">
      <c r="A411" s="363">
        <v>202401281</v>
      </c>
      <c r="B411" s="364" t="s">
        <v>7</v>
      </c>
    </row>
    <row r="412" spans="1:2">
      <c r="A412" s="363">
        <v>202400448</v>
      </c>
      <c r="B412" s="364" t="s">
        <v>20</v>
      </c>
    </row>
    <row r="413" spans="1:2">
      <c r="A413" s="363">
        <v>202400672</v>
      </c>
      <c r="B413" s="364" t="s">
        <v>8</v>
      </c>
    </row>
    <row r="414" spans="1:2">
      <c r="A414" s="363">
        <v>202500029</v>
      </c>
      <c r="B414" s="364" t="s">
        <v>21</v>
      </c>
    </row>
    <row r="415" spans="1:2">
      <c r="A415" s="363">
        <v>202500029</v>
      </c>
      <c r="B415" s="364" t="s">
        <v>21</v>
      </c>
    </row>
    <row r="416" spans="1:2">
      <c r="A416" s="363">
        <v>202500029</v>
      </c>
      <c r="B416" s="364" t="s">
        <v>21</v>
      </c>
    </row>
    <row r="417" spans="1:2">
      <c r="A417" s="363">
        <v>202500029</v>
      </c>
      <c r="B417" s="364" t="s">
        <v>21</v>
      </c>
    </row>
    <row r="418" spans="1:2">
      <c r="A418" s="363">
        <v>202500029</v>
      </c>
      <c r="B418" s="364" t="s">
        <v>21</v>
      </c>
    </row>
    <row r="419" spans="1:2">
      <c r="A419" s="363">
        <v>202500029</v>
      </c>
      <c r="B419" s="364" t="s">
        <v>21</v>
      </c>
    </row>
    <row r="420" spans="1:2">
      <c r="A420" s="363">
        <v>202500029</v>
      </c>
      <c r="B420" s="364" t="s">
        <v>21</v>
      </c>
    </row>
    <row r="421" spans="1:2">
      <c r="A421" s="363">
        <v>202500029</v>
      </c>
      <c r="B421" s="364" t="s">
        <v>21</v>
      </c>
    </row>
    <row r="422" spans="1:2">
      <c r="A422" s="363">
        <v>202500029</v>
      </c>
      <c r="B422" s="364" t="s">
        <v>21</v>
      </c>
    </row>
    <row r="423" spans="1:2">
      <c r="A423" s="363">
        <v>202500029</v>
      </c>
      <c r="B423" s="364" t="s">
        <v>21</v>
      </c>
    </row>
    <row r="424" spans="1:2">
      <c r="A424" s="363">
        <v>202500029</v>
      </c>
      <c r="B424" s="364" t="s">
        <v>21</v>
      </c>
    </row>
    <row r="425" spans="1:2">
      <c r="A425" s="363">
        <v>202500029</v>
      </c>
      <c r="B425" s="364" t="s">
        <v>21</v>
      </c>
    </row>
    <row r="426" spans="1:2">
      <c r="A426" s="363">
        <v>202500029</v>
      </c>
      <c r="B426" s="364" t="s">
        <v>21</v>
      </c>
    </row>
    <row r="427" spans="1:2">
      <c r="A427" s="363">
        <v>202500029</v>
      </c>
      <c r="B427" s="364" t="s">
        <v>21</v>
      </c>
    </row>
    <row r="428" spans="1:2">
      <c r="A428" s="363">
        <v>202500029</v>
      </c>
      <c r="B428" s="364" t="s">
        <v>21</v>
      </c>
    </row>
    <row r="429" spans="1:2">
      <c r="A429" s="363">
        <v>202500029</v>
      </c>
      <c r="B429" s="364" t="s">
        <v>21</v>
      </c>
    </row>
    <row r="430" spans="1:2">
      <c r="A430" s="363">
        <v>202500029</v>
      </c>
      <c r="B430" s="364" t="s">
        <v>21</v>
      </c>
    </row>
    <row r="431" spans="1:2">
      <c r="A431" s="363">
        <v>202500029</v>
      </c>
      <c r="B431" s="364" t="s">
        <v>21</v>
      </c>
    </row>
    <row r="432" spans="1:2">
      <c r="A432" s="363">
        <v>202500029</v>
      </c>
      <c r="B432" s="364" t="s">
        <v>21</v>
      </c>
    </row>
    <row r="433" spans="1:2">
      <c r="A433" s="363">
        <v>202500029</v>
      </c>
      <c r="B433" s="364" t="s">
        <v>21</v>
      </c>
    </row>
    <row r="434" spans="1:2">
      <c r="A434" s="363">
        <v>202500029</v>
      </c>
      <c r="B434" s="364" t="s">
        <v>21</v>
      </c>
    </row>
    <row r="435" spans="1:2">
      <c r="A435" s="363">
        <v>202500029</v>
      </c>
      <c r="B435" s="364" t="s">
        <v>21</v>
      </c>
    </row>
    <row r="436" spans="1:2">
      <c r="A436" s="363">
        <v>202500029</v>
      </c>
      <c r="B436" s="364" t="s">
        <v>21</v>
      </c>
    </row>
    <row r="437" spans="1:2">
      <c r="A437" s="363">
        <v>202500029</v>
      </c>
      <c r="B437" s="364" t="s">
        <v>21</v>
      </c>
    </row>
    <row r="438" spans="1:2">
      <c r="A438" s="363">
        <v>202500029</v>
      </c>
      <c r="B438" s="364" t="s">
        <v>21</v>
      </c>
    </row>
    <row r="439" spans="1:2">
      <c r="A439" s="363">
        <v>202500029</v>
      </c>
      <c r="B439" s="364" t="s">
        <v>21</v>
      </c>
    </row>
    <row r="440" spans="1:2">
      <c r="A440" s="363">
        <v>202500029</v>
      </c>
      <c r="B440" s="364" t="s">
        <v>21</v>
      </c>
    </row>
    <row r="441" spans="1:2">
      <c r="A441" s="363">
        <v>202500029</v>
      </c>
      <c r="B441" s="364" t="s">
        <v>21</v>
      </c>
    </row>
    <row r="442" spans="1:2">
      <c r="A442" s="363">
        <v>202500029</v>
      </c>
      <c r="B442" s="364" t="s">
        <v>21</v>
      </c>
    </row>
    <row r="443" spans="1:2">
      <c r="A443" s="363">
        <v>202500029</v>
      </c>
      <c r="B443" s="364" t="s">
        <v>21</v>
      </c>
    </row>
    <row r="444" spans="1:2">
      <c r="A444" s="363">
        <v>202500029</v>
      </c>
      <c r="B444" s="364" t="s">
        <v>21</v>
      </c>
    </row>
    <row r="445" spans="1:2">
      <c r="A445" s="363">
        <v>202500030</v>
      </c>
      <c r="B445" s="364" t="s">
        <v>22</v>
      </c>
    </row>
    <row r="446" spans="1:2">
      <c r="A446" s="363">
        <v>202500030</v>
      </c>
      <c r="B446" s="364" t="s">
        <v>22</v>
      </c>
    </row>
    <row r="447" spans="1:2">
      <c r="A447" s="363">
        <v>202500030</v>
      </c>
      <c r="B447" s="364" t="s">
        <v>22</v>
      </c>
    </row>
    <row r="448" spans="1:2">
      <c r="A448" s="363">
        <v>202500030</v>
      </c>
      <c r="B448" s="364" t="s">
        <v>22</v>
      </c>
    </row>
    <row r="449" spans="1:2">
      <c r="A449" s="363">
        <v>202500030</v>
      </c>
      <c r="B449" s="364" t="s">
        <v>22</v>
      </c>
    </row>
    <row r="450" spans="1:2">
      <c r="A450" s="363">
        <v>202500030</v>
      </c>
      <c r="B450" s="364" t="s">
        <v>22</v>
      </c>
    </row>
    <row r="451" spans="1:2">
      <c r="A451" s="363">
        <v>202500030</v>
      </c>
      <c r="B451" s="364" t="s">
        <v>22</v>
      </c>
    </row>
    <row r="452" spans="1:2">
      <c r="A452" s="363">
        <v>202500030</v>
      </c>
      <c r="B452" s="364" t="s">
        <v>22</v>
      </c>
    </row>
    <row r="453" spans="1:2">
      <c r="A453" s="363">
        <v>202500030</v>
      </c>
      <c r="B453" s="364" t="s">
        <v>22</v>
      </c>
    </row>
    <row r="454" spans="1:2">
      <c r="A454" s="363">
        <v>202500030</v>
      </c>
      <c r="B454" s="364" t="s">
        <v>22</v>
      </c>
    </row>
    <row r="455" spans="1:2">
      <c r="A455" s="363">
        <v>202500030</v>
      </c>
      <c r="B455" s="364" t="s">
        <v>22</v>
      </c>
    </row>
    <row r="456" spans="1:2">
      <c r="A456" s="363">
        <v>202500030</v>
      </c>
      <c r="B456" s="364" t="s">
        <v>22</v>
      </c>
    </row>
    <row r="457" spans="1:2">
      <c r="A457" s="363">
        <v>202500030</v>
      </c>
      <c r="B457" s="364" t="s">
        <v>22</v>
      </c>
    </row>
    <row r="458" spans="1:2">
      <c r="A458" s="363">
        <v>202500030</v>
      </c>
      <c r="B458" s="364" t="s">
        <v>22</v>
      </c>
    </row>
    <row r="459" spans="1:2">
      <c r="A459" s="363">
        <v>202500030</v>
      </c>
      <c r="B459" s="364" t="s">
        <v>22</v>
      </c>
    </row>
    <row r="460" spans="1:2">
      <c r="A460" s="363">
        <v>202500030</v>
      </c>
      <c r="B460" s="364" t="s">
        <v>22</v>
      </c>
    </row>
    <row r="461" spans="1:2">
      <c r="A461" s="363">
        <v>202500030</v>
      </c>
      <c r="B461" s="364" t="s">
        <v>22</v>
      </c>
    </row>
    <row r="462" spans="1:2">
      <c r="A462" s="363">
        <v>202500030</v>
      </c>
      <c r="B462" s="364" t="s">
        <v>22</v>
      </c>
    </row>
    <row r="463" spans="1:2">
      <c r="A463" s="363">
        <v>202500030</v>
      </c>
      <c r="B463" s="364" t="s">
        <v>22</v>
      </c>
    </row>
    <row r="464" spans="1:2">
      <c r="A464" s="363">
        <v>202500030</v>
      </c>
      <c r="B464" s="364" t="s">
        <v>22</v>
      </c>
    </row>
    <row r="465" spans="1:2">
      <c r="A465" s="363">
        <v>202500030</v>
      </c>
      <c r="B465" s="364" t="s">
        <v>22</v>
      </c>
    </row>
    <row r="466" spans="1:2">
      <c r="A466" s="363">
        <v>202500030</v>
      </c>
      <c r="B466" s="364" t="s">
        <v>22</v>
      </c>
    </row>
    <row r="467" spans="1:2">
      <c r="A467" s="363">
        <v>202500030</v>
      </c>
      <c r="B467" s="364" t="s">
        <v>22</v>
      </c>
    </row>
    <row r="468" spans="1:2">
      <c r="A468" s="363">
        <v>202500030</v>
      </c>
      <c r="B468" s="364" t="s">
        <v>22</v>
      </c>
    </row>
    <row r="469" spans="1:2">
      <c r="A469" s="363">
        <v>202500030</v>
      </c>
      <c r="B469" s="364" t="s">
        <v>22</v>
      </c>
    </row>
    <row r="470" spans="1:2">
      <c r="A470" s="363">
        <v>202500030</v>
      </c>
      <c r="B470" s="364" t="s">
        <v>22</v>
      </c>
    </row>
    <row r="471" spans="1:2">
      <c r="A471" s="363">
        <v>202500030</v>
      </c>
      <c r="B471" s="364" t="s">
        <v>22</v>
      </c>
    </row>
    <row r="472" spans="1:2">
      <c r="A472" s="363">
        <v>202500030</v>
      </c>
      <c r="B472" s="364" t="s">
        <v>22</v>
      </c>
    </row>
    <row r="473" spans="1:2">
      <c r="A473" s="363">
        <v>202500030</v>
      </c>
      <c r="B473" s="364" t="s">
        <v>22</v>
      </c>
    </row>
    <row r="474" spans="1:2">
      <c r="A474" s="363">
        <v>202500030</v>
      </c>
      <c r="B474" s="364" t="s">
        <v>22</v>
      </c>
    </row>
    <row r="475" spans="1:2">
      <c r="A475" s="363">
        <v>202500030</v>
      </c>
      <c r="B475" s="364" t="s">
        <v>22</v>
      </c>
    </row>
    <row r="476" spans="1:2">
      <c r="A476" s="363">
        <v>202500031</v>
      </c>
      <c r="B476" s="364" t="s">
        <v>23</v>
      </c>
    </row>
    <row r="477" spans="1:2">
      <c r="A477" s="363">
        <v>202500031</v>
      </c>
      <c r="B477" s="364" t="s">
        <v>23</v>
      </c>
    </row>
    <row r="478" spans="1:2">
      <c r="A478" s="363">
        <v>202500031</v>
      </c>
      <c r="B478" s="364" t="s">
        <v>23</v>
      </c>
    </row>
    <row r="479" spans="1:2">
      <c r="A479" s="363">
        <v>202500031</v>
      </c>
      <c r="B479" s="364" t="s">
        <v>23</v>
      </c>
    </row>
    <row r="480" spans="1:2">
      <c r="A480" s="363">
        <v>202500031</v>
      </c>
      <c r="B480" s="364" t="s">
        <v>23</v>
      </c>
    </row>
    <row r="481" spans="1:2">
      <c r="A481" s="363">
        <v>202500031</v>
      </c>
      <c r="B481" s="364" t="s">
        <v>23</v>
      </c>
    </row>
    <row r="482" spans="1:2">
      <c r="A482" s="363">
        <v>202500031</v>
      </c>
      <c r="B482" s="364" t="s">
        <v>23</v>
      </c>
    </row>
    <row r="483" spans="1:2">
      <c r="A483" s="363">
        <v>202500031</v>
      </c>
      <c r="B483" s="364" t="s">
        <v>23</v>
      </c>
    </row>
    <row r="484" spans="1:2">
      <c r="A484" s="363">
        <v>202500031</v>
      </c>
      <c r="B484" s="364" t="s">
        <v>23</v>
      </c>
    </row>
    <row r="485" spans="1:2">
      <c r="A485" s="363">
        <v>202500031</v>
      </c>
      <c r="B485" s="364" t="s">
        <v>23</v>
      </c>
    </row>
    <row r="486" spans="1:2">
      <c r="A486" s="363">
        <v>202500031</v>
      </c>
      <c r="B486" s="364" t="s">
        <v>23</v>
      </c>
    </row>
    <row r="487" spans="1:2">
      <c r="A487" s="363">
        <v>202500031</v>
      </c>
      <c r="B487" s="364" t="s">
        <v>23</v>
      </c>
    </row>
    <row r="488" spans="1:2">
      <c r="A488" s="363">
        <v>202500031</v>
      </c>
      <c r="B488" s="364" t="s">
        <v>23</v>
      </c>
    </row>
    <row r="489" spans="1:2">
      <c r="A489" s="363">
        <v>202500031</v>
      </c>
      <c r="B489" s="364" t="s">
        <v>23</v>
      </c>
    </row>
    <row r="490" spans="1:2">
      <c r="A490" s="363">
        <v>202500031</v>
      </c>
      <c r="B490" s="364" t="s">
        <v>23</v>
      </c>
    </row>
    <row r="491" spans="1:2">
      <c r="A491" s="363">
        <v>202500031</v>
      </c>
      <c r="B491" s="364" t="s">
        <v>23</v>
      </c>
    </row>
    <row r="492" spans="1:2">
      <c r="A492" s="363">
        <v>202500031</v>
      </c>
      <c r="B492" s="364" t="s">
        <v>23</v>
      </c>
    </row>
    <row r="493" spans="1:2">
      <c r="A493" s="363">
        <v>202500031</v>
      </c>
      <c r="B493" s="364" t="s">
        <v>23</v>
      </c>
    </row>
    <row r="494" spans="1:2">
      <c r="A494" s="363">
        <v>202500031</v>
      </c>
      <c r="B494" s="364" t="s">
        <v>23</v>
      </c>
    </row>
    <row r="495" spans="1:2">
      <c r="A495" s="363">
        <v>202500031</v>
      </c>
      <c r="B495" s="364" t="s">
        <v>23</v>
      </c>
    </row>
    <row r="496" spans="1:2">
      <c r="A496" s="363">
        <v>202500031</v>
      </c>
      <c r="B496" s="364" t="s">
        <v>23</v>
      </c>
    </row>
    <row r="497" spans="1:2">
      <c r="A497" s="363">
        <v>202500031</v>
      </c>
      <c r="B497" s="364" t="s">
        <v>23</v>
      </c>
    </row>
    <row r="498" spans="1:2">
      <c r="A498" s="363">
        <v>202500034</v>
      </c>
      <c r="B498" s="364" t="s">
        <v>24</v>
      </c>
    </row>
    <row r="499" spans="1:2">
      <c r="A499" s="363">
        <v>202500034</v>
      </c>
      <c r="B499" s="364" t="s">
        <v>24</v>
      </c>
    </row>
    <row r="500" spans="1:2">
      <c r="A500" s="363">
        <v>202500034</v>
      </c>
      <c r="B500" s="364" t="s">
        <v>24</v>
      </c>
    </row>
    <row r="501" spans="1:2">
      <c r="A501" s="363">
        <v>202500034</v>
      </c>
      <c r="B501" s="364" t="s">
        <v>24</v>
      </c>
    </row>
    <row r="502" spans="1:2">
      <c r="A502" s="363">
        <v>202500034</v>
      </c>
      <c r="B502" s="364" t="s">
        <v>24</v>
      </c>
    </row>
    <row r="503" spans="1:2">
      <c r="A503" s="363">
        <v>202500034</v>
      </c>
      <c r="B503" s="364" t="s">
        <v>24</v>
      </c>
    </row>
    <row r="504" spans="1:2">
      <c r="A504" s="363">
        <v>202500034</v>
      </c>
      <c r="B504" s="364" t="s">
        <v>24</v>
      </c>
    </row>
    <row r="505" spans="1:2">
      <c r="A505" s="363">
        <v>202500034</v>
      </c>
      <c r="B505" s="364" t="s">
        <v>24</v>
      </c>
    </row>
    <row r="506" spans="1:2">
      <c r="A506" s="363">
        <v>202500034</v>
      </c>
      <c r="B506" s="364" t="s">
        <v>24</v>
      </c>
    </row>
    <row r="507" spans="1:2">
      <c r="A507" s="363">
        <v>202500034</v>
      </c>
      <c r="B507" s="364" t="s">
        <v>24</v>
      </c>
    </row>
    <row r="508" spans="1:2">
      <c r="A508" s="363">
        <v>202500034</v>
      </c>
      <c r="B508" s="364" t="s">
        <v>24</v>
      </c>
    </row>
    <row r="509" spans="1:2">
      <c r="A509" s="363">
        <v>202500034</v>
      </c>
      <c r="B509" s="364" t="s">
        <v>24</v>
      </c>
    </row>
    <row r="510" spans="1:2">
      <c r="A510" s="363">
        <v>202500034</v>
      </c>
      <c r="B510" s="364" t="s">
        <v>24</v>
      </c>
    </row>
    <row r="511" spans="1:2">
      <c r="A511" s="363">
        <v>202500034</v>
      </c>
      <c r="B511" s="364" t="s">
        <v>24</v>
      </c>
    </row>
    <row r="512" spans="1:2">
      <c r="A512" s="363">
        <v>202500034</v>
      </c>
      <c r="B512" s="364" t="s">
        <v>24</v>
      </c>
    </row>
    <row r="513" spans="1:2">
      <c r="A513" s="363">
        <v>202500034</v>
      </c>
      <c r="B513" s="364" t="s">
        <v>24</v>
      </c>
    </row>
    <row r="514" spans="1:2">
      <c r="A514" s="363">
        <v>202500034</v>
      </c>
      <c r="B514" s="364" t="s">
        <v>24</v>
      </c>
    </row>
    <row r="515" spans="1:2">
      <c r="A515" s="363">
        <v>202500034</v>
      </c>
      <c r="B515" s="364" t="s">
        <v>24</v>
      </c>
    </row>
    <row r="516" spans="1:2">
      <c r="A516" s="363">
        <v>202500034</v>
      </c>
      <c r="B516" s="364" t="s">
        <v>24</v>
      </c>
    </row>
    <row r="517" spans="1:2">
      <c r="A517" s="367">
        <v>202500034</v>
      </c>
      <c r="B517" s="364" t="s">
        <v>24</v>
      </c>
    </row>
    <row r="518" spans="1:2">
      <c r="A518" s="363">
        <v>202500034</v>
      </c>
      <c r="B518" s="364" t="s">
        <v>24</v>
      </c>
    </row>
    <row r="519" spans="1:2">
      <c r="A519" s="367">
        <v>202500034</v>
      </c>
      <c r="B519" s="364" t="s">
        <v>24</v>
      </c>
    </row>
    <row r="520" spans="1:2">
      <c r="A520" s="363">
        <v>202500034</v>
      </c>
      <c r="B520" s="364" t="s">
        <v>24</v>
      </c>
    </row>
    <row r="521" spans="1:2">
      <c r="A521" s="363">
        <v>202500034</v>
      </c>
      <c r="B521" s="364" t="s">
        <v>24</v>
      </c>
    </row>
    <row r="522" spans="1:2">
      <c r="A522" s="363">
        <v>202500031</v>
      </c>
      <c r="B522" s="364" t="s">
        <v>23</v>
      </c>
    </row>
    <row r="523" spans="1:2">
      <c r="A523" s="363">
        <v>202500031</v>
      </c>
      <c r="B523" s="364" t="s">
        <v>23</v>
      </c>
    </row>
    <row r="524" spans="1:2">
      <c r="A524" s="363">
        <v>202500031</v>
      </c>
      <c r="B524" s="364" t="s">
        <v>23</v>
      </c>
    </row>
    <row r="525" spans="1:2">
      <c r="A525" s="363">
        <v>202500031</v>
      </c>
      <c r="B525" s="364" t="s">
        <v>23</v>
      </c>
    </row>
    <row r="526" spans="1:2">
      <c r="A526" s="363">
        <v>202500034</v>
      </c>
      <c r="B526" s="364" t="s">
        <v>24</v>
      </c>
    </row>
    <row r="527" spans="1:2">
      <c r="A527" s="363">
        <v>202500034</v>
      </c>
      <c r="B527" s="364" t="s">
        <v>24</v>
      </c>
    </row>
    <row r="528" spans="1:2">
      <c r="A528" s="363">
        <v>202500034</v>
      </c>
      <c r="B528" s="364" t="s">
        <v>24</v>
      </c>
    </row>
    <row r="529" spans="1:2">
      <c r="A529" s="363">
        <v>202500034</v>
      </c>
      <c r="B529" s="364" t="s">
        <v>24</v>
      </c>
    </row>
    <row r="530" spans="1:2">
      <c r="A530" s="363">
        <v>202500034</v>
      </c>
      <c r="B530" s="364" t="s">
        <v>24</v>
      </c>
    </row>
    <row r="531" spans="1:2">
      <c r="A531" s="363">
        <v>202500034</v>
      </c>
      <c r="B531" s="364" t="s">
        <v>24</v>
      </c>
    </row>
    <row r="532" spans="1:2">
      <c r="A532" s="363">
        <v>202500034</v>
      </c>
      <c r="B532" s="364" t="s">
        <v>24</v>
      </c>
    </row>
    <row r="533" spans="1:2">
      <c r="A533" s="363">
        <v>202500034</v>
      </c>
      <c r="B533" s="364" t="s">
        <v>24</v>
      </c>
    </row>
    <row r="534" spans="1:2">
      <c r="A534" s="363">
        <v>202500034</v>
      </c>
      <c r="B534" s="364" t="s">
        <v>24</v>
      </c>
    </row>
    <row r="535" spans="1:2">
      <c r="A535" s="363">
        <v>202500034</v>
      </c>
      <c r="B535" s="364" t="s">
        <v>24</v>
      </c>
    </row>
    <row r="536" spans="1:2">
      <c r="A536" s="363">
        <v>202500034</v>
      </c>
      <c r="B536" s="364" t="s">
        <v>24</v>
      </c>
    </row>
    <row r="537" spans="1:2">
      <c r="A537" s="363">
        <v>202500034</v>
      </c>
      <c r="B537" s="364" t="s">
        <v>24</v>
      </c>
    </row>
    <row r="538" spans="1:2">
      <c r="A538" s="363">
        <v>202500034</v>
      </c>
      <c r="B538" s="364" t="s">
        <v>24</v>
      </c>
    </row>
    <row r="539" spans="1:2">
      <c r="A539" s="363">
        <v>202500034</v>
      </c>
      <c r="B539" s="364" t="s">
        <v>24</v>
      </c>
    </row>
    <row r="540" spans="1:2">
      <c r="A540" s="363">
        <v>202500034</v>
      </c>
      <c r="B540" s="364" t="s">
        <v>24</v>
      </c>
    </row>
    <row r="541" spans="1:2">
      <c r="A541" s="363">
        <v>202500034</v>
      </c>
      <c r="B541" s="364" t="s">
        <v>24</v>
      </c>
    </row>
    <row r="542" spans="1:2">
      <c r="A542" s="363">
        <v>202500034</v>
      </c>
      <c r="B542" s="364" t="s">
        <v>24</v>
      </c>
    </row>
    <row r="543" spans="1:2">
      <c r="A543" s="363">
        <v>202500118</v>
      </c>
      <c r="B543" s="364" t="s">
        <v>25</v>
      </c>
    </row>
    <row r="544" spans="1:2">
      <c r="A544" s="363">
        <v>202500118</v>
      </c>
      <c r="B544" s="364" t="s">
        <v>25</v>
      </c>
    </row>
    <row r="545" spans="1:2">
      <c r="A545" s="365">
        <v>202500118</v>
      </c>
      <c r="B545" s="364" t="s">
        <v>25</v>
      </c>
    </row>
    <row r="546" spans="1:2">
      <c r="A546" s="363">
        <v>202500118</v>
      </c>
      <c r="B546" s="364" t="s">
        <v>25</v>
      </c>
    </row>
    <row r="547" spans="1:2">
      <c r="A547" s="363">
        <v>202500118</v>
      </c>
      <c r="B547" s="364" t="s">
        <v>25</v>
      </c>
    </row>
    <row r="548" spans="1:2">
      <c r="A548" s="363">
        <v>202500118</v>
      </c>
      <c r="B548" s="364" t="s">
        <v>25</v>
      </c>
    </row>
    <row r="549" spans="1:2">
      <c r="A549" s="363">
        <v>202500118</v>
      </c>
      <c r="B549" s="364" t="s">
        <v>25</v>
      </c>
    </row>
    <row r="550" spans="1:2">
      <c r="A550" s="363">
        <v>202500118</v>
      </c>
      <c r="B550" s="364" t="s">
        <v>25</v>
      </c>
    </row>
    <row r="551" spans="1:2">
      <c r="A551" s="363">
        <v>202500118</v>
      </c>
      <c r="B551" s="364" t="s">
        <v>25</v>
      </c>
    </row>
    <row r="552" spans="1:2">
      <c r="A552" s="363">
        <v>202500118</v>
      </c>
      <c r="B552" s="364" t="s">
        <v>25</v>
      </c>
    </row>
    <row r="553" spans="1:2">
      <c r="A553" s="363">
        <v>202500118</v>
      </c>
      <c r="B553" s="364" t="s">
        <v>25</v>
      </c>
    </row>
    <row r="554" spans="1:2">
      <c r="A554" s="363">
        <v>202500118</v>
      </c>
      <c r="B554" s="364" t="s">
        <v>25</v>
      </c>
    </row>
    <row r="555" spans="1:2">
      <c r="A555" s="363">
        <v>202500118</v>
      </c>
      <c r="B555" s="364" t="s">
        <v>25</v>
      </c>
    </row>
    <row r="556" spans="1:2">
      <c r="A556" s="363">
        <v>202500118</v>
      </c>
      <c r="B556" s="364" t="s">
        <v>25</v>
      </c>
    </row>
    <row r="557" spans="1:2">
      <c r="A557" s="363">
        <v>202500118</v>
      </c>
      <c r="B557" s="364" t="s">
        <v>25</v>
      </c>
    </row>
    <row r="558" spans="1:2">
      <c r="A558" s="363">
        <v>202500118</v>
      </c>
      <c r="B558" s="364" t="s">
        <v>25</v>
      </c>
    </row>
    <row r="559" spans="1:2">
      <c r="A559" s="363">
        <v>202500118</v>
      </c>
      <c r="B559" s="364" t="s">
        <v>25</v>
      </c>
    </row>
    <row r="560" spans="1:2">
      <c r="A560" s="363">
        <v>202500118</v>
      </c>
      <c r="B560" s="364" t="s">
        <v>25</v>
      </c>
    </row>
    <row r="561" spans="1:2">
      <c r="A561" s="363">
        <v>202500118</v>
      </c>
      <c r="B561" s="364" t="s">
        <v>25</v>
      </c>
    </row>
    <row r="562" spans="1:2">
      <c r="A562" s="363">
        <v>202500118</v>
      </c>
      <c r="B562" s="364" t="s">
        <v>25</v>
      </c>
    </row>
    <row r="563" spans="1:2">
      <c r="A563" s="363">
        <v>202500118</v>
      </c>
      <c r="B563" s="364" t="s">
        <v>25</v>
      </c>
    </row>
    <row r="564" spans="1:2">
      <c r="A564" s="363">
        <v>202500118</v>
      </c>
      <c r="B564" s="364" t="s">
        <v>25</v>
      </c>
    </row>
    <row r="565" spans="1:2">
      <c r="A565" s="363">
        <v>202500118</v>
      </c>
      <c r="B565" s="364" t="s">
        <v>25</v>
      </c>
    </row>
    <row r="566" spans="1:2">
      <c r="A566" s="363">
        <v>202500118</v>
      </c>
      <c r="B566" s="364" t="s">
        <v>25</v>
      </c>
    </row>
    <row r="567" spans="1:2">
      <c r="A567" s="363">
        <v>202500118</v>
      </c>
      <c r="B567" s="364" t="s">
        <v>25</v>
      </c>
    </row>
    <row r="568" spans="1:2">
      <c r="A568" s="363">
        <v>202500118</v>
      </c>
      <c r="B568" s="364" t="s">
        <v>25</v>
      </c>
    </row>
    <row r="569" spans="1:2">
      <c r="A569" s="363">
        <v>202500118</v>
      </c>
      <c r="B569" s="364" t="s">
        <v>25</v>
      </c>
    </row>
    <row r="570" spans="1:2">
      <c r="A570" s="363">
        <v>202500118</v>
      </c>
      <c r="B570" s="364" t="s">
        <v>25</v>
      </c>
    </row>
    <row r="571" spans="1:2">
      <c r="A571" s="363">
        <v>202500118</v>
      </c>
      <c r="B571" s="364" t="s">
        <v>25</v>
      </c>
    </row>
    <row r="572" spans="1:2">
      <c r="A572" s="363">
        <v>202500118</v>
      </c>
      <c r="B572" s="364" t="s">
        <v>25</v>
      </c>
    </row>
    <row r="573" spans="1:2">
      <c r="A573" s="363">
        <v>202500119</v>
      </c>
      <c r="B573" s="364" t="s">
        <v>26</v>
      </c>
    </row>
    <row r="574" spans="1:2">
      <c r="A574" s="363">
        <v>202500119</v>
      </c>
      <c r="B574" s="364" t="s">
        <v>26</v>
      </c>
    </row>
    <row r="575" spans="1:2">
      <c r="A575" s="363">
        <v>202500119</v>
      </c>
      <c r="B575" s="364" t="s">
        <v>26</v>
      </c>
    </row>
    <row r="576" spans="1:2">
      <c r="A576" s="363">
        <v>202500119</v>
      </c>
      <c r="B576" s="364" t="s">
        <v>26</v>
      </c>
    </row>
    <row r="577" spans="1:2">
      <c r="A577" s="363">
        <v>202500119</v>
      </c>
      <c r="B577" s="364" t="s">
        <v>26</v>
      </c>
    </row>
    <row r="578" spans="1:2">
      <c r="A578" s="363">
        <v>202500119</v>
      </c>
      <c r="B578" s="364" t="s">
        <v>26</v>
      </c>
    </row>
    <row r="579" spans="1:2">
      <c r="A579" s="363">
        <v>202500119</v>
      </c>
      <c r="B579" s="364" t="s">
        <v>26</v>
      </c>
    </row>
    <row r="580" spans="1:2">
      <c r="A580" s="363">
        <v>202500119</v>
      </c>
      <c r="B580" s="364" t="s">
        <v>26</v>
      </c>
    </row>
    <row r="581" spans="1:2">
      <c r="A581" s="363">
        <v>202500119</v>
      </c>
      <c r="B581" s="364" t="s">
        <v>26</v>
      </c>
    </row>
    <row r="582" spans="1:2">
      <c r="A582" s="363">
        <v>202500119</v>
      </c>
      <c r="B582" s="364" t="s">
        <v>26</v>
      </c>
    </row>
    <row r="583" spans="1:2">
      <c r="A583" s="363">
        <v>202500119</v>
      </c>
      <c r="B583" s="364" t="s">
        <v>26</v>
      </c>
    </row>
    <row r="584" spans="1:2">
      <c r="A584" s="363">
        <v>202500119</v>
      </c>
      <c r="B584" s="364" t="s">
        <v>26</v>
      </c>
    </row>
    <row r="585" spans="1:2">
      <c r="A585" s="363">
        <v>202500119</v>
      </c>
      <c r="B585" s="364" t="s">
        <v>26</v>
      </c>
    </row>
    <row r="586" spans="1:2">
      <c r="A586" s="363">
        <v>202500119</v>
      </c>
      <c r="B586" s="364" t="s">
        <v>26</v>
      </c>
    </row>
    <row r="587" spans="1:2">
      <c r="A587" s="363">
        <v>202500119</v>
      </c>
      <c r="B587" s="364" t="s">
        <v>26</v>
      </c>
    </row>
    <row r="588" spans="1:2">
      <c r="A588" s="363">
        <v>202500119</v>
      </c>
      <c r="B588" s="364" t="s">
        <v>26</v>
      </c>
    </row>
    <row r="589" spans="1:2">
      <c r="A589" s="363">
        <v>202500119</v>
      </c>
      <c r="B589" s="364" t="s">
        <v>26</v>
      </c>
    </row>
    <row r="590" spans="1:2">
      <c r="A590" s="363">
        <v>202500119</v>
      </c>
      <c r="B590" s="364" t="s">
        <v>26</v>
      </c>
    </row>
    <row r="591" spans="1:2">
      <c r="A591" s="363">
        <v>202500120</v>
      </c>
      <c r="B591" s="364" t="s">
        <v>27</v>
      </c>
    </row>
    <row r="592" spans="1:2">
      <c r="A592" s="363">
        <v>202500120</v>
      </c>
      <c r="B592" s="364" t="s">
        <v>27</v>
      </c>
    </row>
    <row r="593" spans="1:2">
      <c r="A593" s="363">
        <v>202500120</v>
      </c>
      <c r="B593" s="364" t="s">
        <v>27</v>
      </c>
    </row>
    <row r="594" spans="1:2">
      <c r="A594" s="363">
        <v>202500120</v>
      </c>
      <c r="B594" s="364" t="s">
        <v>27</v>
      </c>
    </row>
    <row r="595" spans="1:2">
      <c r="A595" s="363">
        <v>202500120</v>
      </c>
      <c r="B595" s="364" t="s">
        <v>27</v>
      </c>
    </row>
    <row r="596" spans="1:2">
      <c r="A596" s="363">
        <v>202500120</v>
      </c>
      <c r="B596" s="364" t="s">
        <v>27</v>
      </c>
    </row>
    <row r="597" spans="1:2">
      <c r="A597" s="363">
        <v>202500120</v>
      </c>
      <c r="B597" s="364" t="s">
        <v>27</v>
      </c>
    </row>
    <row r="598" spans="1:2">
      <c r="A598" s="363">
        <v>202500120</v>
      </c>
      <c r="B598" s="364" t="s">
        <v>27</v>
      </c>
    </row>
    <row r="599" spans="1:2">
      <c r="A599" s="363">
        <v>202500120</v>
      </c>
      <c r="B599" s="364" t="s">
        <v>27</v>
      </c>
    </row>
    <row r="600" spans="1:2">
      <c r="A600" s="363">
        <v>202500120</v>
      </c>
      <c r="B600" s="364" t="s">
        <v>27</v>
      </c>
    </row>
    <row r="601" spans="1:2">
      <c r="A601" s="363">
        <v>202500120</v>
      </c>
      <c r="B601" s="364" t="s">
        <v>27</v>
      </c>
    </row>
    <row r="602" spans="1:2">
      <c r="A602" s="363">
        <v>202500120</v>
      </c>
      <c r="B602" s="364" t="s">
        <v>27</v>
      </c>
    </row>
    <row r="603" spans="1:2">
      <c r="A603" s="363">
        <v>202500120</v>
      </c>
      <c r="B603" s="364" t="s">
        <v>27</v>
      </c>
    </row>
    <row r="604" spans="1:2">
      <c r="A604" s="363">
        <v>202500120</v>
      </c>
      <c r="B604" s="364" t="s">
        <v>27</v>
      </c>
    </row>
    <row r="605" spans="1:2">
      <c r="A605" s="363">
        <v>202500120</v>
      </c>
      <c r="B605" s="364" t="s">
        <v>27</v>
      </c>
    </row>
    <row r="606" spans="1:2">
      <c r="A606" s="363">
        <v>202500120</v>
      </c>
      <c r="B606" s="364" t="s">
        <v>27</v>
      </c>
    </row>
    <row r="607" spans="1:2">
      <c r="A607" s="363">
        <v>202500120</v>
      </c>
      <c r="B607" s="364" t="s">
        <v>27</v>
      </c>
    </row>
    <row r="608" spans="1:2">
      <c r="A608" s="363">
        <v>202500120</v>
      </c>
      <c r="B608" s="364" t="s">
        <v>27</v>
      </c>
    </row>
    <row r="609" spans="1:2">
      <c r="A609" s="363">
        <v>202500120</v>
      </c>
      <c r="B609" s="364" t="s">
        <v>27</v>
      </c>
    </row>
    <row r="610" spans="1:2">
      <c r="A610" s="363">
        <v>202500120</v>
      </c>
      <c r="B610" s="364" t="s">
        <v>27</v>
      </c>
    </row>
    <row r="611" spans="1:2">
      <c r="A611" s="363">
        <v>202500120</v>
      </c>
      <c r="B611" s="364" t="s">
        <v>27</v>
      </c>
    </row>
    <row r="612" spans="1:2">
      <c r="A612" s="363">
        <v>202500120</v>
      </c>
      <c r="B612" s="364" t="s">
        <v>27</v>
      </c>
    </row>
    <row r="613" spans="1:2">
      <c r="A613" s="363">
        <v>202500120</v>
      </c>
      <c r="B613" s="364" t="s">
        <v>27</v>
      </c>
    </row>
    <row r="614" spans="1:2">
      <c r="A614" s="363">
        <v>202500120</v>
      </c>
      <c r="B614" s="364" t="s">
        <v>27</v>
      </c>
    </row>
    <row r="615" spans="1:2">
      <c r="A615" s="363">
        <v>202500120</v>
      </c>
      <c r="B615" s="364" t="s">
        <v>27</v>
      </c>
    </row>
    <row r="616" spans="1:2">
      <c r="A616" s="363">
        <v>202500120</v>
      </c>
      <c r="B616" s="364" t="s">
        <v>27</v>
      </c>
    </row>
    <row r="617" spans="1:2">
      <c r="A617" s="363">
        <v>202500120</v>
      </c>
      <c r="B617" s="364" t="s">
        <v>27</v>
      </c>
    </row>
    <row r="618" spans="1:2">
      <c r="A618" s="363">
        <v>202500120</v>
      </c>
      <c r="B618" s="364" t="s">
        <v>27</v>
      </c>
    </row>
    <row r="619" spans="1:2">
      <c r="A619" s="363">
        <v>202500120</v>
      </c>
      <c r="B619" s="364" t="s">
        <v>27</v>
      </c>
    </row>
    <row r="620" spans="1:2">
      <c r="A620" s="363">
        <v>202500120</v>
      </c>
      <c r="B620" s="364" t="s">
        <v>27</v>
      </c>
    </row>
    <row r="621" spans="1:2">
      <c r="A621" s="363">
        <v>202500120</v>
      </c>
      <c r="B621" s="364" t="s">
        <v>27</v>
      </c>
    </row>
    <row r="622" spans="1:2">
      <c r="A622" s="363">
        <v>202500120</v>
      </c>
      <c r="B622" s="364" t="s">
        <v>27</v>
      </c>
    </row>
    <row r="623" spans="1:2">
      <c r="A623" s="363">
        <v>202500120</v>
      </c>
      <c r="B623" s="364" t="s">
        <v>27</v>
      </c>
    </row>
    <row r="624" spans="1:2">
      <c r="A624" s="363">
        <v>202500120</v>
      </c>
      <c r="B624" s="364" t="s">
        <v>27</v>
      </c>
    </row>
    <row r="625" spans="1:2">
      <c r="A625" s="363">
        <v>202500120</v>
      </c>
      <c r="B625" s="364" t="s">
        <v>27</v>
      </c>
    </row>
    <row r="626" spans="1:2">
      <c r="A626" s="363">
        <v>202500120</v>
      </c>
      <c r="B626" s="364" t="s">
        <v>27</v>
      </c>
    </row>
    <row r="627" spans="1:2">
      <c r="A627" s="363">
        <v>202500120</v>
      </c>
      <c r="B627" s="364" t="s">
        <v>27</v>
      </c>
    </row>
    <row r="628" spans="1:2">
      <c r="A628" s="363">
        <v>202500120</v>
      </c>
      <c r="B628" s="364" t="s">
        <v>27</v>
      </c>
    </row>
    <row r="629" spans="1:2">
      <c r="A629" s="363">
        <v>202500121</v>
      </c>
      <c r="B629" s="364" t="s">
        <v>28</v>
      </c>
    </row>
    <row r="630" spans="1:2">
      <c r="A630" s="363">
        <v>202500121</v>
      </c>
      <c r="B630" s="364" t="s">
        <v>28</v>
      </c>
    </row>
    <row r="631" spans="1:2">
      <c r="A631" s="363">
        <v>202500121</v>
      </c>
      <c r="B631" s="364" t="s">
        <v>28</v>
      </c>
    </row>
    <row r="632" spans="1:2">
      <c r="A632" s="363">
        <v>202500121</v>
      </c>
      <c r="B632" s="364" t="s">
        <v>28</v>
      </c>
    </row>
    <row r="633" spans="1:2">
      <c r="A633" s="363">
        <v>202500121</v>
      </c>
      <c r="B633" s="364" t="s">
        <v>28</v>
      </c>
    </row>
    <row r="634" spans="1:2">
      <c r="A634" s="363">
        <v>202500121</v>
      </c>
      <c r="B634" s="364" t="s">
        <v>28</v>
      </c>
    </row>
    <row r="635" spans="1:2">
      <c r="A635" s="363">
        <v>202500121</v>
      </c>
      <c r="B635" s="364" t="s">
        <v>28</v>
      </c>
    </row>
    <row r="636" spans="1:2">
      <c r="A636" s="363">
        <v>202500121</v>
      </c>
      <c r="B636" s="364" t="s">
        <v>28</v>
      </c>
    </row>
    <row r="637" spans="1:2">
      <c r="A637" s="363">
        <v>202500121</v>
      </c>
      <c r="B637" s="364" t="s">
        <v>28</v>
      </c>
    </row>
    <row r="638" spans="1:2">
      <c r="A638" s="363">
        <v>202500121</v>
      </c>
      <c r="B638" s="364" t="s">
        <v>28</v>
      </c>
    </row>
    <row r="639" spans="1:2">
      <c r="A639" s="363">
        <v>202500121</v>
      </c>
      <c r="B639" s="364" t="s">
        <v>28</v>
      </c>
    </row>
    <row r="640" spans="1:2">
      <c r="A640" s="363">
        <v>202500121</v>
      </c>
      <c r="B640" s="364" t="s">
        <v>28</v>
      </c>
    </row>
    <row r="641" spans="1:2">
      <c r="A641" s="363">
        <v>202500121</v>
      </c>
      <c r="B641" s="364" t="s">
        <v>28</v>
      </c>
    </row>
    <row r="642" spans="1:2">
      <c r="A642" s="363">
        <v>202500121</v>
      </c>
      <c r="B642" s="364" t="s">
        <v>28</v>
      </c>
    </row>
    <row r="643" spans="1:2">
      <c r="A643" s="363">
        <v>202500121</v>
      </c>
      <c r="B643" s="364" t="s">
        <v>28</v>
      </c>
    </row>
    <row r="644" spans="1:2">
      <c r="A644" s="363">
        <v>202500121</v>
      </c>
      <c r="B644" s="364" t="s">
        <v>28</v>
      </c>
    </row>
    <row r="645" spans="1:2">
      <c r="A645" s="363">
        <v>202500121</v>
      </c>
      <c r="B645" s="364" t="s">
        <v>28</v>
      </c>
    </row>
    <row r="646" spans="1:2">
      <c r="A646" s="363">
        <v>202500121</v>
      </c>
      <c r="B646" s="364" t="s">
        <v>28</v>
      </c>
    </row>
    <row r="647" spans="1:2">
      <c r="A647" s="363">
        <v>202500121</v>
      </c>
      <c r="B647" s="364" t="s">
        <v>28</v>
      </c>
    </row>
    <row r="648" spans="1:2">
      <c r="A648" s="363">
        <v>202500121</v>
      </c>
      <c r="B648" s="364" t="s">
        <v>28</v>
      </c>
    </row>
    <row r="649" spans="1:2">
      <c r="A649" s="363">
        <v>202500121</v>
      </c>
      <c r="B649" s="364" t="s">
        <v>28</v>
      </c>
    </row>
    <row r="650" spans="1:2">
      <c r="A650" s="363">
        <v>202500121</v>
      </c>
      <c r="B650" s="364" t="s">
        <v>28</v>
      </c>
    </row>
    <row r="651" spans="1:2">
      <c r="A651" s="363">
        <v>202500121</v>
      </c>
      <c r="B651" s="364" t="s">
        <v>28</v>
      </c>
    </row>
    <row r="652" spans="1:2">
      <c r="A652" s="363">
        <v>202500127</v>
      </c>
      <c r="B652" s="364" t="s">
        <v>29</v>
      </c>
    </row>
    <row r="653" spans="1:2">
      <c r="A653" s="363">
        <v>202500127</v>
      </c>
      <c r="B653" s="364" t="s">
        <v>29</v>
      </c>
    </row>
    <row r="654" spans="1:2">
      <c r="A654" s="363">
        <v>202500127</v>
      </c>
      <c r="B654" s="364" t="s">
        <v>29</v>
      </c>
    </row>
    <row r="655" spans="1:2">
      <c r="A655" s="363">
        <v>202500127</v>
      </c>
      <c r="B655" s="364" t="s">
        <v>29</v>
      </c>
    </row>
    <row r="656" spans="1:2">
      <c r="A656" s="363">
        <v>202500127</v>
      </c>
      <c r="B656" s="364" t="s">
        <v>29</v>
      </c>
    </row>
    <row r="657" spans="1:2">
      <c r="A657" s="363">
        <v>202500127</v>
      </c>
      <c r="B657" s="364" t="s">
        <v>29</v>
      </c>
    </row>
    <row r="658" spans="1:2">
      <c r="A658" s="363">
        <v>202500127</v>
      </c>
      <c r="B658" s="364" t="s">
        <v>29</v>
      </c>
    </row>
    <row r="659" spans="1:2">
      <c r="A659" s="363">
        <v>202500127</v>
      </c>
      <c r="B659" s="364" t="s">
        <v>29</v>
      </c>
    </row>
    <row r="660" spans="1:2">
      <c r="A660" s="363">
        <v>202500127</v>
      </c>
      <c r="B660" s="364" t="s">
        <v>29</v>
      </c>
    </row>
    <row r="661" spans="1:2">
      <c r="A661" s="363">
        <v>202500127</v>
      </c>
      <c r="B661" s="364" t="s">
        <v>29</v>
      </c>
    </row>
    <row r="662" spans="1:2">
      <c r="A662" s="363">
        <v>202500127</v>
      </c>
      <c r="B662" s="364" t="s">
        <v>29</v>
      </c>
    </row>
    <row r="663" spans="1:2">
      <c r="A663" s="363">
        <v>202500127</v>
      </c>
      <c r="B663" s="364" t="s">
        <v>29</v>
      </c>
    </row>
    <row r="664" spans="1:2">
      <c r="A664" s="363">
        <v>202500127</v>
      </c>
      <c r="B664" s="364" t="s">
        <v>29</v>
      </c>
    </row>
    <row r="665" spans="1:2">
      <c r="A665" s="363">
        <v>202500127</v>
      </c>
      <c r="B665" s="364" t="s">
        <v>29</v>
      </c>
    </row>
    <row r="666" spans="1:2">
      <c r="A666" s="363">
        <v>202500127</v>
      </c>
      <c r="B666" s="364" t="s">
        <v>29</v>
      </c>
    </row>
    <row r="667" spans="1:2">
      <c r="A667" s="363">
        <v>202500127</v>
      </c>
      <c r="B667" s="364" t="s">
        <v>29</v>
      </c>
    </row>
    <row r="668" spans="1:2">
      <c r="A668" s="363">
        <v>202500127</v>
      </c>
      <c r="B668" s="364" t="s">
        <v>29</v>
      </c>
    </row>
    <row r="669" spans="1:2">
      <c r="A669" s="363">
        <v>202500127</v>
      </c>
      <c r="B669" s="364" t="s">
        <v>29</v>
      </c>
    </row>
    <row r="670" spans="1:2">
      <c r="A670" s="363">
        <v>202500127</v>
      </c>
      <c r="B670" s="364" t="s">
        <v>29</v>
      </c>
    </row>
    <row r="671" spans="1:2">
      <c r="A671" s="363">
        <v>202500127</v>
      </c>
      <c r="B671" s="364" t="s">
        <v>29</v>
      </c>
    </row>
    <row r="672" spans="1:2">
      <c r="A672" s="363">
        <v>202500127</v>
      </c>
      <c r="B672" s="364" t="s">
        <v>29</v>
      </c>
    </row>
    <row r="673" spans="1:2">
      <c r="A673" s="363">
        <v>202500127</v>
      </c>
      <c r="B673" s="364" t="s">
        <v>29</v>
      </c>
    </row>
    <row r="674" spans="1:2">
      <c r="A674" s="363">
        <v>202500127</v>
      </c>
      <c r="B674" s="364" t="s">
        <v>29</v>
      </c>
    </row>
    <row r="675" spans="1:2">
      <c r="A675" s="363">
        <v>202500127</v>
      </c>
      <c r="B675" s="364" t="s">
        <v>29</v>
      </c>
    </row>
    <row r="676" spans="1:2">
      <c r="A676" s="363">
        <v>202500127</v>
      </c>
      <c r="B676" s="364" t="s">
        <v>29</v>
      </c>
    </row>
    <row r="677" spans="1:2">
      <c r="A677" s="363">
        <v>202500127</v>
      </c>
      <c r="B677" s="364" t="s">
        <v>29</v>
      </c>
    </row>
    <row r="678" spans="1:2">
      <c r="A678" s="363">
        <v>202500127</v>
      </c>
      <c r="B678" s="364" t="s">
        <v>29</v>
      </c>
    </row>
    <row r="679" spans="1:2">
      <c r="A679" s="363">
        <v>202500127</v>
      </c>
      <c r="B679" s="364" t="s">
        <v>29</v>
      </c>
    </row>
    <row r="680" spans="1:2">
      <c r="A680" s="363">
        <v>202500127</v>
      </c>
      <c r="B680" s="364" t="s">
        <v>29</v>
      </c>
    </row>
    <row r="681" spans="1:2">
      <c r="A681" s="363">
        <v>202500127</v>
      </c>
      <c r="B681" s="364" t="s">
        <v>29</v>
      </c>
    </row>
    <row r="682" spans="1:2">
      <c r="A682" s="363">
        <v>202500127</v>
      </c>
      <c r="B682" s="364" t="s">
        <v>29</v>
      </c>
    </row>
    <row r="683" spans="1:2">
      <c r="A683" s="363">
        <v>202500127</v>
      </c>
      <c r="B683" s="364" t="s">
        <v>29</v>
      </c>
    </row>
    <row r="684" spans="1:2">
      <c r="A684" s="363">
        <v>202500127</v>
      </c>
      <c r="B684" s="364" t="s">
        <v>29</v>
      </c>
    </row>
    <row r="685" spans="1:2">
      <c r="A685" s="363">
        <v>202500127</v>
      </c>
      <c r="B685" s="364" t="s">
        <v>29</v>
      </c>
    </row>
    <row r="686" spans="1:2">
      <c r="A686" s="363">
        <v>202500127</v>
      </c>
      <c r="B686" s="364" t="s">
        <v>29</v>
      </c>
    </row>
    <row r="687" spans="1:2">
      <c r="A687" s="363">
        <v>202500127</v>
      </c>
      <c r="B687" s="364" t="s">
        <v>29</v>
      </c>
    </row>
    <row r="688" spans="1:2">
      <c r="A688" s="363">
        <v>202500127</v>
      </c>
      <c r="B688" s="364" t="s">
        <v>29</v>
      </c>
    </row>
    <row r="689" spans="1:2">
      <c r="A689" s="363">
        <v>202500127</v>
      </c>
      <c r="B689" s="364" t="s">
        <v>29</v>
      </c>
    </row>
    <row r="690" spans="1:2">
      <c r="A690" s="363">
        <v>202500127</v>
      </c>
      <c r="B690" s="364" t="s">
        <v>29</v>
      </c>
    </row>
    <row r="691" spans="1:2">
      <c r="A691" s="363">
        <v>202500127</v>
      </c>
      <c r="B691" s="364" t="s">
        <v>29</v>
      </c>
    </row>
    <row r="692" spans="1:2">
      <c r="A692" s="363">
        <v>202500127</v>
      </c>
      <c r="B692" s="364" t="s">
        <v>29</v>
      </c>
    </row>
    <row r="693" spans="1:2">
      <c r="A693" s="363">
        <v>202500127</v>
      </c>
      <c r="B693" s="364" t="s">
        <v>29</v>
      </c>
    </row>
    <row r="694" spans="1:2">
      <c r="A694" s="363">
        <v>202500127</v>
      </c>
      <c r="B694" s="364" t="s">
        <v>29</v>
      </c>
    </row>
    <row r="695" spans="1:2">
      <c r="A695" s="363">
        <v>202500132</v>
      </c>
      <c r="B695" s="364" t="s">
        <v>30</v>
      </c>
    </row>
    <row r="696" spans="1:2">
      <c r="A696" s="363">
        <v>202500132</v>
      </c>
      <c r="B696" s="364" t="s">
        <v>30</v>
      </c>
    </row>
    <row r="697" spans="1:2">
      <c r="A697" s="363">
        <v>202500119</v>
      </c>
      <c r="B697" s="364" t="s">
        <v>26</v>
      </c>
    </row>
    <row r="698" spans="1:2">
      <c r="A698" s="363">
        <v>202500119</v>
      </c>
      <c r="B698" s="364" t="s">
        <v>26</v>
      </c>
    </row>
    <row r="699" spans="1:2">
      <c r="A699" s="363">
        <v>202500119</v>
      </c>
      <c r="B699" s="364" t="s">
        <v>26</v>
      </c>
    </row>
    <row r="700" spans="1:2">
      <c r="A700" s="363">
        <v>202500119</v>
      </c>
      <c r="B700" s="364" t="s">
        <v>26</v>
      </c>
    </row>
    <row r="701" spans="1:2">
      <c r="A701" s="363">
        <v>202500119</v>
      </c>
      <c r="B701" s="364" t="s">
        <v>26</v>
      </c>
    </row>
    <row r="702" spans="1:2">
      <c r="A702" s="363">
        <v>202500119</v>
      </c>
      <c r="B702" s="364" t="s">
        <v>26</v>
      </c>
    </row>
    <row r="703" spans="1:2">
      <c r="A703" s="363">
        <v>202500119</v>
      </c>
      <c r="B703" s="364" t="s">
        <v>26</v>
      </c>
    </row>
    <row r="704" spans="1:2">
      <c r="A704" s="363">
        <v>202500121</v>
      </c>
      <c r="B704" s="364" t="s">
        <v>28</v>
      </c>
    </row>
    <row r="705" spans="1:2">
      <c r="A705" s="363">
        <v>202500121</v>
      </c>
      <c r="B705" s="364" t="s">
        <v>28</v>
      </c>
    </row>
    <row r="706" spans="1:2">
      <c r="A706" s="363">
        <v>202500121</v>
      </c>
      <c r="B706" s="364" t="s">
        <v>28</v>
      </c>
    </row>
    <row r="707" spans="1:2">
      <c r="A707" s="363">
        <v>202500132</v>
      </c>
      <c r="B707" s="364" t="s">
        <v>30</v>
      </c>
    </row>
    <row r="708" spans="1:2">
      <c r="A708" s="363">
        <v>202500132</v>
      </c>
      <c r="B708" s="364" t="s">
        <v>30</v>
      </c>
    </row>
    <row r="709" spans="1:2">
      <c r="A709" s="363">
        <v>202500132</v>
      </c>
      <c r="B709" s="364" t="s">
        <v>30</v>
      </c>
    </row>
    <row r="710" spans="1:2">
      <c r="A710" s="363">
        <v>202500132</v>
      </c>
      <c r="B710" s="364" t="s">
        <v>30</v>
      </c>
    </row>
    <row r="711" spans="1:2">
      <c r="A711" s="363">
        <v>202500132</v>
      </c>
      <c r="B711" s="364" t="s">
        <v>30</v>
      </c>
    </row>
    <row r="712" spans="1:2">
      <c r="A712" s="363">
        <v>202500132</v>
      </c>
      <c r="B712" s="364" t="s">
        <v>30</v>
      </c>
    </row>
    <row r="713" spans="1:2">
      <c r="A713" s="363">
        <v>202500132</v>
      </c>
      <c r="B713" s="364" t="s">
        <v>30</v>
      </c>
    </row>
    <row r="714" spans="1:2">
      <c r="A714" s="363">
        <v>202500132</v>
      </c>
      <c r="B714" s="364" t="s">
        <v>30</v>
      </c>
    </row>
    <row r="715" spans="1:2">
      <c r="A715" s="363">
        <v>202500132</v>
      </c>
      <c r="B715" s="364" t="s">
        <v>30</v>
      </c>
    </row>
    <row r="716" spans="1:2">
      <c r="A716" s="363">
        <v>202500132</v>
      </c>
      <c r="B716" s="364" t="s">
        <v>30</v>
      </c>
    </row>
    <row r="717" spans="1:2">
      <c r="A717" s="363">
        <v>202500132</v>
      </c>
      <c r="B717" s="364" t="s">
        <v>30</v>
      </c>
    </row>
    <row r="718" spans="1:2">
      <c r="A718" s="363">
        <v>202500132</v>
      </c>
      <c r="B718" s="364" t="s">
        <v>30</v>
      </c>
    </row>
    <row r="719" spans="1:2">
      <c r="A719" s="363">
        <v>202500132</v>
      </c>
      <c r="B719" s="364" t="s">
        <v>30</v>
      </c>
    </row>
    <row r="720" spans="1:2">
      <c r="A720" s="363">
        <v>202500132</v>
      </c>
      <c r="B720" s="364" t="s">
        <v>30</v>
      </c>
    </row>
    <row r="721" spans="1:2">
      <c r="A721" s="363">
        <v>202500132</v>
      </c>
      <c r="B721" s="364" t="s">
        <v>30</v>
      </c>
    </row>
    <row r="722" spans="1:2">
      <c r="A722" s="363">
        <v>202500132</v>
      </c>
      <c r="B722" s="364" t="s">
        <v>30</v>
      </c>
    </row>
    <row r="723" spans="1:2">
      <c r="A723" s="363">
        <v>202500132</v>
      </c>
      <c r="B723" s="364" t="s">
        <v>30</v>
      </c>
    </row>
    <row r="724" spans="1:2">
      <c r="A724" s="363">
        <v>202500132</v>
      </c>
      <c r="B724" s="364" t="s">
        <v>30</v>
      </c>
    </row>
    <row r="725" spans="1:2">
      <c r="A725" s="363">
        <v>202500132</v>
      </c>
      <c r="B725" s="364" t="s">
        <v>30</v>
      </c>
    </row>
    <row r="726" spans="1:2">
      <c r="A726" s="363">
        <v>202500132</v>
      </c>
      <c r="B726" s="364" t="s">
        <v>30</v>
      </c>
    </row>
    <row r="727" spans="1:2">
      <c r="A727" s="363">
        <v>202500132</v>
      </c>
      <c r="B727" s="364" t="s">
        <v>30</v>
      </c>
    </row>
    <row r="728" spans="1:2">
      <c r="A728" s="363">
        <v>202500132</v>
      </c>
      <c r="B728" s="364" t="s">
        <v>30</v>
      </c>
    </row>
    <row r="729" spans="1:2">
      <c r="A729" s="363">
        <v>202500132</v>
      </c>
      <c r="B729" s="364" t="s">
        <v>30</v>
      </c>
    </row>
    <row r="730" spans="1:2">
      <c r="A730" s="363">
        <v>202500132</v>
      </c>
      <c r="B730" s="364" t="s">
        <v>30</v>
      </c>
    </row>
    <row r="731" spans="1:2">
      <c r="A731" s="363">
        <v>202500132</v>
      </c>
      <c r="B731" s="364" t="s">
        <v>30</v>
      </c>
    </row>
    <row r="732" spans="1:2">
      <c r="A732" s="363">
        <v>202500298</v>
      </c>
      <c r="B732" s="364" t="s">
        <v>31</v>
      </c>
    </row>
    <row r="733" spans="1:2">
      <c r="A733" s="363">
        <v>202500298</v>
      </c>
      <c r="B733" s="364" t="s">
        <v>31</v>
      </c>
    </row>
    <row r="734" spans="1:2">
      <c r="A734" s="363">
        <v>202500298</v>
      </c>
      <c r="B734" s="364" t="s">
        <v>31</v>
      </c>
    </row>
    <row r="735" spans="1:2">
      <c r="A735" s="363">
        <v>202500298</v>
      </c>
      <c r="B735" s="364" t="s">
        <v>31</v>
      </c>
    </row>
    <row r="736" spans="1:2">
      <c r="A736" s="363">
        <v>202500298</v>
      </c>
      <c r="B736" s="364" t="s">
        <v>31</v>
      </c>
    </row>
    <row r="737" spans="1:2">
      <c r="A737" s="363">
        <v>202500298</v>
      </c>
      <c r="B737" s="364" t="s">
        <v>31</v>
      </c>
    </row>
    <row r="738" spans="1:2">
      <c r="A738" s="363">
        <v>202500298</v>
      </c>
      <c r="B738" s="364" t="s">
        <v>31</v>
      </c>
    </row>
    <row r="739" spans="1:2">
      <c r="A739" s="363">
        <v>202500298</v>
      </c>
      <c r="B739" s="364" t="s">
        <v>31</v>
      </c>
    </row>
    <row r="740" spans="1:2">
      <c r="A740" s="363">
        <v>202500298</v>
      </c>
      <c r="B740" s="364" t="s">
        <v>31</v>
      </c>
    </row>
    <row r="741" spans="1:2">
      <c r="A741" s="363">
        <v>202500298</v>
      </c>
      <c r="B741" s="364" t="s">
        <v>31</v>
      </c>
    </row>
    <row r="742" spans="1:2">
      <c r="A742" s="363">
        <v>202500298</v>
      </c>
      <c r="B742" s="364" t="s">
        <v>31</v>
      </c>
    </row>
    <row r="743" spans="1:2">
      <c r="A743" s="365">
        <v>202500298</v>
      </c>
      <c r="B743" s="364" t="s">
        <v>31</v>
      </c>
    </row>
    <row r="744" spans="1:2">
      <c r="A744" s="363">
        <v>202500298</v>
      </c>
      <c r="B744" s="364" t="s">
        <v>31</v>
      </c>
    </row>
    <row r="745" spans="1:2">
      <c r="A745" s="363">
        <v>202500298</v>
      </c>
      <c r="B745" s="364" t="s">
        <v>31</v>
      </c>
    </row>
    <row r="746" spans="1:2">
      <c r="A746" s="363">
        <v>202500298</v>
      </c>
      <c r="B746" s="364" t="s">
        <v>31</v>
      </c>
    </row>
    <row r="747" spans="1:2">
      <c r="A747" s="363">
        <v>202500298</v>
      </c>
      <c r="B747" s="364" t="s">
        <v>31</v>
      </c>
    </row>
    <row r="748" spans="1:2">
      <c r="A748" s="363">
        <v>202500298</v>
      </c>
      <c r="B748" s="364" t="s">
        <v>31</v>
      </c>
    </row>
    <row r="749" spans="1:2">
      <c r="A749" s="363">
        <v>202500298</v>
      </c>
      <c r="B749" s="364" t="s">
        <v>31</v>
      </c>
    </row>
    <row r="750" spans="1:2">
      <c r="A750" s="363">
        <v>202500298</v>
      </c>
      <c r="B750" s="364" t="s">
        <v>31</v>
      </c>
    </row>
    <row r="751" spans="1:2">
      <c r="A751" s="363">
        <v>202500298</v>
      </c>
      <c r="B751" s="364" t="s">
        <v>31</v>
      </c>
    </row>
    <row r="752" spans="1:2">
      <c r="A752" s="363">
        <v>202500298</v>
      </c>
      <c r="B752" s="364" t="s">
        <v>31</v>
      </c>
    </row>
    <row r="753" spans="1:2">
      <c r="A753" s="363">
        <v>202500298</v>
      </c>
      <c r="B753" s="364" t="s">
        <v>31</v>
      </c>
    </row>
    <row r="754" spans="1:2">
      <c r="A754" s="363">
        <v>202500298</v>
      </c>
      <c r="B754" s="364" t="s">
        <v>31</v>
      </c>
    </row>
    <row r="755" spans="1:2">
      <c r="A755" s="363">
        <v>202500298</v>
      </c>
      <c r="B755" s="364" t="s">
        <v>31</v>
      </c>
    </row>
    <row r="756" spans="1:2">
      <c r="A756" s="363">
        <v>202500298</v>
      </c>
      <c r="B756" s="364" t="s">
        <v>31</v>
      </c>
    </row>
    <row r="757" spans="1:2">
      <c r="A757" s="363">
        <v>202500357</v>
      </c>
      <c r="B757" s="364" t="s">
        <v>32</v>
      </c>
    </row>
    <row r="758" spans="1:2">
      <c r="A758" s="363">
        <v>202500357</v>
      </c>
      <c r="B758" s="364" t="s">
        <v>32</v>
      </c>
    </row>
    <row r="759" spans="1:2">
      <c r="A759" s="363">
        <v>202500357</v>
      </c>
      <c r="B759" s="364" t="s">
        <v>32</v>
      </c>
    </row>
    <row r="760" spans="1:2">
      <c r="A760" s="363">
        <v>202500357</v>
      </c>
      <c r="B760" s="364" t="s">
        <v>32</v>
      </c>
    </row>
    <row r="761" spans="1:2">
      <c r="A761" s="363">
        <v>202500357</v>
      </c>
      <c r="B761" s="364" t="s">
        <v>32</v>
      </c>
    </row>
    <row r="762" spans="1:2">
      <c r="A762" s="363">
        <v>202500357</v>
      </c>
      <c r="B762" s="364" t="s">
        <v>32</v>
      </c>
    </row>
    <row r="763" spans="1:2">
      <c r="A763" s="363">
        <v>202500357</v>
      </c>
      <c r="B763" s="364" t="s">
        <v>32</v>
      </c>
    </row>
    <row r="764" spans="1:2">
      <c r="A764" s="363">
        <v>202500357</v>
      </c>
      <c r="B764" s="364" t="s">
        <v>32</v>
      </c>
    </row>
    <row r="765" spans="1:2">
      <c r="A765" s="363">
        <v>202500357</v>
      </c>
      <c r="B765" s="364" t="s">
        <v>32</v>
      </c>
    </row>
    <row r="766" spans="1:2">
      <c r="A766" s="363">
        <v>202500357</v>
      </c>
      <c r="B766" s="364" t="s">
        <v>32</v>
      </c>
    </row>
    <row r="767" spans="1:2">
      <c r="A767" s="363">
        <v>202500357</v>
      </c>
      <c r="B767" s="364" t="s">
        <v>32</v>
      </c>
    </row>
    <row r="768" spans="1:2">
      <c r="A768" s="363">
        <v>202500357</v>
      </c>
      <c r="B768" s="364" t="s">
        <v>32</v>
      </c>
    </row>
    <row r="769" spans="1:2">
      <c r="A769" s="363">
        <v>202500357</v>
      </c>
      <c r="B769" s="364" t="s">
        <v>32</v>
      </c>
    </row>
    <row r="770" spans="1:2">
      <c r="A770" s="363">
        <v>202500357</v>
      </c>
      <c r="B770" s="364" t="s">
        <v>32</v>
      </c>
    </row>
    <row r="771" spans="1:2">
      <c r="A771" s="363">
        <v>202500357</v>
      </c>
      <c r="B771" s="364" t="s">
        <v>32</v>
      </c>
    </row>
    <row r="772" spans="1:2">
      <c r="A772" s="363">
        <v>202500357</v>
      </c>
      <c r="B772" s="364" t="s">
        <v>32</v>
      </c>
    </row>
    <row r="773" spans="1:2">
      <c r="A773" s="363">
        <v>202500357</v>
      </c>
      <c r="B773" s="364" t="s">
        <v>32</v>
      </c>
    </row>
    <row r="774" spans="1:2">
      <c r="A774" s="363">
        <v>202500357</v>
      </c>
      <c r="B774" s="364" t="s">
        <v>32</v>
      </c>
    </row>
    <row r="775" spans="1:2">
      <c r="A775" s="363">
        <v>202500357</v>
      </c>
      <c r="B775" s="364" t="s">
        <v>32</v>
      </c>
    </row>
    <row r="776" spans="1:2">
      <c r="A776" s="363">
        <v>202500357</v>
      </c>
      <c r="B776" s="364" t="s">
        <v>32</v>
      </c>
    </row>
    <row r="777" spans="1:2">
      <c r="A777" s="363">
        <v>202500357</v>
      </c>
      <c r="B777" s="364" t="s">
        <v>32</v>
      </c>
    </row>
    <row r="778" spans="1:2">
      <c r="A778" s="363">
        <v>202500357</v>
      </c>
      <c r="B778" s="364" t="s">
        <v>32</v>
      </c>
    </row>
    <row r="779" spans="1:2">
      <c r="A779" s="363">
        <v>202500357</v>
      </c>
      <c r="B779" s="364" t="s">
        <v>32</v>
      </c>
    </row>
    <row r="780" spans="1:2">
      <c r="A780" s="363">
        <v>202500357</v>
      </c>
      <c r="B780" s="364" t="s">
        <v>32</v>
      </c>
    </row>
    <row r="781" spans="1:2">
      <c r="A781" s="363">
        <v>202500357</v>
      </c>
      <c r="B781" s="364" t="s">
        <v>32</v>
      </c>
    </row>
    <row r="782" spans="1:2">
      <c r="A782" s="363">
        <v>202500357</v>
      </c>
      <c r="B782" s="364" t="s">
        <v>32</v>
      </c>
    </row>
    <row r="783" spans="1:2">
      <c r="A783" s="363">
        <v>202500357</v>
      </c>
      <c r="B783" s="364" t="s">
        <v>32</v>
      </c>
    </row>
    <row r="784" spans="1:2">
      <c r="A784" s="363">
        <v>202500357</v>
      </c>
      <c r="B784" s="364" t="s">
        <v>32</v>
      </c>
    </row>
    <row r="785" spans="1:2">
      <c r="A785" s="363">
        <v>202500357</v>
      </c>
      <c r="B785" s="364" t="s">
        <v>32</v>
      </c>
    </row>
    <row r="786" spans="1:2">
      <c r="A786" s="363">
        <v>202500357</v>
      </c>
      <c r="B786" s="364" t="s">
        <v>32</v>
      </c>
    </row>
    <row r="787" spans="1:2">
      <c r="A787" s="363">
        <v>202500357</v>
      </c>
      <c r="B787" s="364" t="s">
        <v>32</v>
      </c>
    </row>
    <row r="788" spans="1:2">
      <c r="A788" s="363">
        <v>202500358</v>
      </c>
      <c r="B788" s="364" t="s">
        <v>33</v>
      </c>
    </row>
    <row r="789" spans="1:2">
      <c r="A789" s="363">
        <v>202500358</v>
      </c>
      <c r="B789" s="364" t="s">
        <v>33</v>
      </c>
    </row>
    <row r="790" spans="1:2">
      <c r="A790" s="363">
        <v>202500358</v>
      </c>
      <c r="B790" s="364" t="s">
        <v>33</v>
      </c>
    </row>
    <row r="791" spans="1:2">
      <c r="A791" s="363">
        <v>202500358</v>
      </c>
      <c r="B791" s="364" t="s">
        <v>33</v>
      </c>
    </row>
    <row r="792" spans="1:2">
      <c r="A792" s="363">
        <v>202500358</v>
      </c>
      <c r="B792" s="364" t="s">
        <v>33</v>
      </c>
    </row>
    <row r="793" spans="1:2">
      <c r="A793" s="363">
        <v>202500358</v>
      </c>
      <c r="B793" s="364" t="s">
        <v>33</v>
      </c>
    </row>
    <row r="794" spans="1:2">
      <c r="A794" s="363">
        <v>202500358</v>
      </c>
      <c r="B794" s="364" t="s">
        <v>33</v>
      </c>
    </row>
    <row r="795" spans="1:2">
      <c r="A795" s="363">
        <v>202500358</v>
      </c>
      <c r="B795" s="364" t="s">
        <v>33</v>
      </c>
    </row>
    <row r="796" spans="1:2">
      <c r="A796" s="363">
        <v>202500358</v>
      </c>
      <c r="B796" s="364" t="s">
        <v>33</v>
      </c>
    </row>
    <row r="797" spans="1:2">
      <c r="A797" s="363">
        <v>202500358</v>
      </c>
      <c r="B797" s="364" t="s">
        <v>33</v>
      </c>
    </row>
    <row r="798" spans="1:2">
      <c r="A798" s="363">
        <v>202500358</v>
      </c>
      <c r="B798" s="364" t="s">
        <v>33</v>
      </c>
    </row>
    <row r="799" spans="1:2">
      <c r="A799" s="363">
        <v>202500358</v>
      </c>
      <c r="B799" s="364" t="s">
        <v>33</v>
      </c>
    </row>
    <row r="800" spans="1:2">
      <c r="A800" s="363">
        <v>202500358</v>
      </c>
      <c r="B800" s="364" t="s">
        <v>33</v>
      </c>
    </row>
    <row r="801" spans="1:2">
      <c r="A801" s="363">
        <v>202500358</v>
      </c>
      <c r="B801" s="364" t="s">
        <v>33</v>
      </c>
    </row>
    <row r="802" spans="1:2">
      <c r="A802" s="363">
        <v>202500358</v>
      </c>
      <c r="B802" s="364" t="s">
        <v>33</v>
      </c>
    </row>
    <row r="803" spans="1:2">
      <c r="A803" s="363">
        <v>202500358</v>
      </c>
      <c r="B803" s="364" t="s">
        <v>33</v>
      </c>
    </row>
    <row r="804" spans="1:2">
      <c r="A804" s="363">
        <v>202500358</v>
      </c>
      <c r="B804" s="364" t="s">
        <v>33</v>
      </c>
    </row>
    <row r="805" spans="1:2">
      <c r="A805" s="363">
        <v>202500358</v>
      </c>
      <c r="B805" s="364" t="s">
        <v>33</v>
      </c>
    </row>
    <row r="806" spans="1:2">
      <c r="A806" s="363">
        <v>202500358</v>
      </c>
      <c r="B806" s="364" t="s">
        <v>33</v>
      </c>
    </row>
    <row r="807" spans="1:2">
      <c r="A807" s="363">
        <v>202500358</v>
      </c>
      <c r="B807" s="364" t="s">
        <v>33</v>
      </c>
    </row>
    <row r="808" spans="1:2">
      <c r="A808" s="363">
        <v>202500358</v>
      </c>
      <c r="B808" s="364" t="s">
        <v>33</v>
      </c>
    </row>
    <row r="809" spans="1:2">
      <c r="A809" s="363">
        <v>202500358</v>
      </c>
      <c r="B809" s="364" t="s">
        <v>33</v>
      </c>
    </row>
    <row r="810" spans="1:2">
      <c r="A810" s="363">
        <v>202500358</v>
      </c>
      <c r="B810" s="364" t="s">
        <v>33</v>
      </c>
    </row>
    <row r="811" spans="1:2">
      <c r="A811" s="363">
        <v>202500358</v>
      </c>
      <c r="B811" s="364" t="s">
        <v>33</v>
      </c>
    </row>
    <row r="812" spans="1:2">
      <c r="A812" s="363">
        <v>202500358</v>
      </c>
      <c r="B812" s="364" t="s">
        <v>33</v>
      </c>
    </row>
    <row r="813" spans="1:2">
      <c r="A813" s="363">
        <v>202500358</v>
      </c>
      <c r="B813" s="364" t="s">
        <v>33</v>
      </c>
    </row>
    <row r="814" spans="1:2">
      <c r="A814" s="363">
        <v>202500358</v>
      </c>
      <c r="B814" s="364" t="s">
        <v>33</v>
      </c>
    </row>
    <row r="815" spans="1:2">
      <c r="A815" s="363">
        <v>202500358</v>
      </c>
      <c r="B815" s="364" t="s">
        <v>33</v>
      </c>
    </row>
    <row r="816" spans="1:2">
      <c r="A816" s="363">
        <v>202500358</v>
      </c>
      <c r="B816" s="364" t="s">
        <v>33</v>
      </c>
    </row>
    <row r="817" spans="1:2">
      <c r="A817" s="363">
        <v>202500358</v>
      </c>
      <c r="B817" s="364" t="s">
        <v>33</v>
      </c>
    </row>
    <row r="818" spans="1:2">
      <c r="A818" s="363">
        <v>202500132</v>
      </c>
      <c r="B818" s="364" t="s">
        <v>30</v>
      </c>
    </row>
    <row r="819" spans="1:2">
      <c r="A819" s="363">
        <v>202500132</v>
      </c>
      <c r="B819" s="364" t="s">
        <v>30</v>
      </c>
    </row>
    <row r="820" spans="1:2">
      <c r="A820" s="363">
        <v>202401100</v>
      </c>
      <c r="B820" s="364" t="s">
        <v>3</v>
      </c>
    </row>
    <row r="821" spans="1:2">
      <c r="A821" s="363">
        <v>202401100</v>
      </c>
      <c r="B821" s="364" t="s">
        <v>3</v>
      </c>
    </row>
    <row r="822" spans="1:2">
      <c r="A822" s="363">
        <v>202401100</v>
      </c>
      <c r="B822" s="364" t="s">
        <v>3</v>
      </c>
    </row>
    <row r="823" spans="1:2">
      <c r="A823" s="363">
        <v>202401100</v>
      </c>
      <c r="B823" s="364" t="s">
        <v>3</v>
      </c>
    </row>
    <row r="824" spans="1:2">
      <c r="A824" s="12">
        <v>202401100</v>
      </c>
      <c r="B824" s="364" t="s">
        <v>3</v>
      </c>
    </row>
    <row r="825" spans="1:2">
      <c r="A825" s="12">
        <v>202401100</v>
      </c>
      <c r="B825" s="364" t="s">
        <v>3</v>
      </c>
    </row>
    <row r="826" spans="1:2">
      <c r="A826" s="12">
        <v>202401100</v>
      </c>
      <c r="B826" s="364" t="s">
        <v>3</v>
      </c>
    </row>
    <row r="827" spans="1:2">
      <c r="A827" s="12">
        <v>202401100</v>
      </c>
      <c r="B827" s="364" t="s">
        <v>3</v>
      </c>
    </row>
    <row r="828" spans="1:2">
      <c r="A828" s="369">
        <v>202500379</v>
      </c>
      <c r="B828" s="364" t="s">
        <v>34</v>
      </c>
    </row>
    <row r="829" spans="1:2">
      <c r="A829" s="369">
        <v>202500379</v>
      </c>
      <c r="B829" s="364" t="s">
        <v>34</v>
      </c>
    </row>
    <row r="830" spans="1:2">
      <c r="A830" s="369">
        <v>202500379</v>
      </c>
      <c r="B830" s="364" t="s">
        <v>34</v>
      </c>
    </row>
    <row r="831" spans="1:2">
      <c r="A831" s="369">
        <v>202500379</v>
      </c>
      <c r="B831" s="364" t="s">
        <v>34</v>
      </c>
    </row>
    <row r="832" spans="1:2">
      <c r="A832" s="369">
        <v>202500379</v>
      </c>
      <c r="B832" s="364" t="s">
        <v>34</v>
      </c>
    </row>
    <row r="833" spans="1:2">
      <c r="A833" s="369">
        <v>202500379</v>
      </c>
      <c r="B833" s="364" t="s">
        <v>34</v>
      </c>
    </row>
    <row r="834" spans="1:2">
      <c r="A834" s="369">
        <v>202500379</v>
      </c>
      <c r="B834" s="364" t="s">
        <v>34</v>
      </c>
    </row>
    <row r="835" spans="1:2">
      <c r="A835" s="369">
        <v>202500379</v>
      </c>
      <c r="B835" s="364" t="s">
        <v>34</v>
      </c>
    </row>
    <row r="836" spans="1:2">
      <c r="A836" s="369">
        <v>202500379</v>
      </c>
      <c r="B836" s="364" t="s">
        <v>34</v>
      </c>
    </row>
    <row r="837" spans="1:2">
      <c r="A837" s="369">
        <v>202500379</v>
      </c>
      <c r="B837" s="364" t="s">
        <v>34</v>
      </c>
    </row>
    <row r="838" spans="1:2">
      <c r="A838" s="369">
        <v>202500379</v>
      </c>
      <c r="B838" s="364" t="s">
        <v>34</v>
      </c>
    </row>
    <row r="839" spans="1:2">
      <c r="A839" s="369">
        <v>202500379</v>
      </c>
      <c r="B839" s="364" t="s">
        <v>34</v>
      </c>
    </row>
    <row r="840" spans="1:2">
      <c r="A840" s="369">
        <v>202500379</v>
      </c>
      <c r="B840" s="364" t="s">
        <v>34</v>
      </c>
    </row>
    <row r="841" spans="1:2">
      <c r="A841" s="369">
        <v>202500379</v>
      </c>
      <c r="B841" s="364" t="s">
        <v>34</v>
      </c>
    </row>
    <row r="842" spans="1:2">
      <c r="A842" s="369">
        <v>202500379</v>
      </c>
      <c r="B842" s="364" t="s">
        <v>34</v>
      </c>
    </row>
    <row r="843" spans="1:2">
      <c r="A843" s="369">
        <v>202500379</v>
      </c>
      <c r="B843" s="364" t="s">
        <v>34</v>
      </c>
    </row>
    <row r="844" spans="1:2">
      <c r="A844" s="369">
        <v>202500379</v>
      </c>
      <c r="B844" s="364" t="s">
        <v>34</v>
      </c>
    </row>
    <row r="845" spans="1:2">
      <c r="A845" s="369">
        <v>202500379</v>
      </c>
      <c r="B845" s="364" t="s">
        <v>34</v>
      </c>
    </row>
    <row r="846" spans="1:2">
      <c r="A846" s="369">
        <v>202500379</v>
      </c>
      <c r="B846" s="364" t="s">
        <v>34</v>
      </c>
    </row>
    <row r="847" spans="1:2">
      <c r="A847" s="369">
        <v>202500379</v>
      </c>
      <c r="B847" s="364" t="s">
        <v>34</v>
      </c>
    </row>
    <row r="848" spans="1:2">
      <c r="A848" s="369">
        <v>202500379</v>
      </c>
      <c r="B848" s="364" t="s">
        <v>34</v>
      </c>
    </row>
    <row r="849" spans="1:2">
      <c r="A849" s="369">
        <v>202500631</v>
      </c>
      <c r="B849" s="364" t="s">
        <v>35</v>
      </c>
    </row>
    <row r="850" spans="1:2">
      <c r="A850" s="369">
        <v>202500631</v>
      </c>
      <c r="B850" s="364" t="s">
        <v>35</v>
      </c>
    </row>
    <row r="851" spans="1:2">
      <c r="A851" s="369">
        <v>202500631</v>
      </c>
      <c r="B851" s="364" t="s">
        <v>35</v>
      </c>
    </row>
    <row r="852" spans="1:2">
      <c r="A852" s="369">
        <v>202500631</v>
      </c>
      <c r="B852" s="364" t="s">
        <v>35</v>
      </c>
    </row>
    <row r="853" spans="1:2">
      <c r="A853" s="369">
        <v>202500631</v>
      </c>
      <c r="B853" s="364" t="s">
        <v>35</v>
      </c>
    </row>
    <row r="854" spans="1:2">
      <c r="A854" s="369">
        <v>202500631</v>
      </c>
      <c r="B854" s="364" t="s">
        <v>35</v>
      </c>
    </row>
    <row r="855" spans="1:2">
      <c r="A855" s="369">
        <v>202500631</v>
      </c>
      <c r="B855" s="364" t="s">
        <v>35</v>
      </c>
    </row>
    <row r="856" spans="1:2">
      <c r="A856" s="369">
        <v>202500631</v>
      </c>
      <c r="B856" s="364" t="s">
        <v>35</v>
      </c>
    </row>
    <row r="857" spans="1:2">
      <c r="A857" s="369">
        <v>202500631</v>
      </c>
      <c r="B857" s="364" t="s">
        <v>35</v>
      </c>
    </row>
    <row r="858" spans="1:2">
      <c r="A858" s="369">
        <v>202500631</v>
      </c>
      <c r="B858" s="364" t="s">
        <v>35</v>
      </c>
    </row>
    <row r="859" spans="1:2">
      <c r="A859" s="369">
        <v>202500631</v>
      </c>
      <c r="B859" s="364" t="s">
        <v>35</v>
      </c>
    </row>
    <row r="860" spans="1:2">
      <c r="A860" s="369">
        <v>202500631</v>
      </c>
      <c r="B860" s="364" t="s">
        <v>35</v>
      </c>
    </row>
    <row r="861" spans="1:2">
      <c r="A861" s="369">
        <v>202500631</v>
      </c>
      <c r="B861" s="364" t="s">
        <v>35</v>
      </c>
    </row>
    <row r="862" spans="1:2">
      <c r="A862" s="369">
        <v>202500631</v>
      </c>
      <c r="B862" s="364" t="s">
        <v>35</v>
      </c>
    </row>
    <row r="863" spans="1:2">
      <c r="A863" s="369">
        <v>202500631</v>
      </c>
      <c r="B863" s="364" t="s">
        <v>35</v>
      </c>
    </row>
    <row r="864" spans="1:2">
      <c r="A864" s="369">
        <v>202500631</v>
      </c>
      <c r="B864" s="364" t="s">
        <v>35</v>
      </c>
    </row>
    <row r="865" spans="1:2">
      <c r="A865" s="369">
        <v>202500379</v>
      </c>
      <c r="B865" s="364" t="s">
        <v>34</v>
      </c>
    </row>
    <row r="866" spans="1:2">
      <c r="A866" s="369">
        <v>202500379</v>
      </c>
      <c r="B866" s="364" t="s">
        <v>34</v>
      </c>
    </row>
    <row r="867" spans="1:2">
      <c r="A867" s="369">
        <v>202500379</v>
      </c>
      <c r="B867" s="364" t="s">
        <v>34</v>
      </c>
    </row>
    <row r="868" spans="1:2">
      <c r="A868" s="369">
        <v>202500379</v>
      </c>
      <c r="B868" s="364" t="s">
        <v>34</v>
      </c>
    </row>
    <row r="869" spans="1:2">
      <c r="A869" s="369">
        <v>202500631</v>
      </c>
      <c r="B869" s="364" t="s">
        <v>35</v>
      </c>
    </row>
    <row r="870" spans="1:2">
      <c r="A870" s="369">
        <v>202500631</v>
      </c>
      <c r="B870" s="364" t="s">
        <v>35</v>
      </c>
    </row>
    <row r="871" spans="1:2">
      <c r="A871" s="369">
        <v>202500631</v>
      </c>
      <c r="B871" s="364" t="s">
        <v>35</v>
      </c>
    </row>
    <row r="872" spans="1:2">
      <c r="A872" s="369">
        <v>202500379</v>
      </c>
      <c r="B872" s="364" t="s">
        <v>34</v>
      </c>
    </row>
    <row r="873" spans="1:2">
      <c r="A873" s="369">
        <v>202500631</v>
      </c>
      <c r="B873" s="364" t="s">
        <v>35</v>
      </c>
    </row>
    <row r="874" spans="1:2">
      <c r="A874" s="369">
        <v>202500631</v>
      </c>
      <c r="B874" s="364" t="s">
        <v>35</v>
      </c>
    </row>
    <row r="875" spans="1:2">
      <c r="A875" s="369">
        <v>202500631</v>
      </c>
      <c r="B875" s="364" t="s">
        <v>35</v>
      </c>
    </row>
    <row r="876" spans="1:2">
      <c r="A876" s="369">
        <v>202500631</v>
      </c>
      <c r="B876" s="364" t="s">
        <v>35</v>
      </c>
    </row>
    <row r="877" spans="1:2">
      <c r="A877" s="369">
        <v>202500631</v>
      </c>
      <c r="B877" s="364" t="s">
        <v>35</v>
      </c>
    </row>
    <row r="878" spans="1:2">
      <c r="A878" s="369">
        <v>202500379</v>
      </c>
      <c r="B878" s="364" t="s">
        <v>34</v>
      </c>
    </row>
    <row r="879" spans="1:2">
      <c r="A879" s="369">
        <v>202500631</v>
      </c>
      <c r="B879" s="364" t="s">
        <v>35</v>
      </c>
    </row>
    <row r="880" spans="1:2">
      <c r="A880" s="369">
        <v>202500631</v>
      </c>
      <c r="B880" s="364" t="s">
        <v>35</v>
      </c>
    </row>
    <row r="881" spans="1:2">
      <c r="A881" s="369">
        <v>202500631</v>
      </c>
      <c r="B881" s="364" t="s">
        <v>35</v>
      </c>
    </row>
    <row r="882" spans="1:2">
      <c r="A882" s="369">
        <v>202500379</v>
      </c>
      <c r="B882" s="364" t="s">
        <v>34</v>
      </c>
    </row>
    <row r="883" spans="1:2">
      <c r="A883" s="369">
        <v>202500379</v>
      </c>
      <c r="B883" s="364" t="s">
        <v>34</v>
      </c>
    </row>
    <row r="884" spans="1:2">
      <c r="A884" s="369">
        <v>202500379</v>
      </c>
      <c r="B884" s="364" t="s">
        <v>34</v>
      </c>
    </row>
    <row r="885" spans="1:2">
      <c r="A885" s="369">
        <v>202500379</v>
      </c>
      <c r="B885" s="364" t="s">
        <v>34</v>
      </c>
    </row>
    <row r="886" spans="1:2">
      <c r="A886" s="369">
        <v>202500379</v>
      </c>
      <c r="B886" s="364" t="s">
        <v>34</v>
      </c>
    </row>
    <row r="887" spans="1:2">
      <c r="A887" s="369">
        <v>202500379</v>
      </c>
      <c r="B887" s="364" t="s">
        <v>34</v>
      </c>
    </row>
    <row r="888" spans="1:2">
      <c r="A888" s="369">
        <v>202500631</v>
      </c>
      <c r="B888" s="364" t="s">
        <v>35</v>
      </c>
    </row>
    <row r="889" spans="1:2">
      <c r="A889" s="369">
        <v>202500379</v>
      </c>
      <c r="B889" s="364" t="s">
        <v>34</v>
      </c>
    </row>
    <row r="890" spans="1:2">
      <c r="A890" s="369">
        <v>202500379</v>
      </c>
      <c r="B890" s="364" t="s">
        <v>34</v>
      </c>
    </row>
    <row r="891" spans="1:2">
      <c r="A891" s="369">
        <v>202500631</v>
      </c>
      <c r="B891" s="364" t="s">
        <v>35</v>
      </c>
    </row>
    <row r="892" spans="1:2">
      <c r="A892" s="369">
        <v>202500631</v>
      </c>
      <c r="B892" s="364" t="s">
        <v>35</v>
      </c>
    </row>
    <row r="893" spans="1:2">
      <c r="A893" s="369">
        <v>202500631</v>
      </c>
      <c r="B893" s="364" t="s">
        <v>35</v>
      </c>
    </row>
    <row r="894" spans="1:2">
      <c r="A894" s="369">
        <v>202500631</v>
      </c>
      <c r="B894" s="364" t="s">
        <v>35</v>
      </c>
    </row>
    <row r="895" spans="1:2">
      <c r="A895" s="369">
        <v>202500631</v>
      </c>
      <c r="B895" s="364" t="s">
        <v>35</v>
      </c>
    </row>
    <row r="896" spans="1:2">
      <c r="A896" s="370">
        <v>202500519</v>
      </c>
      <c r="B896" s="364" t="s">
        <v>36</v>
      </c>
    </row>
    <row r="897" spans="1:2">
      <c r="A897" s="371">
        <v>202500519</v>
      </c>
      <c r="B897" s="364" t="s">
        <v>36</v>
      </c>
    </row>
    <row r="898" spans="1:2">
      <c r="A898" s="370">
        <v>202500519</v>
      </c>
      <c r="B898" s="364" t="s">
        <v>36</v>
      </c>
    </row>
    <row r="899" spans="1:2">
      <c r="A899" s="371">
        <v>202500519</v>
      </c>
      <c r="B899" s="364" t="s">
        <v>36</v>
      </c>
    </row>
    <row r="900" spans="1:2">
      <c r="A900" s="370">
        <v>202500519</v>
      </c>
      <c r="B900" s="364" t="s">
        <v>36</v>
      </c>
    </row>
    <row r="901" spans="1:2">
      <c r="A901" s="371">
        <v>202500519</v>
      </c>
      <c r="B901" s="364" t="s">
        <v>36</v>
      </c>
    </row>
    <row r="902" spans="1:2">
      <c r="A902" s="370">
        <v>202500519</v>
      </c>
      <c r="B902" s="364" t="s">
        <v>36</v>
      </c>
    </row>
    <row r="903" spans="1:2">
      <c r="A903" s="371">
        <v>202500519</v>
      </c>
      <c r="B903" s="364" t="s">
        <v>36</v>
      </c>
    </row>
    <row r="904" spans="1:2">
      <c r="A904" s="370">
        <v>202500519</v>
      </c>
      <c r="B904" s="364" t="s">
        <v>36</v>
      </c>
    </row>
    <row r="905" spans="1:2">
      <c r="A905" s="371">
        <v>202500519</v>
      </c>
      <c r="B905" s="364" t="s">
        <v>36</v>
      </c>
    </row>
    <row r="906" spans="1:2">
      <c r="A906" s="370">
        <v>202500519</v>
      </c>
      <c r="B906" s="364" t="s">
        <v>36</v>
      </c>
    </row>
    <row r="907" spans="1:2">
      <c r="A907" s="371">
        <v>202500519</v>
      </c>
      <c r="B907" s="364" t="s">
        <v>36</v>
      </c>
    </row>
    <row r="908" spans="1:2">
      <c r="A908" s="370">
        <v>202500519</v>
      </c>
      <c r="B908" s="364" t="s">
        <v>36</v>
      </c>
    </row>
    <row r="909" spans="1:2">
      <c r="A909" s="371">
        <v>202500520</v>
      </c>
      <c r="B909" s="364" t="s">
        <v>37</v>
      </c>
    </row>
    <row r="910" spans="1:2">
      <c r="A910" s="370">
        <v>202500520</v>
      </c>
      <c r="B910" s="364" t="s">
        <v>37</v>
      </c>
    </row>
    <row r="911" spans="1:2">
      <c r="A911" s="371">
        <v>202500520</v>
      </c>
      <c r="B911" s="364" t="s">
        <v>37</v>
      </c>
    </row>
    <row r="912" spans="1:2">
      <c r="A912" s="370">
        <v>202500520</v>
      </c>
      <c r="B912" s="364" t="s">
        <v>37</v>
      </c>
    </row>
    <row r="913" spans="1:2">
      <c r="A913" s="371">
        <v>202500520</v>
      </c>
      <c r="B913" s="364" t="s">
        <v>37</v>
      </c>
    </row>
    <row r="914" spans="1:2">
      <c r="A914" s="370">
        <v>202500520</v>
      </c>
      <c r="B914" s="364" t="s">
        <v>37</v>
      </c>
    </row>
    <row r="915" spans="1:2">
      <c r="A915" s="371">
        <v>202500521</v>
      </c>
      <c r="B915" s="364" t="s">
        <v>38</v>
      </c>
    </row>
    <row r="916" spans="1:2">
      <c r="A916" s="370">
        <v>202500519</v>
      </c>
      <c r="B916" s="364" t="s">
        <v>36</v>
      </c>
    </row>
    <row r="917" spans="1:2">
      <c r="A917" s="371">
        <v>202500519</v>
      </c>
      <c r="B917" s="364" t="s">
        <v>36</v>
      </c>
    </row>
    <row r="918" spans="1:2">
      <c r="A918" s="370">
        <v>202500519</v>
      </c>
      <c r="B918" s="364" t="s">
        <v>36</v>
      </c>
    </row>
    <row r="919" spans="1:2">
      <c r="A919" s="371">
        <v>202500520</v>
      </c>
      <c r="B919" s="364" t="s">
        <v>37</v>
      </c>
    </row>
    <row r="920" spans="1:2">
      <c r="A920" s="370">
        <v>202500521</v>
      </c>
      <c r="B920" s="364" t="s">
        <v>38</v>
      </c>
    </row>
    <row r="921" spans="1:2">
      <c r="A921" s="371">
        <v>202500519</v>
      </c>
      <c r="B921" s="364" t="s">
        <v>36</v>
      </c>
    </row>
    <row r="922" spans="1:2">
      <c r="A922" s="370">
        <v>202500519</v>
      </c>
      <c r="B922" s="364" t="s">
        <v>36</v>
      </c>
    </row>
    <row r="923" spans="1:2">
      <c r="A923" s="371">
        <v>202500520</v>
      </c>
      <c r="B923" s="364" t="s">
        <v>37</v>
      </c>
    </row>
    <row r="924" spans="1:2">
      <c r="A924" s="370">
        <v>202500519</v>
      </c>
      <c r="B924" s="364" t="s">
        <v>36</v>
      </c>
    </row>
    <row r="925" spans="1:2">
      <c r="A925" s="371">
        <v>202500519</v>
      </c>
      <c r="B925" s="364" t="s">
        <v>36</v>
      </c>
    </row>
    <row r="926" spans="1:2">
      <c r="A926" s="370">
        <v>202500519</v>
      </c>
      <c r="B926" s="364" t="s">
        <v>36</v>
      </c>
    </row>
    <row r="927" spans="1:2">
      <c r="A927" s="371">
        <v>202500520</v>
      </c>
      <c r="B927" s="364" t="s">
        <v>37</v>
      </c>
    </row>
    <row r="928" spans="1:2">
      <c r="A928" s="370">
        <v>202500520</v>
      </c>
      <c r="B928" s="364" t="s">
        <v>37</v>
      </c>
    </row>
    <row r="929" spans="1:2">
      <c r="A929" s="371">
        <v>202500519</v>
      </c>
      <c r="B929" s="364" t="s">
        <v>36</v>
      </c>
    </row>
    <row r="930" spans="1:2">
      <c r="A930" s="370">
        <v>202500519</v>
      </c>
      <c r="B930" s="364" t="s">
        <v>36</v>
      </c>
    </row>
    <row r="931" spans="1:2">
      <c r="A931" s="371">
        <v>202500519</v>
      </c>
      <c r="B931" s="364" t="s">
        <v>36</v>
      </c>
    </row>
    <row r="932" spans="1:2">
      <c r="A932" s="370">
        <v>202500520</v>
      </c>
      <c r="B932" s="364" t="s">
        <v>37</v>
      </c>
    </row>
    <row r="933" spans="1:2">
      <c r="A933" s="371">
        <v>202500520</v>
      </c>
      <c r="B933" s="364" t="s">
        <v>37</v>
      </c>
    </row>
    <row r="934" spans="1:2">
      <c r="A934" s="370">
        <v>202500519</v>
      </c>
      <c r="B934" s="364" t="s">
        <v>36</v>
      </c>
    </row>
    <row r="935" spans="1:2">
      <c r="A935" s="371">
        <v>202500520</v>
      </c>
      <c r="B935" s="364" t="s">
        <v>37</v>
      </c>
    </row>
    <row r="936" spans="1:2">
      <c r="A936" s="370">
        <v>202500519</v>
      </c>
      <c r="B936" s="364" t="s">
        <v>36</v>
      </c>
    </row>
    <row r="937" spans="1:2">
      <c r="A937" s="371">
        <v>202500521</v>
      </c>
      <c r="B937" s="364" t="s">
        <v>38</v>
      </c>
    </row>
    <row r="938" spans="1:2">
      <c r="A938" s="370">
        <v>202500521</v>
      </c>
      <c r="B938" s="364" t="s">
        <v>38</v>
      </c>
    </row>
    <row r="939" spans="1:2">
      <c r="A939" s="371">
        <v>202500521</v>
      </c>
      <c r="B939" s="364" t="s">
        <v>38</v>
      </c>
    </row>
    <row r="940" spans="1:2">
      <c r="A940" s="370">
        <v>202500519</v>
      </c>
      <c r="B940" s="364" t="s">
        <v>36</v>
      </c>
    </row>
    <row r="941" spans="1:2">
      <c r="A941" s="371">
        <v>202500520</v>
      </c>
      <c r="B941" s="364" t="s">
        <v>37</v>
      </c>
    </row>
    <row r="942" spans="1:2">
      <c r="A942" s="370">
        <v>202500520</v>
      </c>
      <c r="B942" s="364" t="s">
        <v>37</v>
      </c>
    </row>
    <row r="943" spans="1:2">
      <c r="A943" s="371">
        <v>202500520</v>
      </c>
      <c r="B943" s="364" t="s">
        <v>37</v>
      </c>
    </row>
    <row r="944" spans="1:2">
      <c r="A944" s="370">
        <v>202500520</v>
      </c>
      <c r="B944" s="364" t="s">
        <v>37</v>
      </c>
    </row>
    <row r="945" spans="1:2">
      <c r="A945" s="371">
        <v>202500520</v>
      </c>
      <c r="B945" s="364" t="s">
        <v>37</v>
      </c>
    </row>
    <row r="946" spans="1:2">
      <c r="A946" s="370">
        <v>202500521</v>
      </c>
      <c r="B946" s="364" t="s">
        <v>38</v>
      </c>
    </row>
    <row r="947" spans="1:2">
      <c r="A947" s="371">
        <v>202500521</v>
      </c>
      <c r="B947" s="364" t="s">
        <v>38</v>
      </c>
    </row>
    <row r="948" spans="1:2">
      <c r="A948" s="370">
        <v>202500521</v>
      </c>
      <c r="B948" s="364" t="s">
        <v>38</v>
      </c>
    </row>
    <row r="949" spans="1:2">
      <c r="A949" s="371">
        <v>202500521</v>
      </c>
      <c r="B949" s="364" t="s">
        <v>38</v>
      </c>
    </row>
    <row r="950" spans="1:2">
      <c r="A950" s="370">
        <v>202500521</v>
      </c>
      <c r="B950" s="364" t="s">
        <v>38</v>
      </c>
    </row>
    <row r="951" spans="1:2">
      <c r="A951" s="371">
        <v>202500521</v>
      </c>
      <c r="B951" s="364" t="s">
        <v>38</v>
      </c>
    </row>
    <row r="952" spans="1:2">
      <c r="A952" s="370">
        <v>202500521</v>
      </c>
      <c r="B952" s="364" t="s">
        <v>38</v>
      </c>
    </row>
    <row r="953" spans="1:2">
      <c r="A953" s="371">
        <v>202500521</v>
      </c>
      <c r="B953" s="364" t="s">
        <v>38</v>
      </c>
    </row>
    <row r="954" spans="1:2">
      <c r="A954" s="370">
        <v>202500519</v>
      </c>
      <c r="B954" s="364" t="s">
        <v>36</v>
      </c>
    </row>
    <row r="955" spans="1:2">
      <c r="A955" s="371">
        <v>202500519</v>
      </c>
      <c r="B955" s="364" t="s">
        <v>36</v>
      </c>
    </row>
    <row r="956" spans="1:2">
      <c r="A956" s="370">
        <v>202500519</v>
      </c>
      <c r="B956" s="364" t="s">
        <v>36</v>
      </c>
    </row>
    <row r="957" spans="1:2">
      <c r="A957" s="371">
        <v>202500519</v>
      </c>
      <c r="B957" s="364" t="s">
        <v>36</v>
      </c>
    </row>
    <row r="958" spans="1:2">
      <c r="A958" s="370">
        <v>202500519</v>
      </c>
      <c r="B958" s="364" t="s">
        <v>36</v>
      </c>
    </row>
    <row r="959" spans="1:2">
      <c r="A959" s="371">
        <v>202500519</v>
      </c>
      <c r="B959" s="364" t="s">
        <v>36</v>
      </c>
    </row>
    <row r="960" spans="1:2">
      <c r="A960" s="370">
        <v>202500519</v>
      </c>
      <c r="B960" s="364" t="s">
        <v>36</v>
      </c>
    </row>
    <row r="961" spans="1:2">
      <c r="A961" s="371">
        <v>202500519</v>
      </c>
      <c r="B961" s="364" t="s">
        <v>36</v>
      </c>
    </row>
    <row r="962" spans="1:2">
      <c r="A962" s="370">
        <v>202500520</v>
      </c>
      <c r="B962" s="364" t="s">
        <v>37</v>
      </c>
    </row>
    <row r="963" spans="1:2">
      <c r="A963" s="371">
        <v>202500521</v>
      </c>
      <c r="B963" s="364" t="s">
        <v>38</v>
      </c>
    </row>
    <row r="964" spans="1:2">
      <c r="A964" s="370">
        <v>202500519</v>
      </c>
      <c r="B964" s="364" t="s">
        <v>36</v>
      </c>
    </row>
    <row r="965" spans="1:2">
      <c r="A965" s="371">
        <v>202500521</v>
      </c>
      <c r="B965" s="364" t="s">
        <v>38</v>
      </c>
    </row>
    <row r="966" spans="1:2">
      <c r="A966" s="370">
        <v>202500521</v>
      </c>
      <c r="B966" s="364" t="s">
        <v>38</v>
      </c>
    </row>
    <row r="967" spans="1:2">
      <c r="A967" s="371">
        <v>202500521</v>
      </c>
      <c r="B967" s="364" t="s">
        <v>38</v>
      </c>
    </row>
    <row r="968" spans="1:2">
      <c r="A968" s="370">
        <v>202500521</v>
      </c>
      <c r="B968" s="364" t="s">
        <v>38</v>
      </c>
    </row>
    <row r="969" spans="1:2">
      <c r="A969" s="371">
        <v>202500521</v>
      </c>
      <c r="B969" s="364" t="s">
        <v>38</v>
      </c>
    </row>
    <row r="970" spans="1:2">
      <c r="A970" s="370">
        <v>202500521</v>
      </c>
      <c r="B970" s="364" t="s">
        <v>38</v>
      </c>
    </row>
    <row r="971" spans="1:2">
      <c r="A971" s="371">
        <v>202500521</v>
      </c>
      <c r="B971" s="364" t="s">
        <v>38</v>
      </c>
    </row>
    <row r="972" spans="1:2">
      <c r="A972" s="370">
        <v>202500521</v>
      </c>
      <c r="B972" s="364" t="s">
        <v>38</v>
      </c>
    </row>
    <row r="973" spans="1:2">
      <c r="A973" s="371">
        <v>202500521</v>
      </c>
      <c r="B973" s="364" t="s">
        <v>38</v>
      </c>
    </row>
    <row r="974" spans="1:2">
      <c r="A974" s="370">
        <v>202500521</v>
      </c>
      <c r="B974" s="364" t="s">
        <v>38</v>
      </c>
    </row>
    <row r="975" spans="1:2">
      <c r="A975" s="371">
        <v>202500521</v>
      </c>
      <c r="B975" s="364" t="s">
        <v>38</v>
      </c>
    </row>
    <row r="976" spans="1:2">
      <c r="A976" s="370">
        <v>202500521</v>
      </c>
      <c r="B976" s="364" t="s">
        <v>38</v>
      </c>
    </row>
    <row r="977" spans="1:2">
      <c r="A977" s="371">
        <v>202500519</v>
      </c>
      <c r="B977" s="364" t="s">
        <v>36</v>
      </c>
    </row>
    <row r="978" spans="1:2">
      <c r="A978" s="370">
        <v>202500520</v>
      </c>
      <c r="B978" s="364" t="s">
        <v>37</v>
      </c>
    </row>
    <row r="979" spans="1:2">
      <c r="A979" s="371">
        <v>202500520</v>
      </c>
      <c r="B979" s="364" t="s">
        <v>37</v>
      </c>
    </row>
    <row r="980" spans="1:2">
      <c r="A980" s="370">
        <v>202500520</v>
      </c>
      <c r="B980" s="364" t="s">
        <v>37</v>
      </c>
    </row>
    <row r="981" spans="1:2">
      <c r="A981" s="371">
        <v>202500520</v>
      </c>
      <c r="B981" s="364" t="s">
        <v>37</v>
      </c>
    </row>
    <row r="982" spans="1:2">
      <c r="A982" s="370">
        <v>202500520</v>
      </c>
      <c r="B982" s="364" t="s">
        <v>37</v>
      </c>
    </row>
    <row r="983" spans="1:2">
      <c r="A983" s="371">
        <v>202500520</v>
      </c>
      <c r="B983" s="364" t="s">
        <v>37</v>
      </c>
    </row>
    <row r="984" spans="1:2">
      <c r="A984" s="370">
        <v>202500520</v>
      </c>
      <c r="B984" s="364" t="s">
        <v>37</v>
      </c>
    </row>
    <row r="985" spans="1:2">
      <c r="A985" s="371">
        <v>202500520</v>
      </c>
      <c r="B985" s="364" t="s">
        <v>37</v>
      </c>
    </row>
    <row r="986" spans="1:2">
      <c r="A986" s="370">
        <v>202500520</v>
      </c>
      <c r="B986" s="364" t="s">
        <v>37</v>
      </c>
    </row>
    <row r="987" spans="1:2">
      <c r="A987" s="371">
        <v>202500520</v>
      </c>
      <c r="B987" s="364" t="s">
        <v>37</v>
      </c>
    </row>
    <row r="988" spans="1:2">
      <c r="A988" s="370">
        <v>202500520</v>
      </c>
      <c r="B988" s="364" t="s">
        <v>37</v>
      </c>
    </row>
    <row r="989" spans="1:2">
      <c r="A989" s="371">
        <v>202500521</v>
      </c>
      <c r="B989" s="364" t="s">
        <v>38</v>
      </c>
    </row>
    <row r="990" spans="1:2">
      <c r="A990" s="370">
        <v>202500519</v>
      </c>
      <c r="B990" s="364" t="s">
        <v>36</v>
      </c>
    </row>
    <row r="991" spans="1:2">
      <c r="A991" s="371">
        <v>202500867</v>
      </c>
      <c r="B991" s="364" t="s">
        <v>39</v>
      </c>
    </row>
    <row r="992" spans="1:2">
      <c r="A992" s="370">
        <v>202500866</v>
      </c>
      <c r="B992" s="364" t="s">
        <v>40</v>
      </c>
    </row>
    <row r="993" spans="1:2">
      <c r="A993" s="371">
        <v>202500866</v>
      </c>
      <c r="B993" s="364" t="s">
        <v>40</v>
      </c>
    </row>
    <row r="994" spans="1:2">
      <c r="A994" s="370">
        <v>202500866</v>
      </c>
      <c r="B994" s="364" t="s">
        <v>40</v>
      </c>
    </row>
    <row r="995" spans="1:2">
      <c r="A995" s="371">
        <v>202500866</v>
      </c>
      <c r="B995" s="364" t="s">
        <v>40</v>
      </c>
    </row>
    <row r="996" spans="1:2">
      <c r="A996" s="370">
        <v>202500866</v>
      </c>
      <c r="B996" s="364" t="s">
        <v>40</v>
      </c>
    </row>
    <row r="997" spans="1:2">
      <c r="A997" s="371">
        <v>202500867</v>
      </c>
      <c r="B997" s="364" t="s">
        <v>39</v>
      </c>
    </row>
    <row r="998" spans="1:2">
      <c r="A998" s="370">
        <v>202500867</v>
      </c>
      <c r="B998" s="364" t="s">
        <v>39</v>
      </c>
    </row>
    <row r="999" spans="1:2">
      <c r="A999" s="371">
        <v>202500867</v>
      </c>
      <c r="B999" s="364" t="s">
        <v>39</v>
      </c>
    </row>
    <row r="1000" spans="1:2">
      <c r="A1000" s="370">
        <v>202500867</v>
      </c>
      <c r="B1000" s="364" t="s">
        <v>39</v>
      </c>
    </row>
    <row r="1001" spans="1:2">
      <c r="A1001" s="371">
        <v>202500867</v>
      </c>
      <c r="B1001" s="364" t="s">
        <v>39</v>
      </c>
    </row>
    <row r="1002" spans="1:2">
      <c r="A1002" s="370">
        <v>202500867</v>
      </c>
      <c r="B1002" s="364" t="s">
        <v>39</v>
      </c>
    </row>
    <row r="1003" spans="1:2">
      <c r="A1003" s="371">
        <v>202500866</v>
      </c>
      <c r="B1003" s="364" t="s">
        <v>40</v>
      </c>
    </row>
    <row r="1004" spans="1:2">
      <c r="A1004" s="370">
        <v>202500867</v>
      </c>
      <c r="B1004" s="364" t="s">
        <v>39</v>
      </c>
    </row>
    <row r="1005" spans="1:2">
      <c r="A1005" s="371">
        <v>202500867</v>
      </c>
      <c r="B1005" s="364" t="s">
        <v>39</v>
      </c>
    </row>
    <row r="1006" spans="1:2">
      <c r="A1006" s="370">
        <v>202500867</v>
      </c>
      <c r="B1006" s="364" t="s">
        <v>39</v>
      </c>
    </row>
    <row r="1007" spans="1:2">
      <c r="A1007" s="371">
        <v>202500867</v>
      </c>
      <c r="B1007" s="364" t="s">
        <v>39</v>
      </c>
    </row>
    <row r="1008" spans="1:2">
      <c r="A1008" s="370">
        <v>202500867</v>
      </c>
      <c r="B1008" s="364" t="s">
        <v>39</v>
      </c>
    </row>
    <row r="1009" spans="1:2">
      <c r="A1009" s="371">
        <v>202500867</v>
      </c>
      <c r="B1009" s="364" t="s">
        <v>39</v>
      </c>
    </row>
    <row r="1010" spans="1:2">
      <c r="A1010" s="370">
        <v>202500867</v>
      </c>
      <c r="B1010" s="364" t="s">
        <v>39</v>
      </c>
    </row>
    <row r="1011" spans="1:2">
      <c r="A1011" s="371">
        <v>202500867</v>
      </c>
      <c r="B1011" s="364" t="s">
        <v>39</v>
      </c>
    </row>
    <row r="1012" spans="1:2">
      <c r="A1012" s="370">
        <v>202500867</v>
      </c>
      <c r="B1012" s="364" t="s">
        <v>39</v>
      </c>
    </row>
    <row r="1013" spans="1:2">
      <c r="A1013" s="371">
        <v>202500866</v>
      </c>
      <c r="B1013" s="364" t="s">
        <v>40</v>
      </c>
    </row>
    <row r="1014" spans="1:2">
      <c r="A1014" s="370">
        <v>202500866</v>
      </c>
      <c r="B1014" s="364" t="s">
        <v>40</v>
      </c>
    </row>
    <row r="1015" spans="1:2">
      <c r="A1015" s="371">
        <v>202500866</v>
      </c>
      <c r="B1015" s="364" t="s">
        <v>40</v>
      </c>
    </row>
    <row r="1016" spans="1:2">
      <c r="A1016" s="370">
        <v>202500866</v>
      </c>
      <c r="B1016" s="364" t="s">
        <v>40</v>
      </c>
    </row>
    <row r="1017" spans="1:2">
      <c r="A1017" s="371">
        <v>202500866</v>
      </c>
      <c r="B1017" s="364" t="s">
        <v>40</v>
      </c>
    </row>
    <row r="1018" spans="1:2">
      <c r="A1018" s="370">
        <v>202500866</v>
      </c>
      <c r="B1018" s="364" t="s">
        <v>40</v>
      </c>
    </row>
    <row r="1019" spans="1:2">
      <c r="A1019" s="371">
        <v>202500866</v>
      </c>
      <c r="B1019" s="364" t="s">
        <v>40</v>
      </c>
    </row>
    <row r="1020" spans="1:2">
      <c r="A1020" s="370">
        <v>202500866</v>
      </c>
      <c r="B1020" s="364" t="s">
        <v>40</v>
      </c>
    </row>
    <row r="1021" spans="1:2">
      <c r="A1021" s="371">
        <v>202500866</v>
      </c>
      <c r="B1021" s="364" t="s">
        <v>40</v>
      </c>
    </row>
    <row r="1022" spans="1:2">
      <c r="A1022" s="370">
        <v>202500867</v>
      </c>
      <c r="B1022" s="364" t="s">
        <v>39</v>
      </c>
    </row>
    <row r="1023" spans="1:2">
      <c r="A1023" s="371">
        <v>202500867</v>
      </c>
      <c r="B1023" s="364" t="s">
        <v>39</v>
      </c>
    </row>
    <row r="1024" spans="1:2">
      <c r="A1024" s="370">
        <v>202500867</v>
      </c>
      <c r="B1024" s="364" t="s">
        <v>39</v>
      </c>
    </row>
    <row r="1025" spans="1:2">
      <c r="A1025" s="371">
        <v>202500867</v>
      </c>
      <c r="B1025" s="364" t="s">
        <v>39</v>
      </c>
    </row>
    <row r="1026" spans="1:2">
      <c r="A1026" s="370">
        <v>202500866</v>
      </c>
      <c r="B1026" s="364" t="s">
        <v>40</v>
      </c>
    </row>
    <row r="1027" spans="1:2">
      <c r="A1027" s="371">
        <v>202500866</v>
      </c>
      <c r="B1027" s="364" t="s">
        <v>40</v>
      </c>
    </row>
    <row r="1028" spans="1:2">
      <c r="A1028" s="370">
        <v>202500866</v>
      </c>
      <c r="B1028" s="364" t="s">
        <v>40</v>
      </c>
    </row>
    <row r="1029" spans="1:2">
      <c r="A1029" s="371">
        <v>202500866</v>
      </c>
      <c r="B1029" s="364" t="s">
        <v>40</v>
      </c>
    </row>
    <row r="1030" spans="1:2">
      <c r="A1030" s="370">
        <v>202500866</v>
      </c>
      <c r="B1030" s="364" t="s">
        <v>40</v>
      </c>
    </row>
    <row r="1031" spans="1:2">
      <c r="A1031" s="371">
        <v>202500866</v>
      </c>
      <c r="B1031" s="364" t="s">
        <v>40</v>
      </c>
    </row>
    <row r="1032" spans="1:2">
      <c r="A1032" s="370">
        <v>202500866</v>
      </c>
      <c r="B1032" s="364" t="s">
        <v>40</v>
      </c>
    </row>
    <row r="1033" spans="1:2">
      <c r="A1033" s="371">
        <v>202500866</v>
      </c>
      <c r="B1033" s="364" t="s">
        <v>40</v>
      </c>
    </row>
    <row r="1034" spans="1:2">
      <c r="A1034" s="370">
        <v>202500866</v>
      </c>
      <c r="B1034" s="364" t="s">
        <v>40</v>
      </c>
    </row>
    <row r="1035" spans="1:2">
      <c r="A1035" s="371">
        <v>202500866</v>
      </c>
      <c r="B1035" s="364" t="s">
        <v>40</v>
      </c>
    </row>
    <row r="1036" spans="1:2">
      <c r="A1036" s="370">
        <v>202500866</v>
      </c>
      <c r="B1036" s="364" t="s">
        <v>40</v>
      </c>
    </row>
    <row r="1037" spans="1:2">
      <c r="A1037" s="371">
        <v>202500866</v>
      </c>
      <c r="B1037" s="364" t="s">
        <v>40</v>
      </c>
    </row>
    <row r="1038" spans="1:2">
      <c r="A1038" s="370">
        <v>202500866</v>
      </c>
      <c r="B1038" s="364" t="s">
        <v>40</v>
      </c>
    </row>
    <row r="1039" spans="1:2">
      <c r="A1039" s="371">
        <v>202500866</v>
      </c>
      <c r="B1039" s="364" t="s">
        <v>40</v>
      </c>
    </row>
    <row r="1040" spans="1:2">
      <c r="A1040" s="370">
        <v>202500866</v>
      </c>
      <c r="B1040" s="364" t="s">
        <v>40</v>
      </c>
    </row>
    <row r="1041" spans="1:2">
      <c r="A1041" s="371">
        <v>202500866</v>
      </c>
      <c r="B1041" s="364" t="s">
        <v>40</v>
      </c>
    </row>
    <row r="1042" spans="1:2">
      <c r="A1042" s="370">
        <v>202500866</v>
      </c>
      <c r="B1042" s="364" t="s">
        <v>40</v>
      </c>
    </row>
    <row r="1043" spans="1:2">
      <c r="A1043" s="371">
        <v>202500866</v>
      </c>
      <c r="B1043" s="364" t="s">
        <v>40</v>
      </c>
    </row>
    <row r="1044" spans="1:2">
      <c r="A1044" s="370">
        <v>202500866</v>
      </c>
      <c r="B1044" s="364" t="s">
        <v>40</v>
      </c>
    </row>
    <row r="1045" spans="1:2">
      <c r="A1045" s="371">
        <v>202500866</v>
      </c>
      <c r="B1045" s="364" t="s">
        <v>40</v>
      </c>
    </row>
    <row r="1046" spans="1:2">
      <c r="A1046" s="370">
        <v>202500866</v>
      </c>
      <c r="B1046" s="364" t="s">
        <v>40</v>
      </c>
    </row>
    <row r="1047" spans="1:2">
      <c r="A1047" s="371">
        <v>202500866</v>
      </c>
      <c r="B1047" s="364" t="s">
        <v>40</v>
      </c>
    </row>
    <row r="1048" spans="1:2">
      <c r="A1048" s="370">
        <v>202500866</v>
      </c>
      <c r="B1048" s="364" t="s">
        <v>40</v>
      </c>
    </row>
    <row r="1049" spans="1:2">
      <c r="A1049" s="371">
        <v>202500866</v>
      </c>
      <c r="B1049" s="364" t="s">
        <v>40</v>
      </c>
    </row>
    <row r="1050" spans="1:2">
      <c r="A1050" s="370">
        <v>202500866</v>
      </c>
      <c r="B1050" s="364" t="s">
        <v>40</v>
      </c>
    </row>
    <row r="1051" spans="1:2">
      <c r="A1051" s="371">
        <v>202500866</v>
      </c>
      <c r="B1051" s="364" t="s">
        <v>40</v>
      </c>
    </row>
    <row r="1052" spans="1:2">
      <c r="A1052" s="370">
        <v>202500869</v>
      </c>
      <c r="B1052" s="364" t="s">
        <v>41</v>
      </c>
    </row>
    <row r="1053" spans="1:2">
      <c r="A1053" s="371">
        <v>202500869</v>
      </c>
      <c r="B1053" s="364" t="s">
        <v>41</v>
      </c>
    </row>
    <row r="1054" spans="1:2">
      <c r="A1054" s="370">
        <v>202500868</v>
      </c>
      <c r="B1054" s="364" t="s">
        <v>42</v>
      </c>
    </row>
    <row r="1055" spans="1:2">
      <c r="A1055" s="371">
        <v>202500868</v>
      </c>
      <c r="B1055" s="364" t="s">
        <v>42</v>
      </c>
    </row>
    <row r="1056" spans="1:2">
      <c r="A1056" s="370">
        <v>202500868</v>
      </c>
      <c r="B1056" s="364" t="s">
        <v>42</v>
      </c>
    </row>
    <row r="1057" spans="1:2">
      <c r="A1057" s="371">
        <v>202500868</v>
      </c>
      <c r="B1057" s="364" t="s">
        <v>42</v>
      </c>
    </row>
    <row r="1058" spans="1:2">
      <c r="A1058" s="370">
        <v>202500868</v>
      </c>
      <c r="B1058" s="364" t="s">
        <v>42</v>
      </c>
    </row>
    <row r="1059" spans="1:2">
      <c r="A1059" s="371">
        <v>202500868</v>
      </c>
      <c r="B1059" s="364" t="s">
        <v>42</v>
      </c>
    </row>
    <row r="1060" spans="1:2">
      <c r="A1060" s="370">
        <v>202500868</v>
      </c>
      <c r="B1060" s="364" t="s">
        <v>42</v>
      </c>
    </row>
    <row r="1061" spans="1:2">
      <c r="A1061" s="371">
        <v>202500868</v>
      </c>
      <c r="B1061" s="364" t="s">
        <v>42</v>
      </c>
    </row>
    <row r="1062" spans="1:2">
      <c r="A1062" s="370">
        <v>202500869</v>
      </c>
      <c r="B1062" s="364" t="s">
        <v>41</v>
      </c>
    </row>
    <row r="1063" spans="1:2">
      <c r="A1063" s="371">
        <v>202500868</v>
      </c>
      <c r="B1063" s="364" t="s">
        <v>42</v>
      </c>
    </row>
    <row r="1064" spans="1:2">
      <c r="A1064" s="370">
        <v>202500868</v>
      </c>
      <c r="B1064" s="364" t="s">
        <v>42</v>
      </c>
    </row>
    <row r="1065" spans="1:2">
      <c r="A1065" s="371">
        <v>202500868</v>
      </c>
      <c r="B1065" s="364" t="s">
        <v>42</v>
      </c>
    </row>
    <row r="1066" spans="1:2">
      <c r="A1066" s="370">
        <v>202500868</v>
      </c>
      <c r="B1066" s="364" t="s">
        <v>42</v>
      </c>
    </row>
    <row r="1067" spans="1:2">
      <c r="A1067" s="371">
        <v>202500868</v>
      </c>
      <c r="B1067" s="364" t="s">
        <v>42</v>
      </c>
    </row>
    <row r="1068" spans="1:2">
      <c r="A1068" s="370">
        <v>202500868</v>
      </c>
      <c r="B1068" s="364" t="s">
        <v>42</v>
      </c>
    </row>
    <row r="1069" spans="1:2">
      <c r="A1069" s="371">
        <v>202500868</v>
      </c>
      <c r="B1069" s="364" t="s">
        <v>42</v>
      </c>
    </row>
    <row r="1070" spans="1:2">
      <c r="A1070" s="370">
        <v>202500868</v>
      </c>
      <c r="B1070" s="364" t="s">
        <v>42</v>
      </c>
    </row>
    <row r="1071" spans="1:2">
      <c r="A1071" s="371">
        <v>202500868</v>
      </c>
      <c r="B1071" s="364" t="s">
        <v>42</v>
      </c>
    </row>
    <row r="1072" spans="1:2">
      <c r="A1072" s="370">
        <v>202500868</v>
      </c>
      <c r="B1072" s="364" t="s">
        <v>42</v>
      </c>
    </row>
    <row r="1073" spans="1:2">
      <c r="A1073" s="371">
        <v>202500868</v>
      </c>
      <c r="B1073" s="364" t="s">
        <v>42</v>
      </c>
    </row>
    <row r="1074" spans="1:2">
      <c r="A1074" s="370">
        <v>202500868</v>
      </c>
      <c r="B1074" s="364" t="s">
        <v>42</v>
      </c>
    </row>
    <row r="1075" spans="1:2">
      <c r="A1075" s="371">
        <v>202500868</v>
      </c>
      <c r="B1075" s="364" t="s">
        <v>42</v>
      </c>
    </row>
    <row r="1076" spans="1:2">
      <c r="A1076" s="370">
        <v>202500868</v>
      </c>
      <c r="B1076" s="364" t="s">
        <v>42</v>
      </c>
    </row>
    <row r="1077" spans="1:2">
      <c r="A1077" s="371">
        <v>202500868</v>
      </c>
      <c r="B1077" s="364" t="s">
        <v>42</v>
      </c>
    </row>
    <row r="1078" spans="1:2">
      <c r="A1078" s="370">
        <v>202500868</v>
      </c>
      <c r="B1078" s="364" t="s">
        <v>42</v>
      </c>
    </row>
    <row r="1079" spans="1:2">
      <c r="A1079" s="371">
        <v>202500868</v>
      </c>
      <c r="B1079" s="364" t="s">
        <v>42</v>
      </c>
    </row>
    <row r="1080" spans="1:2">
      <c r="A1080" s="370">
        <v>202500868</v>
      </c>
      <c r="B1080" s="364" t="s">
        <v>42</v>
      </c>
    </row>
    <row r="1081" spans="1:2">
      <c r="A1081" s="371">
        <v>202500868</v>
      </c>
      <c r="B1081" s="364" t="s">
        <v>42</v>
      </c>
    </row>
    <row r="1082" spans="1:2">
      <c r="A1082" s="370">
        <v>202500868</v>
      </c>
      <c r="B1082" s="364" t="s">
        <v>42</v>
      </c>
    </row>
    <row r="1083" spans="1:2">
      <c r="A1083" s="371">
        <v>202500868</v>
      </c>
      <c r="B1083" s="364" t="s">
        <v>42</v>
      </c>
    </row>
    <row r="1084" spans="1:2">
      <c r="A1084" s="370">
        <v>202500868</v>
      </c>
      <c r="B1084" s="364" t="s">
        <v>42</v>
      </c>
    </row>
    <row r="1085" spans="1:2">
      <c r="A1085" s="371">
        <v>202500868</v>
      </c>
      <c r="B1085" s="364" t="s">
        <v>42</v>
      </c>
    </row>
    <row r="1086" spans="1:2">
      <c r="A1086" s="370">
        <v>202500869</v>
      </c>
      <c r="B1086" s="364" t="s">
        <v>41</v>
      </c>
    </row>
    <row r="1087" spans="1:2">
      <c r="A1087" s="371">
        <v>202500869</v>
      </c>
      <c r="B1087" s="364" t="s">
        <v>41</v>
      </c>
    </row>
    <row r="1088" spans="1:2">
      <c r="A1088" s="370">
        <v>202500868</v>
      </c>
      <c r="B1088" s="364" t="s">
        <v>42</v>
      </c>
    </row>
    <row r="1089" spans="1:2">
      <c r="A1089" s="371">
        <v>202500868</v>
      </c>
      <c r="B1089" s="364" t="s">
        <v>42</v>
      </c>
    </row>
    <row r="1090" spans="1:2">
      <c r="A1090" s="370">
        <v>202500869</v>
      </c>
      <c r="B1090" s="364" t="s">
        <v>41</v>
      </c>
    </row>
    <row r="1091" spans="1:2">
      <c r="A1091" s="371">
        <v>202500869</v>
      </c>
      <c r="B1091" s="364" t="s">
        <v>41</v>
      </c>
    </row>
    <row r="1092" spans="1:2">
      <c r="A1092" s="370">
        <v>202500869</v>
      </c>
      <c r="B1092" s="364" t="s">
        <v>41</v>
      </c>
    </row>
    <row r="1093" spans="1:2">
      <c r="A1093" s="371">
        <v>202500867</v>
      </c>
      <c r="B1093" s="364" t="s">
        <v>39</v>
      </c>
    </row>
    <row r="1094" spans="1:2">
      <c r="A1094" s="370">
        <v>202500868</v>
      </c>
      <c r="B1094" s="364" t="s">
        <v>42</v>
      </c>
    </row>
    <row r="1095" spans="1:2">
      <c r="A1095" s="371">
        <v>202500867</v>
      </c>
      <c r="B1095" s="364" t="s">
        <v>39</v>
      </c>
    </row>
    <row r="1096" spans="1:2">
      <c r="A1096" s="370">
        <v>202500867</v>
      </c>
      <c r="B1096" s="364" t="s">
        <v>39</v>
      </c>
    </row>
    <row r="1097" spans="1:2">
      <c r="A1097" s="371">
        <v>202500869</v>
      </c>
      <c r="B1097" s="364" t="s">
        <v>41</v>
      </c>
    </row>
    <row r="1098" spans="1:2">
      <c r="A1098" s="370">
        <v>202500869</v>
      </c>
      <c r="B1098" s="364" t="s">
        <v>41</v>
      </c>
    </row>
    <row r="1099" spans="1:2">
      <c r="A1099" s="371">
        <v>202500869</v>
      </c>
      <c r="B1099" s="364" t="s">
        <v>41</v>
      </c>
    </row>
    <row r="1100" spans="1:2">
      <c r="A1100" s="370">
        <v>202500868</v>
      </c>
      <c r="B1100" s="364" t="s">
        <v>42</v>
      </c>
    </row>
    <row r="1101" spans="1:2">
      <c r="A1101" s="371">
        <v>202500868</v>
      </c>
      <c r="B1101" s="364" t="s">
        <v>42</v>
      </c>
    </row>
    <row r="1102" spans="1:2">
      <c r="A1102" s="370">
        <v>202500869</v>
      </c>
      <c r="B1102" s="364" t="s">
        <v>41</v>
      </c>
    </row>
    <row r="1103" spans="1:2">
      <c r="A1103" s="371">
        <v>202500868</v>
      </c>
      <c r="B1103" s="364" t="s">
        <v>42</v>
      </c>
    </row>
    <row r="1104" spans="1:2">
      <c r="A1104" s="370">
        <v>202500867</v>
      </c>
      <c r="B1104" s="364" t="s">
        <v>39</v>
      </c>
    </row>
    <row r="1105" spans="1:2">
      <c r="A1105" s="371">
        <v>202500867</v>
      </c>
      <c r="B1105" s="364" t="s">
        <v>39</v>
      </c>
    </row>
    <row r="1106" spans="1:2">
      <c r="A1106" s="370">
        <v>202500867</v>
      </c>
      <c r="B1106" s="364" t="s">
        <v>39</v>
      </c>
    </row>
    <row r="1107" spans="1:2">
      <c r="A1107" s="371">
        <v>202500867</v>
      </c>
      <c r="B1107" s="364" t="s">
        <v>39</v>
      </c>
    </row>
    <row r="1108" spans="1:2">
      <c r="A1108" s="370">
        <v>202500867</v>
      </c>
      <c r="B1108" s="364" t="s">
        <v>39</v>
      </c>
    </row>
    <row r="1109" spans="1:2">
      <c r="A1109" s="371">
        <v>202500867</v>
      </c>
      <c r="B1109" s="364" t="s">
        <v>39</v>
      </c>
    </row>
    <row r="1110" spans="1:2">
      <c r="A1110" s="370">
        <v>202500867</v>
      </c>
      <c r="B1110" s="364" t="s">
        <v>39</v>
      </c>
    </row>
    <row r="1111" spans="1:2">
      <c r="A1111" s="371">
        <v>202500867</v>
      </c>
      <c r="B1111" s="364" t="s">
        <v>39</v>
      </c>
    </row>
    <row r="1112" spans="1:2">
      <c r="A1112" s="370">
        <v>202500868</v>
      </c>
      <c r="B1112" s="364" t="s">
        <v>42</v>
      </c>
    </row>
    <row r="1113" spans="1:2">
      <c r="A1113" s="372">
        <v>202500869</v>
      </c>
      <c r="B1113" s="373" t="s">
        <v>41</v>
      </c>
    </row>
    <row r="1114" spans="1:2">
      <c r="A1114" s="374">
        <v>202500867</v>
      </c>
      <c r="B1114" s="364" t="s">
        <v>39</v>
      </c>
    </row>
    <row r="1115" spans="1:2">
      <c r="A1115" s="13">
        <v>202500518</v>
      </c>
      <c r="B1115" s="55" t="s">
        <v>43</v>
      </c>
    </row>
  </sheetData>
  <protectedRanges>
    <protectedRange sqref="E1:E9" name="Range1"/>
  </protectedRanges>
  <autoFilter ref="E1:F56" xr:uid="{B9388039-6E87-48B3-940A-BC581109E512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E906-0554-4A6E-B42E-A1FD073CC0AB}">
  <sheetPr codeName="Planilha5"/>
  <dimension ref="O1:U41"/>
  <sheetViews>
    <sheetView workbookViewId="0">
      <selection activeCell="R10" sqref="R10"/>
    </sheetView>
  </sheetViews>
  <sheetFormatPr defaultColWidth="9.140625" defaultRowHeight="15"/>
  <cols>
    <col min="1" max="1" width="11.7109375" customWidth="1"/>
    <col min="2" max="2" width="11.42578125" customWidth="1"/>
    <col min="3" max="3" width="12.7109375" customWidth="1"/>
    <col min="15" max="15" width="22.7109375" bestFit="1" customWidth="1"/>
    <col min="16" max="16" width="12.42578125" bestFit="1" customWidth="1"/>
  </cols>
  <sheetData>
    <row r="1" spans="15:21">
      <c r="O1" s="577" t="s">
        <v>44</v>
      </c>
      <c r="P1" s="577"/>
      <c r="Q1" s="577"/>
      <c r="S1" s="577" t="s">
        <v>45</v>
      </c>
      <c r="T1" s="577"/>
      <c r="U1" s="577"/>
    </row>
    <row r="2" spans="15:21">
      <c r="O2" s="578">
        <f>P41</f>
        <v>886</v>
      </c>
      <c r="P2" s="578"/>
      <c r="Q2" s="578"/>
      <c r="S2" s="579">
        <f>Q41</f>
        <v>86</v>
      </c>
      <c r="T2" s="579"/>
      <c r="U2" s="579"/>
    </row>
    <row r="3" spans="15:21">
      <c r="O3" s="579" t="s">
        <v>46</v>
      </c>
      <c r="P3" s="579"/>
      <c r="Q3" s="579"/>
    </row>
    <row r="4" spans="15:21">
      <c r="O4" s="514" t="s">
        <v>47</v>
      </c>
      <c r="P4" s="514" t="s">
        <v>48</v>
      </c>
      <c r="Q4" s="514" t="s">
        <v>49</v>
      </c>
    </row>
    <row r="5" spans="15:21">
      <c r="O5" s="32" t="s">
        <v>50</v>
      </c>
      <c r="P5" s="43">
        <f>COUNTIF('Dados Gerais'!R:R,'Dados Gerais'!R185)</f>
        <v>144</v>
      </c>
      <c r="Q5" s="43">
        <v>2</v>
      </c>
    </row>
    <row r="6" spans="15:21">
      <c r="O6" s="32" t="s">
        <v>51</v>
      </c>
      <c r="P6" s="43">
        <v>58</v>
      </c>
      <c r="Q6" s="43">
        <v>8</v>
      </c>
    </row>
    <row r="7" spans="15:21">
      <c r="O7" s="43" t="s">
        <v>52</v>
      </c>
      <c r="P7" s="43">
        <v>2</v>
      </c>
      <c r="Q7" s="43">
        <v>1</v>
      </c>
    </row>
    <row r="8" spans="15:21">
      <c r="O8" s="32" t="s">
        <v>53</v>
      </c>
      <c r="P8" s="43">
        <v>15</v>
      </c>
      <c r="Q8" s="43">
        <v>0</v>
      </c>
    </row>
    <row r="9" spans="15:21">
      <c r="O9" s="32" t="s">
        <v>54</v>
      </c>
      <c r="P9" s="43">
        <v>43</v>
      </c>
      <c r="Q9" s="43">
        <v>2</v>
      </c>
    </row>
    <row r="10" spans="15:21">
      <c r="O10" s="43" t="s">
        <v>55</v>
      </c>
      <c r="P10" s="43">
        <v>22</v>
      </c>
      <c r="Q10" s="43">
        <v>2</v>
      </c>
    </row>
    <row r="11" spans="15:21">
      <c r="O11" s="43" t="s">
        <v>56</v>
      </c>
      <c r="P11" s="43">
        <v>15</v>
      </c>
      <c r="Q11" s="43">
        <v>0</v>
      </c>
    </row>
    <row r="12" spans="15:21">
      <c r="O12" s="32" t="s">
        <v>57</v>
      </c>
      <c r="P12" s="43">
        <v>5</v>
      </c>
      <c r="Q12" s="43">
        <v>0</v>
      </c>
    </row>
    <row r="13" spans="15:21">
      <c r="O13" s="32" t="s">
        <v>58</v>
      </c>
      <c r="P13" s="43">
        <v>32</v>
      </c>
      <c r="Q13" s="43">
        <v>0</v>
      </c>
    </row>
    <row r="14" spans="15:21">
      <c r="O14" s="43" t="s">
        <v>59</v>
      </c>
      <c r="P14" s="43">
        <v>11</v>
      </c>
      <c r="Q14" s="43">
        <v>1</v>
      </c>
    </row>
    <row r="15" spans="15:21">
      <c r="O15" s="43" t="s">
        <v>60</v>
      </c>
      <c r="P15" s="43">
        <v>17</v>
      </c>
      <c r="Q15" s="43">
        <v>0</v>
      </c>
    </row>
    <row r="16" spans="15:21">
      <c r="O16" s="43" t="s">
        <v>61</v>
      </c>
      <c r="P16" s="43">
        <v>3</v>
      </c>
      <c r="Q16" s="43">
        <v>3</v>
      </c>
    </row>
    <row r="17" spans="15:17">
      <c r="O17" s="32" t="s">
        <v>62</v>
      </c>
      <c r="P17" s="43">
        <v>32</v>
      </c>
      <c r="Q17" s="43">
        <v>1</v>
      </c>
    </row>
    <row r="18" spans="15:17">
      <c r="O18" s="32" t="s">
        <v>63</v>
      </c>
      <c r="P18" s="43">
        <v>28</v>
      </c>
      <c r="Q18" s="43">
        <v>1</v>
      </c>
    </row>
    <row r="19" spans="15:17">
      <c r="O19" s="43" t="s">
        <v>64</v>
      </c>
      <c r="P19" s="43">
        <v>10</v>
      </c>
      <c r="Q19" s="43">
        <v>6</v>
      </c>
    </row>
    <row r="20" spans="15:17">
      <c r="O20" s="43" t="s">
        <v>65</v>
      </c>
      <c r="P20" s="43">
        <v>2</v>
      </c>
      <c r="Q20" s="43">
        <v>2</v>
      </c>
    </row>
    <row r="21" spans="15:17">
      <c r="O21" s="43" t="s">
        <v>66</v>
      </c>
      <c r="P21" s="43">
        <v>11</v>
      </c>
      <c r="Q21" s="43">
        <v>0</v>
      </c>
    </row>
    <row r="22" spans="15:17">
      <c r="O22" s="43" t="s">
        <v>67</v>
      </c>
      <c r="P22" s="43">
        <v>18</v>
      </c>
      <c r="Q22" s="43">
        <v>0</v>
      </c>
    </row>
    <row r="23" spans="15:17">
      <c r="O23" s="43" t="s">
        <v>68</v>
      </c>
      <c r="P23" s="43">
        <v>4</v>
      </c>
      <c r="Q23" s="43">
        <v>0</v>
      </c>
    </row>
    <row r="24" spans="15:17">
      <c r="O24" s="43" t="s">
        <v>69</v>
      </c>
      <c r="P24" s="43">
        <v>11</v>
      </c>
      <c r="Q24" s="43">
        <v>1</v>
      </c>
    </row>
    <row r="25" spans="15:17">
      <c r="O25" s="32" t="s">
        <v>70</v>
      </c>
      <c r="P25" s="43">
        <v>11</v>
      </c>
      <c r="Q25" s="43">
        <v>12</v>
      </c>
    </row>
    <row r="26" spans="15:17">
      <c r="O26" s="32" t="s">
        <v>71</v>
      </c>
      <c r="P26" s="43">
        <v>22</v>
      </c>
      <c r="Q26" s="43">
        <v>5</v>
      </c>
    </row>
    <row r="27" spans="15:17">
      <c r="O27" s="43" t="s">
        <v>72</v>
      </c>
      <c r="P27" s="43">
        <v>7</v>
      </c>
      <c r="Q27" s="43">
        <v>4</v>
      </c>
    </row>
    <row r="28" spans="15:17">
      <c r="O28" s="43" t="s">
        <v>73</v>
      </c>
      <c r="P28" s="43">
        <v>14</v>
      </c>
      <c r="Q28" s="43">
        <v>2</v>
      </c>
    </row>
    <row r="29" spans="15:17">
      <c r="O29" s="240" t="s">
        <v>74</v>
      </c>
      <c r="P29" s="43">
        <v>2</v>
      </c>
      <c r="Q29" s="43">
        <v>1</v>
      </c>
    </row>
    <row r="30" spans="15:17">
      <c r="O30" s="43" t="s">
        <v>75</v>
      </c>
      <c r="P30" s="43">
        <v>2</v>
      </c>
      <c r="Q30" s="43">
        <v>0</v>
      </c>
    </row>
    <row r="31" spans="15:17">
      <c r="O31" s="43" t="s">
        <v>76</v>
      </c>
      <c r="P31" s="43">
        <v>6</v>
      </c>
      <c r="Q31" s="43">
        <v>0</v>
      </c>
    </row>
    <row r="32" spans="15:17">
      <c r="O32" s="32" t="s">
        <v>77</v>
      </c>
      <c r="P32" s="43">
        <v>18</v>
      </c>
      <c r="Q32" s="43">
        <v>14</v>
      </c>
    </row>
    <row r="33" spans="15:17">
      <c r="O33" s="162" t="s">
        <v>78</v>
      </c>
      <c r="P33" s="162">
        <v>11</v>
      </c>
      <c r="Q33" s="162">
        <v>0</v>
      </c>
    </row>
    <row r="34" spans="15:17">
      <c r="O34" s="43" t="s">
        <v>79</v>
      </c>
      <c r="P34" s="43">
        <f>COUNTIF('Dados Gerais'!R:R,'Controle total de jovens'!O34)</f>
        <v>66</v>
      </c>
      <c r="Q34" s="43">
        <v>2</v>
      </c>
    </row>
    <row r="35" spans="15:17">
      <c r="O35" s="43" t="s">
        <v>80</v>
      </c>
      <c r="P35" s="43">
        <f>COUNTIF('Dados Gerais'!R:R,'Controle total de jovens'!O35)</f>
        <v>74</v>
      </c>
      <c r="Q35" s="43">
        <v>10</v>
      </c>
    </row>
    <row r="36" spans="15:17">
      <c r="O36" s="43" t="s">
        <v>81</v>
      </c>
      <c r="P36" s="43">
        <f>COUNTIF('Dados Gerais'!R:R,'Controle total de jovens'!O36)</f>
        <v>5</v>
      </c>
      <c r="Q36" s="43">
        <v>0</v>
      </c>
    </row>
    <row r="37" spans="15:17">
      <c r="O37" s="43" t="s">
        <v>82</v>
      </c>
      <c r="P37" s="43">
        <f>COUNTIF('Dados Gerais'!R:R,'Controle total de jovens'!O37)</f>
        <v>12</v>
      </c>
      <c r="Q37" s="43">
        <v>0</v>
      </c>
    </row>
    <row r="38" spans="15:17">
      <c r="O38" s="43" t="s">
        <v>83</v>
      </c>
      <c r="P38" s="43">
        <f>COUNTIF('Dados Gerais'!R:R,'Controle total de jovens'!O38)</f>
        <v>14</v>
      </c>
      <c r="Q38" s="43">
        <v>3</v>
      </c>
    </row>
    <row r="39" spans="15:17">
      <c r="O39" s="43" t="s">
        <v>84</v>
      </c>
      <c r="P39" s="43">
        <f>COUNTIF('Dados Gerais'!R:R,'Controle total de jovens'!O39)</f>
        <v>117</v>
      </c>
      <c r="Q39" s="43">
        <v>3</v>
      </c>
    </row>
    <row r="40" spans="15:17">
      <c r="O40" s="43" t="s">
        <v>85</v>
      </c>
      <c r="P40" s="43">
        <v>22</v>
      </c>
      <c r="Q40" s="43">
        <v>0</v>
      </c>
    </row>
    <row r="41" spans="15:17">
      <c r="O41" s="513" t="s">
        <v>86</v>
      </c>
      <c r="P41" s="513">
        <f>SUM(P5:P40)</f>
        <v>886</v>
      </c>
      <c r="Q41" s="513">
        <f>SUM(Q5:Q39)</f>
        <v>86</v>
      </c>
    </row>
  </sheetData>
  <mergeCells count="5">
    <mergeCell ref="O1:Q1"/>
    <mergeCell ref="O2:Q2"/>
    <mergeCell ref="S1:U1"/>
    <mergeCell ref="S2:U2"/>
    <mergeCell ref="O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F1B-B692-448B-AB8B-01F5AE0691F9}">
  <dimension ref="A1:C4"/>
  <sheetViews>
    <sheetView tabSelected="1" workbookViewId="0">
      <selection activeCell="K21" sqref="K21"/>
    </sheetView>
  </sheetViews>
  <sheetFormatPr defaultRowHeight="15"/>
  <cols>
    <col min="2" max="2" width="37.140625" bestFit="1" customWidth="1"/>
    <col min="3" max="3" width="20.140625" bestFit="1" customWidth="1"/>
  </cols>
  <sheetData>
    <row r="1" spans="1:3">
      <c r="A1" t="s">
        <v>87</v>
      </c>
      <c r="B1" t="s">
        <v>88</v>
      </c>
      <c r="C1" t="s">
        <v>47</v>
      </c>
    </row>
    <row r="2" spans="1:3">
      <c r="A2" t="s">
        <v>89</v>
      </c>
      <c r="B2" s="35" t="s">
        <v>90</v>
      </c>
      <c r="C2" s="4" t="s">
        <v>84</v>
      </c>
    </row>
    <row r="3" spans="1:3">
      <c r="A3" t="s">
        <v>91</v>
      </c>
      <c r="B3" s="35" t="s">
        <v>92</v>
      </c>
      <c r="C3" s="4" t="s">
        <v>79</v>
      </c>
    </row>
    <row r="4" spans="1:3">
      <c r="A4" t="s">
        <v>93</v>
      </c>
      <c r="B4" s="35" t="s">
        <v>94</v>
      </c>
      <c r="C4" s="4" t="s">
        <v>80</v>
      </c>
    </row>
  </sheetData>
  <hyperlinks>
    <hyperlink ref="B4" r:id="rId1" xr:uid="{87575693-9BB7-4BE8-86EB-40A6436B4AD7}"/>
    <hyperlink ref="B3" r:id="rId2" xr:uid="{53AEA925-7331-4C92-B078-4CF33EF4F2E4}"/>
    <hyperlink ref="B2" r:id="rId3" xr:uid="{37136ED8-1928-47CB-926F-C52701296135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663C0-BAA9-4564-9049-0D2E7048228F}">
  <sheetPr codeName="Planilha1">
    <tabColor theme="6"/>
  </sheetPr>
  <dimension ref="A1:X9"/>
  <sheetViews>
    <sheetView topLeftCell="A22" workbookViewId="0">
      <selection activeCell="G37" sqref="G37"/>
    </sheetView>
  </sheetViews>
  <sheetFormatPr defaultRowHeight="15"/>
  <sheetData>
    <row r="1" spans="1:24" ht="15" customHeight="1">
      <c r="A1" s="580" t="s">
        <v>95</v>
      </c>
      <c r="B1" s="580"/>
      <c r="C1" s="580"/>
      <c r="D1" s="580"/>
      <c r="E1" s="580"/>
      <c r="F1" s="580"/>
      <c r="G1" s="580"/>
      <c r="H1" s="580"/>
      <c r="I1" s="582"/>
      <c r="J1" s="582"/>
      <c r="K1" s="582"/>
      <c r="L1" s="582"/>
      <c r="M1" s="582"/>
      <c r="N1" s="582"/>
      <c r="O1" s="582"/>
      <c r="P1" s="582"/>
      <c r="Q1" s="582"/>
      <c r="R1" s="582"/>
      <c r="S1" s="582"/>
      <c r="T1" s="582"/>
      <c r="U1" s="582"/>
      <c r="V1" s="582"/>
      <c r="W1" s="582"/>
      <c r="X1" s="582"/>
    </row>
    <row r="2" spans="1:24" ht="15" customHeight="1">
      <c r="A2" s="581"/>
      <c r="B2" s="581"/>
      <c r="C2" s="581"/>
      <c r="D2" s="581"/>
      <c r="E2" s="581"/>
      <c r="F2" s="581"/>
      <c r="G2" s="581"/>
      <c r="H2" s="581"/>
      <c r="I2" s="582"/>
      <c r="J2" s="582"/>
      <c r="K2" s="582"/>
      <c r="L2" s="582"/>
      <c r="M2" s="582"/>
      <c r="N2" s="582"/>
      <c r="O2" s="582"/>
      <c r="P2" s="582"/>
      <c r="Q2" s="582"/>
      <c r="R2" s="582"/>
      <c r="S2" s="582"/>
      <c r="T2" s="582"/>
      <c r="U2" s="582"/>
      <c r="V2" s="582"/>
      <c r="W2" s="582"/>
      <c r="X2" s="582"/>
    </row>
    <row r="3" spans="1:24" ht="15" customHeight="1">
      <c r="A3" s="581"/>
      <c r="B3" s="581"/>
      <c r="C3" s="581"/>
      <c r="D3" s="581"/>
      <c r="E3" s="581"/>
      <c r="F3" s="581"/>
      <c r="G3" s="581"/>
      <c r="H3" s="581"/>
      <c r="I3" s="582"/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V3" s="582"/>
      <c r="W3" s="582"/>
      <c r="X3" s="582"/>
    </row>
    <row r="4" spans="1:24" ht="15" customHeight="1">
      <c r="A4" s="581"/>
      <c r="B4" s="581"/>
      <c r="C4" s="581"/>
      <c r="D4" s="581"/>
      <c r="E4" s="581"/>
      <c r="F4" s="581"/>
      <c r="G4" s="581"/>
      <c r="H4" s="581"/>
      <c r="I4" s="582"/>
      <c r="J4" s="582"/>
      <c r="K4" s="582"/>
      <c r="L4" s="582"/>
      <c r="M4" s="582"/>
      <c r="N4" s="582"/>
      <c r="O4" s="582"/>
      <c r="P4" s="582"/>
      <c r="Q4" s="582"/>
      <c r="R4" s="582"/>
      <c r="S4" s="582"/>
      <c r="T4" s="582"/>
      <c r="U4" s="582"/>
      <c r="V4" s="582"/>
      <c r="W4" s="582"/>
      <c r="X4" s="582"/>
    </row>
    <row r="5" spans="1:24" ht="15" customHeight="1">
      <c r="A5" s="581"/>
      <c r="B5" s="581"/>
      <c r="C5" s="581"/>
      <c r="D5" s="581"/>
      <c r="E5" s="581"/>
      <c r="F5" s="581"/>
      <c r="G5" s="581"/>
      <c r="H5" s="581"/>
      <c r="I5" s="582"/>
      <c r="J5" s="582"/>
      <c r="K5" s="582"/>
      <c r="L5" s="582"/>
      <c r="M5" s="582"/>
      <c r="N5" s="582"/>
      <c r="O5" s="582"/>
      <c r="P5" s="582"/>
      <c r="Q5" s="582"/>
      <c r="R5" s="582"/>
      <c r="S5" s="582"/>
      <c r="T5" s="582"/>
      <c r="U5" s="582"/>
      <c r="V5" s="582"/>
      <c r="W5" s="582"/>
      <c r="X5" s="582"/>
    </row>
    <row r="6" spans="1:24" ht="15" customHeight="1">
      <c r="A6" s="581"/>
      <c r="B6" s="581"/>
      <c r="C6" s="581"/>
      <c r="D6" s="581"/>
      <c r="E6" s="581"/>
      <c r="F6" s="581"/>
      <c r="G6" s="581"/>
      <c r="H6" s="581"/>
      <c r="I6" s="582"/>
      <c r="J6" s="582"/>
      <c r="K6" s="582"/>
      <c r="L6" s="582"/>
      <c r="M6" s="582"/>
      <c r="N6" s="582"/>
      <c r="O6" s="582"/>
      <c r="P6" s="582"/>
      <c r="Q6" s="582"/>
      <c r="R6" s="582"/>
      <c r="S6" s="582"/>
      <c r="T6" s="582"/>
      <c r="U6" s="582"/>
      <c r="V6" s="582"/>
      <c r="W6" s="582"/>
      <c r="X6" s="582"/>
    </row>
    <row r="7" spans="1:24">
      <c r="A7" s="581"/>
      <c r="B7" s="581"/>
      <c r="C7" s="581"/>
      <c r="D7" s="581"/>
      <c r="E7" s="581"/>
      <c r="F7" s="581"/>
      <c r="G7" s="581"/>
      <c r="H7" s="581"/>
      <c r="I7" s="582"/>
      <c r="J7" s="582"/>
      <c r="K7" s="582"/>
      <c r="L7" s="582"/>
      <c r="M7" s="582"/>
      <c r="N7" s="582"/>
      <c r="O7" s="582"/>
      <c r="P7" s="582"/>
      <c r="Q7" s="582"/>
      <c r="R7" s="582"/>
      <c r="S7" s="582"/>
      <c r="T7" s="582"/>
      <c r="U7" s="582"/>
      <c r="V7" s="582"/>
      <c r="W7" s="582"/>
      <c r="X7" s="582"/>
    </row>
    <row r="8" spans="1:24">
      <c r="A8" s="581"/>
      <c r="B8" s="581"/>
      <c r="C8" s="581"/>
      <c r="D8" s="581"/>
      <c r="E8" s="581"/>
      <c r="F8" s="581"/>
      <c r="G8" s="581"/>
      <c r="H8" s="581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</row>
    <row r="9" spans="1:24">
      <c r="A9" s="581"/>
      <c r="B9" s="581"/>
      <c r="C9" s="581"/>
      <c r="D9" s="581"/>
      <c r="E9" s="581"/>
      <c r="F9" s="581"/>
      <c r="G9" s="581"/>
      <c r="H9" s="581"/>
      <c r="I9" s="582"/>
      <c r="J9" s="582"/>
      <c r="K9" s="582"/>
      <c r="L9" s="582"/>
      <c r="M9" s="582"/>
      <c r="N9" s="582"/>
      <c r="O9" s="582"/>
      <c r="P9" s="582"/>
      <c r="Q9" s="582"/>
      <c r="R9" s="582"/>
      <c r="S9" s="582"/>
      <c r="T9" s="582"/>
      <c r="U9" s="582"/>
      <c r="V9" s="582"/>
      <c r="W9" s="582"/>
      <c r="X9" s="582"/>
    </row>
  </sheetData>
  <sheetProtection algorithmName="SHA-512" hashValue="FQkvKJNqdguiay/PecFd1dVcXFm6WxfQaYAAixT9/L2bgGizmuYEAKQRilDosx5mK+4vnw2toDIl5sfx7+25rQ==" saltValue="NzqEvVqN/n+2VJlKhwXykw==" spinCount="100000" sheet="1" objects="1" scenarios="1"/>
  <mergeCells count="2">
    <mergeCell ref="A1:H9"/>
    <mergeCell ref="I1:X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906C2-862E-4D29-A504-FB3CED67DFE9}">
  <sheetPr codeName="Planilha2" filterMode="1">
    <tabColor theme="3" tint="0.499984740745262"/>
  </sheetPr>
  <dimension ref="A1:AI402"/>
  <sheetViews>
    <sheetView showGridLines="0" workbookViewId="0">
      <selection activeCell="B125" sqref="B125"/>
    </sheetView>
  </sheetViews>
  <sheetFormatPr defaultRowHeight="15"/>
  <cols>
    <col min="1" max="1" width="30.42578125" style="4" bestFit="1" customWidth="1"/>
    <col min="2" max="2" width="28.140625" style="4" bestFit="1" customWidth="1"/>
    <col min="3" max="3" width="4.140625" style="596" customWidth="1"/>
    <col min="4" max="4" width="39.42578125" style="7" bestFit="1" customWidth="1"/>
    <col min="13" max="13" width="0" hidden="1" customWidth="1"/>
    <col min="14" max="14" width="20.85546875" bestFit="1" customWidth="1"/>
    <col min="15" max="15" width="28.140625" hidden="1" customWidth="1"/>
    <col min="16" max="16" width="15.7109375" hidden="1" customWidth="1"/>
    <col min="17" max="17" width="14.42578125" bestFit="1" customWidth="1"/>
  </cols>
  <sheetData>
    <row r="1" spans="1:35" ht="18.75">
      <c r="A1" s="1" t="s">
        <v>96</v>
      </c>
      <c r="B1" s="2" t="s">
        <v>97</v>
      </c>
      <c r="C1" s="595"/>
      <c r="D1" s="3" t="s">
        <v>98</v>
      </c>
      <c r="G1" s="587" t="s">
        <v>99</v>
      </c>
      <c r="H1" s="587"/>
      <c r="I1" s="587"/>
      <c r="J1" s="587"/>
      <c r="K1" s="587"/>
      <c r="N1" s="587" t="s">
        <v>100</v>
      </c>
      <c r="O1" s="587"/>
      <c r="P1" s="587"/>
      <c r="Q1" s="587"/>
      <c r="R1" s="587"/>
      <c r="S1" s="584" t="s">
        <v>101</v>
      </c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</row>
    <row r="2" spans="1:35" ht="18.75" hidden="1">
      <c r="A2" s="4" t="s">
        <v>55</v>
      </c>
      <c r="B2" s="5" t="s">
        <v>55</v>
      </c>
      <c r="C2" s="595"/>
      <c r="D2" s="6" t="s">
        <v>102</v>
      </c>
      <c r="G2" s="597" t="s">
        <v>103</v>
      </c>
      <c r="H2" s="597"/>
      <c r="I2" s="597"/>
      <c r="J2" s="597"/>
      <c r="K2" s="597"/>
      <c r="M2" t="s">
        <v>104</v>
      </c>
      <c r="N2" s="588" t="s">
        <v>105</v>
      </c>
      <c r="O2" s="588"/>
      <c r="P2" s="588"/>
      <c r="Q2" s="588"/>
      <c r="R2" s="588"/>
    </row>
    <row r="3" spans="1:35" hidden="1">
      <c r="A3" s="4" t="s">
        <v>106</v>
      </c>
      <c r="B3" s="5" t="s">
        <v>55</v>
      </c>
      <c r="C3" s="595"/>
      <c r="R3" s="427"/>
    </row>
    <row r="4" spans="1:35" ht="15.75" hidden="1">
      <c r="A4" s="4" t="s">
        <v>107</v>
      </c>
      <c r="B4" s="5" t="s">
        <v>55</v>
      </c>
      <c r="C4" s="595"/>
      <c r="D4" s="6" t="s">
        <v>108</v>
      </c>
      <c r="G4" s="598" t="s">
        <v>109</v>
      </c>
      <c r="H4" s="598"/>
      <c r="I4" s="598"/>
      <c r="J4" s="598"/>
      <c r="K4" s="598"/>
      <c r="N4" s="586" t="s">
        <v>110</v>
      </c>
      <c r="O4" s="586"/>
      <c r="P4" s="586"/>
      <c r="Q4" s="586"/>
      <c r="R4" s="427"/>
    </row>
    <row r="5" spans="1:35" ht="30" hidden="1">
      <c r="A5" s="4" t="s">
        <v>111</v>
      </c>
      <c r="B5" s="5" t="s">
        <v>55</v>
      </c>
      <c r="C5" s="595"/>
      <c r="G5" s="599" t="s">
        <v>112</v>
      </c>
      <c r="H5" s="600"/>
      <c r="I5" s="600"/>
      <c r="J5" s="600"/>
      <c r="K5" s="601"/>
      <c r="N5" s="423" t="s">
        <v>113</v>
      </c>
      <c r="O5" s="424" t="s">
        <v>114</v>
      </c>
      <c r="P5" s="178" t="s">
        <v>115</v>
      </c>
      <c r="Q5" s="425" t="s">
        <v>116</v>
      </c>
      <c r="R5" s="427"/>
    </row>
    <row r="6" spans="1:35" hidden="1">
      <c r="A6" s="4" t="s">
        <v>117</v>
      </c>
      <c r="B6" s="5" t="s">
        <v>55</v>
      </c>
      <c r="C6" s="595"/>
      <c r="D6" s="6" t="s">
        <v>118</v>
      </c>
      <c r="N6" s="55">
        <f>COUNTIF('Dados Gerais'!B:B,"Realizada")+COUNTIF('RELAÇÃO - ENCERRADOS '!B:B,"Realizada")</f>
        <v>308</v>
      </c>
      <c r="O6" s="384">
        <f>COUNTIF('Dados Gerais'!B:B,"Pendente")</f>
        <v>703</v>
      </c>
      <c r="P6" s="175">
        <f>COUNTIF('Dados Gerais'!K:K,"01/08/2025")</f>
        <v>0</v>
      </c>
      <c r="Q6" s="43">
        <f>COUNTA('Dados Gerais'!B:B)-'Dados das Regiões '!N6</f>
        <v>581</v>
      </c>
      <c r="R6" s="427"/>
    </row>
    <row r="7" spans="1:35" hidden="1">
      <c r="A7" s="4" t="s">
        <v>119</v>
      </c>
      <c r="B7" s="5" t="s">
        <v>55</v>
      </c>
      <c r="C7" s="595"/>
      <c r="R7" s="427"/>
    </row>
    <row r="8" spans="1:35" hidden="1">
      <c r="A8" s="4" t="s">
        <v>120</v>
      </c>
      <c r="B8" s="5" t="s">
        <v>55</v>
      </c>
      <c r="C8" s="595"/>
      <c r="D8" s="8" t="s">
        <v>121</v>
      </c>
      <c r="G8" s="602" t="s">
        <v>122</v>
      </c>
      <c r="H8" s="603"/>
      <c r="I8" s="603"/>
      <c r="J8" s="603"/>
      <c r="K8" s="604"/>
      <c r="R8" s="427"/>
    </row>
    <row r="9" spans="1:35" hidden="1">
      <c r="A9" s="4" t="s">
        <v>123</v>
      </c>
      <c r="B9" s="5" t="s">
        <v>55</v>
      </c>
      <c r="C9" s="595"/>
      <c r="G9" s="605"/>
      <c r="H9" s="606"/>
      <c r="I9" s="606"/>
      <c r="J9" s="606"/>
      <c r="K9" s="607"/>
      <c r="R9" s="427"/>
    </row>
    <row r="10" spans="1:35" hidden="1">
      <c r="A10" s="4" t="s">
        <v>124</v>
      </c>
      <c r="B10" s="5" t="s">
        <v>55</v>
      </c>
      <c r="C10" s="595"/>
      <c r="D10" s="8" t="s">
        <v>125</v>
      </c>
      <c r="G10" s="608" t="s">
        <v>126</v>
      </c>
      <c r="H10" s="609"/>
      <c r="I10" s="609"/>
      <c r="J10" s="609"/>
      <c r="K10" s="610"/>
      <c r="R10" s="427"/>
    </row>
    <row r="11" spans="1:35" hidden="1">
      <c r="A11" s="4" t="s">
        <v>127</v>
      </c>
      <c r="B11" s="5" t="s">
        <v>55</v>
      </c>
      <c r="C11" s="595"/>
      <c r="G11" s="608"/>
      <c r="H11" s="609"/>
      <c r="I11" s="609"/>
      <c r="J11" s="609"/>
      <c r="K11" s="610"/>
      <c r="R11" s="427"/>
    </row>
    <row r="12" spans="1:35" hidden="1">
      <c r="A12" s="4" t="s">
        <v>128</v>
      </c>
      <c r="B12" s="5" t="s">
        <v>55</v>
      </c>
      <c r="C12" s="595"/>
      <c r="D12" s="8" t="s">
        <v>129</v>
      </c>
      <c r="G12" s="608"/>
      <c r="H12" s="609"/>
      <c r="I12" s="609"/>
      <c r="J12" s="609"/>
      <c r="K12" s="610"/>
      <c r="R12" s="427"/>
    </row>
    <row r="13" spans="1:35" hidden="1">
      <c r="A13" s="4" t="s">
        <v>130</v>
      </c>
      <c r="B13" s="5" t="s">
        <v>55</v>
      </c>
      <c r="C13" s="595"/>
      <c r="G13" s="608"/>
      <c r="H13" s="609"/>
      <c r="I13" s="609"/>
      <c r="J13" s="609"/>
      <c r="K13" s="610"/>
      <c r="R13" s="427"/>
    </row>
    <row r="14" spans="1:35" hidden="1">
      <c r="A14" s="4" t="s">
        <v>131</v>
      </c>
      <c r="B14" s="5" t="s">
        <v>55</v>
      </c>
      <c r="C14" s="595"/>
      <c r="D14" s="8" t="s">
        <v>132</v>
      </c>
      <c r="G14" s="608"/>
      <c r="H14" s="609"/>
      <c r="I14" s="609"/>
      <c r="J14" s="609"/>
      <c r="K14" s="610"/>
      <c r="R14" s="427"/>
    </row>
    <row r="15" spans="1:35" hidden="1">
      <c r="A15" s="4" t="s">
        <v>133</v>
      </c>
      <c r="B15" s="5" t="s">
        <v>55</v>
      </c>
      <c r="C15" s="595"/>
      <c r="G15" s="608"/>
      <c r="H15" s="609"/>
      <c r="I15" s="609"/>
      <c r="J15" s="609"/>
      <c r="K15" s="610"/>
      <c r="R15" s="427"/>
    </row>
    <row r="16" spans="1:35" hidden="1">
      <c r="A16" s="4" t="s">
        <v>134</v>
      </c>
      <c r="B16" s="5" t="s">
        <v>55</v>
      </c>
      <c r="C16" s="595"/>
      <c r="D16" s="8" t="s">
        <v>135</v>
      </c>
      <c r="G16" s="608"/>
      <c r="H16" s="609"/>
      <c r="I16" s="609"/>
      <c r="J16" s="609"/>
      <c r="K16" s="610"/>
      <c r="R16" s="427"/>
      <c r="S16" s="583"/>
      <c r="T16" s="583"/>
      <c r="U16" s="583"/>
      <c r="V16" s="583"/>
      <c r="W16" s="583"/>
      <c r="X16" s="583"/>
      <c r="Y16" s="583"/>
      <c r="Z16" s="583"/>
      <c r="AA16" s="583"/>
      <c r="AB16" s="583"/>
      <c r="AC16" s="583"/>
      <c r="AD16" s="583"/>
      <c r="AE16" s="583"/>
      <c r="AF16" s="583"/>
      <c r="AG16" s="583"/>
      <c r="AH16" s="583"/>
      <c r="AI16" s="583"/>
    </row>
    <row r="17" spans="1:35" hidden="1">
      <c r="A17" s="4" t="s">
        <v>56</v>
      </c>
      <c r="B17" s="4" t="s">
        <v>56</v>
      </c>
      <c r="C17" s="595"/>
      <c r="G17" s="9"/>
      <c r="H17" s="10"/>
      <c r="I17" s="10"/>
      <c r="J17" s="10"/>
      <c r="K17" s="11"/>
      <c r="R17" s="427"/>
      <c r="S17" s="583"/>
      <c r="T17" s="583"/>
      <c r="U17" s="583"/>
      <c r="V17" s="583"/>
      <c r="W17" s="583"/>
      <c r="X17" s="583"/>
      <c r="Y17" s="583"/>
      <c r="Z17" s="583"/>
      <c r="AA17" s="583"/>
      <c r="AB17" s="583"/>
      <c r="AC17" s="583"/>
      <c r="AD17" s="583"/>
      <c r="AE17" s="583"/>
      <c r="AF17" s="583"/>
      <c r="AG17" s="583"/>
      <c r="AH17" s="583"/>
      <c r="AI17" s="583"/>
    </row>
    <row r="18" spans="1:35" hidden="1">
      <c r="A18" s="4" t="s">
        <v>136</v>
      </c>
      <c r="B18" s="4" t="s">
        <v>56</v>
      </c>
      <c r="C18" s="595"/>
      <c r="D18" s="8" t="s">
        <v>137</v>
      </c>
      <c r="G18" s="608" t="s">
        <v>138</v>
      </c>
      <c r="H18" s="609"/>
      <c r="I18" s="609"/>
      <c r="J18" s="609"/>
      <c r="K18" s="610"/>
      <c r="R18" s="427"/>
    </row>
    <row r="19" spans="1:35" hidden="1">
      <c r="A19" s="4" t="s">
        <v>139</v>
      </c>
      <c r="B19" s="4" t="s">
        <v>56</v>
      </c>
      <c r="C19" s="595"/>
      <c r="G19" s="608"/>
      <c r="H19" s="609"/>
      <c r="I19" s="609"/>
      <c r="J19" s="609"/>
      <c r="K19" s="610"/>
      <c r="R19" s="427"/>
    </row>
    <row r="20" spans="1:35" hidden="1">
      <c r="A20" s="4" t="s">
        <v>140</v>
      </c>
      <c r="B20" s="4" t="s">
        <v>56</v>
      </c>
      <c r="C20" s="595"/>
      <c r="D20" s="8" t="s">
        <v>141</v>
      </c>
      <c r="G20" s="608"/>
      <c r="H20" s="609"/>
      <c r="I20" s="609"/>
      <c r="J20" s="609"/>
      <c r="K20" s="610"/>
      <c r="N20" s="586" t="s">
        <v>142</v>
      </c>
      <c r="O20" s="586"/>
      <c r="P20" s="586"/>
      <c r="Q20" s="586"/>
      <c r="R20" s="427"/>
    </row>
    <row r="21" spans="1:35" ht="30" hidden="1">
      <c r="A21" s="4" t="s">
        <v>143</v>
      </c>
      <c r="B21" s="4" t="s">
        <v>56</v>
      </c>
      <c r="C21" s="595"/>
      <c r="G21" s="608"/>
      <c r="H21" s="609"/>
      <c r="I21" s="609"/>
      <c r="J21" s="609"/>
      <c r="K21" s="610"/>
      <c r="N21" s="423" t="s">
        <v>113</v>
      </c>
      <c r="O21" s="424" t="s">
        <v>114</v>
      </c>
      <c r="P21" s="178" t="s">
        <v>115</v>
      </c>
      <c r="Q21" s="425" t="s">
        <v>116</v>
      </c>
      <c r="R21" s="427"/>
    </row>
    <row r="22" spans="1:35" hidden="1">
      <c r="A22" s="4" t="s">
        <v>57</v>
      </c>
      <c r="B22" s="4" t="s">
        <v>57</v>
      </c>
      <c r="C22" s="595"/>
      <c r="D22" s="8" t="s">
        <v>144</v>
      </c>
      <c r="G22" s="608"/>
      <c r="H22" s="609"/>
      <c r="I22" s="609"/>
      <c r="J22" s="609"/>
      <c r="K22" s="610"/>
      <c r="N22">
        <f>COUNTIF('Dados Gerais - Téc'!B:B,"Realizada")</f>
        <v>0</v>
      </c>
      <c r="Q22">
        <f>COUNTIF('Dados Gerais - Téc'!B:B,"Pendente")</f>
        <v>84</v>
      </c>
      <c r="R22" s="427"/>
    </row>
    <row r="23" spans="1:35" hidden="1">
      <c r="A23" s="4" t="s">
        <v>145</v>
      </c>
      <c r="B23" s="4" t="s">
        <v>84</v>
      </c>
      <c r="C23" s="595"/>
      <c r="G23" s="608"/>
      <c r="H23" s="609"/>
      <c r="I23" s="609"/>
      <c r="J23" s="609"/>
      <c r="K23" s="610"/>
      <c r="R23" s="427"/>
    </row>
    <row r="24" spans="1:35" hidden="1">
      <c r="A24" s="4" t="s">
        <v>146</v>
      </c>
      <c r="B24" s="4" t="s">
        <v>84</v>
      </c>
      <c r="C24" s="595"/>
      <c r="D24" s="8" t="s">
        <v>147</v>
      </c>
      <c r="G24" s="9"/>
      <c r="H24" s="10"/>
      <c r="I24" s="10"/>
      <c r="J24" s="10"/>
      <c r="K24" s="11"/>
      <c r="R24" s="427"/>
    </row>
    <row r="25" spans="1:35" hidden="1">
      <c r="A25" s="4" t="s">
        <v>148</v>
      </c>
      <c r="B25" s="4" t="s">
        <v>84</v>
      </c>
      <c r="C25" s="595"/>
      <c r="G25" s="589" t="s">
        <v>67</v>
      </c>
      <c r="H25" s="590"/>
      <c r="I25" s="590"/>
      <c r="J25" s="590"/>
      <c r="K25" s="591"/>
      <c r="R25" s="427"/>
    </row>
    <row r="26" spans="1:35" hidden="1">
      <c r="A26" s="4" t="s">
        <v>84</v>
      </c>
      <c r="B26" s="4" t="s">
        <v>84</v>
      </c>
      <c r="C26" s="595"/>
      <c r="D26" s="8" t="s">
        <v>149</v>
      </c>
      <c r="G26" s="589"/>
      <c r="H26" s="590"/>
      <c r="I26" s="590"/>
      <c r="J26" s="590"/>
      <c r="K26" s="591"/>
      <c r="R26" s="427"/>
    </row>
    <row r="27" spans="1:35" hidden="1">
      <c r="A27" s="4" t="s">
        <v>150</v>
      </c>
      <c r="B27" s="4" t="s">
        <v>84</v>
      </c>
      <c r="C27" s="595"/>
      <c r="G27" s="9"/>
      <c r="H27" s="10"/>
      <c r="I27" s="10"/>
      <c r="J27" s="10"/>
      <c r="K27" s="11"/>
      <c r="R27" s="427"/>
    </row>
    <row r="28" spans="1:35" hidden="1">
      <c r="A28" s="4" t="s">
        <v>151</v>
      </c>
      <c r="B28" s="4" t="s">
        <v>84</v>
      </c>
      <c r="C28" s="595"/>
      <c r="D28" s="8" t="s">
        <v>152</v>
      </c>
      <c r="G28" s="608" t="s">
        <v>153</v>
      </c>
      <c r="H28" s="609"/>
      <c r="I28" s="609"/>
      <c r="J28" s="609"/>
      <c r="K28" s="610"/>
      <c r="R28" s="427"/>
    </row>
    <row r="29" spans="1:35" hidden="1">
      <c r="A29" s="4" t="s">
        <v>154</v>
      </c>
      <c r="B29" s="4" t="s">
        <v>84</v>
      </c>
      <c r="C29" s="595"/>
      <c r="G29" s="608"/>
      <c r="H29" s="609"/>
      <c r="I29" s="609"/>
      <c r="J29" s="609"/>
      <c r="K29" s="610"/>
      <c r="R29" s="427"/>
    </row>
    <row r="30" spans="1:35" hidden="1">
      <c r="A30" s="4" t="s">
        <v>155</v>
      </c>
      <c r="B30" s="4" t="s">
        <v>84</v>
      </c>
      <c r="C30" s="595"/>
      <c r="D30" s="8" t="s">
        <v>156</v>
      </c>
      <c r="G30" s="608"/>
      <c r="H30" s="609"/>
      <c r="I30" s="609"/>
      <c r="J30" s="609"/>
      <c r="K30" s="610"/>
      <c r="R30" s="427"/>
    </row>
    <row r="31" spans="1:35" hidden="1">
      <c r="A31" s="4" t="s">
        <v>157</v>
      </c>
      <c r="B31" s="4" t="s">
        <v>84</v>
      </c>
      <c r="C31" s="595"/>
      <c r="G31" s="9"/>
      <c r="H31" s="10"/>
      <c r="I31" s="10"/>
      <c r="J31" s="10"/>
      <c r="K31" s="11"/>
      <c r="R31" s="427"/>
    </row>
    <row r="32" spans="1:35" hidden="1">
      <c r="A32" s="4" t="s">
        <v>158</v>
      </c>
      <c r="B32" s="4" t="s">
        <v>84</v>
      </c>
      <c r="C32" s="595"/>
      <c r="D32" s="8" t="s">
        <v>159</v>
      </c>
      <c r="G32" s="589" t="s">
        <v>55</v>
      </c>
      <c r="H32" s="590"/>
      <c r="I32" s="590"/>
      <c r="J32" s="590"/>
      <c r="K32" s="591"/>
      <c r="R32" s="427"/>
    </row>
    <row r="33" spans="1:18" hidden="1">
      <c r="A33" s="4" t="s">
        <v>160</v>
      </c>
      <c r="B33" s="4" t="s">
        <v>84</v>
      </c>
      <c r="C33" s="595"/>
      <c r="G33" s="589"/>
      <c r="H33" s="590"/>
      <c r="I33" s="590"/>
      <c r="J33" s="590"/>
      <c r="K33" s="591"/>
      <c r="R33" s="427"/>
    </row>
    <row r="34" spans="1:18" hidden="1">
      <c r="A34" s="4" t="s">
        <v>161</v>
      </c>
      <c r="B34" s="4" t="s">
        <v>84</v>
      </c>
      <c r="C34" s="595"/>
      <c r="D34" s="8" t="s">
        <v>162</v>
      </c>
      <c r="G34" s="9"/>
      <c r="H34" s="10"/>
      <c r="I34" s="10"/>
      <c r="J34" s="10"/>
      <c r="K34" s="11"/>
    </row>
    <row r="35" spans="1:18" hidden="1">
      <c r="A35" s="4" t="s">
        <v>163</v>
      </c>
      <c r="B35" s="4" t="s">
        <v>84</v>
      </c>
      <c r="C35" s="595"/>
      <c r="G35" s="589" t="s">
        <v>50</v>
      </c>
      <c r="H35" s="590"/>
      <c r="I35" s="590"/>
      <c r="J35" s="590"/>
      <c r="K35" s="591"/>
    </row>
    <row r="36" spans="1:18" ht="15.75" hidden="1" thickBot="1">
      <c r="A36" s="4" t="s">
        <v>164</v>
      </c>
      <c r="B36" s="4" t="s">
        <v>84</v>
      </c>
      <c r="C36" s="595"/>
      <c r="D36" s="8" t="s">
        <v>165</v>
      </c>
      <c r="G36" s="592"/>
      <c r="H36" s="593"/>
      <c r="I36" s="593"/>
      <c r="J36" s="593"/>
      <c r="K36" s="594"/>
    </row>
    <row r="37" spans="1:18" hidden="1">
      <c r="A37" s="4" t="s">
        <v>166</v>
      </c>
      <c r="B37" s="4" t="s">
        <v>84</v>
      </c>
      <c r="C37" s="595"/>
    </row>
    <row r="38" spans="1:18" hidden="1">
      <c r="A38" s="4" t="s">
        <v>167</v>
      </c>
      <c r="B38" s="4" t="s">
        <v>84</v>
      </c>
      <c r="C38" s="595"/>
      <c r="D38" s="8" t="s">
        <v>168</v>
      </c>
    </row>
    <row r="39" spans="1:18" hidden="1">
      <c r="A39" s="4" t="s">
        <v>169</v>
      </c>
      <c r="B39" s="4" t="s">
        <v>84</v>
      </c>
      <c r="C39" s="595"/>
    </row>
    <row r="40" spans="1:18" hidden="1">
      <c r="A40" s="4" t="s">
        <v>170</v>
      </c>
      <c r="B40" s="4" t="s">
        <v>84</v>
      </c>
      <c r="C40" s="595"/>
      <c r="D40" s="8" t="s">
        <v>171</v>
      </c>
    </row>
    <row r="41" spans="1:18" hidden="1">
      <c r="A41" s="4" t="s">
        <v>172</v>
      </c>
      <c r="B41" s="4" t="s">
        <v>84</v>
      </c>
      <c r="C41" s="595"/>
    </row>
    <row r="42" spans="1:18" hidden="1">
      <c r="A42" t="s">
        <v>173</v>
      </c>
      <c r="B42" s="4" t="s">
        <v>84</v>
      </c>
      <c r="C42" s="595"/>
      <c r="D42" s="8" t="s">
        <v>174</v>
      </c>
    </row>
    <row r="43" spans="1:18" hidden="1">
      <c r="A43" s="4" t="s">
        <v>175</v>
      </c>
      <c r="B43" s="4" t="s">
        <v>84</v>
      </c>
      <c r="C43" s="595"/>
    </row>
    <row r="44" spans="1:18" hidden="1">
      <c r="A44" s="4" t="s">
        <v>176</v>
      </c>
      <c r="B44" s="4" t="s">
        <v>84</v>
      </c>
      <c r="C44" s="595"/>
      <c r="D44" s="8" t="s">
        <v>177</v>
      </c>
    </row>
    <row r="45" spans="1:18" hidden="1">
      <c r="A45" s="4" t="s">
        <v>178</v>
      </c>
      <c r="B45" s="4" t="s">
        <v>51</v>
      </c>
      <c r="C45" s="595"/>
    </row>
    <row r="46" spans="1:18" hidden="1">
      <c r="A46" s="4" t="s">
        <v>179</v>
      </c>
      <c r="B46" s="4" t="s">
        <v>51</v>
      </c>
      <c r="C46" s="595"/>
      <c r="D46" s="8" t="s">
        <v>180</v>
      </c>
    </row>
    <row r="47" spans="1:18" hidden="1">
      <c r="A47" s="4" t="s">
        <v>181</v>
      </c>
      <c r="B47" s="4" t="s">
        <v>51</v>
      </c>
      <c r="C47" s="595"/>
    </row>
    <row r="48" spans="1:18" hidden="1">
      <c r="A48" s="4" t="s">
        <v>182</v>
      </c>
      <c r="B48" s="4" t="s">
        <v>51</v>
      </c>
      <c r="C48" s="595"/>
      <c r="D48" s="8" t="s">
        <v>183</v>
      </c>
    </row>
    <row r="49" spans="1:4" hidden="1">
      <c r="A49" s="4" t="s">
        <v>184</v>
      </c>
      <c r="B49" s="4" t="s">
        <v>51</v>
      </c>
      <c r="C49" s="595"/>
    </row>
    <row r="50" spans="1:4" hidden="1">
      <c r="A50" s="4" t="s">
        <v>185</v>
      </c>
      <c r="B50" s="4" t="s">
        <v>51</v>
      </c>
      <c r="C50" s="595"/>
      <c r="D50" s="8" t="s">
        <v>186</v>
      </c>
    </row>
    <row r="51" spans="1:4" hidden="1">
      <c r="A51" s="4" t="s">
        <v>187</v>
      </c>
      <c r="B51" s="4" t="s">
        <v>51</v>
      </c>
      <c r="C51" s="595"/>
    </row>
    <row r="52" spans="1:4" hidden="1">
      <c r="A52" s="4" t="s">
        <v>188</v>
      </c>
      <c r="B52" s="4" t="s">
        <v>51</v>
      </c>
      <c r="C52" s="595"/>
      <c r="D52" s="8" t="s">
        <v>189</v>
      </c>
    </row>
    <row r="53" spans="1:4" hidden="1">
      <c r="A53" s="4" t="s">
        <v>51</v>
      </c>
      <c r="B53" s="4" t="s">
        <v>51</v>
      </c>
      <c r="C53" s="595"/>
    </row>
    <row r="54" spans="1:4" hidden="1">
      <c r="A54" s="4" t="s">
        <v>190</v>
      </c>
      <c r="B54" s="4" t="s">
        <v>51</v>
      </c>
      <c r="C54" s="595"/>
      <c r="D54" s="8" t="s">
        <v>191</v>
      </c>
    </row>
    <row r="55" spans="1:4" hidden="1">
      <c r="A55" s="4" t="s">
        <v>192</v>
      </c>
      <c r="B55" s="4" t="s">
        <v>51</v>
      </c>
      <c r="C55" s="595"/>
    </row>
    <row r="56" spans="1:4" hidden="1">
      <c r="A56" s="4" t="s">
        <v>193</v>
      </c>
      <c r="B56" s="4" t="s">
        <v>51</v>
      </c>
      <c r="C56" s="595"/>
      <c r="D56" s="7" t="s">
        <v>194</v>
      </c>
    </row>
    <row r="57" spans="1:4" hidden="1">
      <c r="A57" s="4" t="s">
        <v>195</v>
      </c>
      <c r="B57" s="4" t="s">
        <v>51</v>
      </c>
      <c r="C57" s="595"/>
    </row>
    <row r="58" spans="1:4" hidden="1">
      <c r="A58" s="4" t="s">
        <v>196</v>
      </c>
      <c r="B58" s="4" t="s">
        <v>51</v>
      </c>
      <c r="C58" s="595"/>
    </row>
    <row r="59" spans="1:4" hidden="1">
      <c r="A59" s="4" t="s">
        <v>197</v>
      </c>
      <c r="B59" s="4" t="s">
        <v>51</v>
      </c>
      <c r="C59" s="595"/>
    </row>
    <row r="60" spans="1:4" hidden="1">
      <c r="A60" s="4" t="s">
        <v>198</v>
      </c>
      <c r="B60" s="4" t="s">
        <v>51</v>
      </c>
      <c r="C60" s="595"/>
    </row>
    <row r="61" spans="1:4" hidden="1">
      <c r="A61" t="s">
        <v>199</v>
      </c>
      <c r="B61" s="4" t="s">
        <v>51</v>
      </c>
      <c r="C61" s="595"/>
    </row>
    <row r="62" spans="1:4" hidden="1">
      <c r="A62" s="4" t="s">
        <v>200</v>
      </c>
      <c r="B62" s="4" t="s">
        <v>51</v>
      </c>
      <c r="C62" s="595"/>
    </row>
    <row r="63" spans="1:4" hidden="1">
      <c r="A63" s="4" t="s">
        <v>201</v>
      </c>
      <c r="B63" s="4" t="s">
        <v>51</v>
      </c>
      <c r="C63" s="595"/>
    </row>
    <row r="64" spans="1:4" hidden="1">
      <c r="A64" s="4" t="s">
        <v>202</v>
      </c>
      <c r="B64" s="4" t="s">
        <v>51</v>
      </c>
      <c r="C64" s="595"/>
    </row>
    <row r="65" spans="1:3" hidden="1">
      <c r="A65" s="4" t="s">
        <v>203</v>
      </c>
      <c r="B65" s="4" t="s">
        <v>51</v>
      </c>
      <c r="C65" s="595"/>
    </row>
    <row r="66" spans="1:3" hidden="1">
      <c r="A66" s="4" t="s">
        <v>204</v>
      </c>
      <c r="B66" s="4" t="s">
        <v>51</v>
      </c>
      <c r="C66" s="595"/>
    </row>
    <row r="67" spans="1:3" hidden="1">
      <c r="A67" s="4" t="s">
        <v>205</v>
      </c>
      <c r="B67" s="4" t="s">
        <v>51</v>
      </c>
      <c r="C67" s="595"/>
    </row>
    <row r="68" spans="1:3" hidden="1">
      <c r="A68" s="4" t="s">
        <v>206</v>
      </c>
      <c r="B68" s="4" t="s">
        <v>51</v>
      </c>
      <c r="C68" s="595"/>
    </row>
    <row r="69" spans="1:3" hidden="1">
      <c r="A69" s="4" t="s">
        <v>207</v>
      </c>
      <c r="B69" s="4" t="s">
        <v>51</v>
      </c>
      <c r="C69" s="595"/>
    </row>
    <row r="70" spans="1:3" hidden="1">
      <c r="A70" s="4" t="s">
        <v>208</v>
      </c>
      <c r="B70" s="4" t="s">
        <v>83</v>
      </c>
      <c r="C70" s="595"/>
    </row>
    <row r="71" spans="1:3" hidden="1">
      <c r="A71" s="4" t="s">
        <v>83</v>
      </c>
      <c r="B71" s="4" t="s">
        <v>83</v>
      </c>
      <c r="C71" s="595"/>
    </row>
    <row r="72" spans="1:3" hidden="1">
      <c r="A72" s="4" t="s">
        <v>209</v>
      </c>
      <c r="B72" s="4" t="s">
        <v>83</v>
      </c>
      <c r="C72" s="595"/>
    </row>
    <row r="73" spans="1:3" hidden="1">
      <c r="A73" s="4" t="s">
        <v>210</v>
      </c>
      <c r="B73" s="4" t="s">
        <v>83</v>
      </c>
      <c r="C73" s="595"/>
    </row>
    <row r="74" spans="1:3" hidden="1">
      <c r="A74" s="4" t="s">
        <v>211</v>
      </c>
      <c r="B74" s="4" t="s">
        <v>83</v>
      </c>
      <c r="C74" s="595"/>
    </row>
    <row r="75" spans="1:3" hidden="1">
      <c r="A75" s="4" t="s">
        <v>212</v>
      </c>
      <c r="B75" s="4" t="s">
        <v>83</v>
      </c>
      <c r="C75" s="595"/>
    </row>
    <row r="76" spans="1:3" hidden="1">
      <c r="A76" s="4" t="s">
        <v>213</v>
      </c>
      <c r="B76" s="4" t="s">
        <v>83</v>
      </c>
      <c r="C76" s="595"/>
    </row>
    <row r="77" spans="1:3" hidden="1">
      <c r="A77" s="4" t="s">
        <v>214</v>
      </c>
      <c r="B77" s="4" t="s">
        <v>83</v>
      </c>
      <c r="C77" s="595"/>
    </row>
    <row r="78" spans="1:3" hidden="1">
      <c r="A78" s="4" t="s">
        <v>215</v>
      </c>
      <c r="B78" s="4" t="s">
        <v>83</v>
      </c>
      <c r="C78" s="595"/>
    </row>
    <row r="79" spans="1:3" hidden="1">
      <c r="A79" s="4" t="s">
        <v>216</v>
      </c>
      <c r="B79" s="4" t="s">
        <v>83</v>
      </c>
      <c r="C79" s="595"/>
    </row>
    <row r="80" spans="1:3" hidden="1">
      <c r="A80" s="4" t="s">
        <v>217</v>
      </c>
      <c r="B80" s="4" t="s">
        <v>58</v>
      </c>
      <c r="C80" s="595"/>
    </row>
    <row r="81" spans="1:3" hidden="1">
      <c r="A81" s="4" t="s">
        <v>218</v>
      </c>
      <c r="B81" s="4" t="s">
        <v>58</v>
      </c>
      <c r="C81" s="595"/>
    </row>
    <row r="82" spans="1:3" hidden="1">
      <c r="A82" s="4" t="s">
        <v>219</v>
      </c>
      <c r="B82" s="4" t="s">
        <v>58</v>
      </c>
      <c r="C82" s="595"/>
    </row>
    <row r="83" spans="1:3" hidden="1">
      <c r="A83" s="4" t="s">
        <v>220</v>
      </c>
      <c r="B83" s="4" t="s">
        <v>58</v>
      </c>
      <c r="C83" s="595"/>
    </row>
    <row r="84" spans="1:3" hidden="1">
      <c r="A84" s="4" t="s">
        <v>58</v>
      </c>
      <c r="B84" s="4" t="s">
        <v>58</v>
      </c>
      <c r="C84" s="595"/>
    </row>
    <row r="85" spans="1:3" hidden="1">
      <c r="A85" s="4" t="s">
        <v>221</v>
      </c>
      <c r="B85" s="4" t="s">
        <v>58</v>
      </c>
      <c r="C85" s="595"/>
    </row>
    <row r="86" spans="1:3" hidden="1">
      <c r="A86" s="4" t="s">
        <v>222</v>
      </c>
      <c r="B86" s="4" t="s">
        <v>58</v>
      </c>
      <c r="C86" s="595"/>
    </row>
    <row r="87" spans="1:3" hidden="1">
      <c r="A87" s="4" t="s">
        <v>223</v>
      </c>
      <c r="B87" s="4" t="s">
        <v>58</v>
      </c>
      <c r="C87" s="595"/>
    </row>
    <row r="88" spans="1:3" hidden="1">
      <c r="A88" s="4" t="s">
        <v>224</v>
      </c>
      <c r="B88" s="4" t="s">
        <v>58</v>
      </c>
      <c r="C88" s="595"/>
    </row>
    <row r="89" spans="1:3" hidden="1">
      <c r="A89" s="4" t="s">
        <v>225</v>
      </c>
      <c r="B89" s="4" t="s">
        <v>58</v>
      </c>
      <c r="C89" s="595"/>
    </row>
    <row r="90" spans="1:3" hidden="1">
      <c r="A90" s="4" t="s">
        <v>226</v>
      </c>
      <c r="B90" s="4" t="s">
        <v>58</v>
      </c>
      <c r="C90" s="595"/>
    </row>
    <row r="91" spans="1:3" hidden="1">
      <c r="A91" s="4" t="s">
        <v>227</v>
      </c>
      <c r="B91" s="4" t="s">
        <v>58</v>
      </c>
      <c r="C91" s="595"/>
    </row>
    <row r="92" spans="1:3" hidden="1">
      <c r="A92" s="4" t="s">
        <v>228</v>
      </c>
      <c r="B92" s="4" t="s">
        <v>58</v>
      </c>
      <c r="C92" s="595"/>
    </row>
    <row r="93" spans="1:3" hidden="1">
      <c r="A93" s="4" t="s">
        <v>229</v>
      </c>
      <c r="B93" s="4" t="s">
        <v>58</v>
      </c>
      <c r="C93" s="595"/>
    </row>
    <row r="94" spans="1:3" hidden="1">
      <c r="A94" s="4" t="s">
        <v>230</v>
      </c>
      <c r="B94" s="4" t="s">
        <v>58</v>
      </c>
      <c r="C94" s="595"/>
    </row>
    <row r="95" spans="1:3" hidden="1">
      <c r="A95" s="4" t="s">
        <v>231</v>
      </c>
      <c r="B95" s="4" t="s">
        <v>58</v>
      </c>
      <c r="C95" s="595"/>
    </row>
    <row r="96" spans="1:3" hidden="1">
      <c r="A96" s="4" t="s">
        <v>232</v>
      </c>
      <c r="B96" s="4" t="s">
        <v>58</v>
      </c>
      <c r="C96" s="595"/>
    </row>
    <row r="97" spans="1:3" hidden="1">
      <c r="A97" s="4" t="s">
        <v>233</v>
      </c>
      <c r="B97" s="4" t="s">
        <v>58</v>
      </c>
      <c r="C97" s="595"/>
    </row>
    <row r="98" spans="1:3" hidden="1">
      <c r="A98" s="4" t="s">
        <v>234</v>
      </c>
      <c r="B98" s="4" t="s">
        <v>58</v>
      </c>
      <c r="C98" s="595"/>
    </row>
    <row r="99" spans="1:3" hidden="1">
      <c r="A99" s="4" t="s">
        <v>235</v>
      </c>
      <c r="B99" s="4" t="s">
        <v>58</v>
      </c>
      <c r="C99" s="595"/>
    </row>
    <row r="100" spans="1:3" hidden="1">
      <c r="A100" s="4" t="s">
        <v>236</v>
      </c>
      <c r="B100" s="4" t="s">
        <v>58</v>
      </c>
      <c r="C100" s="595"/>
    </row>
    <row r="101" spans="1:3" hidden="1">
      <c r="A101" s="4" t="s">
        <v>237</v>
      </c>
      <c r="B101" s="4" t="s">
        <v>82</v>
      </c>
      <c r="C101" s="595"/>
    </row>
    <row r="102" spans="1:3" hidden="1">
      <c r="A102" s="4" t="s">
        <v>238</v>
      </c>
      <c r="B102" s="4" t="s">
        <v>82</v>
      </c>
      <c r="C102" s="595"/>
    </row>
    <row r="103" spans="1:3" hidden="1">
      <c r="A103" s="12" t="s">
        <v>239</v>
      </c>
      <c r="B103" s="4" t="s">
        <v>82</v>
      </c>
      <c r="C103" s="595"/>
    </row>
    <row r="104" spans="1:3" hidden="1">
      <c r="A104" s="4" t="s">
        <v>240</v>
      </c>
      <c r="B104" s="4" t="s">
        <v>82</v>
      </c>
      <c r="C104" s="595"/>
    </row>
    <row r="105" spans="1:3" hidden="1">
      <c r="A105" s="4" t="s">
        <v>241</v>
      </c>
      <c r="B105" s="4" t="s">
        <v>82</v>
      </c>
      <c r="C105" s="595"/>
    </row>
    <row r="106" spans="1:3" hidden="1">
      <c r="A106" s="4" t="s">
        <v>242</v>
      </c>
      <c r="B106" s="4" t="s">
        <v>82</v>
      </c>
      <c r="C106" s="595"/>
    </row>
    <row r="107" spans="1:3" hidden="1">
      <c r="A107" s="4" t="s">
        <v>243</v>
      </c>
      <c r="B107" s="4" t="s">
        <v>82</v>
      </c>
      <c r="C107" s="595"/>
    </row>
    <row r="108" spans="1:3" hidden="1">
      <c r="A108" s="4" t="s">
        <v>244</v>
      </c>
      <c r="B108" s="4" t="s">
        <v>82</v>
      </c>
      <c r="C108" s="595"/>
    </row>
    <row r="109" spans="1:3" hidden="1">
      <c r="A109" s="4" t="s">
        <v>245</v>
      </c>
      <c r="B109" s="4" t="s">
        <v>82</v>
      </c>
      <c r="C109" s="595"/>
    </row>
    <row r="110" spans="1:3" hidden="1">
      <c r="A110" s="4" t="s">
        <v>246</v>
      </c>
      <c r="B110" s="4" t="s">
        <v>82</v>
      </c>
      <c r="C110" s="595"/>
    </row>
    <row r="111" spans="1:3" hidden="1">
      <c r="A111" s="4" t="s">
        <v>247</v>
      </c>
      <c r="B111" s="4" t="s">
        <v>82</v>
      </c>
      <c r="C111" s="595"/>
    </row>
    <row r="112" spans="1:3" hidden="1">
      <c r="A112" s="4" t="s">
        <v>248</v>
      </c>
      <c r="B112" s="4" t="s">
        <v>82</v>
      </c>
      <c r="C112" s="595"/>
    </row>
    <row r="113" spans="1:3" hidden="1">
      <c r="A113" s="4" t="s">
        <v>249</v>
      </c>
      <c r="B113" s="4" t="s">
        <v>81</v>
      </c>
      <c r="C113" s="595"/>
    </row>
    <row r="114" spans="1:3" hidden="1">
      <c r="A114" s="4" t="s">
        <v>250</v>
      </c>
      <c r="B114" s="4" t="s">
        <v>81</v>
      </c>
      <c r="C114" s="595"/>
    </row>
    <row r="115" spans="1:3" hidden="1">
      <c r="A115" s="4" t="s">
        <v>251</v>
      </c>
      <c r="B115" s="4" t="s">
        <v>81</v>
      </c>
      <c r="C115" s="595"/>
    </row>
    <row r="116" spans="1:3" hidden="1">
      <c r="A116" s="4" t="s">
        <v>252</v>
      </c>
      <c r="B116" s="4" t="s">
        <v>81</v>
      </c>
      <c r="C116" s="595"/>
    </row>
    <row r="117" spans="1:3" hidden="1">
      <c r="A117" s="4" t="s">
        <v>243</v>
      </c>
      <c r="B117" s="4" t="s">
        <v>81</v>
      </c>
      <c r="C117" s="595"/>
    </row>
    <row r="118" spans="1:3" hidden="1">
      <c r="A118" s="4" t="s">
        <v>253</v>
      </c>
      <c r="B118" s="4" t="s">
        <v>81</v>
      </c>
      <c r="C118" s="595"/>
    </row>
    <row r="119" spans="1:3" hidden="1">
      <c r="A119" s="4" t="s">
        <v>254</v>
      </c>
      <c r="B119" s="4" t="s">
        <v>81</v>
      </c>
      <c r="C119" s="595"/>
    </row>
    <row r="120" spans="1:3" hidden="1">
      <c r="A120" s="4" t="s">
        <v>52</v>
      </c>
      <c r="B120" s="4" t="s">
        <v>52</v>
      </c>
      <c r="C120" s="595"/>
    </row>
    <row r="121" spans="1:3" hidden="1">
      <c r="A121" s="4" t="s">
        <v>255</v>
      </c>
      <c r="B121" s="4" t="s">
        <v>52</v>
      </c>
      <c r="C121" s="595"/>
    </row>
    <row r="122" spans="1:3" hidden="1">
      <c r="A122" t="s">
        <v>256</v>
      </c>
      <c r="B122" s="4" t="s">
        <v>52</v>
      </c>
      <c r="C122" s="595"/>
    </row>
    <row r="123" spans="1:3" hidden="1">
      <c r="A123" s="4" t="s">
        <v>257</v>
      </c>
      <c r="B123" s="4" t="s">
        <v>52</v>
      </c>
      <c r="C123" s="595"/>
    </row>
    <row r="124" spans="1:3">
      <c r="A124" s="4" t="s">
        <v>258</v>
      </c>
      <c r="B124" s="4" t="s">
        <v>80</v>
      </c>
      <c r="C124" s="595"/>
    </row>
    <row r="125" spans="1:3">
      <c r="A125" s="4" t="s">
        <v>259</v>
      </c>
      <c r="B125" s="4" t="s">
        <v>80</v>
      </c>
      <c r="C125" s="595"/>
    </row>
    <row r="126" spans="1:3">
      <c r="A126" s="4" t="s">
        <v>260</v>
      </c>
      <c r="B126" s="4" t="s">
        <v>80</v>
      </c>
      <c r="C126" s="595"/>
    </row>
    <row r="127" spans="1:3">
      <c r="A127" s="4" t="s">
        <v>261</v>
      </c>
      <c r="B127" s="4" t="s">
        <v>80</v>
      </c>
      <c r="C127" s="595"/>
    </row>
    <row r="128" spans="1:3">
      <c r="A128" s="4" t="s">
        <v>262</v>
      </c>
      <c r="B128" s="4" t="s">
        <v>80</v>
      </c>
      <c r="C128" s="595"/>
    </row>
    <row r="129" spans="1:3">
      <c r="A129" s="4" t="s">
        <v>263</v>
      </c>
      <c r="B129" s="4" t="s">
        <v>80</v>
      </c>
      <c r="C129" s="595"/>
    </row>
    <row r="130" spans="1:3">
      <c r="A130" s="4" t="s">
        <v>264</v>
      </c>
      <c r="B130" s="4" t="s">
        <v>80</v>
      </c>
      <c r="C130" s="595"/>
    </row>
    <row r="131" spans="1:3">
      <c r="A131" s="4" t="s">
        <v>265</v>
      </c>
      <c r="B131" s="4" t="s">
        <v>80</v>
      </c>
      <c r="C131" s="595"/>
    </row>
    <row r="132" spans="1:3">
      <c r="A132" s="4" t="s">
        <v>266</v>
      </c>
      <c r="B132" s="4" t="s">
        <v>80</v>
      </c>
      <c r="C132" s="595"/>
    </row>
    <row r="133" spans="1:3">
      <c r="A133" s="4" t="s">
        <v>267</v>
      </c>
      <c r="B133" s="4" t="s">
        <v>80</v>
      </c>
      <c r="C133" s="595"/>
    </row>
    <row r="134" spans="1:3">
      <c r="A134" s="4" t="s">
        <v>80</v>
      </c>
      <c r="B134" s="4" t="s">
        <v>80</v>
      </c>
      <c r="C134" s="595"/>
    </row>
    <row r="135" spans="1:3">
      <c r="A135" s="4" t="s">
        <v>268</v>
      </c>
      <c r="B135" s="4" t="s">
        <v>80</v>
      </c>
      <c r="C135" s="595"/>
    </row>
    <row r="136" spans="1:3">
      <c r="A136" s="4" t="s">
        <v>269</v>
      </c>
      <c r="B136" s="4" t="s">
        <v>80</v>
      </c>
      <c r="C136" s="595"/>
    </row>
    <row r="137" spans="1:3">
      <c r="A137" s="4" t="s">
        <v>270</v>
      </c>
      <c r="B137" s="4" t="s">
        <v>80</v>
      </c>
      <c r="C137" s="595"/>
    </row>
    <row r="138" spans="1:3">
      <c r="A138" s="4" t="s">
        <v>271</v>
      </c>
      <c r="B138" s="4" t="s">
        <v>80</v>
      </c>
      <c r="C138" s="595"/>
    </row>
    <row r="139" spans="1:3">
      <c r="A139" s="4" t="s">
        <v>272</v>
      </c>
      <c r="B139" s="4" t="s">
        <v>80</v>
      </c>
      <c r="C139" s="595"/>
    </row>
    <row r="140" spans="1:3">
      <c r="A140" s="4" t="s">
        <v>273</v>
      </c>
      <c r="B140" s="4" t="s">
        <v>80</v>
      </c>
      <c r="C140" s="595"/>
    </row>
    <row r="141" spans="1:3">
      <c r="A141" s="4" t="s">
        <v>274</v>
      </c>
      <c r="B141" s="4" t="s">
        <v>80</v>
      </c>
      <c r="C141" s="595"/>
    </row>
    <row r="142" spans="1:3">
      <c r="A142" s="4" t="s">
        <v>275</v>
      </c>
      <c r="B142" s="4" t="s">
        <v>80</v>
      </c>
      <c r="C142" s="595"/>
    </row>
    <row r="143" spans="1:3">
      <c r="A143" s="4" t="s">
        <v>276</v>
      </c>
      <c r="B143" s="4" t="s">
        <v>80</v>
      </c>
      <c r="C143" s="595"/>
    </row>
    <row r="144" spans="1:3">
      <c r="A144" s="4" t="s">
        <v>277</v>
      </c>
      <c r="B144" s="4" t="s">
        <v>80</v>
      </c>
      <c r="C144" s="595"/>
    </row>
    <row r="145" spans="1:3">
      <c r="A145" s="4" t="s">
        <v>278</v>
      </c>
      <c r="B145" s="4" t="s">
        <v>80</v>
      </c>
      <c r="C145" s="595"/>
    </row>
    <row r="146" spans="1:3">
      <c r="A146" s="4" t="s">
        <v>279</v>
      </c>
      <c r="B146" s="4" t="s">
        <v>80</v>
      </c>
      <c r="C146" s="595"/>
    </row>
    <row r="147" spans="1:3">
      <c r="A147" s="4" t="s">
        <v>280</v>
      </c>
      <c r="B147" s="4" t="s">
        <v>80</v>
      </c>
      <c r="C147" s="595"/>
    </row>
    <row r="148" spans="1:3">
      <c r="A148" t="s">
        <v>281</v>
      </c>
      <c r="B148" s="4" t="s">
        <v>80</v>
      </c>
      <c r="C148" s="595"/>
    </row>
    <row r="149" spans="1:3">
      <c r="A149" s="4" t="s">
        <v>282</v>
      </c>
      <c r="B149" s="4" t="s">
        <v>80</v>
      </c>
      <c r="C149" s="595"/>
    </row>
    <row r="150" spans="1:3">
      <c r="A150" s="4" t="s">
        <v>283</v>
      </c>
      <c r="B150" s="4" t="s">
        <v>80</v>
      </c>
      <c r="C150" s="595"/>
    </row>
    <row r="151" spans="1:3" hidden="1">
      <c r="A151" s="4" t="s">
        <v>53</v>
      </c>
      <c r="B151" s="4" t="s">
        <v>53</v>
      </c>
      <c r="C151" s="595"/>
    </row>
    <row r="152" spans="1:3" hidden="1">
      <c r="A152" s="4" t="s">
        <v>284</v>
      </c>
      <c r="B152" s="4" t="s">
        <v>79</v>
      </c>
      <c r="C152" s="595"/>
    </row>
    <row r="153" spans="1:3" hidden="1">
      <c r="A153" s="4" t="s">
        <v>285</v>
      </c>
      <c r="B153" s="4" t="s">
        <v>79</v>
      </c>
      <c r="C153" s="595"/>
    </row>
    <row r="154" spans="1:3" hidden="1">
      <c r="A154" s="4" t="s">
        <v>286</v>
      </c>
      <c r="B154" s="4" t="s">
        <v>79</v>
      </c>
      <c r="C154" s="595"/>
    </row>
    <row r="155" spans="1:3" hidden="1">
      <c r="A155" s="4" t="s">
        <v>287</v>
      </c>
      <c r="B155" s="4" t="s">
        <v>79</v>
      </c>
      <c r="C155" s="595"/>
    </row>
    <row r="156" spans="1:3" hidden="1">
      <c r="A156" s="4" t="s">
        <v>288</v>
      </c>
      <c r="B156" s="4" t="s">
        <v>79</v>
      </c>
      <c r="C156" s="595"/>
    </row>
    <row r="157" spans="1:3" hidden="1">
      <c r="A157" s="4" t="s">
        <v>289</v>
      </c>
      <c r="B157" s="4" t="s">
        <v>79</v>
      </c>
      <c r="C157" s="595"/>
    </row>
    <row r="158" spans="1:3" hidden="1">
      <c r="A158" s="4" t="s">
        <v>79</v>
      </c>
      <c r="B158" s="4" t="s">
        <v>79</v>
      </c>
      <c r="C158" s="595"/>
    </row>
    <row r="159" spans="1:3" hidden="1">
      <c r="A159" s="4" t="s">
        <v>290</v>
      </c>
      <c r="B159" s="4" t="s">
        <v>79</v>
      </c>
      <c r="C159" s="595"/>
    </row>
    <row r="160" spans="1:3" hidden="1">
      <c r="A160" s="4" t="s">
        <v>291</v>
      </c>
      <c r="B160" s="4" t="s">
        <v>79</v>
      </c>
      <c r="C160" s="595"/>
    </row>
    <row r="161" spans="1:3" hidden="1">
      <c r="A161" s="4" t="s">
        <v>292</v>
      </c>
      <c r="B161" s="4" t="s">
        <v>79</v>
      </c>
      <c r="C161" s="595"/>
    </row>
    <row r="162" spans="1:3" hidden="1">
      <c r="A162" s="4" t="s">
        <v>293</v>
      </c>
      <c r="B162" s="4" t="s">
        <v>79</v>
      </c>
      <c r="C162" s="595"/>
    </row>
    <row r="163" spans="1:3" hidden="1">
      <c r="A163" s="4" t="s">
        <v>294</v>
      </c>
      <c r="B163" s="4" t="s">
        <v>79</v>
      </c>
      <c r="C163" s="595"/>
    </row>
    <row r="164" spans="1:3" hidden="1">
      <c r="A164" s="4" t="s">
        <v>295</v>
      </c>
      <c r="B164" s="4" t="s">
        <v>79</v>
      </c>
      <c r="C164" s="595"/>
    </row>
    <row r="165" spans="1:3" hidden="1">
      <c r="A165" s="4" t="s">
        <v>296</v>
      </c>
      <c r="B165" s="4" t="s">
        <v>79</v>
      </c>
      <c r="C165" s="595"/>
    </row>
    <row r="166" spans="1:3" hidden="1">
      <c r="A166" s="4" t="s">
        <v>297</v>
      </c>
      <c r="B166" s="4" t="s">
        <v>79</v>
      </c>
      <c r="C166" s="595"/>
    </row>
    <row r="167" spans="1:3" hidden="1">
      <c r="A167" s="4" t="s">
        <v>298</v>
      </c>
      <c r="B167" s="4" t="s">
        <v>79</v>
      </c>
      <c r="C167" s="595"/>
    </row>
    <row r="168" spans="1:3" hidden="1">
      <c r="A168" s="4" t="s">
        <v>299</v>
      </c>
      <c r="B168" s="4" t="s">
        <v>79</v>
      </c>
      <c r="C168" s="595"/>
    </row>
    <row r="169" spans="1:3" hidden="1">
      <c r="A169" t="s">
        <v>300</v>
      </c>
      <c r="B169" s="4" t="s">
        <v>79</v>
      </c>
      <c r="C169" s="595"/>
    </row>
    <row r="170" spans="1:3" hidden="1">
      <c r="A170" s="4" t="s">
        <v>301</v>
      </c>
      <c r="B170" s="4" t="s">
        <v>79</v>
      </c>
      <c r="C170" s="595"/>
    </row>
    <row r="171" spans="1:3" hidden="1">
      <c r="A171" s="4" t="s">
        <v>302</v>
      </c>
      <c r="B171" s="4" t="s">
        <v>85</v>
      </c>
      <c r="C171" s="595"/>
    </row>
    <row r="172" spans="1:3" hidden="1">
      <c r="A172" s="4" t="s">
        <v>303</v>
      </c>
      <c r="B172" s="4" t="s">
        <v>85</v>
      </c>
      <c r="C172" s="595"/>
    </row>
    <row r="173" spans="1:3" hidden="1">
      <c r="A173" s="4" t="s">
        <v>85</v>
      </c>
      <c r="B173" s="4" t="s">
        <v>85</v>
      </c>
      <c r="C173" s="595"/>
    </row>
    <row r="174" spans="1:3" hidden="1">
      <c r="A174" s="4" t="s">
        <v>304</v>
      </c>
      <c r="B174" s="4" t="s">
        <v>85</v>
      </c>
      <c r="C174" s="595"/>
    </row>
    <row r="175" spans="1:3" hidden="1">
      <c r="A175" s="4" t="s">
        <v>305</v>
      </c>
      <c r="B175" s="4" t="s">
        <v>85</v>
      </c>
      <c r="C175" s="595"/>
    </row>
    <row r="176" spans="1:3" hidden="1">
      <c r="A176" s="4" t="s">
        <v>306</v>
      </c>
      <c r="B176" s="4" t="s">
        <v>85</v>
      </c>
      <c r="C176" s="595"/>
    </row>
    <row r="177" spans="1:3" hidden="1">
      <c r="A177" s="4" t="s">
        <v>307</v>
      </c>
      <c r="B177" s="4" t="s">
        <v>85</v>
      </c>
      <c r="C177" s="595"/>
    </row>
    <row r="178" spans="1:3" hidden="1">
      <c r="A178" s="4" t="s">
        <v>308</v>
      </c>
      <c r="B178" s="4" t="s">
        <v>54</v>
      </c>
      <c r="C178" s="595"/>
    </row>
    <row r="179" spans="1:3" hidden="1">
      <c r="A179" s="4" t="s">
        <v>309</v>
      </c>
      <c r="B179" s="4" t="s">
        <v>54</v>
      </c>
      <c r="C179" s="595"/>
    </row>
    <row r="180" spans="1:3" hidden="1">
      <c r="A180" s="4" t="s">
        <v>310</v>
      </c>
      <c r="B180" s="4" t="s">
        <v>54</v>
      </c>
      <c r="C180" s="595"/>
    </row>
    <row r="181" spans="1:3" hidden="1">
      <c r="A181" s="4" t="s">
        <v>311</v>
      </c>
      <c r="B181" s="4" t="s">
        <v>54</v>
      </c>
      <c r="C181" s="595"/>
    </row>
    <row r="182" spans="1:3" hidden="1">
      <c r="A182" s="4" t="s">
        <v>312</v>
      </c>
      <c r="B182" s="4" t="s">
        <v>54</v>
      </c>
      <c r="C182" s="595"/>
    </row>
    <row r="183" spans="1:3" hidden="1">
      <c r="A183" s="4" t="s">
        <v>313</v>
      </c>
      <c r="B183" s="4" t="s">
        <v>54</v>
      </c>
      <c r="C183" s="595"/>
    </row>
    <row r="184" spans="1:3" hidden="1">
      <c r="A184" s="4" t="s">
        <v>54</v>
      </c>
      <c r="B184" s="4" t="s">
        <v>54</v>
      </c>
      <c r="C184" s="595"/>
    </row>
    <row r="185" spans="1:3" hidden="1">
      <c r="A185" s="4" t="s">
        <v>314</v>
      </c>
      <c r="B185" s="4" t="s">
        <v>54</v>
      </c>
      <c r="C185" s="595"/>
    </row>
    <row r="186" spans="1:3" hidden="1">
      <c r="A186" s="4" t="s">
        <v>315</v>
      </c>
      <c r="B186" s="4" t="s">
        <v>54</v>
      </c>
      <c r="C186" s="595"/>
    </row>
    <row r="187" spans="1:3" hidden="1">
      <c r="A187" s="4" t="s">
        <v>316</v>
      </c>
      <c r="B187" s="4" t="s">
        <v>54</v>
      </c>
      <c r="C187" s="595"/>
    </row>
    <row r="188" spans="1:3" hidden="1">
      <c r="A188" s="4" t="s">
        <v>317</v>
      </c>
      <c r="B188" s="4" t="s">
        <v>54</v>
      </c>
      <c r="C188" s="595"/>
    </row>
    <row r="189" spans="1:3" hidden="1">
      <c r="A189" s="4" t="s">
        <v>318</v>
      </c>
      <c r="B189" s="4" t="s">
        <v>54</v>
      </c>
      <c r="C189" s="595"/>
    </row>
    <row r="190" spans="1:3" hidden="1">
      <c r="A190" s="4" t="s">
        <v>319</v>
      </c>
      <c r="B190" s="4" t="s">
        <v>54</v>
      </c>
      <c r="C190" s="595"/>
    </row>
    <row r="191" spans="1:3" hidden="1">
      <c r="A191" s="4" t="s">
        <v>320</v>
      </c>
      <c r="B191" s="4" t="s">
        <v>54</v>
      </c>
      <c r="C191" s="595"/>
    </row>
    <row r="192" spans="1:3" hidden="1">
      <c r="A192" s="4" t="s">
        <v>321</v>
      </c>
      <c r="B192" s="4" t="s">
        <v>54</v>
      </c>
      <c r="C192" s="595"/>
    </row>
    <row r="193" spans="1:3" hidden="1">
      <c r="A193" s="4" t="s">
        <v>322</v>
      </c>
      <c r="B193" s="4" t="s">
        <v>54</v>
      </c>
      <c r="C193" s="595"/>
    </row>
    <row r="194" spans="1:3" hidden="1">
      <c r="A194" s="4" t="s">
        <v>323</v>
      </c>
      <c r="B194" s="4" t="s">
        <v>59</v>
      </c>
      <c r="C194" s="595"/>
    </row>
    <row r="195" spans="1:3" hidden="1">
      <c r="A195" s="4" t="s">
        <v>324</v>
      </c>
      <c r="B195" s="4" t="s">
        <v>59</v>
      </c>
      <c r="C195" s="595"/>
    </row>
    <row r="196" spans="1:3" hidden="1">
      <c r="A196" s="4" t="s">
        <v>325</v>
      </c>
      <c r="B196" s="4" t="s">
        <v>59</v>
      </c>
      <c r="C196" s="595"/>
    </row>
    <row r="197" spans="1:3" hidden="1">
      <c r="A197" s="4" t="s">
        <v>326</v>
      </c>
      <c r="B197" s="4" t="s">
        <v>59</v>
      </c>
      <c r="C197" s="595"/>
    </row>
    <row r="198" spans="1:3" hidden="1">
      <c r="A198" s="4" t="s">
        <v>59</v>
      </c>
      <c r="B198" s="4" t="s">
        <v>59</v>
      </c>
      <c r="C198" s="595"/>
    </row>
    <row r="199" spans="1:3" hidden="1">
      <c r="A199" s="4" t="s">
        <v>327</v>
      </c>
      <c r="B199" s="4" t="s">
        <v>59</v>
      </c>
      <c r="C199" s="595"/>
    </row>
    <row r="200" spans="1:3" hidden="1">
      <c r="A200" s="4" t="s">
        <v>328</v>
      </c>
      <c r="B200" s="4" t="s">
        <v>59</v>
      </c>
      <c r="C200" s="595"/>
    </row>
    <row r="201" spans="1:3" hidden="1">
      <c r="A201" s="4" t="s">
        <v>329</v>
      </c>
      <c r="B201" s="4" t="s">
        <v>59</v>
      </c>
      <c r="C201" s="595"/>
    </row>
    <row r="202" spans="1:3" hidden="1">
      <c r="A202" s="4" t="s">
        <v>330</v>
      </c>
      <c r="B202" s="4" t="s">
        <v>59</v>
      </c>
      <c r="C202" s="595"/>
    </row>
    <row r="203" spans="1:3" hidden="1">
      <c r="A203" s="4" t="s">
        <v>331</v>
      </c>
      <c r="B203" s="4" t="s">
        <v>59</v>
      </c>
      <c r="C203" s="595"/>
    </row>
    <row r="204" spans="1:3" hidden="1">
      <c r="A204" s="4" t="s">
        <v>332</v>
      </c>
      <c r="B204" s="4" t="s">
        <v>59</v>
      </c>
      <c r="C204" s="595"/>
    </row>
    <row r="205" spans="1:3" hidden="1">
      <c r="A205" s="4" t="s">
        <v>333</v>
      </c>
      <c r="B205" s="4" t="s">
        <v>60</v>
      </c>
      <c r="C205" s="595"/>
    </row>
    <row r="206" spans="1:3" hidden="1">
      <c r="A206" s="4" t="s">
        <v>334</v>
      </c>
      <c r="B206" s="4" t="s">
        <v>60</v>
      </c>
      <c r="C206" s="595"/>
    </row>
    <row r="207" spans="1:3" hidden="1">
      <c r="A207" s="4" t="s">
        <v>335</v>
      </c>
      <c r="B207" s="4" t="s">
        <v>60</v>
      </c>
      <c r="C207" s="595"/>
    </row>
    <row r="208" spans="1:3" hidden="1">
      <c r="A208" s="4" t="s">
        <v>336</v>
      </c>
      <c r="B208" s="4" t="s">
        <v>60</v>
      </c>
      <c r="C208" s="595"/>
    </row>
    <row r="209" spans="1:3" hidden="1">
      <c r="A209" s="4" t="s">
        <v>337</v>
      </c>
      <c r="B209" s="4" t="s">
        <v>60</v>
      </c>
      <c r="C209" s="595"/>
    </row>
    <row r="210" spans="1:3" hidden="1">
      <c r="A210" s="4" t="s">
        <v>338</v>
      </c>
      <c r="B210" s="4" t="s">
        <v>60</v>
      </c>
      <c r="C210" s="595"/>
    </row>
    <row r="211" spans="1:3" hidden="1">
      <c r="A211" s="4" t="s">
        <v>339</v>
      </c>
      <c r="B211" s="4" t="s">
        <v>60</v>
      </c>
      <c r="C211" s="595"/>
    </row>
    <row r="212" spans="1:3" hidden="1">
      <c r="A212" s="4" t="s">
        <v>340</v>
      </c>
      <c r="B212" s="4" t="s">
        <v>60</v>
      </c>
      <c r="C212" s="595"/>
    </row>
    <row r="213" spans="1:3" hidden="1">
      <c r="A213" s="4" t="s">
        <v>341</v>
      </c>
      <c r="B213" s="4" t="s">
        <v>60</v>
      </c>
      <c r="C213" s="595"/>
    </row>
    <row r="214" spans="1:3" hidden="1">
      <c r="A214" s="4" t="s">
        <v>342</v>
      </c>
      <c r="B214" s="4" t="s">
        <v>61</v>
      </c>
      <c r="C214" s="595"/>
    </row>
    <row r="215" spans="1:3" hidden="1">
      <c r="A215" s="4" t="s">
        <v>343</v>
      </c>
      <c r="B215" s="4" t="s">
        <v>61</v>
      </c>
      <c r="C215" s="595"/>
    </row>
    <row r="216" spans="1:3" hidden="1">
      <c r="A216" s="4" t="s">
        <v>344</v>
      </c>
      <c r="B216" s="4" t="s">
        <v>61</v>
      </c>
      <c r="C216" s="595"/>
    </row>
    <row r="217" spans="1:3" hidden="1">
      <c r="A217" s="4" t="s">
        <v>345</v>
      </c>
      <c r="B217" s="4" t="s">
        <v>61</v>
      </c>
      <c r="C217" s="595"/>
    </row>
    <row r="218" spans="1:3" hidden="1">
      <c r="A218" s="4" t="s">
        <v>346</v>
      </c>
      <c r="B218" s="4" t="s">
        <v>61</v>
      </c>
      <c r="C218" s="595"/>
    </row>
    <row r="219" spans="1:3" hidden="1">
      <c r="A219" s="4" t="s">
        <v>337</v>
      </c>
      <c r="B219" s="4" t="s">
        <v>61</v>
      </c>
      <c r="C219" s="595"/>
    </row>
    <row r="220" spans="1:3" hidden="1">
      <c r="A220" s="4" t="s">
        <v>347</v>
      </c>
      <c r="B220" s="4" t="s">
        <v>61</v>
      </c>
      <c r="C220" s="595"/>
    </row>
    <row r="221" spans="1:3" hidden="1">
      <c r="A221" s="4" t="s">
        <v>348</v>
      </c>
      <c r="B221" s="4" t="s">
        <v>61</v>
      </c>
      <c r="C221" s="595"/>
    </row>
    <row r="222" spans="1:3" hidden="1">
      <c r="A222" s="4" t="s">
        <v>349</v>
      </c>
      <c r="B222" s="4" t="s">
        <v>61</v>
      </c>
      <c r="C222" s="595"/>
    </row>
    <row r="223" spans="1:3" hidden="1">
      <c r="A223" s="4" t="s">
        <v>350</v>
      </c>
      <c r="B223" s="4" t="s">
        <v>61</v>
      </c>
      <c r="C223" s="595"/>
    </row>
    <row r="224" spans="1:3" hidden="1">
      <c r="A224" s="4" t="s">
        <v>351</v>
      </c>
      <c r="B224" s="4" t="s">
        <v>62</v>
      </c>
      <c r="C224" s="595"/>
    </row>
    <row r="225" spans="1:3" hidden="1">
      <c r="A225" s="4" t="s">
        <v>352</v>
      </c>
      <c r="B225" s="4" t="s">
        <v>62</v>
      </c>
      <c r="C225" s="595"/>
    </row>
    <row r="226" spans="1:3" hidden="1">
      <c r="A226" s="4" t="s">
        <v>62</v>
      </c>
      <c r="B226" s="4" t="s">
        <v>62</v>
      </c>
      <c r="C226" s="595"/>
    </row>
    <row r="227" spans="1:3" hidden="1">
      <c r="A227" s="4" t="s">
        <v>353</v>
      </c>
      <c r="B227" s="4" t="s">
        <v>62</v>
      </c>
      <c r="C227" s="595"/>
    </row>
    <row r="228" spans="1:3" hidden="1">
      <c r="A228" s="4" t="s">
        <v>354</v>
      </c>
      <c r="B228" s="4" t="s">
        <v>62</v>
      </c>
      <c r="C228" s="595"/>
    </row>
    <row r="229" spans="1:3" hidden="1">
      <c r="A229" s="4" t="s">
        <v>355</v>
      </c>
      <c r="B229" s="4" t="s">
        <v>62</v>
      </c>
      <c r="C229" s="595"/>
    </row>
    <row r="230" spans="1:3" hidden="1">
      <c r="A230" s="4" t="s">
        <v>356</v>
      </c>
      <c r="B230" s="4" t="s">
        <v>62</v>
      </c>
      <c r="C230" s="595"/>
    </row>
    <row r="231" spans="1:3" hidden="1">
      <c r="A231" s="4" t="s">
        <v>357</v>
      </c>
      <c r="B231" s="4" t="s">
        <v>62</v>
      </c>
      <c r="C231" s="595"/>
    </row>
    <row r="232" spans="1:3" hidden="1">
      <c r="A232" s="4" t="s">
        <v>358</v>
      </c>
      <c r="B232" s="4" t="s">
        <v>62</v>
      </c>
      <c r="C232" s="595"/>
    </row>
    <row r="233" spans="1:3" hidden="1">
      <c r="A233" s="4" t="s">
        <v>359</v>
      </c>
      <c r="B233" s="4" t="s">
        <v>62</v>
      </c>
      <c r="C233" s="595"/>
    </row>
    <row r="234" spans="1:3" hidden="1">
      <c r="A234" s="4" t="s">
        <v>360</v>
      </c>
      <c r="B234" s="4" t="s">
        <v>63</v>
      </c>
      <c r="C234" s="595"/>
    </row>
    <row r="235" spans="1:3" hidden="1">
      <c r="A235" s="4" t="s">
        <v>361</v>
      </c>
      <c r="B235" s="4" t="s">
        <v>63</v>
      </c>
      <c r="C235" s="595"/>
    </row>
    <row r="236" spans="1:3" hidden="1">
      <c r="A236" s="4" t="s">
        <v>362</v>
      </c>
      <c r="B236" s="4" t="s">
        <v>63</v>
      </c>
      <c r="C236" s="595"/>
    </row>
    <row r="237" spans="1:3" hidden="1">
      <c r="A237" s="4" t="s">
        <v>363</v>
      </c>
      <c r="B237" s="4" t="s">
        <v>63</v>
      </c>
      <c r="C237" s="595"/>
    </row>
    <row r="238" spans="1:3" hidden="1">
      <c r="A238" s="4" t="s">
        <v>364</v>
      </c>
      <c r="B238" s="4" t="s">
        <v>63</v>
      </c>
      <c r="C238" s="595"/>
    </row>
    <row r="239" spans="1:3" hidden="1">
      <c r="A239" s="4" t="s">
        <v>365</v>
      </c>
      <c r="B239" s="4" t="s">
        <v>63</v>
      </c>
      <c r="C239" s="595"/>
    </row>
    <row r="240" spans="1:3" hidden="1">
      <c r="A240" s="4" t="s">
        <v>366</v>
      </c>
      <c r="B240" s="4" t="s">
        <v>63</v>
      </c>
      <c r="C240" s="595"/>
    </row>
    <row r="241" spans="1:3" hidden="1">
      <c r="A241" s="4" t="s">
        <v>367</v>
      </c>
      <c r="B241" s="4" t="s">
        <v>63</v>
      </c>
      <c r="C241" s="595"/>
    </row>
    <row r="242" spans="1:3" hidden="1">
      <c r="A242" s="4" t="s">
        <v>368</v>
      </c>
      <c r="B242" s="4" t="s">
        <v>63</v>
      </c>
      <c r="C242" s="595"/>
    </row>
    <row r="243" spans="1:3" hidden="1">
      <c r="A243" s="4" t="s">
        <v>369</v>
      </c>
      <c r="B243" s="4" t="s">
        <v>63</v>
      </c>
      <c r="C243" s="595"/>
    </row>
    <row r="244" spans="1:3" hidden="1">
      <c r="A244" s="4" t="s">
        <v>370</v>
      </c>
      <c r="B244" s="4" t="s">
        <v>63</v>
      </c>
      <c r="C244" s="595"/>
    </row>
    <row r="245" spans="1:3" hidden="1">
      <c r="A245" s="4" t="s">
        <v>371</v>
      </c>
      <c r="B245" s="4" t="s">
        <v>63</v>
      </c>
      <c r="C245" s="595"/>
    </row>
    <row r="246" spans="1:3" hidden="1">
      <c r="A246" s="4" t="s">
        <v>372</v>
      </c>
      <c r="B246" s="4" t="s">
        <v>63</v>
      </c>
      <c r="C246" s="595"/>
    </row>
    <row r="247" spans="1:3" hidden="1">
      <c r="A247" s="4" t="s">
        <v>373</v>
      </c>
      <c r="B247" s="4" t="s">
        <v>63</v>
      </c>
      <c r="C247" s="595"/>
    </row>
    <row r="248" spans="1:3" hidden="1">
      <c r="A248" s="4" t="s">
        <v>63</v>
      </c>
      <c r="B248" s="4" t="s">
        <v>63</v>
      </c>
      <c r="C248" s="595"/>
    </row>
    <row r="249" spans="1:3" hidden="1">
      <c r="A249" s="4" t="s">
        <v>374</v>
      </c>
      <c r="B249" s="4" t="s">
        <v>63</v>
      </c>
      <c r="C249" s="595"/>
    </row>
    <row r="250" spans="1:3" hidden="1">
      <c r="A250" s="4" t="s">
        <v>375</v>
      </c>
      <c r="B250" s="4" t="s">
        <v>63</v>
      </c>
      <c r="C250" s="595"/>
    </row>
    <row r="251" spans="1:3" hidden="1">
      <c r="A251" s="4" t="s">
        <v>376</v>
      </c>
      <c r="B251" s="4" t="s">
        <v>63</v>
      </c>
      <c r="C251" s="595"/>
    </row>
    <row r="252" spans="1:3" hidden="1">
      <c r="A252" s="4" t="s">
        <v>377</v>
      </c>
      <c r="B252" s="4" t="s">
        <v>63</v>
      </c>
      <c r="C252" s="595"/>
    </row>
    <row r="253" spans="1:3" hidden="1">
      <c r="A253" s="4" t="s">
        <v>378</v>
      </c>
      <c r="B253" s="4" t="s">
        <v>63</v>
      </c>
      <c r="C253" s="595"/>
    </row>
    <row r="254" spans="1:3" hidden="1">
      <c r="A254" s="4" t="s">
        <v>379</v>
      </c>
      <c r="B254" s="4" t="s">
        <v>63</v>
      </c>
      <c r="C254" s="595"/>
    </row>
    <row r="255" spans="1:3" hidden="1">
      <c r="A255" s="4" t="s">
        <v>380</v>
      </c>
      <c r="B255" s="4" t="s">
        <v>63</v>
      </c>
      <c r="C255" s="595"/>
    </row>
    <row r="256" spans="1:3" hidden="1">
      <c r="A256" s="4" t="s">
        <v>381</v>
      </c>
      <c r="B256" s="4" t="s">
        <v>63</v>
      </c>
      <c r="C256" s="595"/>
    </row>
    <row r="257" spans="1:3" hidden="1">
      <c r="A257" s="4" t="s">
        <v>382</v>
      </c>
      <c r="B257" s="4" t="s">
        <v>63</v>
      </c>
      <c r="C257" s="595"/>
    </row>
    <row r="258" spans="1:3" hidden="1">
      <c r="A258" s="4" t="s">
        <v>383</v>
      </c>
      <c r="B258" s="4" t="s">
        <v>64</v>
      </c>
      <c r="C258" s="595"/>
    </row>
    <row r="259" spans="1:3" hidden="1">
      <c r="A259" s="4" t="s">
        <v>384</v>
      </c>
      <c r="B259" s="4" t="s">
        <v>64</v>
      </c>
      <c r="C259" s="595"/>
    </row>
    <row r="260" spans="1:3" hidden="1">
      <c r="A260" s="4" t="s">
        <v>385</v>
      </c>
      <c r="B260" s="4" t="s">
        <v>64</v>
      </c>
      <c r="C260" s="595"/>
    </row>
    <row r="261" spans="1:3" hidden="1">
      <c r="A261" s="4" t="s">
        <v>386</v>
      </c>
      <c r="B261" s="4" t="s">
        <v>65</v>
      </c>
      <c r="C261" s="595"/>
    </row>
    <row r="262" spans="1:3" hidden="1">
      <c r="A262" s="4" t="s">
        <v>387</v>
      </c>
      <c r="B262" s="4" t="s">
        <v>65</v>
      </c>
      <c r="C262" s="595"/>
    </row>
    <row r="263" spans="1:3" hidden="1">
      <c r="A263" s="4" t="s">
        <v>388</v>
      </c>
      <c r="B263" s="4" t="s">
        <v>65</v>
      </c>
      <c r="C263" s="595"/>
    </row>
    <row r="264" spans="1:3" hidden="1">
      <c r="A264" s="4" t="s">
        <v>65</v>
      </c>
      <c r="B264" s="4" t="s">
        <v>65</v>
      </c>
      <c r="C264" s="595"/>
    </row>
    <row r="265" spans="1:3" hidden="1">
      <c r="A265" s="4" t="s">
        <v>389</v>
      </c>
      <c r="B265" s="4" t="s">
        <v>65</v>
      </c>
      <c r="C265" s="595"/>
    </row>
    <row r="266" spans="1:3" hidden="1">
      <c r="A266" s="4" t="s">
        <v>390</v>
      </c>
      <c r="B266" s="4" t="s">
        <v>65</v>
      </c>
      <c r="C266" s="595"/>
    </row>
    <row r="267" spans="1:3" hidden="1">
      <c r="A267" s="4" t="s">
        <v>391</v>
      </c>
      <c r="B267" s="4" t="s">
        <v>65</v>
      </c>
      <c r="C267" s="595"/>
    </row>
    <row r="268" spans="1:3" hidden="1">
      <c r="A268" s="4" t="s">
        <v>392</v>
      </c>
      <c r="B268" s="4" t="s">
        <v>65</v>
      </c>
      <c r="C268" s="595"/>
    </row>
    <row r="269" spans="1:3" hidden="1">
      <c r="A269" s="4" t="s">
        <v>393</v>
      </c>
      <c r="B269" s="4" t="s">
        <v>66</v>
      </c>
      <c r="C269" s="595"/>
    </row>
    <row r="270" spans="1:3" hidden="1">
      <c r="A270" s="4" t="s">
        <v>394</v>
      </c>
      <c r="B270" s="4" t="s">
        <v>66</v>
      </c>
      <c r="C270" s="595"/>
    </row>
    <row r="271" spans="1:3" hidden="1">
      <c r="A271" s="4" t="s">
        <v>395</v>
      </c>
      <c r="B271" s="4" t="s">
        <v>66</v>
      </c>
      <c r="C271" s="595"/>
    </row>
    <row r="272" spans="1:3" hidden="1">
      <c r="A272" s="4" t="s">
        <v>396</v>
      </c>
      <c r="B272" s="4" t="s">
        <v>66</v>
      </c>
      <c r="C272" s="595"/>
    </row>
    <row r="273" spans="1:3" hidden="1">
      <c r="A273" s="4" t="s">
        <v>397</v>
      </c>
      <c r="B273" s="4" t="s">
        <v>66</v>
      </c>
      <c r="C273" s="595"/>
    </row>
    <row r="274" spans="1:3" hidden="1">
      <c r="A274" s="4" t="s">
        <v>66</v>
      </c>
      <c r="B274" s="4" t="s">
        <v>66</v>
      </c>
      <c r="C274" s="595"/>
    </row>
    <row r="275" spans="1:3" hidden="1">
      <c r="A275" s="4" t="s">
        <v>398</v>
      </c>
      <c r="B275" s="4" t="s">
        <v>66</v>
      </c>
      <c r="C275" s="595"/>
    </row>
    <row r="276" spans="1:3" hidden="1">
      <c r="A276" s="4" t="s">
        <v>399</v>
      </c>
      <c r="B276" s="4" t="s">
        <v>66</v>
      </c>
      <c r="C276" s="595"/>
    </row>
    <row r="277" spans="1:3" hidden="1">
      <c r="A277" s="4" t="s">
        <v>400</v>
      </c>
      <c r="B277" s="4" t="s">
        <v>66</v>
      </c>
      <c r="C277" s="595"/>
    </row>
    <row r="278" spans="1:3" hidden="1">
      <c r="A278" t="s">
        <v>401</v>
      </c>
      <c r="B278" s="4" t="s">
        <v>66</v>
      </c>
      <c r="C278" s="595"/>
    </row>
    <row r="279" spans="1:3" hidden="1">
      <c r="A279" s="4" t="s">
        <v>402</v>
      </c>
      <c r="B279" s="4" t="s">
        <v>66</v>
      </c>
      <c r="C279" s="595"/>
    </row>
    <row r="280" spans="1:3" hidden="1">
      <c r="A280" s="4" t="s">
        <v>403</v>
      </c>
      <c r="B280" s="4" t="s">
        <v>66</v>
      </c>
      <c r="C280" s="595"/>
    </row>
    <row r="281" spans="1:3" hidden="1">
      <c r="A281" s="4" t="s">
        <v>404</v>
      </c>
      <c r="B281" s="4" t="s">
        <v>66</v>
      </c>
      <c r="C281" s="595"/>
    </row>
    <row r="282" spans="1:3" hidden="1">
      <c r="A282" s="4" t="s">
        <v>405</v>
      </c>
      <c r="B282" s="4" t="s">
        <v>66</v>
      </c>
      <c r="C282" s="595"/>
    </row>
    <row r="283" spans="1:3" hidden="1">
      <c r="A283" s="4" t="s">
        <v>406</v>
      </c>
      <c r="B283" s="4" t="s">
        <v>67</v>
      </c>
      <c r="C283" s="595"/>
    </row>
    <row r="284" spans="1:3" hidden="1">
      <c r="A284" s="4" t="s">
        <v>407</v>
      </c>
      <c r="B284" s="4" t="s">
        <v>67</v>
      </c>
      <c r="C284" s="595"/>
    </row>
    <row r="285" spans="1:3" hidden="1">
      <c r="A285" s="4" t="s">
        <v>408</v>
      </c>
      <c r="B285" s="4" t="s">
        <v>67</v>
      </c>
      <c r="C285" s="595"/>
    </row>
    <row r="286" spans="1:3" hidden="1">
      <c r="A286" s="4" t="s">
        <v>67</v>
      </c>
      <c r="B286" s="4" t="s">
        <v>67</v>
      </c>
      <c r="C286" s="595"/>
    </row>
    <row r="287" spans="1:3" hidden="1">
      <c r="A287" s="4" t="s">
        <v>409</v>
      </c>
      <c r="B287" s="4" t="s">
        <v>68</v>
      </c>
      <c r="C287" s="595"/>
    </row>
    <row r="288" spans="1:3" hidden="1">
      <c r="A288" s="4" t="s">
        <v>410</v>
      </c>
      <c r="B288" s="4" t="s">
        <v>68</v>
      </c>
      <c r="C288" s="595"/>
    </row>
    <row r="289" spans="1:3" hidden="1">
      <c r="A289" s="4" t="s">
        <v>411</v>
      </c>
      <c r="B289" s="4" t="s">
        <v>68</v>
      </c>
      <c r="C289" s="595"/>
    </row>
    <row r="290" spans="1:3" hidden="1">
      <c r="A290" s="4" t="s">
        <v>68</v>
      </c>
      <c r="B290" s="4" t="s">
        <v>68</v>
      </c>
      <c r="C290" s="595"/>
    </row>
    <row r="291" spans="1:3" hidden="1">
      <c r="A291" s="4" t="s">
        <v>412</v>
      </c>
      <c r="B291" s="4" t="s">
        <v>69</v>
      </c>
      <c r="C291" s="595"/>
    </row>
    <row r="292" spans="1:3" hidden="1">
      <c r="A292" s="4" t="s">
        <v>413</v>
      </c>
      <c r="B292" s="4" t="s">
        <v>69</v>
      </c>
      <c r="C292" s="595"/>
    </row>
    <row r="293" spans="1:3" hidden="1">
      <c r="A293" s="4" t="s">
        <v>414</v>
      </c>
      <c r="B293" s="4" t="s">
        <v>69</v>
      </c>
      <c r="C293" s="595"/>
    </row>
    <row r="294" spans="1:3" hidden="1">
      <c r="A294" s="4" t="s">
        <v>415</v>
      </c>
      <c r="B294" s="4" t="s">
        <v>69</v>
      </c>
      <c r="C294" s="595"/>
    </row>
    <row r="295" spans="1:3" hidden="1">
      <c r="A295" s="4" t="s">
        <v>416</v>
      </c>
      <c r="B295" s="4" t="s">
        <v>69</v>
      </c>
      <c r="C295" s="595"/>
    </row>
    <row r="296" spans="1:3" hidden="1">
      <c r="A296" s="4" t="s">
        <v>417</v>
      </c>
      <c r="B296" s="4" t="s">
        <v>69</v>
      </c>
      <c r="C296" s="595"/>
    </row>
    <row r="297" spans="1:3" hidden="1">
      <c r="A297" s="4" t="s">
        <v>418</v>
      </c>
      <c r="B297" s="4" t="s">
        <v>69</v>
      </c>
      <c r="C297" s="595"/>
    </row>
    <row r="298" spans="1:3" hidden="1">
      <c r="A298" s="4" t="s">
        <v>419</v>
      </c>
      <c r="B298" s="4" t="s">
        <v>69</v>
      </c>
      <c r="C298" s="595"/>
    </row>
    <row r="299" spans="1:3" hidden="1">
      <c r="A299" s="4" t="s">
        <v>420</v>
      </c>
      <c r="B299" s="4" t="s">
        <v>69</v>
      </c>
      <c r="C299" s="595"/>
    </row>
    <row r="300" spans="1:3" hidden="1">
      <c r="A300" s="4" t="s">
        <v>421</v>
      </c>
      <c r="B300" s="4" t="s">
        <v>69</v>
      </c>
      <c r="C300" s="595"/>
    </row>
    <row r="301" spans="1:3" hidden="1">
      <c r="A301" s="4" t="s">
        <v>422</v>
      </c>
      <c r="B301" s="4" t="s">
        <v>69</v>
      </c>
      <c r="C301" s="595"/>
    </row>
    <row r="302" spans="1:3" hidden="1">
      <c r="A302" s="4" t="s">
        <v>423</v>
      </c>
      <c r="B302" s="4" t="s">
        <v>69</v>
      </c>
      <c r="C302" s="595"/>
    </row>
    <row r="303" spans="1:3" hidden="1">
      <c r="A303" s="4" t="s">
        <v>424</v>
      </c>
      <c r="B303" s="4" t="s">
        <v>69</v>
      </c>
      <c r="C303" s="595"/>
    </row>
    <row r="304" spans="1:3" hidden="1">
      <c r="A304" s="4" t="s">
        <v>425</v>
      </c>
      <c r="B304" s="4" t="s">
        <v>69</v>
      </c>
      <c r="C304" s="595"/>
    </row>
    <row r="305" spans="1:3" hidden="1">
      <c r="A305" s="4" t="s">
        <v>69</v>
      </c>
      <c r="B305" s="4" t="s">
        <v>69</v>
      </c>
      <c r="C305" s="595"/>
    </row>
    <row r="306" spans="1:3" hidden="1">
      <c r="A306" s="4" t="s">
        <v>426</v>
      </c>
      <c r="B306" s="4" t="s">
        <v>69</v>
      </c>
      <c r="C306" s="595"/>
    </row>
    <row r="307" spans="1:3" hidden="1">
      <c r="A307" s="4" t="s">
        <v>427</v>
      </c>
      <c r="B307" s="4" t="s">
        <v>69</v>
      </c>
      <c r="C307" s="595"/>
    </row>
    <row r="308" spans="1:3" hidden="1">
      <c r="A308" s="4" t="s">
        <v>428</v>
      </c>
      <c r="B308" s="4" t="s">
        <v>69</v>
      </c>
      <c r="C308" s="595"/>
    </row>
    <row r="309" spans="1:3" hidden="1">
      <c r="A309" s="4" t="s">
        <v>429</v>
      </c>
      <c r="B309" s="4" t="s">
        <v>69</v>
      </c>
      <c r="C309" s="595"/>
    </row>
    <row r="310" spans="1:3" hidden="1">
      <c r="A310" s="4" t="s">
        <v>430</v>
      </c>
      <c r="B310" s="4" t="s">
        <v>69</v>
      </c>
      <c r="C310" s="595"/>
    </row>
    <row r="311" spans="1:3" hidden="1">
      <c r="A311" s="4" t="s">
        <v>431</v>
      </c>
      <c r="B311" s="4" t="s">
        <v>69</v>
      </c>
      <c r="C311" s="595"/>
    </row>
    <row r="312" spans="1:3" hidden="1">
      <c r="A312" s="4" t="s">
        <v>432</v>
      </c>
      <c r="B312" s="4" t="s">
        <v>69</v>
      </c>
      <c r="C312" s="595"/>
    </row>
    <row r="313" spans="1:3" hidden="1">
      <c r="A313" s="4" t="s">
        <v>433</v>
      </c>
      <c r="B313" s="4" t="s">
        <v>69</v>
      </c>
      <c r="C313" s="595"/>
    </row>
    <row r="314" spans="1:3" hidden="1">
      <c r="A314" s="4" t="s">
        <v>434</v>
      </c>
      <c r="B314" s="4" t="s">
        <v>70</v>
      </c>
      <c r="C314" s="595"/>
    </row>
    <row r="315" spans="1:3" hidden="1">
      <c r="A315" s="4" t="s">
        <v>435</v>
      </c>
      <c r="B315" s="4" t="s">
        <v>70</v>
      </c>
      <c r="C315" s="595"/>
    </row>
    <row r="316" spans="1:3" hidden="1">
      <c r="A316" s="4" t="s">
        <v>436</v>
      </c>
      <c r="B316" s="4" t="s">
        <v>70</v>
      </c>
      <c r="C316" s="595"/>
    </row>
    <row r="317" spans="1:3" hidden="1">
      <c r="A317" s="4" t="s">
        <v>437</v>
      </c>
      <c r="B317" s="4" t="s">
        <v>70</v>
      </c>
      <c r="C317" s="595"/>
    </row>
    <row r="318" spans="1:3" hidden="1">
      <c r="A318" t="s">
        <v>438</v>
      </c>
      <c r="B318" s="4" t="s">
        <v>70</v>
      </c>
      <c r="C318" s="595"/>
    </row>
    <row r="319" spans="1:3" hidden="1">
      <c r="A319" s="4" t="s">
        <v>439</v>
      </c>
      <c r="B319" s="4" t="s">
        <v>70</v>
      </c>
      <c r="C319" s="595"/>
    </row>
    <row r="320" spans="1:3" hidden="1">
      <c r="A320" s="4" t="s">
        <v>70</v>
      </c>
      <c r="B320" s="4" t="s">
        <v>70</v>
      </c>
      <c r="C320" s="595"/>
    </row>
    <row r="321" spans="1:3" hidden="1">
      <c r="A321" s="4" t="s">
        <v>440</v>
      </c>
      <c r="B321" s="4" t="s">
        <v>70</v>
      </c>
      <c r="C321" s="595"/>
    </row>
    <row r="322" spans="1:3" hidden="1">
      <c r="A322" s="4" t="s">
        <v>441</v>
      </c>
      <c r="B322" s="4" t="s">
        <v>70</v>
      </c>
      <c r="C322" s="595"/>
    </row>
    <row r="323" spans="1:3" hidden="1">
      <c r="A323" t="s">
        <v>442</v>
      </c>
      <c r="B323" s="4" t="s">
        <v>70</v>
      </c>
      <c r="C323" s="595"/>
    </row>
    <row r="324" spans="1:3" hidden="1">
      <c r="A324" s="4" t="s">
        <v>443</v>
      </c>
      <c r="B324" s="4" t="s">
        <v>70</v>
      </c>
      <c r="C324" s="595"/>
    </row>
    <row r="325" spans="1:3" hidden="1">
      <c r="A325" s="4" t="s">
        <v>444</v>
      </c>
      <c r="B325" s="4" t="s">
        <v>71</v>
      </c>
      <c r="C325" s="595"/>
    </row>
    <row r="326" spans="1:3" hidden="1">
      <c r="A326" s="4" t="s">
        <v>445</v>
      </c>
      <c r="B326" s="4" t="s">
        <v>71</v>
      </c>
      <c r="C326" s="595"/>
    </row>
    <row r="327" spans="1:3" hidden="1">
      <c r="A327" s="4" t="s">
        <v>446</v>
      </c>
      <c r="B327" s="4" t="s">
        <v>71</v>
      </c>
      <c r="C327" s="595"/>
    </row>
    <row r="328" spans="1:3" hidden="1">
      <c r="A328" s="4" t="s">
        <v>447</v>
      </c>
      <c r="B328" s="4" t="s">
        <v>71</v>
      </c>
      <c r="C328" s="595"/>
    </row>
    <row r="329" spans="1:3" hidden="1">
      <c r="A329" s="4" t="s">
        <v>71</v>
      </c>
      <c r="B329" s="4" t="s">
        <v>71</v>
      </c>
      <c r="C329" s="595"/>
    </row>
    <row r="330" spans="1:3" hidden="1">
      <c r="A330" s="4" t="s">
        <v>448</v>
      </c>
      <c r="B330" s="4" t="s">
        <v>71</v>
      </c>
      <c r="C330" s="595"/>
    </row>
    <row r="331" spans="1:3" hidden="1">
      <c r="A331" s="4" t="s">
        <v>449</v>
      </c>
      <c r="B331" s="4" t="s">
        <v>71</v>
      </c>
      <c r="C331" s="595"/>
    </row>
    <row r="332" spans="1:3" hidden="1">
      <c r="A332" s="4" t="s">
        <v>450</v>
      </c>
      <c r="B332" s="4" t="s">
        <v>71</v>
      </c>
      <c r="C332" s="595"/>
    </row>
    <row r="333" spans="1:3" hidden="1">
      <c r="A333" s="4" t="s">
        <v>451</v>
      </c>
      <c r="B333" s="4" t="s">
        <v>72</v>
      </c>
      <c r="C333" s="595"/>
    </row>
    <row r="334" spans="1:3" hidden="1">
      <c r="A334" s="4" t="s">
        <v>452</v>
      </c>
      <c r="B334" s="4" t="s">
        <v>72</v>
      </c>
      <c r="C334" s="595"/>
    </row>
    <row r="335" spans="1:3" hidden="1">
      <c r="A335" s="4" t="s">
        <v>453</v>
      </c>
      <c r="B335" s="4" t="s">
        <v>72</v>
      </c>
      <c r="C335" s="595"/>
    </row>
    <row r="336" spans="1:3" hidden="1">
      <c r="A336" s="4" t="s">
        <v>72</v>
      </c>
      <c r="B336" s="4" t="s">
        <v>72</v>
      </c>
      <c r="C336" s="595"/>
    </row>
    <row r="337" spans="1:3" hidden="1">
      <c r="A337" s="4" t="s">
        <v>454</v>
      </c>
      <c r="B337" s="4" t="s">
        <v>73</v>
      </c>
      <c r="C337" s="595"/>
    </row>
    <row r="338" spans="1:3" hidden="1">
      <c r="A338" s="4" t="s">
        <v>455</v>
      </c>
      <c r="B338" s="4" t="s">
        <v>73</v>
      </c>
      <c r="C338" s="595"/>
    </row>
    <row r="339" spans="1:3" hidden="1">
      <c r="A339" s="4" t="s">
        <v>456</v>
      </c>
      <c r="B339" s="4" t="s">
        <v>73</v>
      </c>
      <c r="C339" s="595"/>
    </row>
    <row r="340" spans="1:3" hidden="1">
      <c r="A340" s="4" t="s">
        <v>457</v>
      </c>
      <c r="B340" s="4" t="s">
        <v>73</v>
      </c>
      <c r="C340" s="595"/>
    </row>
    <row r="341" spans="1:3" hidden="1">
      <c r="A341" s="4" t="s">
        <v>73</v>
      </c>
      <c r="B341" s="4" t="s">
        <v>73</v>
      </c>
      <c r="C341" s="595"/>
    </row>
    <row r="342" spans="1:3" hidden="1">
      <c r="A342" s="4" t="s">
        <v>458</v>
      </c>
      <c r="B342" s="4" t="s">
        <v>74</v>
      </c>
      <c r="C342" s="595"/>
    </row>
    <row r="343" spans="1:3" hidden="1">
      <c r="A343" s="4" t="s">
        <v>459</v>
      </c>
      <c r="B343" s="4" t="s">
        <v>74</v>
      </c>
      <c r="C343" s="595"/>
    </row>
    <row r="344" spans="1:3" hidden="1">
      <c r="A344" s="4" t="s">
        <v>460</v>
      </c>
      <c r="B344" s="4" t="s">
        <v>74</v>
      </c>
      <c r="C344" s="595"/>
    </row>
    <row r="345" spans="1:3" hidden="1">
      <c r="A345" s="4" t="s">
        <v>461</v>
      </c>
      <c r="B345" s="4" t="s">
        <v>74</v>
      </c>
      <c r="C345" s="595"/>
    </row>
    <row r="346" spans="1:3" hidden="1">
      <c r="A346" s="4" t="s">
        <v>462</v>
      </c>
      <c r="B346" s="4" t="s">
        <v>74</v>
      </c>
      <c r="C346" s="595"/>
    </row>
    <row r="347" spans="1:3" hidden="1">
      <c r="A347" s="4" t="s">
        <v>463</v>
      </c>
      <c r="B347" s="4" t="s">
        <v>74</v>
      </c>
      <c r="C347" s="595"/>
    </row>
    <row r="348" spans="1:3" hidden="1">
      <c r="A348" s="4" t="s">
        <v>464</v>
      </c>
      <c r="B348" s="4" t="s">
        <v>74</v>
      </c>
      <c r="C348" s="595"/>
    </row>
    <row r="349" spans="1:3" hidden="1">
      <c r="A349" s="4" t="s">
        <v>465</v>
      </c>
      <c r="B349" s="4" t="s">
        <v>74</v>
      </c>
      <c r="C349" s="595"/>
    </row>
    <row r="350" spans="1:3" hidden="1">
      <c r="A350" s="4" t="s">
        <v>466</v>
      </c>
      <c r="B350" s="4" t="s">
        <v>74</v>
      </c>
      <c r="C350" s="595"/>
    </row>
    <row r="351" spans="1:3" hidden="1">
      <c r="A351" s="4" t="s">
        <v>74</v>
      </c>
      <c r="B351" s="4" t="s">
        <v>74</v>
      </c>
      <c r="C351" s="595"/>
    </row>
    <row r="352" spans="1:3" hidden="1">
      <c r="A352" s="4" t="s">
        <v>467</v>
      </c>
      <c r="B352" s="4" t="s">
        <v>74</v>
      </c>
      <c r="C352" s="595"/>
    </row>
    <row r="353" spans="1:3" hidden="1">
      <c r="A353" s="4" t="s">
        <v>468</v>
      </c>
      <c r="B353" s="4" t="s">
        <v>75</v>
      </c>
      <c r="C353" s="595"/>
    </row>
    <row r="354" spans="1:3" hidden="1">
      <c r="A354" s="4" t="s">
        <v>469</v>
      </c>
      <c r="B354" s="4" t="s">
        <v>75</v>
      </c>
      <c r="C354" s="595"/>
    </row>
    <row r="355" spans="1:3" hidden="1">
      <c r="A355" s="4" t="s">
        <v>75</v>
      </c>
      <c r="B355" s="4" t="s">
        <v>75</v>
      </c>
      <c r="C355" s="595"/>
    </row>
    <row r="356" spans="1:3" hidden="1">
      <c r="A356" s="4" t="s">
        <v>470</v>
      </c>
      <c r="B356" s="4" t="s">
        <v>75</v>
      </c>
      <c r="C356" s="595"/>
    </row>
    <row r="357" spans="1:3" hidden="1">
      <c r="A357" s="4" t="s">
        <v>471</v>
      </c>
      <c r="B357" s="4" t="s">
        <v>76</v>
      </c>
      <c r="C357" s="595"/>
    </row>
    <row r="358" spans="1:3" hidden="1">
      <c r="A358" s="4" t="s">
        <v>472</v>
      </c>
      <c r="B358" s="4" t="s">
        <v>76</v>
      </c>
      <c r="C358" s="595"/>
    </row>
    <row r="359" spans="1:3" hidden="1">
      <c r="A359" s="4" t="s">
        <v>473</v>
      </c>
      <c r="B359" s="4" t="s">
        <v>76</v>
      </c>
      <c r="C359" s="595"/>
    </row>
    <row r="360" spans="1:3" hidden="1">
      <c r="A360" s="4" t="s">
        <v>76</v>
      </c>
      <c r="B360" s="4" t="s">
        <v>76</v>
      </c>
      <c r="C360" s="595"/>
    </row>
    <row r="361" spans="1:3" hidden="1">
      <c r="A361" s="4" t="s">
        <v>474</v>
      </c>
      <c r="B361" s="4" t="s">
        <v>77</v>
      </c>
      <c r="C361" s="595"/>
    </row>
    <row r="362" spans="1:3" hidden="1">
      <c r="A362" s="4" t="s">
        <v>475</v>
      </c>
      <c r="B362" s="4" t="s">
        <v>77</v>
      </c>
      <c r="C362" s="595"/>
    </row>
    <row r="363" spans="1:3" hidden="1">
      <c r="A363" s="4" t="s">
        <v>476</v>
      </c>
      <c r="B363" s="4" t="s">
        <v>77</v>
      </c>
      <c r="C363" s="595"/>
    </row>
    <row r="364" spans="1:3" hidden="1">
      <c r="A364" s="4" t="s">
        <v>477</v>
      </c>
      <c r="B364" s="4" t="s">
        <v>77</v>
      </c>
      <c r="C364" s="595"/>
    </row>
    <row r="365" spans="1:3" hidden="1">
      <c r="A365" s="4" t="s">
        <v>478</v>
      </c>
      <c r="B365" s="4" t="s">
        <v>77</v>
      </c>
      <c r="C365" s="595"/>
    </row>
    <row r="366" spans="1:3" hidden="1">
      <c r="A366" s="4" t="s">
        <v>479</v>
      </c>
      <c r="B366" s="4" t="s">
        <v>77</v>
      </c>
      <c r="C366" s="595"/>
    </row>
    <row r="367" spans="1:3" hidden="1">
      <c r="A367" s="4" t="s">
        <v>480</v>
      </c>
      <c r="B367" s="4" t="s">
        <v>77</v>
      </c>
      <c r="C367" s="595"/>
    </row>
    <row r="368" spans="1:3" hidden="1">
      <c r="A368" s="4" t="s">
        <v>481</v>
      </c>
      <c r="B368" s="4" t="s">
        <v>77</v>
      </c>
      <c r="C368" s="595"/>
    </row>
    <row r="369" spans="1:3" hidden="1">
      <c r="A369" s="4" t="s">
        <v>77</v>
      </c>
      <c r="B369" s="4" t="s">
        <v>77</v>
      </c>
      <c r="C369" s="595"/>
    </row>
    <row r="370" spans="1:3" hidden="1">
      <c r="A370" t="s">
        <v>482</v>
      </c>
      <c r="B370" s="4" t="s">
        <v>77</v>
      </c>
      <c r="C370" s="595"/>
    </row>
    <row r="371" spans="1:3" hidden="1">
      <c r="A371" s="4" t="s">
        <v>483</v>
      </c>
      <c r="B371" s="4" t="s">
        <v>484</v>
      </c>
      <c r="C371" s="595"/>
    </row>
    <row r="372" spans="1:3" hidden="1">
      <c r="A372" s="4" t="s">
        <v>485</v>
      </c>
      <c r="B372" s="4" t="s">
        <v>484</v>
      </c>
      <c r="C372" s="595"/>
    </row>
    <row r="373" spans="1:3" hidden="1">
      <c r="A373" s="7" t="s">
        <v>486</v>
      </c>
      <c r="B373" s="4" t="s">
        <v>484</v>
      </c>
      <c r="C373" s="595"/>
    </row>
    <row r="374" spans="1:3" hidden="1">
      <c r="A374" s="4" t="s">
        <v>487</v>
      </c>
      <c r="B374" s="4" t="s">
        <v>484</v>
      </c>
      <c r="C374" s="595"/>
    </row>
    <row r="375" spans="1:3" hidden="1">
      <c r="A375" s="4" t="s">
        <v>488</v>
      </c>
      <c r="B375" s="4" t="s">
        <v>484</v>
      </c>
      <c r="C375" s="595"/>
    </row>
    <row r="376" spans="1:3" hidden="1">
      <c r="A376" s="4" t="s">
        <v>489</v>
      </c>
      <c r="B376" s="4" t="s">
        <v>484</v>
      </c>
      <c r="C376" s="595"/>
    </row>
    <row r="377" spans="1:3" hidden="1">
      <c r="A377" s="4" t="s">
        <v>490</v>
      </c>
      <c r="B377" s="4" t="s">
        <v>484</v>
      </c>
      <c r="C377" s="595"/>
    </row>
    <row r="378" spans="1:3" hidden="1">
      <c r="A378" s="4" t="s">
        <v>491</v>
      </c>
      <c r="B378" s="4" t="s">
        <v>484</v>
      </c>
      <c r="C378" s="595"/>
    </row>
    <row r="379" spans="1:3" hidden="1">
      <c r="A379" s="4" t="s">
        <v>492</v>
      </c>
      <c r="B379" s="4" t="s">
        <v>484</v>
      </c>
      <c r="C379" s="595"/>
    </row>
    <row r="380" spans="1:3" hidden="1">
      <c r="A380" s="4" t="s">
        <v>493</v>
      </c>
      <c r="B380" s="4" t="s">
        <v>484</v>
      </c>
      <c r="C380" s="595"/>
    </row>
    <row r="381" spans="1:3" hidden="1">
      <c r="A381" s="4" t="s">
        <v>494</v>
      </c>
      <c r="B381" s="4" t="s">
        <v>484</v>
      </c>
      <c r="C381" s="595"/>
    </row>
    <row r="382" spans="1:3" hidden="1">
      <c r="A382" s="4" t="s">
        <v>495</v>
      </c>
      <c r="B382" s="4" t="s">
        <v>484</v>
      </c>
      <c r="C382" s="595"/>
    </row>
    <row r="383" spans="1:3" hidden="1">
      <c r="A383" s="4" t="s">
        <v>496</v>
      </c>
      <c r="B383" s="4" t="s">
        <v>484</v>
      </c>
      <c r="C383" s="595"/>
    </row>
    <row r="384" spans="1:3" hidden="1">
      <c r="A384" s="4" t="s">
        <v>497</v>
      </c>
      <c r="B384" s="4" t="s">
        <v>484</v>
      </c>
      <c r="C384" s="595"/>
    </row>
    <row r="385" spans="1:3" hidden="1">
      <c r="A385" s="4" t="s">
        <v>498</v>
      </c>
      <c r="B385" s="4" t="s">
        <v>484</v>
      </c>
      <c r="C385" s="595"/>
    </row>
    <row r="386" spans="1:3" hidden="1">
      <c r="A386" s="4" t="s">
        <v>499</v>
      </c>
      <c r="B386" s="4" t="s">
        <v>484</v>
      </c>
      <c r="C386" s="595"/>
    </row>
    <row r="387" spans="1:3" hidden="1">
      <c r="A387" s="4" t="s">
        <v>500</v>
      </c>
      <c r="B387" s="4" t="s">
        <v>484</v>
      </c>
      <c r="C387" s="595"/>
    </row>
    <row r="388" spans="1:3" hidden="1">
      <c r="A388" s="4" t="s">
        <v>501</v>
      </c>
      <c r="B388" s="4" t="s">
        <v>484</v>
      </c>
      <c r="C388" s="595"/>
    </row>
    <row r="389" spans="1:3" hidden="1">
      <c r="A389" s="4" t="s">
        <v>502</v>
      </c>
      <c r="B389" s="4" t="s">
        <v>484</v>
      </c>
      <c r="C389" s="595"/>
    </row>
    <row r="390" spans="1:3" hidden="1">
      <c r="A390" s="4" t="s">
        <v>503</v>
      </c>
      <c r="B390" s="4" t="s">
        <v>484</v>
      </c>
      <c r="C390" s="595"/>
    </row>
    <row r="391" spans="1:3" hidden="1">
      <c r="A391" s="4" t="s">
        <v>504</v>
      </c>
      <c r="B391" s="4" t="s">
        <v>484</v>
      </c>
      <c r="C391" s="595"/>
    </row>
    <row r="392" spans="1:3" hidden="1">
      <c r="A392" s="4" t="s">
        <v>505</v>
      </c>
      <c r="B392" s="4" t="s">
        <v>484</v>
      </c>
      <c r="C392" s="595"/>
    </row>
    <row r="393" spans="1:3" hidden="1">
      <c r="A393" s="4" t="s">
        <v>506</v>
      </c>
      <c r="B393" s="4" t="s">
        <v>484</v>
      </c>
      <c r="C393" s="595"/>
    </row>
    <row r="394" spans="1:3" hidden="1">
      <c r="A394" s="4" t="s">
        <v>484</v>
      </c>
      <c r="B394" s="4" t="s">
        <v>484</v>
      </c>
      <c r="C394" s="595"/>
    </row>
    <row r="395" spans="1:3" hidden="1">
      <c r="A395" s="4" t="s">
        <v>507</v>
      </c>
      <c r="B395" s="4" t="s">
        <v>484</v>
      </c>
      <c r="C395" s="595"/>
    </row>
    <row r="396" spans="1:3" hidden="1">
      <c r="A396" s="4" t="s">
        <v>508</v>
      </c>
      <c r="B396" s="4" t="s">
        <v>78</v>
      </c>
      <c r="C396" s="595"/>
    </row>
    <row r="397" spans="1:3" hidden="1">
      <c r="A397" s="4" t="s">
        <v>509</v>
      </c>
      <c r="B397" s="4" t="s">
        <v>78</v>
      </c>
      <c r="C397" s="595"/>
    </row>
    <row r="398" spans="1:3" hidden="1">
      <c r="A398" s="4" t="s">
        <v>510</v>
      </c>
      <c r="B398" s="4" t="s">
        <v>78</v>
      </c>
      <c r="C398" s="595"/>
    </row>
    <row r="399" spans="1:3" hidden="1">
      <c r="A399" s="4" t="s">
        <v>511</v>
      </c>
      <c r="B399" s="4" t="s">
        <v>78</v>
      </c>
      <c r="C399" s="595"/>
    </row>
    <row r="400" spans="1:3" hidden="1">
      <c r="A400" s="4" t="s">
        <v>512</v>
      </c>
      <c r="B400" s="4" t="s">
        <v>78</v>
      </c>
      <c r="C400" s="595"/>
    </row>
    <row r="401" spans="1:3" hidden="1">
      <c r="A401" s="4" t="s">
        <v>78</v>
      </c>
      <c r="B401" s="4" t="s">
        <v>78</v>
      </c>
      <c r="C401" s="595"/>
    </row>
    <row r="402" spans="1:3" hidden="1">
      <c r="A402" t="s">
        <v>513</v>
      </c>
      <c r="B402" s="4" t="s">
        <v>513</v>
      </c>
    </row>
  </sheetData>
  <sheetProtection algorithmName="SHA-512" hashValue="09MmSqU02pCHNLBHF2j9tE+qLFnSAee54DuK4dwdCxe8rebXRn5QnabCgMivI8GWnxeXQl7t2GXj7P/+HQF9fg==" saltValue="tKFTtdnV2S68gCYfniWqAg==" spinCount="100000" sheet="1" objects="1" scenarios="1" autoFilter="0"/>
  <autoFilter ref="A1:B402" xr:uid="{282906C2-862E-4D29-A504-FB3CED67DFE9}">
    <filterColumn colId="1">
      <filters>
        <filter val="FRANCISCO BELTRÃO"/>
      </filters>
    </filterColumn>
  </autoFilter>
  <mergeCells count="18">
    <mergeCell ref="G32:K33"/>
    <mergeCell ref="G35:K36"/>
    <mergeCell ref="C1:C1048576"/>
    <mergeCell ref="G1:K1"/>
    <mergeCell ref="G2:K2"/>
    <mergeCell ref="G4:K4"/>
    <mergeCell ref="G5:K5"/>
    <mergeCell ref="G8:K9"/>
    <mergeCell ref="G10:K16"/>
    <mergeCell ref="G18:K23"/>
    <mergeCell ref="G25:K26"/>
    <mergeCell ref="G28:K30"/>
    <mergeCell ref="S16:AI17"/>
    <mergeCell ref="S1:AI1"/>
    <mergeCell ref="N4:Q4"/>
    <mergeCell ref="N20:Q20"/>
    <mergeCell ref="N1:R1"/>
    <mergeCell ref="N2:R2"/>
  </mergeCells>
  <conditionalFormatting sqref="D1:D1048576">
    <cfRule type="cellIs" dxfId="466" priority="1" operator="equal">
      <formula>0</formula>
    </cfRule>
    <cfRule type="containsText" dxfId="465" priority="2" operator="containsText" text="&quot;&quot;">
      <formula>NOT(ISERROR(SEARCH("""""",D1)))</formula>
    </cfRule>
  </conditionalFormatting>
  <hyperlinks>
    <hyperlink ref="G2" r:id="rId1" display="https://www.credicoamo.com.br/agencias" xr:uid="{F61BCF50-460B-44B8-96B9-BA66948491F4}"/>
    <hyperlink ref="G5" r:id="rId2" display="https://assissupermercados.com.br/nossas-lojas/" xr:uid="{C55BE1CE-2023-462B-9EF1-851AACEA797E}"/>
    <hyperlink ref="N2" r:id="rId3" display="https://www.credicoamo.com.br/agencias" xr:uid="{A14587D9-652E-4A74-8967-52DBBD7F790C}"/>
    <hyperlink ref="N2:R2" r:id="rId4" display="Cocamar | Agências" xr:uid="{EAED0DB8-ADE8-4C26-AB7D-CC81162B9862}"/>
  </hyperlinks>
  <pageMargins left="0.511811024" right="0.511811024" top="0.78740157499999996" bottom="0.78740157499999996" header="0.31496062000000002" footer="0.31496062000000002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51F4-B95D-4347-9627-19D91E8FD763}">
  <sheetPr codeName="Planilha6">
    <pageSetUpPr fitToPage="1"/>
  </sheetPr>
  <dimension ref="A1:P27"/>
  <sheetViews>
    <sheetView workbookViewId="0">
      <selection activeCell="D3" sqref="D3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46.85546875" bestFit="1" customWidth="1"/>
    <col min="5" max="5" width="18.5703125" customWidth="1"/>
    <col min="6" max="6" width="17.8554687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13.85546875" bestFit="1" customWidth="1"/>
    <col min="12" max="12" width="26.7109375" bestFit="1" customWidth="1"/>
    <col min="13" max="13" width="42.7109375" bestFit="1" customWidth="1"/>
    <col min="14" max="14" width="10.85546875" bestFit="1" customWidth="1"/>
    <col min="15" max="15" width="11.85546875" bestFit="1" customWidth="1"/>
  </cols>
  <sheetData>
    <row r="1" spans="1:16" ht="30">
      <c r="A1" s="217" t="s">
        <v>514</v>
      </c>
      <c r="B1" s="218" t="s">
        <v>515</v>
      </c>
      <c r="C1" s="218" t="s">
        <v>0</v>
      </c>
      <c r="D1" s="218" t="s">
        <v>516</v>
      </c>
      <c r="E1" s="218" t="s">
        <v>517</v>
      </c>
      <c r="F1" s="218" t="s">
        <v>518</v>
      </c>
      <c r="G1" s="218" t="s">
        <v>519</v>
      </c>
      <c r="H1" s="219" t="s">
        <v>520</v>
      </c>
      <c r="I1" s="218" t="s">
        <v>521</v>
      </c>
      <c r="J1" s="218" t="s">
        <v>522</v>
      </c>
      <c r="K1" s="218" t="s">
        <v>523</v>
      </c>
      <c r="L1" s="218" t="s">
        <v>524</v>
      </c>
      <c r="M1" s="235" t="s">
        <v>525</v>
      </c>
      <c r="N1" s="218" t="s">
        <v>0</v>
      </c>
      <c r="O1" s="218" t="s">
        <v>1</v>
      </c>
      <c r="P1" s="202"/>
    </row>
    <row r="2" spans="1:16">
      <c r="A2" s="236">
        <v>0.60416666666666663</v>
      </c>
      <c r="B2" s="25">
        <v>0.5625</v>
      </c>
      <c r="C2" s="45">
        <v>202401100</v>
      </c>
      <c r="D2" s="274" t="s">
        <v>526</v>
      </c>
      <c r="E2" s="37" t="s">
        <v>527</v>
      </c>
      <c r="F2" s="45" t="s">
        <v>528</v>
      </c>
      <c r="G2" s="181" t="s">
        <v>529</v>
      </c>
      <c r="H2" s="17" t="s">
        <v>530</v>
      </c>
      <c r="I2" s="21" t="s">
        <v>531</v>
      </c>
      <c r="J2" s="74" t="s">
        <v>532</v>
      </c>
      <c r="K2" s="84">
        <v>30124691</v>
      </c>
      <c r="L2" s="74" t="s">
        <v>533</v>
      </c>
      <c r="M2" s="13" t="s">
        <v>534</v>
      </c>
      <c r="N2" s="70"/>
      <c r="O2" s="240"/>
    </row>
    <row r="3" spans="1:16">
      <c r="A3" s="236">
        <v>0.625</v>
      </c>
      <c r="B3" s="26">
        <v>0.5625</v>
      </c>
      <c r="C3" s="45">
        <v>202401100</v>
      </c>
      <c r="D3" s="274" t="s">
        <v>535</v>
      </c>
      <c r="E3" s="37" t="s">
        <v>527</v>
      </c>
      <c r="F3" s="45" t="s">
        <v>528</v>
      </c>
      <c r="G3" s="181" t="s">
        <v>529</v>
      </c>
      <c r="H3" s="17" t="s">
        <v>530</v>
      </c>
      <c r="I3" s="21" t="s">
        <v>531</v>
      </c>
      <c r="J3" s="74" t="s">
        <v>532</v>
      </c>
      <c r="K3" s="84">
        <v>30124691</v>
      </c>
      <c r="L3" s="74" t="s">
        <v>533</v>
      </c>
      <c r="M3" s="13" t="s">
        <v>536</v>
      </c>
      <c r="N3" s="70"/>
      <c r="O3" s="240"/>
    </row>
    <row r="4" spans="1:16">
      <c r="A4" s="236">
        <v>0.64583333333333337</v>
      </c>
      <c r="B4" s="76">
        <v>0.5625</v>
      </c>
      <c r="C4" s="45">
        <v>202401100</v>
      </c>
      <c r="D4" s="275" t="s">
        <v>537</v>
      </c>
      <c r="E4" s="37" t="s">
        <v>527</v>
      </c>
      <c r="F4" s="45" t="s">
        <v>528</v>
      </c>
      <c r="G4" s="181" t="s">
        <v>529</v>
      </c>
      <c r="H4" s="17" t="s">
        <v>530</v>
      </c>
      <c r="I4" s="21" t="s">
        <v>531</v>
      </c>
      <c r="J4" s="74" t="s">
        <v>532</v>
      </c>
      <c r="K4" s="84">
        <v>30124691</v>
      </c>
      <c r="L4" s="74" t="s">
        <v>533</v>
      </c>
      <c r="M4" s="13" t="s">
        <v>534</v>
      </c>
      <c r="N4" s="70"/>
      <c r="O4" s="240"/>
    </row>
    <row r="5" spans="1:16">
      <c r="A5" s="236"/>
      <c r="B5" s="239"/>
      <c r="C5" s="70"/>
      <c r="D5" s="242"/>
      <c r="E5" s="276"/>
      <c r="F5" s="243"/>
      <c r="G5" s="13"/>
      <c r="H5" s="56"/>
      <c r="I5" s="38"/>
      <c r="J5" s="237"/>
      <c r="K5" s="70"/>
      <c r="L5" s="70"/>
      <c r="M5" s="13"/>
      <c r="N5" s="70"/>
      <c r="O5" s="240"/>
    </row>
    <row r="6" spans="1:16">
      <c r="A6" s="13"/>
      <c r="B6" s="13"/>
      <c r="C6" s="34"/>
      <c r="D6" s="13"/>
      <c r="E6" s="34"/>
      <c r="F6" s="13"/>
      <c r="G6" s="13"/>
      <c r="H6" s="13"/>
      <c r="I6" s="34"/>
      <c r="J6" s="13"/>
      <c r="K6" s="13"/>
      <c r="L6" s="13"/>
      <c r="M6" s="13"/>
      <c r="N6" s="13"/>
      <c r="O6" s="13"/>
    </row>
    <row r="7" spans="1:16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6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>
      <c r="A9" s="637" t="s">
        <v>538</v>
      </c>
      <c r="B9" s="637"/>
      <c r="C9" s="637">
        <v>3</v>
      </c>
      <c r="D9" s="637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>
      <c r="A10" s="637"/>
      <c r="B10" s="637"/>
      <c r="C10" s="637"/>
      <c r="D10" s="637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>
      <c r="A11" s="637"/>
      <c r="B11" s="637"/>
      <c r="C11" s="637"/>
      <c r="D11" s="637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637" t="s">
        <v>539</v>
      </c>
      <c r="B12" s="637"/>
      <c r="C12" s="637">
        <v>1</v>
      </c>
      <c r="D12" s="637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637"/>
      <c r="B13" s="637"/>
      <c r="C13" s="637"/>
      <c r="D13" s="63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>
      <c r="A14" s="637"/>
      <c r="B14" s="637"/>
      <c r="C14" s="637"/>
      <c r="D14" s="637"/>
    </row>
    <row r="15" spans="1:16" ht="15" customHeight="1">
      <c r="A15" s="191"/>
      <c r="B15" s="191"/>
      <c r="C15" s="191"/>
      <c r="D15" s="191"/>
      <c r="E15" s="191"/>
      <c r="F15" s="191"/>
      <c r="G15" s="191"/>
      <c r="H15" s="793" t="s">
        <v>540</v>
      </c>
      <c r="I15" s="794"/>
      <c r="J15" s="794"/>
      <c r="K15" s="795"/>
      <c r="L15" s="611" t="s">
        <v>541</v>
      </c>
      <c r="M15" s="611"/>
      <c r="N15" s="611"/>
      <c r="O15" s="611"/>
      <c r="P15" s="191"/>
    </row>
    <row r="16" spans="1:16">
      <c r="A16" s="796" t="s">
        <v>542</v>
      </c>
      <c r="B16" s="797"/>
      <c r="C16" s="797"/>
      <c r="D16" s="797"/>
      <c r="E16" s="797"/>
      <c r="F16" s="797"/>
      <c r="G16" s="798"/>
      <c r="H16" s="612"/>
      <c r="I16" s="613"/>
      <c r="J16" s="613"/>
      <c r="K16" s="614"/>
      <c r="L16" s="611"/>
      <c r="M16" s="611"/>
      <c r="N16" s="611"/>
      <c r="O16" s="611"/>
      <c r="P16" s="191"/>
    </row>
    <row r="17" spans="1:16">
      <c r="A17" s="203" t="s">
        <v>543</v>
      </c>
      <c r="B17" s="204" t="s">
        <v>544</v>
      </c>
      <c r="C17" s="204" t="s">
        <v>545</v>
      </c>
      <c r="D17" s="799" t="s">
        <v>546</v>
      </c>
      <c r="E17" s="800"/>
      <c r="F17" s="204" t="s">
        <v>545</v>
      </c>
      <c r="G17" s="205" t="s">
        <v>547</v>
      </c>
      <c r="H17" s="206" t="s">
        <v>548</v>
      </c>
      <c r="I17" s="191"/>
      <c r="J17" s="191"/>
      <c r="K17" s="191"/>
      <c r="L17" s="611"/>
      <c r="M17" s="611"/>
      <c r="N17" s="611"/>
      <c r="O17" s="611"/>
      <c r="P17" s="191"/>
    </row>
    <row r="18" spans="1:16">
      <c r="A18" s="208">
        <v>45910</v>
      </c>
      <c r="B18" s="212" t="s">
        <v>549</v>
      </c>
      <c r="C18" s="210">
        <v>0.5625</v>
      </c>
      <c r="D18" s="615" t="s">
        <v>239</v>
      </c>
      <c r="E18" s="616"/>
      <c r="F18" s="210">
        <v>0.60416666666666663</v>
      </c>
      <c r="G18" s="211">
        <v>44.9</v>
      </c>
      <c r="H18" s="617">
        <v>0</v>
      </c>
      <c r="I18" s="618" t="s">
        <v>550</v>
      </c>
      <c r="J18" s="618"/>
      <c r="K18" s="619"/>
      <c r="L18" s="611"/>
      <c r="M18" s="611"/>
      <c r="N18" s="611"/>
      <c r="O18" s="611"/>
      <c r="P18" s="191"/>
    </row>
    <row r="19" spans="1:16">
      <c r="A19" s="213">
        <v>45910</v>
      </c>
      <c r="B19" s="244" t="s">
        <v>239</v>
      </c>
      <c r="C19" s="210">
        <v>0.60416666666666663</v>
      </c>
      <c r="D19" s="624" t="s">
        <v>549</v>
      </c>
      <c r="E19" s="616"/>
      <c r="F19" s="210">
        <v>0.65277777777777779</v>
      </c>
      <c r="G19" s="211">
        <v>44.9</v>
      </c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213"/>
      <c r="B20" s="245"/>
      <c r="C20" s="215"/>
      <c r="D20" s="624"/>
      <c r="E20" s="616"/>
      <c r="F20" s="210"/>
      <c r="G20" s="211"/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625" t="s">
        <v>551</v>
      </c>
      <c r="B21" s="626"/>
      <c r="C21" s="626"/>
      <c r="D21" s="626"/>
      <c r="E21" s="626"/>
      <c r="F21" s="627"/>
      <c r="G21" s="226">
        <f>SUM(G18:G20)</f>
        <v>89.8</v>
      </c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191"/>
      <c r="B22" s="191"/>
      <c r="C22" s="191"/>
      <c r="D22" s="191"/>
      <c r="E22" s="191"/>
      <c r="F22" s="191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796" t="s">
        <v>552</v>
      </c>
      <c r="B23" s="797"/>
      <c r="C23" s="797"/>
      <c r="D23" s="797"/>
      <c r="E23" s="797"/>
      <c r="F23" s="797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28" t="s">
        <v>553</v>
      </c>
      <c r="B24" s="629"/>
      <c r="C24" s="630"/>
      <c r="D24" s="628" t="s">
        <v>554</v>
      </c>
      <c r="E24" s="629"/>
      <c r="F24" s="631"/>
      <c r="G24" s="191"/>
      <c r="H24" s="191"/>
      <c r="I24" s="620"/>
      <c r="J24" s="620"/>
      <c r="K24" s="621"/>
      <c r="L24" s="191"/>
      <c r="M24" s="191"/>
      <c r="N24" s="191"/>
      <c r="O24" s="191"/>
      <c r="P24" s="191"/>
    </row>
    <row r="25" spans="1:16">
      <c r="A25" s="632">
        <v>0.5</v>
      </c>
      <c r="B25" s="633"/>
      <c r="C25" s="634"/>
      <c r="D25" s="635">
        <v>0.5625</v>
      </c>
      <c r="E25" s="633"/>
      <c r="F25" s="636"/>
      <c r="G25" s="191"/>
      <c r="H25" s="191"/>
      <c r="I25" s="622"/>
      <c r="J25" s="622"/>
      <c r="K25" s="623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</sheetData>
  <protectedRanges>
    <protectedRange sqref="J10" name="Range1"/>
    <protectedRange sqref="K10" name="Range1_1"/>
    <protectedRange sqref="E5" name="Range1_4"/>
    <protectedRange sqref="E11" name="Range1_9"/>
    <protectedRange sqref="E12" name="Range1_10"/>
    <protectedRange sqref="F11" name="Range1_11"/>
    <protectedRange sqref="F12" name="Range1_12"/>
    <protectedRange sqref="G11" name="Range1_13"/>
    <protectedRange sqref="G12" name="Range1_14"/>
    <protectedRange sqref="D5" name="Range1_15"/>
    <protectedRange sqref="C5 N2:N5" name="Range1_15_1"/>
    <protectedRange sqref="B5" name="Range1_15_2"/>
    <protectedRange sqref="F5" name="Range1_15_6"/>
    <protectedRange sqref="G5" name="Range1_15_10"/>
    <protectedRange sqref="H5" name="Range1_15_14"/>
    <protectedRange sqref="I5" name="Range1_15_18"/>
    <protectedRange sqref="J5" name="Range1_15_22"/>
    <protectedRange sqref="K5:L5" name="Range1_15_26"/>
    <protectedRange sqref="J2:J4" name="Range1_15_27"/>
    <protectedRange sqref="K2" name="Range1_15_28"/>
    <protectedRange sqref="L2:L4" name="Range1_15_29"/>
    <protectedRange sqref="K3" name="Range1_15_31"/>
    <protectedRange sqref="K4" name="Range1_15_34"/>
    <protectedRange sqref="I2" name="Range1_15_36"/>
    <protectedRange sqref="I3" name="Range1_15_37"/>
    <protectedRange sqref="I4" name="Range1_15_38"/>
    <protectedRange sqref="H2" name="Range1_15_39"/>
    <protectedRange sqref="H3" name="Range1_15_40"/>
    <protectedRange sqref="H4" name="Range1_15_41"/>
    <protectedRange sqref="G2" name="Range1_15_42"/>
    <protectedRange sqref="G3" name="Range1_15_43"/>
    <protectedRange sqref="G4" name="Range1_15_44"/>
    <protectedRange sqref="F2" name="Range1_15_45"/>
    <protectedRange sqref="F3" name="Range1_15_46"/>
    <protectedRange sqref="F4" name="Range1_15_47"/>
    <protectedRange sqref="D2:D4" name="Range1_15_48"/>
    <protectedRange sqref="C2" name="Range1_15_49"/>
    <protectedRange sqref="C3" name="Range1_15_50"/>
    <protectedRange sqref="C4" name="Range1_15_51"/>
    <protectedRange sqref="B2:B4" name="Range1_15_52"/>
    <protectedRange sqref="D9:D10 D12:D13" name="Range1_7_1"/>
    <protectedRange sqref="C9:C10 C12:C13" name="Range1_8_1"/>
  </protectedRanges>
  <autoFilter ref="A1:P1" xr:uid="{F09CEF7E-7F6A-43A3-80C5-483E49D4AA6D}"/>
  <mergeCells count="20">
    <mergeCell ref="A9:B11"/>
    <mergeCell ref="C9:D11"/>
    <mergeCell ref="A12:B14"/>
    <mergeCell ref="C12:D14"/>
    <mergeCell ref="H15:K15"/>
    <mergeCell ref="L15:O21"/>
    <mergeCell ref="A16:G16"/>
    <mergeCell ref="H16:K16"/>
    <mergeCell ref="D17:E17"/>
    <mergeCell ref="D18:E18"/>
    <mergeCell ref="H18:H21"/>
    <mergeCell ref="I18:K25"/>
    <mergeCell ref="D19:E19"/>
    <mergeCell ref="D20:E20"/>
    <mergeCell ref="A21:F21"/>
    <mergeCell ref="A23:F23"/>
    <mergeCell ref="A24:C24"/>
    <mergeCell ref="D24:F24"/>
    <mergeCell ref="A25:C25"/>
    <mergeCell ref="D25:F25"/>
  </mergeCells>
  <conditionalFormatting sqref="D5">
    <cfRule type="duplicateValues" dxfId="464" priority="23"/>
  </conditionalFormatting>
  <conditionalFormatting sqref="G5">
    <cfRule type="cellIs" dxfId="463" priority="15" operator="equal">
      <formula>0</formula>
    </cfRule>
  </conditionalFormatting>
  <conditionalFormatting sqref="G5">
    <cfRule type="duplicateValues" dxfId="462" priority="16"/>
  </conditionalFormatting>
  <conditionalFormatting sqref="H5">
    <cfRule type="cellIs" dxfId="461" priority="11" operator="equal">
      <formula>0</formula>
    </cfRule>
  </conditionalFormatting>
  <conditionalFormatting sqref="H2">
    <cfRule type="cellIs" dxfId="460" priority="10" operator="equal">
      <formula>0</formula>
    </cfRule>
  </conditionalFormatting>
  <conditionalFormatting sqref="H3">
    <cfRule type="cellIs" dxfId="459" priority="9" operator="equal">
      <formula>0</formula>
    </cfRule>
  </conditionalFormatting>
  <conditionalFormatting sqref="H4">
    <cfRule type="cellIs" dxfId="458" priority="8" operator="equal">
      <formula>0</formula>
    </cfRule>
  </conditionalFormatting>
  <conditionalFormatting sqref="G2">
    <cfRule type="cellIs" dxfId="457" priority="6" operator="equal">
      <formula>0</formula>
    </cfRule>
  </conditionalFormatting>
  <conditionalFormatting sqref="G2">
    <cfRule type="duplicateValues" dxfId="456" priority="7"/>
  </conditionalFormatting>
  <conditionalFormatting sqref="G3">
    <cfRule type="cellIs" dxfId="455" priority="4" operator="equal">
      <formula>0</formula>
    </cfRule>
  </conditionalFormatting>
  <conditionalFormatting sqref="G3">
    <cfRule type="duplicateValues" dxfId="454" priority="5"/>
  </conditionalFormatting>
  <conditionalFormatting sqref="G4">
    <cfRule type="cellIs" dxfId="453" priority="2" operator="equal">
      <formula>0</formula>
    </cfRule>
  </conditionalFormatting>
  <conditionalFormatting sqref="G4">
    <cfRule type="duplicateValues" dxfId="452" priority="3"/>
  </conditionalFormatting>
  <conditionalFormatting sqref="D2:D4">
    <cfRule type="duplicateValues" dxfId="451" priority="1"/>
  </conditionalFormatting>
  <hyperlinks>
    <hyperlink ref="H2" r:id="rId1" xr:uid="{58E25530-859F-4FB9-ACAD-5DD938F789D7}"/>
    <hyperlink ref="H3" r:id="rId2" xr:uid="{507C9483-DA27-4490-BB74-AD37199228C8}"/>
    <hyperlink ref="H4" r:id="rId3" xr:uid="{70CD3B35-C68C-4A6D-8C4E-14E13D02DD45}"/>
  </hyperlinks>
  <pageMargins left="0.25" right="0.25" top="0.75" bottom="0.75" header="0.3" footer="0.3"/>
  <pageSetup paperSize="9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41F6-1E01-4331-981F-DC4BEDB55526}">
  <sheetPr codeName="Planilha7">
    <pageSetUpPr fitToPage="1"/>
  </sheetPr>
  <dimension ref="A1:P32"/>
  <sheetViews>
    <sheetView topLeftCell="F1" workbookViewId="0">
      <selection activeCell="K13" sqref="K13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46.85546875" bestFit="1" customWidth="1"/>
    <col min="5" max="5" width="31.85546875" customWidth="1"/>
    <col min="6" max="6" width="29.14062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27.7109375" bestFit="1" customWidth="1"/>
    <col min="12" max="12" width="26.7109375" bestFit="1" customWidth="1"/>
    <col min="13" max="13" width="12.42578125" customWidth="1"/>
    <col min="14" max="14" width="10.85546875" bestFit="1" customWidth="1"/>
    <col min="15" max="15" width="11.85546875" bestFit="1" customWidth="1"/>
  </cols>
  <sheetData>
    <row r="1" spans="1:16" ht="30">
      <c r="A1" s="217" t="s">
        <v>514</v>
      </c>
      <c r="B1" s="218" t="s">
        <v>515</v>
      </c>
      <c r="C1" s="218" t="s">
        <v>0</v>
      </c>
      <c r="D1" s="218" t="s">
        <v>516</v>
      </c>
      <c r="E1" s="218" t="s">
        <v>517</v>
      </c>
      <c r="F1" s="218" t="s">
        <v>518</v>
      </c>
      <c r="G1" s="218" t="s">
        <v>519</v>
      </c>
      <c r="H1" s="219" t="s">
        <v>520</v>
      </c>
      <c r="I1" s="218" t="s">
        <v>521</v>
      </c>
      <c r="J1" s="218" t="s">
        <v>522</v>
      </c>
      <c r="K1" s="218" t="s">
        <v>523</v>
      </c>
      <c r="L1" s="218" t="s">
        <v>524</v>
      </c>
      <c r="M1" s="235" t="s">
        <v>525</v>
      </c>
      <c r="N1" s="218" t="s">
        <v>0</v>
      </c>
      <c r="O1" s="218" t="s">
        <v>1</v>
      </c>
      <c r="P1" s="202"/>
    </row>
    <row r="2" spans="1:16">
      <c r="A2" s="236">
        <v>0.42708333333333331</v>
      </c>
      <c r="B2" s="176">
        <v>0.33333333333333331</v>
      </c>
      <c r="C2" s="40">
        <v>202500358</v>
      </c>
      <c r="D2" s="18" t="s">
        <v>555</v>
      </c>
      <c r="E2" s="13" t="s">
        <v>556</v>
      </c>
      <c r="F2" s="13" t="s">
        <v>557</v>
      </c>
      <c r="G2" s="13" t="s">
        <v>558</v>
      </c>
      <c r="H2" s="17" t="s">
        <v>559</v>
      </c>
      <c r="I2" s="13" t="s">
        <v>457</v>
      </c>
      <c r="J2" s="13" t="s">
        <v>560</v>
      </c>
      <c r="K2" s="246" t="s">
        <v>561</v>
      </c>
      <c r="L2" s="35" t="s">
        <v>562</v>
      </c>
      <c r="M2" s="13" t="s">
        <v>534</v>
      </c>
      <c r="N2" s="70"/>
      <c r="O2" s="240"/>
    </row>
    <row r="3" spans="1:16">
      <c r="A3" s="236">
        <v>0.58333333333333337</v>
      </c>
      <c r="B3" s="15">
        <v>0.54166666666666663</v>
      </c>
      <c r="C3" s="40">
        <v>202500031</v>
      </c>
      <c r="D3" s="18" t="s">
        <v>563</v>
      </c>
      <c r="E3" s="13" t="s">
        <v>564</v>
      </c>
      <c r="F3" s="13" t="s">
        <v>565</v>
      </c>
      <c r="G3" s="13" t="s">
        <v>566</v>
      </c>
      <c r="H3" s="17" t="s">
        <v>567</v>
      </c>
      <c r="I3" s="13" t="s">
        <v>457</v>
      </c>
      <c r="J3" s="38" t="s">
        <v>568</v>
      </c>
      <c r="K3" s="246" t="s">
        <v>569</v>
      </c>
      <c r="L3" s="13"/>
      <c r="M3" s="13" t="s">
        <v>534</v>
      </c>
      <c r="N3" s="70"/>
      <c r="O3" s="240"/>
    </row>
    <row r="4" spans="1:16">
      <c r="A4" s="236">
        <v>0.60416666666666663</v>
      </c>
      <c r="B4" s="76">
        <v>0.54166666666666663</v>
      </c>
      <c r="C4" s="40">
        <v>202500031</v>
      </c>
      <c r="D4" s="18" t="s">
        <v>570</v>
      </c>
      <c r="E4" s="13" t="s">
        <v>564</v>
      </c>
      <c r="F4" s="13" t="s">
        <v>565</v>
      </c>
      <c r="G4" s="13" t="s">
        <v>566</v>
      </c>
      <c r="H4" s="17" t="s">
        <v>567</v>
      </c>
      <c r="I4" s="13" t="s">
        <v>457</v>
      </c>
      <c r="J4" s="38" t="s">
        <v>568</v>
      </c>
      <c r="K4" s="246" t="s">
        <v>569</v>
      </c>
      <c r="L4" s="13"/>
      <c r="M4" s="13" t="s">
        <v>534</v>
      </c>
      <c r="N4" s="70"/>
      <c r="O4" s="240"/>
    </row>
    <row r="5" spans="1:16">
      <c r="A5" s="236">
        <v>0.54166666666666663</v>
      </c>
      <c r="B5" s="239">
        <v>0.54166666666666663</v>
      </c>
      <c r="C5" s="40">
        <v>202500031</v>
      </c>
      <c r="D5" s="18" t="s">
        <v>571</v>
      </c>
      <c r="E5" s="13" t="s">
        <v>564</v>
      </c>
      <c r="F5" s="13" t="s">
        <v>565</v>
      </c>
      <c r="G5" s="13" t="s">
        <v>572</v>
      </c>
      <c r="H5" s="17" t="s">
        <v>567</v>
      </c>
      <c r="I5" s="13" t="s">
        <v>457</v>
      </c>
      <c r="J5" s="38" t="s">
        <v>573</v>
      </c>
      <c r="K5" s="246" t="s">
        <v>574</v>
      </c>
      <c r="L5" s="13"/>
      <c r="M5" s="13" t="s">
        <v>534</v>
      </c>
      <c r="N5" s="13"/>
      <c r="O5" s="13"/>
    </row>
    <row r="6" spans="1:16">
      <c r="A6" s="236">
        <v>0.5625</v>
      </c>
      <c r="B6" s="239">
        <v>0.54166666666666663</v>
      </c>
      <c r="C6" s="40">
        <v>202500031</v>
      </c>
      <c r="D6" s="18" t="s">
        <v>575</v>
      </c>
      <c r="E6" s="13" t="s">
        <v>564</v>
      </c>
      <c r="F6" s="13" t="s">
        <v>565</v>
      </c>
      <c r="G6" s="13" t="s">
        <v>572</v>
      </c>
      <c r="H6" s="17" t="s">
        <v>567</v>
      </c>
      <c r="I6" s="13" t="s">
        <v>457</v>
      </c>
      <c r="J6" s="38" t="s">
        <v>573</v>
      </c>
      <c r="K6" s="246" t="s">
        <v>574</v>
      </c>
      <c r="L6" s="13"/>
      <c r="M6" s="13" t="s">
        <v>534</v>
      </c>
      <c r="N6" s="13"/>
      <c r="O6" s="13"/>
    </row>
    <row r="7" spans="1:16" s="259" customFormat="1">
      <c r="A7" s="255"/>
      <c r="B7" s="256"/>
      <c r="C7" s="257"/>
      <c r="D7" s="255"/>
      <c r="E7" s="255"/>
      <c r="F7" s="255"/>
      <c r="G7" s="255"/>
      <c r="H7" s="258"/>
      <c r="J7" s="260"/>
      <c r="K7" s="261"/>
      <c r="L7" s="255"/>
      <c r="M7" s="255"/>
      <c r="N7" s="255"/>
      <c r="O7" s="255"/>
    </row>
    <row r="8" spans="1:16">
      <c r="A8" s="236">
        <v>0.375</v>
      </c>
      <c r="B8" s="176">
        <v>0.33333333333333331</v>
      </c>
      <c r="C8" s="40">
        <v>202500031</v>
      </c>
      <c r="D8" s="277" t="s">
        <v>576</v>
      </c>
      <c r="E8" s="13" t="s">
        <v>564</v>
      </c>
      <c r="F8" s="13" t="s">
        <v>565</v>
      </c>
      <c r="G8" s="13" t="s">
        <v>577</v>
      </c>
      <c r="H8" s="17" t="s">
        <v>567</v>
      </c>
      <c r="I8" t="s">
        <v>578</v>
      </c>
      <c r="J8" s="13" t="s">
        <v>579</v>
      </c>
      <c r="K8" s="247" t="s">
        <v>580</v>
      </c>
      <c r="L8" s="13" t="s">
        <v>581</v>
      </c>
      <c r="M8" s="13" t="s">
        <v>534</v>
      </c>
      <c r="N8" s="13"/>
      <c r="O8" s="13"/>
    </row>
    <row r="9" spans="1:16">
      <c r="A9" s="236">
        <v>0.54166666666666663</v>
      </c>
      <c r="B9" s="239">
        <v>0.54166666666666663</v>
      </c>
      <c r="C9" s="40">
        <v>202500031</v>
      </c>
      <c r="D9" s="13" t="s">
        <v>582</v>
      </c>
      <c r="E9" s="13" t="s">
        <v>564</v>
      </c>
      <c r="F9" s="13" t="s">
        <v>565</v>
      </c>
      <c r="G9" s="13" t="s">
        <v>577</v>
      </c>
      <c r="H9" s="17" t="s">
        <v>567</v>
      </c>
      <c r="I9" t="s">
        <v>578</v>
      </c>
      <c r="J9" s="13" t="s">
        <v>579</v>
      </c>
      <c r="K9" s="247" t="s">
        <v>580</v>
      </c>
      <c r="L9" s="13" t="s">
        <v>581</v>
      </c>
      <c r="M9" s="13" t="s">
        <v>534</v>
      </c>
      <c r="N9" s="13"/>
      <c r="O9" s="13"/>
    </row>
    <row r="10" spans="1:16" s="259" customFormat="1">
      <c r="A10" s="255"/>
      <c r="B10" s="256"/>
      <c r="C10" s="257"/>
      <c r="D10" s="255"/>
      <c r="E10" s="255"/>
      <c r="F10" s="255"/>
      <c r="G10" s="255"/>
      <c r="H10" s="258"/>
      <c r="J10" s="255"/>
      <c r="K10" s="261"/>
      <c r="L10" s="255"/>
      <c r="M10" s="255"/>
      <c r="N10" s="255"/>
      <c r="O10" s="255"/>
    </row>
    <row r="11" spans="1:16">
      <c r="A11" s="41"/>
      <c r="B11" s="266">
        <v>0.33333333333333331</v>
      </c>
      <c r="C11" s="172">
        <v>202500119</v>
      </c>
      <c r="D11" s="278" t="s">
        <v>583</v>
      </c>
      <c r="E11" s="13" t="s">
        <v>556</v>
      </c>
      <c r="F11" s="13" t="s">
        <v>584</v>
      </c>
      <c r="G11" s="13" t="s">
        <v>585</v>
      </c>
      <c r="H11" s="17" t="s">
        <v>586</v>
      </c>
      <c r="I11" s="13" t="s">
        <v>473</v>
      </c>
      <c r="J11" s="13" t="s">
        <v>587</v>
      </c>
      <c r="K11" s="246" t="s">
        <v>588</v>
      </c>
      <c r="L11" s="13"/>
      <c r="M11" s="13" t="s">
        <v>534</v>
      </c>
      <c r="N11" s="13"/>
      <c r="O11" s="13"/>
    </row>
    <row r="12" spans="1:16">
      <c r="A12" s="637" t="s">
        <v>538</v>
      </c>
      <c r="B12" s="637"/>
      <c r="C12" s="637">
        <v>8</v>
      </c>
      <c r="D12" s="637"/>
      <c r="E12" s="40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637"/>
      <c r="B13" s="637"/>
      <c r="C13" s="637"/>
      <c r="D13" s="637"/>
      <c r="E13" s="40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>
      <c r="A14" s="637"/>
      <c r="B14" s="637"/>
      <c r="C14" s="637"/>
      <c r="D14" s="637"/>
      <c r="E14" s="40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6">
      <c r="A15" s="637" t="s">
        <v>539</v>
      </c>
      <c r="B15" s="637"/>
      <c r="C15" s="637">
        <v>5</v>
      </c>
      <c r="D15" s="637"/>
    </row>
    <row r="16" spans="1:16">
      <c r="A16" s="637"/>
      <c r="B16" s="637"/>
      <c r="C16" s="637"/>
      <c r="D16" s="637"/>
      <c r="E16" s="191"/>
      <c r="F16" s="191"/>
      <c r="G16" s="191"/>
      <c r="H16" s="640" t="s">
        <v>589</v>
      </c>
      <c r="I16" s="641"/>
      <c r="J16" s="641"/>
      <c r="K16" s="642"/>
      <c r="L16" s="611" t="s">
        <v>541</v>
      </c>
      <c r="M16" s="611"/>
      <c r="N16" s="611"/>
      <c r="O16" s="611"/>
      <c r="P16" s="191"/>
    </row>
    <row r="17" spans="1:16">
      <c r="A17" s="637"/>
      <c r="B17" s="637"/>
      <c r="C17" s="637"/>
      <c r="D17" s="637"/>
      <c r="E17" s="191"/>
      <c r="F17" s="191"/>
      <c r="G17" s="191"/>
      <c r="H17" s="267"/>
      <c r="I17" s="267"/>
      <c r="J17" s="267"/>
      <c r="K17" s="268"/>
      <c r="L17" s="611"/>
      <c r="M17" s="611"/>
      <c r="N17" s="611"/>
      <c r="O17" s="611"/>
      <c r="P17" s="191"/>
    </row>
    <row r="18" spans="1:16">
      <c r="A18" s="796" t="s">
        <v>542</v>
      </c>
      <c r="B18" s="797"/>
      <c r="C18" s="797"/>
      <c r="D18" s="797"/>
      <c r="E18" s="797"/>
      <c r="F18" s="797"/>
      <c r="G18" s="798"/>
      <c r="H18" s="612"/>
      <c r="I18" s="613"/>
      <c r="J18" s="613"/>
      <c r="K18" s="614"/>
      <c r="L18" s="611"/>
      <c r="M18" s="611"/>
      <c r="N18" s="611"/>
      <c r="O18" s="611"/>
      <c r="P18" s="191"/>
    </row>
    <row r="19" spans="1:16">
      <c r="A19" s="203" t="s">
        <v>543</v>
      </c>
      <c r="B19" s="271" t="s">
        <v>544</v>
      </c>
      <c r="C19" s="204" t="s">
        <v>545</v>
      </c>
      <c r="D19" s="628" t="s">
        <v>546</v>
      </c>
      <c r="E19" s="630"/>
      <c r="F19" s="204" t="s">
        <v>545</v>
      </c>
      <c r="G19" s="205" t="s">
        <v>547</v>
      </c>
      <c r="H19" s="206" t="s">
        <v>548</v>
      </c>
      <c r="I19" s="191"/>
      <c r="J19" s="191"/>
      <c r="K19" s="191"/>
      <c r="L19" s="611"/>
      <c r="M19" s="611"/>
      <c r="N19" s="611"/>
      <c r="O19" s="611"/>
      <c r="P19" s="191"/>
    </row>
    <row r="20" spans="1:16">
      <c r="A20" s="213">
        <v>45916</v>
      </c>
      <c r="B20" s="264" t="s">
        <v>549</v>
      </c>
      <c r="C20" s="210">
        <v>0.35416666666666669</v>
      </c>
      <c r="D20" s="615" t="s">
        <v>590</v>
      </c>
      <c r="E20" s="616"/>
      <c r="F20" s="210">
        <v>0.41666666666666669</v>
      </c>
      <c r="G20" s="211">
        <v>61.2</v>
      </c>
      <c r="H20" s="617">
        <v>40.1</v>
      </c>
      <c r="I20" s="618" t="s">
        <v>550</v>
      </c>
      <c r="J20" s="618"/>
      <c r="K20" s="619"/>
      <c r="L20" s="611"/>
      <c r="M20" s="611"/>
      <c r="N20" s="611"/>
      <c r="O20" s="611"/>
      <c r="P20" s="191"/>
    </row>
    <row r="21" spans="1:16">
      <c r="A21" s="213">
        <v>45916</v>
      </c>
      <c r="B21" s="214" t="s">
        <v>590</v>
      </c>
      <c r="C21" s="646" t="s">
        <v>591</v>
      </c>
      <c r="D21" s="646"/>
      <c r="E21" s="646"/>
      <c r="F21" s="646"/>
      <c r="G21" s="647"/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252">
        <v>45917</v>
      </c>
      <c r="B22" s="214" t="s">
        <v>590</v>
      </c>
      <c r="C22" s="253">
        <v>0.33333333333333331</v>
      </c>
      <c r="D22" s="644" t="s">
        <v>592</v>
      </c>
      <c r="E22" s="645"/>
      <c r="F22" s="223">
        <v>0.35416666666666669</v>
      </c>
      <c r="G22" s="254">
        <v>25.8</v>
      </c>
      <c r="H22" s="617"/>
      <c r="I22" s="620"/>
      <c r="J22" s="620"/>
      <c r="K22" s="621"/>
      <c r="L22" s="611"/>
      <c r="M22" s="611"/>
      <c r="N22" s="611"/>
      <c r="O22" s="611"/>
      <c r="P22" s="191"/>
    </row>
    <row r="23" spans="1:16">
      <c r="A23" s="269">
        <v>45917</v>
      </c>
      <c r="B23" s="214" t="s">
        <v>578</v>
      </c>
      <c r="C23" s="270">
        <v>0.5625</v>
      </c>
      <c r="D23" s="648" t="s">
        <v>473</v>
      </c>
      <c r="E23" s="649"/>
      <c r="F23" s="262">
        <v>0.66666666666666663</v>
      </c>
      <c r="G23" s="263">
        <v>146</v>
      </c>
      <c r="H23" s="643"/>
      <c r="I23" s="620"/>
      <c r="J23" s="620"/>
      <c r="K23" s="621"/>
      <c r="L23" s="611"/>
      <c r="M23" s="611"/>
      <c r="N23" s="611"/>
      <c r="O23" s="611"/>
      <c r="P23" s="191"/>
    </row>
    <row r="24" spans="1:16">
      <c r="A24" s="269">
        <v>45917</v>
      </c>
      <c r="B24" s="251" t="s">
        <v>593</v>
      </c>
      <c r="C24" s="650" t="s">
        <v>594</v>
      </c>
      <c r="D24" s="650"/>
      <c r="E24" s="650"/>
      <c r="F24" s="650"/>
      <c r="G24" s="651"/>
      <c r="H24" s="643"/>
      <c r="I24" s="620"/>
      <c r="J24" s="620"/>
      <c r="K24" s="621"/>
      <c r="L24" s="611"/>
      <c r="M24" s="611"/>
      <c r="N24" s="611"/>
      <c r="O24" s="611"/>
      <c r="P24" s="191"/>
    </row>
    <row r="25" spans="1:16">
      <c r="A25" s="265">
        <v>45918</v>
      </c>
      <c r="B25" s="251" t="s">
        <v>593</v>
      </c>
      <c r="C25" s="273">
        <v>0.375</v>
      </c>
      <c r="D25" s="638" t="s">
        <v>549</v>
      </c>
      <c r="E25" s="639"/>
      <c r="F25" s="272">
        <v>0.5</v>
      </c>
      <c r="G25" s="264">
        <v>128</v>
      </c>
      <c r="H25" s="643"/>
      <c r="I25" s="620"/>
      <c r="J25" s="620"/>
      <c r="K25" s="621"/>
      <c r="L25" s="611"/>
      <c r="M25" s="611"/>
      <c r="N25" s="611"/>
      <c r="O25" s="611"/>
      <c r="P25" s="191"/>
    </row>
    <row r="26" spans="1:16">
      <c r="A26" s="652" t="s">
        <v>551</v>
      </c>
      <c r="B26" s="653"/>
      <c r="C26" s="653"/>
      <c r="D26" s="653"/>
      <c r="E26" s="653"/>
      <c r="F26" s="654"/>
      <c r="G26" s="226">
        <f>SUM(G20,G22,G23,G24,G25)</f>
        <v>361</v>
      </c>
      <c r="H26" s="617"/>
      <c r="I26" s="620"/>
      <c r="J26" s="620"/>
      <c r="K26" s="621"/>
      <c r="L26" s="611"/>
      <c r="M26" s="611"/>
      <c r="N26" s="611"/>
      <c r="O26" s="61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620"/>
      <c r="J27" s="620"/>
      <c r="K27" s="621"/>
      <c r="L27" s="191"/>
      <c r="M27" s="191"/>
      <c r="N27" s="191"/>
      <c r="O27" s="191"/>
      <c r="P27" s="191"/>
    </row>
    <row r="28" spans="1:16">
      <c r="A28" s="655" t="s">
        <v>552</v>
      </c>
      <c r="B28" s="656"/>
      <c r="C28" s="656"/>
      <c r="D28" s="656"/>
      <c r="E28" s="656"/>
      <c r="F28" s="656"/>
      <c r="G28" s="191"/>
      <c r="H28" s="191"/>
      <c r="I28" s="620"/>
      <c r="J28" s="620"/>
      <c r="K28" s="621"/>
      <c r="L28" s="191"/>
      <c r="M28" s="191"/>
      <c r="N28" s="191"/>
      <c r="O28" s="191"/>
      <c r="P28" s="191"/>
    </row>
    <row r="29" spans="1:16">
      <c r="A29" s="628" t="s">
        <v>553</v>
      </c>
      <c r="B29" s="629"/>
      <c r="C29" s="630"/>
      <c r="D29" s="628" t="s">
        <v>554</v>
      </c>
      <c r="E29" s="629"/>
      <c r="F29" s="631"/>
      <c r="G29" s="191"/>
      <c r="H29" s="191"/>
      <c r="I29" s="620"/>
      <c r="J29" s="620"/>
      <c r="K29" s="621"/>
      <c r="L29" s="191"/>
      <c r="M29" s="191"/>
      <c r="N29" s="191"/>
      <c r="O29" s="191"/>
      <c r="P29" s="191"/>
    </row>
    <row r="30" spans="1:16">
      <c r="A30" s="632">
        <v>0.5</v>
      </c>
      <c r="B30" s="633"/>
      <c r="C30" s="634"/>
      <c r="D30" s="635">
        <v>0.54166666666666663</v>
      </c>
      <c r="E30" s="633"/>
      <c r="F30" s="636"/>
      <c r="G30" s="191"/>
      <c r="H30" s="191"/>
      <c r="I30" s="622"/>
      <c r="J30" s="622"/>
      <c r="K30" s="623"/>
      <c r="L30" s="191"/>
      <c r="M30" s="191"/>
      <c r="N30" s="191"/>
      <c r="O30" s="191"/>
      <c r="P30" s="191"/>
    </row>
    <row r="31" spans="1:16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</row>
    <row r="32" spans="1:16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</row>
  </sheetData>
  <protectedRanges>
    <protectedRange sqref="D12:D13 D15:D16" name="Range1_7"/>
    <protectedRange sqref="C12:C13 C15:C16" name="Range1_8"/>
    <protectedRange sqref="E12" name="Range1_9"/>
    <protectedRange sqref="E13" name="Range1_10"/>
    <protectedRange sqref="F12" name="Range1_11"/>
    <protectedRange sqref="F13" name="Range1_12"/>
    <protectedRange sqref="G12" name="Range1_13"/>
    <protectedRange sqref="G13" name="Range1_14"/>
    <protectedRange sqref="N2:N4" name="Range1_15_1"/>
    <protectedRange sqref="B5:B7 B9:B10" name="Range1_15_2"/>
    <protectedRange sqref="L2" name="Range1_15_29"/>
    <protectedRange sqref="B4" name="Range1_15_52"/>
    <protectedRange sqref="D2" name="Range1_14_1"/>
    <protectedRange sqref="B2 B8 B11" name="Range1_14_2"/>
    <protectedRange sqref="C2" name="Range1_14_3"/>
    <protectedRange sqref="B3" name="Range1_12_2"/>
    <protectedRange sqref="C3" name="Range1_12_3"/>
    <protectedRange sqref="G2" name="Range1_14_4"/>
    <protectedRange sqref="H2" name="Range1_14_5"/>
    <protectedRange sqref="D4" name="Range1_9_1"/>
    <protectedRange sqref="C4" name="Range1_9_2"/>
    <protectedRange sqref="C5:C7" name="Range1_9_3"/>
    <protectedRange sqref="D5" name="Range1_11_1"/>
    <protectedRange sqref="D6:D7" name="Range1_12_4"/>
    <protectedRange sqref="E2:F2 E11" name="Range1_14_6"/>
    <protectedRange sqref="D3" name="Range1_10_2"/>
    <protectedRange sqref="E3:F3 E4:E10" name="Range1_10_3"/>
    <protectedRange sqref="F4" name="Range1_10_4"/>
    <protectedRange sqref="F5" name="Range1_11_2"/>
    <protectedRange sqref="F6:F10" name="Range1_12_5"/>
    <protectedRange sqref="G3" name="Range1_10_5"/>
    <protectedRange sqref="G4" name="Range1_10_6"/>
    <protectedRange sqref="H3" name="Range1_10_7"/>
    <protectedRange sqref="H4" name="Range1_10_8"/>
    <protectedRange sqref="G5:H5" name="Range1_11_3"/>
    <protectedRange sqref="G6:H7" name="Range1_11_4"/>
    <protectedRange sqref="I2" name="Range1_9_4"/>
    <protectedRange sqref="I3" name="Range1_9_5"/>
    <protectedRange sqref="I4" name="Range1_9_6"/>
    <protectedRange sqref="I5" name="Range1_9_7"/>
    <protectedRange sqref="I6:I7" name="Range1_9_9"/>
    <protectedRange sqref="D8" name="Range1_11_5"/>
    <protectedRange sqref="C8" name="Range1_11_6"/>
    <protectedRange sqref="G8:G10" name="Range1_11_8"/>
    <protectedRange sqref="H8:H10" name="Range1_11_9"/>
    <protectedRange sqref="D9:D10" name="Range1_8_1"/>
    <protectedRange sqref="C9:C10" name="Range1_8_2"/>
    <protectedRange sqref="D11" name="Range1_13_1"/>
    <protectedRange sqref="C11" name="Range1_13_2"/>
    <protectedRange sqref="F11" name="Range1_13_3"/>
    <protectedRange sqref="G11:H11" name="Range1_13_4"/>
    <protectedRange sqref="I11" name="Range1_13_5"/>
    <protectedRange sqref="J11" name="Range1_13_6"/>
    <protectedRange sqref="K11:L11" name="Range1_13_7"/>
    <protectedRange sqref="J10:L10 K9:L9" name="Range1_11_11"/>
    <protectedRange sqref="J8:L8 J9" name="Range1_11_12"/>
    <protectedRange sqref="J2" name="Range1_14_7"/>
    <protectedRange sqref="K2" name="Range1_14_8"/>
    <protectedRange sqref="K3:L3" name="Range1_10_1"/>
    <protectedRange sqref="K4:L4" name="Range1_10_9"/>
    <protectedRange sqref="J5:L5 J3:J4" name="Range1_11_13"/>
    <protectedRange sqref="J6:L7" name="Range1_11_14"/>
  </protectedRanges>
  <autoFilter ref="A1:P1" xr:uid="{F09CEF7E-7F6A-43A3-80C5-483E49D4AA6D}"/>
  <mergeCells count="23">
    <mergeCell ref="H16:K16"/>
    <mergeCell ref="L16:O26"/>
    <mergeCell ref="A18:G18"/>
    <mergeCell ref="H18:K18"/>
    <mergeCell ref="D19:E19"/>
    <mergeCell ref="D20:E20"/>
    <mergeCell ref="H20:H26"/>
    <mergeCell ref="I20:K30"/>
    <mergeCell ref="D22:E22"/>
    <mergeCell ref="C21:G21"/>
    <mergeCell ref="D23:E23"/>
    <mergeCell ref="C24:G24"/>
    <mergeCell ref="A26:F26"/>
    <mergeCell ref="A28:F28"/>
    <mergeCell ref="A29:C29"/>
    <mergeCell ref="D29:F29"/>
    <mergeCell ref="A30:C30"/>
    <mergeCell ref="D30:F30"/>
    <mergeCell ref="A12:B14"/>
    <mergeCell ref="C12:D14"/>
    <mergeCell ref="A15:B17"/>
    <mergeCell ref="C15:D17"/>
    <mergeCell ref="D25:E25"/>
  </mergeCells>
  <conditionalFormatting sqref="D2">
    <cfRule type="duplicateValues" dxfId="450" priority="26"/>
  </conditionalFormatting>
  <conditionalFormatting sqref="G2 G8:H10">
    <cfRule type="cellIs" dxfId="449" priority="24" operator="equal">
      <formula>0</formula>
    </cfRule>
  </conditionalFormatting>
  <conditionalFormatting sqref="G2">
    <cfRule type="duplicateValues" dxfId="448" priority="25"/>
  </conditionalFormatting>
  <conditionalFormatting sqref="H2">
    <cfRule type="cellIs" dxfId="447" priority="23" operator="equal">
      <formula>0</formula>
    </cfRule>
  </conditionalFormatting>
  <conditionalFormatting sqref="D4">
    <cfRule type="duplicateValues" dxfId="446" priority="22"/>
  </conditionalFormatting>
  <conditionalFormatting sqref="D5">
    <cfRule type="duplicateValues" dxfId="445" priority="21"/>
  </conditionalFormatting>
  <conditionalFormatting sqref="D6:D7">
    <cfRule type="duplicateValues" dxfId="444" priority="20"/>
  </conditionalFormatting>
  <conditionalFormatting sqref="D3">
    <cfRule type="duplicateValues" dxfId="443" priority="19"/>
  </conditionalFormatting>
  <conditionalFormatting sqref="G3">
    <cfRule type="cellIs" dxfId="442" priority="17" operator="equal">
      <formula>0</formula>
    </cfRule>
  </conditionalFormatting>
  <conditionalFormatting sqref="G3">
    <cfRule type="duplicateValues" dxfId="441" priority="18"/>
  </conditionalFormatting>
  <conditionalFormatting sqref="G4">
    <cfRule type="cellIs" dxfId="440" priority="15" operator="equal">
      <formula>0</formula>
    </cfRule>
  </conditionalFormatting>
  <conditionalFormatting sqref="G4">
    <cfRule type="duplicateValues" dxfId="439" priority="16"/>
  </conditionalFormatting>
  <conditionalFormatting sqref="H3">
    <cfRule type="cellIs" dxfId="438" priority="14" operator="equal">
      <formula>0</formula>
    </cfRule>
  </conditionalFormatting>
  <conditionalFormatting sqref="H4">
    <cfRule type="cellIs" dxfId="437" priority="13" operator="equal">
      <formula>0</formula>
    </cfRule>
  </conditionalFormatting>
  <conditionalFormatting sqref="G5:H5">
    <cfRule type="cellIs" dxfId="436" priority="11" operator="equal">
      <formula>0</formula>
    </cfRule>
  </conditionalFormatting>
  <conditionalFormatting sqref="G5">
    <cfRule type="duplicateValues" dxfId="435" priority="12"/>
  </conditionalFormatting>
  <conditionalFormatting sqref="G6:H7">
    <cfRule type="cellIs" dxfId="434" priority="9" operator="equal">
      <formula>0</formula>
    </cfRule>
  </conditionalFormatting>
  <conditionalFormatting sqref="G6:G7">
    <cfRule type="duplicateValues" dxfId="433" priority="10"/>
  </conditionalFormatting>
  <conditionalFormatting sqref="D8">
    <cfRule type="duplicateValues" dxfId="432" priority="8"/>
  </conditionalFormatting>
  <conditionalFormatting sqref="D9:D10">
    <cfRule type="duplicateValues" dxfId="431" priority="4"/>
  </conditionalFormatting>
  <conditionalFormatting sqref="D11">
    <cfRule type="duplicateValues" dxfId="430" priority="3"/>
  </conditionalFormatting>
  <conditionalFormatting sqref="G11:H11">
    <cfRule type="cellIs" dxfId="429" priority="1" operator="equal">
      <formula>0</formula>
    </cfRule>
  </conditionalFormatting>
  <conditionalFormatting sqref="G11">
    <cfRule type="duplicateValues" dxfId="428" priority="2"/>
  </conditionalFormatting>
  <conditionalFormatting sqref="G8:G10">
    <cfRule type="duplicateValues" dxfId="427" priority="1607"/>
  </conditionalFormatting>
  <hyperlinks>
    <hyperlink ref="H2" r:id="rId1" xr:uid="{672EE17E-1F50-4442-9C7B-1902E29DDFF4}"/>
    <hyperlink ref="H5" r:id="rId2" xr:uid="{315D0BCB-4816-4372-BD94-D120727513B5}"/>
    <hyperlink ref="H6" r:id="rId3" xr:uid="{F0D7125A-2761-49BB-B118-F9DB3B334F2C}"/>
    <hyperlink ref="H3" r:id="rId4" xr:uid="{5A6F28FC-0F0D-447A-A53A-D696E584486C}"/>
    <hyperlink ref="H4" r:id="rId5" xr:uid="{0AE489ED-C18B-4A76-B285-3F4B612BE9A8}"/>
    <hyperlink ref="H8" r:id="rId6" xr:uid="{1498FAD6-85ED-432B-87C9-099875AD1506}"/>
    <hyperlink ref="H11" r:id="rId7" xr:uid="{29E52DF9-83C5-4EC4-8572-965CA1FC37F2}"/>
    <hyperlink ref="H16:K16" r:id="rId8" display="LINK MAPA GERAL  -  https://maps.app.goo.gl/m6Q3jLSwN1sSqPoi6   " xr:uid="{14C79F2E-B779-43C8-A1D7-A576D36F2DDA}"/>
    <hyperlink ref="H9" r:id="rId9" xr:uid="{536140A0-B63B-4421-845E-85AFB8D4DB2D}"/>
    <hyperlink ref="L2" r:id="rId10" xr:uid="{8F2892D3-A41E-419C-B4AA-F9E7034E0EF4}"/>
  </hyperlinks>
  <pageMargins left="0.25" right="0.25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9FBE2-7A90-46EF-9C02-C6827873DBE5}">
  <sheetPr codeName="Planilha4"/>
  <dimension ref="A1:AT622"/>
  <sheetViews>
    <sheetView topLeftCell="A604" workbookViewId="0">
      <selection activeCell="C627" sqref="C627"/>
    </sheetView>
  </sheetViews>
  <sheetFormatPr defaultRowHeight="15"/>
  <cols>
    <col min="1" max="6" width="34.28515625" bestFit="1" customWidth="1"/>
    <col min="7" max="7" width="10.85546875" bestFit="1" customWidth="1"/>
    <col min="8" max="8" width="51.5703125" bestFit="1" customWidth="1"/>
    <col min="9" max="9" width="82.140625" bestFit="1" customWidth="1"/>
    <col min="10" max="11" width="11.140625" bestFit="1" customWidth="1"/>
    <col min="12" max="12" width="83.140625" bestFit="1" customWidth="1"/>
    <col min="13" max="13" width="19.140625" bestFit="1" customWidth="1"/>
    <col min="14" max="14" width="137.28515625" bestFit="1" customWidth="1"/>
    <col min="15" max="15" width="45.28515625" bestFit="1" customWidth="1"/>
    <col min="16" max="16" width="29.140625" bestFit="1" customWidth="1"/>
    <col min="17" max="17" width="3.42578125" bestFit="1" customWidth="1"/>
    <col min="18" max="18" width="14.42578125" bestFit="1" customWidth="1"/>
    <col min="19" max="19" width="39.28515625" bestFit="1" customWidth="1"/>
    <col min="20" max="20" width="16" bestFit="1" customWidth="1"/>
    <col min="21" max="21" width="15" bestFit="1" customWidth="1"/>
    <col min="22" max="22" width="28.5703125" bestFit="1" customWidth="1"/>
    <col min="23" max="23" width="46.85546875" bestFit="1" customWidth="1"/>
    <col min="24" max="24" width="11.7109375" bestFit="1" customWidth="1"/>
    <col min="25" max="25" width="127.7109375" bestFit="1" customWidth="1"/>
    <col min="26" max="26" width="9" bestFit="1" customWidth="1"/>
    <col min="27" max="27" width="58.42578125" bestFit="1" customWidth="1"/>
    <col min="28" max="28" width="10.85546875" bestFit="1" customWidth="1"/>
    <col min="29" max="29" width="17" bestFit="1" customWidth="1"/>
  </cols>
  <sheetData>
    <row r="1" spans="1:29">
      <c r="A1" s="99" t="s">
        <v>595</v>
      </c>
      <c r="B1" s="96" t="s">
        <v>596</v>
      </c>
      <c r="C1" s="99" t="s">
        <v>597</v>
      </c>
      <c r="D1" s="96" t="s">
        <v>598</v>
      </c>
      <c r="E1" s="99" t="s">
        <v>599</v>
      </c>
      <c r="F1" s="96" t="s">
        <v>598</v>
      </c>
      <c r="G1" s="51" t="s">
        <v>0</v>
      </c>
      <c r="H1" s="52" t="s">
        <v>516</v>
      </c>
      <c r="I1" s="52" t="s">
        <v>517</v>
      </c>
      <c r="J1" s="52" t="s">
        <v>600</v>
      </c>
      <c r="K1" s="52" t="s">
        <v>601</v>
      </c>
      <c r="L1" s="52" t="s">
        <v>518</v>
      </c>
      <c r="M1" s="52" t="s">
        <v>602</v>
      </c>
      <c r="N1" s="52" t="s">
        <v>519</v>
      </c>
      <c r="O1" s="52" t="s">
        <v>603</v>
      </c>
      <c r="P1" s="52" t="s">
        <v>521</v>
      </c>
      <c r="Q1" s="52" t="s">
        <v>604</v>
      </c>
      <c r="R1" s="52" t="s">
        <v>605</v>
      </c>
      <c r="S1" s="52" t="s">
        <v>606</v>
      </c>
      <c r="T1" s="52" t="s">
        <v>522</v>
      </c>
      <c r="U1" s="80" t="s">
        <v>607</v>
      </c>
      <c r="V1" s="52" t="s">
        <v>523</v>
      </c>
      <c r="W1" s="52" t="s">
        <v>524</v>
      </c>
      <c r="X1" s="52" t="s">
        <v>608</v>
      </c>
      <c r="Y1" s="53" t="s">
        <v>609</v>
      </c>
      <c r="Z1" s="53" t="s">
        <v>610</v>
      </c>
      <c r="AA1" s="54" t="s">
        <v>525</v>
      </c>
      <c r="AB1" s="163" t="s">
        <v>0</v>
      </c>
      <c r="AC1" s="174" t="s">
        <v>1</v>
      </c>
    </row>
    <row r="2" spans="1:29">
      <c r="A2" s="14"/>
      <c r="B2" s="13" t="str">
        <f t="shared" ref="B2:B33" si="0">IF(ISBLANK(A2), "Pendente", "Realizada")</f>
        <v>Pendente</v>
      </c>
      <c r="C2" s="14" t="str">
        <f t="shared" ref="C2:C33" si="1">IF(A2="", "", EDATE(A2, 3))</f>
        <v/>
      </c>
      <c r="D2" s="13" t="s">
        <v>611</v>
      </c>
      <c r="E2" s="14" t="str">
        <f t="shared" ref="E2:E33" si="2">IF(C2="", "", EDATE(C2, 3))</f>
        <v/>
      </c>
      <c r="F2" s="13" t="s">
        <v>611</v>
      </c>
      <c r="G2" s="40">
        <v>202401401</v>
      </c>
      <c r="H2" s="13" t="s">
        <v>612</v>
      </c>
      <c r="I2" s="13" t="s">
        <v>613</v>
      </c>
      <c r="J2" s="14">
        <v>45628</v>
      </c>
      <c r="K2" s="14">
        <v>45987</v>
      </c>
      <c r="L2" s="13" t="s">
        <v>614</v>
      </c>
      <c r="M2" s="13" t="s">
        <v>615</v>
      </c>
      <c r="N2" s="13" t="s">
        <v>616</v>
      </c>
      <c r="O2" s="17" t="s">
        <v>617</v>
      </c>
      <c r="P2" s="79" t="s">
        <v>199</v>
      </c>
      <c r="Q2" s="13" t="s">
        <v>618</v>
      </c>
      <c r="R2" s="13" t="str">
        <f>VLOOKUP(P2,'Dados das Regiões '!A:B,2,0)</f>
        <v>CASCAVEL</v>
      </c>
      <c r="S2" s="13" t="s">
        <v>619</v>
      </c>
      <c r="T2" s="13"/>
      <c r="U2" s="79"/>
      <c r="V2" s="13" t="s">
        <v>620</v>
      </c>
      <c r="W2" s="13" t="s">
        <v>621</v>
      </c>
      <c r="X2" s="15">
        <v>0.33333333333333331</v>
      </c>
      <c r="Y2" s="16">
        <v>0.41666666666666669</v>
      </c>
      <c r="Z2" s="16" t="s">
        <v>622</v>
      </c>
      <c r="AA2" s="36"/>
      <c r="AB2" s="164">
        <v>202401401</v>
      </c>
      <c r="AC2" s="55" t="s">
        <v>19</v>
      </c>
    </row>
    <row r="3" spans="1:29">
      <c r="A3" s="14"/>
      <c r="B3" s="13" t="str">
        <f t="shared" si="0"/>
        <v>Pendente</v>
      </c>
      <c r="C3" s="14" t="str">
        <f t="shared" si="1"/>
        <v/>
      </c>
      <c r="D3" s="13" t="s">
        <v>611</v>
      </c>
      <c r="E3" s="14" t="str">
        <f t="shared" si="2"/>
        <v/>
      </c>
      <c r="F3" s="13" t="s">
        <v>611</v>
      </c>
      <c r="G3" s="40">
        <v>202401401</v>
      </c>
      <c r="H3" s="13" t="s">
        <v>623</v>
      </c>
      <c r="I3" s="13" t="s">
        <v>613</v>
      </c>
      <c r="J3" s="14">
        <v>45628</v>
      </c>
      <c r="K3" s="14">
        <v>45987</v>
      </c>
      <c r="L3" s="13" t="s">
        <v>614</v>
      </c>
      <c r="M3" s="13" t="s">
        <v>615</v>
      </c>
      <c r="N3" s="13" t="s">
        <v>616</v>
      </c>
      <c r="O3" s="17" t="s">
        <v>617</v>
      </c>
      <c r="P3" s="79" t="s">
        <v>199</v>
      </c>
      <c r="Q3" s="13" t="s">
        <v>618</v>
      </c>
      <c r="R3" s="13" t="str">
        <f>VLOOKUP(P3,'Dados das Regiões '!A:B,2,0)</f>
        <v>CASCAVEL</v>
      </c>
      <c r="S3" s="13" t="s">
        <v>619</v>
      </c>
      <c r="T3" s="13"/>
      <c r="U3" s="79"/>
      <c r="V3" s="13" t="s">
        <v>620</v>
      </c>
      <c r="W3" s="13" t="s">
        <v>621</v>
      </c>
      <c r="X3" s="15">
        <v>0.54166666666666663</v>
      </c>
      <c r="Y3" s="16">
        <v>0.625</v>
      </c>
      <c r="Z3" s="16" t="s">
        <v>622</v>
      </c>
      <c r="AA3" s="36"/>
      <c r="AB3" s="164">
        <v>202401401</v>
      </c>
      <c r="AC3" s="55" t="s">
        <v>19</v>
      </c>
    </row>
    <row r="4" spans="1:29">
      <c r="A4" s="14"/>
      <c r="B4" s="13" t="str">
        <f t="shared" si="0"/>
        <v>Pendente</v>
      </c>
      <c r="C4" s="14" t="str">
        <f t="shared" si="1"/>
        <v/>
      </c>
      <c r="D4" s="13" t="s">
        <v>611</v>
      </c>
      <c r="E4" s="14" t="str">
        <f t="shared" si="2"/>
        <v/>
      </c>
      <c r="F4" s="13" t="s">
        <v>611</v>
      </c>
      <c r="G4" s="40">
        <v>202401401</v>
      </c>
      <c r="H4" s="13" t="s">
        <v>624</v>
      </c>
      <c r="I4" s="13" t="s">
        <v>613</v>
      </c>
      <c r="J4" s="14">
        <v>45628</v>
      </c>
      <c r="K4" s="14">
        <v>45987</v>
      </c>
      <c r="L4" s="13" t="s">
        <v>614</v>
      </c>
      <c r="M4" s="13" t="s">
        <v>615</v>
      </c>
      <c r="N4" s="13" t="s">
        <v>616</v>
      </c>
      <c r="O4" s="17" t="s">
        <v>617</v>
      </c>
      <c r="P4" s="79" t="s">
        <v>199</v>
      </c>
      <c r="Q4" s="13" t="s">
        <v>618</v>
      </c>
      <c r="R4" s="13" t="str">
        <f>VLOOKUP(P4,'Dados das Regiões '!A:B,2,0)</f>
        <v>CASCAVEL</v>
      </c>
      <c r="S4" s="13" t="s">
        <v>619</v>
      </c>
      <c r="T4" s="13"/>
      <c r="U4" s="79"/>
      <c r="V4" s="13" t="s">
        <v>620</v>
      </c>
      <c r="W4" s="13" t="s">
        <v>621</v>
      </c>
      <c r="X4" s="15">
        <v>0.54166666666666663</v>
      </c>
      <c r="Y4" s="16">
        <v>0.625</v>
      </c>
      <c r="Z4" s="16" t="s">
        <v>622</v>
      </c>
      <c r="AA4" s="36"/>
      <c r="AB4" s="164">
        <v>202401401</v>
      </c>
      <c r="AC4" s="55" t="s">
        <v>19</v>
      </c>
    </row>
    <row r="5" spans="1:29">
      <c r="A5" s="14"/>
      <c r="B5" s="13" t="str">
        <f t="shared" si="0"/>
        <v>Pendente</v>
      </c>
      <c r="C5" s="14" t="str">
        <f t="shared" si="1"/>
        <v/>
      </c>
      <c r="D5" s="13" t="s">
        <v>611</v>
      </c>
      <c r="E5" s="14" t="str">
        <f t="shared" si="2"/>
        <v/>
      </c>
      <c r="F5" s="13" t="s">
        <v>611</v>
      </c>
      <c r="G5" s="40">
        <v>202401401</v>
      </c>
      <c r="H5" s="13" t="s">
        <v>625</v>
      </c>
      <c r="I5" s="13" t="s">
        <v>613</v>
      </c>
      <c r="J5" s="14">
        <v>45628</v>
      </c>
      <c r="K5" s="14">
        <v>45987</v>
      </c>
      <c r="L5" s="13" t="s">
        <v>614</v>
      </c>
      <c r="M5" s="13" t="s">
        <v>615</v>
      </c>
      <c r="N5" s="13" t="s">
        <v>616</v>
      </c>
      <c r="O5" s="17" t="s">
        <v>617</v>
      </c>
      <c r="P5" s="79" t="s">
        <v>199</v>
      </c>
      <c r="Q5" s="13" t="s">
        <v>618</v>
      </c>
      <c r="R5" s="13" t="str">
        <f>VLOOKUP(P5,'Dados das Regiões '!A:B,2,0)</f>
        <v>CASCAVEL</v>
      </c>
      <c r="S5" s="13" t="s">
        <v>619</v>
      </c>
      <c r="T5" s="13"/>
      <c r="U5" s="79"/>
      <c r="V5" s="13" t="s">
        <v>620</v>
      </c>
      <c r="W5" s="13" t="s">
        <v>621</v>
      </c>
      <c r="X5" s="15">
        <v>0.54166666666666663</v>
      </c>
      <c r="Y5" s="16">
        <v>0.625</v>
      </c>
      <c r="Z5" s="16" t="s">
        <v>622</v>
      </c>
      <c r="AA5" s="36"/>
      <c r="AB5" s="164">
        <v>202401401</v>
      </c>
      <c r="AC5" s="55" t="s">
        <v>19</v>
      </c>
    </row>
    <row r="6" spans="1:29">
      <c r="A6" s="14"/>
      <c r="B6" s="13" t="str">
        <f t="shared" si="0"/>
        <v>Pendente</v>
      </c>
      <c r="C6" s="14" t="str">
        <f t="shared" si="1"/>
        <v/>
      </c>
      <c r="D6" s="13" t="s">
        <v>611</v>
      </c>
      <c r="E6" s="14" t="str">
        <f t="shared" si="2"/>
        <v/>
      </c>
      <c r="F6" s="13" t="s">
        <v>611</v>
      </c>
      <c r="G6" s="40">
        <v>202401401</v>
      </c>
      <c r="H6" s="13" t="s">
        <v>626</v>
      </c>
      <c r="I6" s="13" t="s">
        <v>613</v>
      </c>
      <c r="J6" s="14">
        <v>45628</v>
      </c>
      <c r="K6" s="14">
        <v>45987</v>
      </c>
      <c r="L6" s="13" t="s">
        <v>614</v>
      </c>
      <c r="M6" s="13" t="s">
        <v>615</v>
      </c>
      <c r="N6" s="13" t="s">
        <v>616</v>
      </c>
      <c r="O6" s="17" t="s">
        <v>617</v>
      </c>
      <c r="P6" s="79" t="s">
        <v>199</v>
      </c>
      <c r="Q6" s="13" t="s">
        <v>618</v>
      </c>
      <c r="R6" s="13" t="str">
        <f>VLOOKUP(P6,'Dados das Regiões '!A:B,2,0)</f>
        <v>CASCAVEL</v>
      </c>
      <c r="S6" s="13" t="s">
        <v>627</v>
      </c>
      <c r="T6" s="13"/>
      <c r="U6" s="79"/>
      <c r="V6" s="13" t="s">
        <v>620</v>
      </c>
      <c r="W6" s="13" t="s">
        <v>621</v>
      </c>
      <c r="X6" s="15">
        <v>0.54166666666666663</v>
      </c>
      <c r="Y6" s="16">
        <v>0.625</v>
      </c>
      <c r="Z6" s="16" t="s">
        <v>622</v>
      </c>
      <c r="AA6" s="36"/>
      <c r="AB6" s="164">
        <v>202401401</v>
      </c>
      <c r="AC6" s="55" t="s">
        <v>19</v>
      </c>
    </row>
    <row r="7" spans="1:29">
      <c r="A7" s="14"/>
      <c r="B7" s="13" t="str">
        <f t="shared" si="0"/>
        <v>Pendente</v>
      </c>
      <c r="C7" s="14" t="str">
        <f t="shared" si="1"/>
        <v/>
      </c>
      <c r="D7" s="13" t="s">
        <v>611</v>
      </c>
      <c r="E7" s="14" t="str">
        <f t="shared" si="2"/>
        <v/>
      </c>
      <c r="F7" s="13" t="s">
        <v>611</v>
      </c>
      <c r="G7" s="40">
        <v>202401401</v>
      </c>
      <c r="H7" s="13" t="s">
        <v>628</v>
      </c>
      <c r="I7" s="13" t="s">
        <v>613</v>
      </c>
      <c r="J7" s="14">
        <v>45628</v>
      </c>
      <c r="K7" s="14">
        <v>45987</v>
      </c>
      <c r="L7" s="13" t="s">
        <v>614</v>
      </c>
      <c r="M7" s="13" t="s">
        <v>615</v>
      </c>
      <c r="N7" s="13" t="s">
        <v>616</v>
      </c>
      <c r="O7" s="17" t="s">
        <v>617</v>
      </c>
      <c r="P7" s="79" t="s">
        <v>199</v>
      </c>
      <c r="Q7" s="13" t="s">
        <v>618</v>
      </c>
      <c r="R7" s="13" t="str">
        <f>VLOOKUP(P7,'Dados das Regiões '!A:B,2,0)</f>
        <v>CASCAVEL</v>
      </c>
      <c r="S7" s="13" t="s">
        <v>619</v>
      </c>
      <c r="T7" s="13"/>
      <c r="U7" s="79"/>
      <c r="V7" s="13" t="s">
        <v>620</v>
      </c>
      <c r="W7" s="13" t="s">
        <v>621</v>
      </c>
      <c r="X7" s="15">
        <v>0.54166666666666663</v>
      </c>
      <c r="Y7" s="16">
        <v>0.625</v>
      </c>
      <c r="Z7" s="16" t="s">
        <v>622</v>
      </c>
      <c r="AA7" s="36"/>
      <c r="AB7" s="164">
        <v>202401401</v>
      </c>
      <c r="AC7" s="55" t="s">
        <v>19</v>
      </c>
    </row>
    <row r="8" spans="1:29">
      <c r="A8" s="14"/>
      <c r="B8" s="13" t="str">
        <f t="shared" si="0"/>
        <v>Pendente</v>
      </c>
      <c r="C8" s="14" t="str">
        <f t="shared" si="1"/>
        <v/>
      </c>
      <c r="D8" s="13" t="s">
        <v>611</v>
      </c>
      <c r="E8" s="14" t="str">
        <f t="shared" si="2"/>
        <v/>
      </c>
      <c r="F8" s="13" t="s">
        <v>611</v>
      </c>
      <c r="G8" s="40">
        <v>202401401</v>
      </c>
      <c r="H8" s="13" t="s">
        <v>629</v>
      </c>
      <c r="I8" s="13" t="s">
        <v>613</v>
      </c>
      <c r="J8" s="14">
        <v>45628</v>
      </c>
      <c r="K8" s="14">
        <v>45987</v>
      </c>
      <c r="L8" s="13" t="s">
        <v>614</v>
      </c>
      <c r="M8" s="13" t="s">
        <v>615</v>
      </c>
      <c r="N8" s="13" t="s">
        <v>616</v>
      </c>
      <c r="O8" s="17" t="s">
        <v>617</v>
      </c>
      <c r="P8" s="79" t="s">
        <v>199</v>
      </c>
      <c r="Q8" s="13" t="s">
        <v>618</v>
      </c>
      <c r="R8" s="13" t="str">
        <f>VLOOKUP(P8,'Dados das Regiões '!A:B,2,0)</f>
        <v>CASCAVEL</v>
      </c>
      <c r="S8" s="13" t="s">
        <v>619</v>
      </c>
      <c r="T8" s="13"/>
      <c r="U8" s="79"/>
      <c r="V8" s="13" t="s">
        <v>620</v>
      </c>
      <c r="W8" s="13" t="s">
        <v>621</v>
      </c>
      <c r="X8" s="15">
        <v>0.54166666666666663</v>
      </c>
      <c r="Y8" s="16">
        <v>0.625</v>
      </c>
      <c r="Z8" s="16" t="s">
        <v>622</v>
      </c>
      <c r="AA8" s="36"/>
      <c r="AB8" s="164">
        <v>202401401</v>
      </c>
      <c r="AC8" s="55" t="s">
        <v>19</v>
      </c>
    </row>
    <row r="9" spans="1:29">
      <c r="A9" s="14"/>
      <c r="B9" s="13" t="str">
        <f t="shared" si="0"/>
        <v>Pendente</v>
      </c>
      <c r="C9" s="14" t="str">
        <f t="shared" si="1"/>
        <v/>
      </c>
      <c r="D9" s="13" t="s">
        <v>611</v>
      </c>
      <c r="E9" s="14" t="str">
        <f t="shared" si="2"/>
        <v/>
      </c>
      <c r="F9" s="13" t="s">
        <v>611</v>
      </c>
      <c r="G9" s="40">
        <v>202401401</v>
      </c>
      <c r="H9" s="13" t="s">
        <v>630</v>
      </c>
      <c r="I9" s="13" t="s">
        <v>613</v>
      </c>
      <c r="J9" s="14">
        <v>45628</v>
      </c>
      <c r="K9" s="14">
        <v>45987</v>
      </c>
      <c r="L9" s="13" t="s">
        <v>614</v>
      </c>
      <c r="M9" s="13" t="s">
        <v>615</v>
      </c>
      <c r="N9" s="13" t="s">
        <v>616</v>
      </c>
      <c r="O9" s="17" t="s">
        <v>617</v>
      </c>
      <c r="P9" s="79" t="s">
        <v>199</v>
      </c>
      <c r="Q9" s="13" t="s">
        <v>618</v>
      </c>
      <c r="R9" s="13" t="str">
        <f>VLOOKUP(P9,'Dados das Regiões '!A:B,2,0)</f>
        <v>CASCAVEL</v>
      </c>
      <c r="S9" s="13" t="s">
        <v>619</v>
      </c>
      <c r="T9" s="13"/>
      <c r="U9" s="79"/>
      <c r="V9" s="13" t="s">
        <v>620</v>
      </c>
      <c r="W9" s="13" t="s">
        <v>621</v>
      </c>
      <c r="X9" s="15">
        <v>0.54166666666666663</v>
      </c>
      <c r="Y9" s="16">
        <v>0.625</v>
      </c>
      <c r="Z9" s="16" t="s">
        <v>622</v>
      </c>
      <c r="AA9" s="36"/>
      <c r="AB9" s="164">
        <v>202401401</v>
      </c>
      <c r="AC9" s="55" t="s">
        <v>19</v>
      </c>
    </row>
    <row r="10" spans="1:29">
      <c r="A10" s="14"/>
      <c r="B10" s="13" t="str">
        <f t="shared" si="0"/>
        <v>Pendente</v>
      </c>
      <c r="C10" s="14" t="str">
        <f t="shared" si="1"/>
        <v/>
      </c>
      <c r="D10" s="13" t="s">
        <v>611</v>
      </c>
      <c r="E10" s="14" t="str">
        <f t="shared" si="2"/>
        <v/>
      </c>
      <c r="F10" s="13" t="s">
        <v>611</v>
      </c>
      <c r="G10" s="40">
        <v>202401281</v>
      </c>
      <c r="H10" s="13" t="s">
        <v>631</v>
      </c>
      <c r="I10" s="13" t="s">
        <v>613</v>
      </c>
      <c r="J10" s="14">
        <v>45621</v>
      </c>
      <c r="K10" s="14">
        <v>45979</v>
      </c>
      <c r="L10" s="13" t="s">
        <v>632</v>
      </c>
      <c r="M10" s="13" t="s">
        <v>633</v>
      </c>
      <c r="N10" s="13" t="s">
        <v>634</v>
      </c>
      <c r="O10" s="17" t="s">
        <v>635</v>
      </c>
      <c r="P10" s="79" t="s">
        <v>424</v>
      </c>
      <c r="Q10" s="13" t="s">
        <v>618</v>
      </c>
      <c r="R10" s="13" t="str">
        <f>VLOOKUP(P10,'Dados das Regiões '!A:B,2,0)</f>
        <v>PARANAVAÍ</v>
      </c>
      <c r="S10" s="13" t="s">
        <v>636</v>
      </c>
      <c r="T10" s="13"/>
      <c r="U10" s="79"/>
      <c r="V10" s="13" t="s">
        <v>637</v>
      </c>
      <c r="W10" s="13" t="s">
        <v>638</v>
      </c>
      <c r="X10" s="15">
        <v>0.41666666666666669</v>
      </c>
      <c r="Y10" s="16" t="s">
        <v>639</v>
      </c>
      <c r="Z10" s="16" t="s">
        <v>622</v>
      </c>
      <c r="AA10" s="36"/>
      <c r="AB10" s="164">
        <v>202401281</v>
      </c>
      <c r="AC10" s="55" t="s">
        <v>7</v>
      </c>
    </row>
    <row r="11" spans="1:29">
      <c r="A11" s="14"/>
      <c r="B11" s="13" t="str">
        <f t="shared" si="0"/>
        <v>Pendente</v>
      </c>
      <c r="C11" s="14" t="str">
        <f t="shared" si="1"/>
        <v/>
      </c>
      <c r="D11" s="13" t="s">
        <v>611</v>
      </c>
      <c r="E11" s="14" t="str">
        <f t="shared" si="2"/>
        <v/>
      </c>
      <c r="F11" s="13" t="s">
        <v>611</v>
      </c>
      <c r="G11" s="40">
        <v>202401281</v>
      </c>
      <c r="H11" s="13" t="s">
        <v>640</v>
      </c>
      <c r="I11" s="13" t="s">
        <v>613</v>
      </c>
      <c r="J11" s="14">
        <v>45621</v>
      </c>
      <c r="K11" s="14">
        <v>45979</v>
      </c>
      <c r="L11" s="13" t="s">
        <v>632</v>
      </c>
      <c r="M11" s="13" t="s">
        <v>641</v>
      </c>
      <c r="N11" s="13" t="s">
        <v>642</v>
      </c>
      <c r="O11" s="17" t="s">
        <v>643</v>
      </c>
      <c r="P11" s="79" t="s">
        <v>350</v>
      </c>
      <c r="Q11" s="13" t="s">
        <v>618</v>
      </c>
      <c r="R11" s="13" t="str">
        <f>VLOOKUP(P11,'Dados das Regiões '!A:B,2,0)</f>
        <v>LONDRINA NORTE</v>
      </c>
      <c r="S11" s="13" t="s">
        <v>644</v>
      </c>
      <c r="T11" s="13"/>
      <c r="U11" s="79" t="s">
        <v>645</v>
      </c>
      <c r="V11" s="13" t="s">
        <v>646</v>
      </c>
      <c r="W11" s="13" t="s">
        <v>647</v>
      </c>
      <c r="X11" s="15">
        <v>0.33333333333333331</v>
      </c>
      <c r="Y11" s="16" t="s">
        <v>648</v>
      </c>
      <c r="Z11" s="16" t="s">
        <v>622</v>
      </c>
      <c r="AA11" s="36"/>
      <c r="AB11" s="164">
        <v>202401281</v>
      </c>
      <c r="AC11" s="55" t="s">
        <v>7</v>
      </c>
    </row>
    <row r="12" spans="1:29">
      <c r="A12" s="14"/>
      <c r="B12" s="13" t="str">
        <f t="shared" si="0"/>
        <v>Pendente</v>
      </c>
      <c r="C12" s="14" t="str">
        <f t="shared" si="1"/>
        <v/>
      </c>
      <c r="D12" s="13" t="s">
        <v>611</v>
      </c>
      <c r="E12" s="14" t="str">
        <f t="shared" si="2"/>
        <v/>
      </c>
      <c r="F12" s="13" t="s">
        <v>611</v>
      </c>
      <c r="G12" s="40">
        <v>202401281</v>
      </c>
      <c r="H12" s="13" t="s">
        <v>649</v>
      </c>
      <c r="I12" s="13" t="s">
        <v>613</v>
      </c>
      <c r="J12" s="14">
        <v>45621</v>
      </c>
      <c r="K12" s="14">
        <v>45979</v>
      </c>
      <c r="L12" s="13" t="s">
        <v>632</v>
      </c>
      <c r="M12" s="13" t="s">
        <v>650</v>
      </c>
      <c r="N12" s="13" t="s">
        <v>651</v>
      </c>
      <c r="O12" s="17" t="s">
        <v>652</v>
      </c>
      <c r="P12" s="79" t="s">
        <v>66</v>
      </c>
      <c r="Q12" s="13" t="s">
        <v>618</v>
      </c>
      <c r="R12" s="13" t="str">
        <f>VLOOKUP(P12,'Dados das Regiões '!A:B,2,0)</f>
        <v>NOVA LONDRINA</v>
      </c>
      <c r="S12" s="13" t="s">
        <v>653</v>
      </c>
      <c r="T12" s="13"/>
      <c r="U12" s="79"/>
      <c r="V12" s="13" t="s">
        <v>654</v>
      </c>
      <c r="W12" s="13" t="s">
        <v>655</v>
      </c>
      <c r="X12" s="15">
        <v>0.33333333333333331</v>
      </c>
      <c r="Y12" s="16" t="s">
        <v>648</v>
      </c>
      <c r="Z12" s="16" t="s">
        <v>622</v>
      </c>
      <c r="AA12" s="36"/>
      <c r="AB12" s="164">
        <v>202401281</v>
      </c>
      <c r="AC12" s="55" t="s">
        <v>7</v>
      </c>
    </row>
    <row r="13" spans="1:29">
      <c r="A13" s="14">
        <v>45932</v>
      </c>
      <c r="B13" s="13" t="str">
        <f t="shared" si="0"/>
        <v>Realizada</v>
      </c>
      <c r="C13" s="14">
        <f t="shared" si="1"/>
        <v>46024</v>
      </c>
      <c r="D13" s="13" t="s">
        <v>611</v>
      </c>
      <c r="E13" s="14">
        <f t="shared" si="2"/>
        <v>46114</v>
      </c>
      <c r="F13" s="13" t="s">
        <v>611</v>
      </c>
      <c r="G13" s="40">
        <v>202400991</v>
      </c>
      <c r="H13" s="13" t="s">
        <v>656</v>
      </c>
      <c r="I13" s="13" t="s">
        <v>613</v>
      </c>
      <c r="J13" s="14">
        <v>45621</v>
      </c>
      <c r="K13" s="14">
        <v>45979</v>
      </c>
      <c r="L13" s="13" t="s">
        <v>657</v>
      </c>
      <c r="M13" s="13" t="s">
        <v>658</v>
      </c>
      <c r="N13" s="13" t="s">
        <v>659</v>
      </c>
      <c r="O13" s="17" t="s">
        <v>660</v>
      </c>
      <c r="P13" s="79" t="s">
        <v>291</v>
      </c>
      <c r="Q13" s="13" t="s">
        <v>618</v>
      </c>
      <c r="R13" s="13" t="str">
        <f>VLOOKUP(P13,'Dados das Regiões '!A:B,2,0)</f>
        <v>GUARAPUAVA</v>
      </c>
      <c r="S13" s="13" t="s">
        <v>661</v>
      </c>
      <c r="T13" s="13"/>
      <c r="U13" s="79"/>
      <c r="V13" s="13" t="s">
        <v>662</v>
      </c>
      <c r="W13" s="13" t="s">
        <v>663</v>
      </c>
      <c r="X13" s="15">
        <v>0.41666666666666669</v>
      </c>
      <c r="Y13" s="16" t="s">
        <v>639</v>
      </c>
      <c r="Z13" s="16" t="s">
        <v>622</v>
      </c>
      <c r="AA13" s="36"/>
      <c r="AB13" s="164">
        <v>202400991</v>
      </c>
      <c r="AC13" s="55" t="s">
        <v>11</v>
      </c>
    </row>
    <row r="14" spans="1:29">
      <c r="A14" s="14"/>
      <c r="B14" s="13" t="str">
        <f t="shared" si="0"/>
        <v>Pendente</v>
      </c>
      <c r="C14" s="14" t="str">
        <f t="shared" si="1"/>
        <v/>
      </c>
      <c r="D14" s="13" t="s">
        <v>611</v>
      </c>
      <c r="E14" s="14" t="str">
        <f t="shared" si="2"/>
        <v/>
      </c>
      <c r="F14" s="13" t="s">
        <v>611</v>
      </c>
      <c r="G14" s="40">
        <v>202401281</v>
      </c>
      <c r="H14" s="13" t="s">
        <v>664</v>
      </c>
      <c r="I14" s="13" t="s">
        <v>613</v>
      </c>
      <c r="J14" s="14">
        <v>45621</v>
      </c>
      <c r="K14" s="14">
        <v>45979</v>
      </c>
      <c r="L14" s="13" t="s">
        <v>632</v>
      </c>
      <c r="M14" s="13" t="s">
        <v>665</v>
      </c>
      <c r="N14" s="13" t="s">
        <v>666</v>
      </c>
      <c r="O14" s="17" t="s">
        <v>667</v>
      </c>
      <c r="P14" s="79" t="s">
        <v>140</v>
      </c>
      <c r="Q14" s="13" t="s">
        <v>618</v>
      </c>
      <c r="R14" s="13" t="str">
        <f>VLOOKUP(P14,'Dados das Regiões '!A:B,2,0)</f>
        <v>ARAPONGAS</v>
      </c>
      <c r="S14" s="13" t="s">
        <v>668</v>
      </c>
      <c r="T14" s="13"/>
      <c r="U14" s="79"/>
      <c r="V14" s="13" t="s">
        <v>669</v>
      </c>
      <c r="W14" s="13" t="s">
        <v>670</v>
      </c>
      <c r="X14" s="15">
        <v>0.33333333333333331</v>
      </c>
      <c r="Y14" s="16" t="s">
        <v>648</v>
      </c>
      <c r="Z14" s="16" t="s">
        <v>622</v>
      </c>
      <c r="AA14" s="36"/>
      <c r="AB14" s="164">
        <v>202401281</v>
      </c>
      <c r="AC14" s="55" t="s">
        <v>7</v>
      </c>
    </row>
    <row r="15" spans="1:29">
      <c r="A15" s="14"/>
      <c r="B15" s="13" t="str">
        <f t="shared" si="0"/>
        <v>Pendente</v>
      </c>
      <c r="C15" s="14" t="str">
        <f t="shared" si="1"/>
        <v/>
      </c>
      <c r="D15" s="13" t="s">
        <v>611</v>
      </c>
      <c r="E15" s="14" t="str">
        <f t="shared" si="2"/>
        <v/>
      </c>
      <c r="F15" s="13" t="s">
        <v>611</v>
      </c>
      <c r="G15" s="40">
        <v>202400990</v>
      </c>
      <c r="H15" s="13" t="s">
        <v>671</v>
      </c>
      <c r="I15" s="13" t="s">
        <v>613</v>
      </c>
      <c r="J15" s="14">
        <v>45621</v>
      </c>
      <c r="K15" s="14">
        <v>45979</v>
      </c>
      <c r="L15" s="13" t="s">
        <v>672</v>
      </c>
      <c r="M15" s="13" t="s">
        <v>673</v>
      </c>
      <c r="N15" s="13" t="s">
        <v>674</v>
      </c>
      <c r="O15" s="13" t="s">
        <v>675</v>
      </c>
      <c r="P15" s="79" t="s">
        <v>119</v>
      </c>
      <c r="Q15" s="13" t="s">
        <v>618</v>
      </c>
      <c r="R15" s="13" t="str">
        <f>VLOOKUP(P15,'Dados das Regiões '!A:B,2,0)</f>
        <v>APUCARANA</v>
      </c>
      <c r="S15" s="13" t="s">
        <v>676</v>
      </c>
      <c r="T15" s="13"/>
      <c r="U15" s="79" t="s">
        <v>677</v>
      </c>
      <c r="V15" s="13" t="s">
        <v>678</v>
      </c>
      <c r="W15" s="13" t="s">
        <v>679</v>
      </c>
      <c r="X15" s="15">
        <v>0.5625</v>
      </c>
      <c r="Y15" s="16" t="s">
        <v>680</v>
      </c>
      <c r="Z15" s="16" t="s">
        <v>622</v>
      </c>
      <c r="AA15" s="36"/>
      <c r="AB15" s="164">
        <v>202400990</v>
      </c>
      <c r="AC15" s="55" t="s">
        <v>18</v>
      </c>
    </row>
    <row r="16" spans="1:29">
      <c r="A16" s="14"/>
      <c r="B16" s="13" t="str">
        <f t="shared" si="0"/>
        <v>Pendente</v>
      </c>
      <c r="C16" s="14" t="str">
        <f t="shared" si="1"/>
        <v/>
      </c>
      <c r="D16" s="13" t="s">
        <v>611</v>
      </c>
      <c r="E16" s="14" t="str">
        <f t="shared" si="2"/>
        <v/>
      </c>
      <c r="F16" s="13" t="s">
        <v>611</v>
      </c>
      <c r="G16" s="40">
        <v>202401281</v>
      </c>
      <c r="H16" s="13" t="s">
        <v>681</v>
      </c>
      <c r="I16" s="13" t="s">
        <v>613</v>
      </c>
      <c r="J16" s="14">
        <v>45621</v>
      </c>
      <c r="K16" s="14">
        <v>45979</v>
      </c>
      <c r="L16" s="13" t="s">
        <v>682</v>
      </c>
      <c r="M16" s="13" t="s">
        <v>683</v>
      </c>
      <c r="N16" s="498" t="s">
        <v>684</v>
      </c>
      <c r="O16" s="17" t="s">
        <v>685</v>
      </c>
      <c r="P16" s="79" t="s">
        <v>236</v>
      </c>
      <c r="Q16" s="13" t="s">
        <v>618</v>
      </c>
      <c r="R16" s="13" t="str">
        <f>VLOOKUP(P16,'Dados das Regiões '!A:B,2,0)</f>
        <v>CORNÉLIO PROCÓPIO</v>
      </c>
      <c r="S16" s="13" t="s">
        <v>686</v>
      </c>
      <c r="T16" s="13"/>
      <c r="U16" s="79" t="s">
        <v>687</v>
      </c>
      <c r="V16" s="13" t="s">
        <v>688</v>
      </c>
      <c r="W16" s="13" t="s">
        <v>689</v>
      </c>
      <c r="X16" s="15">
        <v>0.5625</v>
      </c>
      <c r="Y16" s="16" t="s">
        <v>680</v>
      </c>
      <c r="Z16" s="16" t="s">
        <v>622</v>
      </c>
      <c r="AA16" s="36"/>
      <c r="AB16" s="164">
        <v>202401281</v>
      </c>
      <c r="AC16" s="55" t="s">
        <v>7</v>
      </c>
    </row>
    <row r="17" spans="1:29">
      <c r="A17" s="14">
        <v>45933</v>
      </c>
      <c r="B17" s="13" t="str">
        <f t="shared" si="0"/>
        <v>Realizada</v>
      </c>
      <c r="C17" s="14">
        <f t="shared" si="1"/>
        <v>46025</v>
      </c>
      <c r="D17" s="13" t="s">
        <v>611</v>
      </c>
      <c r="E17" s="14">
        <f t="shared" si="2"/>
        <v>46115</v>
      </c>
      <c r="F17" s="13" t="s">
        <v>611</v>
      </c>
      <c r="G17" s="40">
        <v>202400990</v>
      </c>
      <c r="H17" s="13" t="s">
        <v>690</v>
      </c>
      <c r="I17" s="13" t="s">
        <v>613</v>
      </c>
      <c r="J17" s="14">
        <v>45621</v>
      </c>
      <c r="K17" s="14">
        <v>45979</v>
      </c>
      <c r="L17" s="13" t="s">
        <v>672</v>
      </c>
      <c r="M17" s="13" t="s">
        <v>691</v>
      </c>
      <c r="N17" s="13" t="s">
        <v>692</v>
      </c>
      <c r="O17" s="13" t="s">
        <v>693</v>
      </c>
      <c r="P17" s="79" t="s">
        <v>148</v>
      </c>
      <c r="Q17" s="13" t="s">
        <v>618</v>
      </c>
      <c r="R17" s="13" t="str">
        <f>VLOOKUP(P17,'Dados das Regiões '!A:B,2,0)</f>
        <v>CAMPO MOURÃO</v>
      </c>
      <c r="S17" s="13" t="s">
        <v>694</v>
      </c>
      <c r="T17" s="13"/>
      <c r="U17" s="79" t="s">
        <v>695</v>
      </c>
      <c r="V17" s="13" t="s">
        <v>696</v>
      </c>
      <c r="W17" s="13" t="s">
        <v>697</v>
      </c>
      <c r="X17" s="15">
        <v>0.64583333333333337</v>
      </c>
      <c r="Y17" s="16" t="s">
        <v>698</v>
      </c>
      <c r="Z17" s="16" t="s">
        <v>622</v>
      </c>
      <c r="AA17" s="36"/>
      <c r="AB17" s="164">
        <v>202400990</v>
      </c>
      <c r="AC17" s="55" t="s">
        <v>18</v>
      </c>
    </row>
    <row r="18" spans="1:29">
      <c r="A18" s="14"/>
      <c r="B18" s="13" t="str">
        <f t="shared" si="0"/>
        <v>Pendente</v>
      </c>
      <c r="C18" s="14" t="str">
        <f t="shared" si="1"/>
        <v/>
      </c>
      <c r="D18" s="13" t="s">
        <v>611</v>
      </c>
      <c r="E18" s="14" t="str">
        <f t="shared" si="2"/>
        <v/>
      </c>
      <c r="F18" s="13" t="s">
        <v>611</v>
      </c>
      <c r="G18" s="40">
        <v>202401281</v>
      </c>
      <c r="H18" s="13" t="s">
        <v>699</v>
      </c>
      <c r="I18" s="13" t="s">
        <v>613</v>
      </c>
      <c r="J18" s="14">
        <v>45621</v>
      </c>
      <c r="K18" s="14">
        <v>45979</v>
      </c>
      <c r="L18" s="13" t="s">
        <v>682</v>
      </c>
      <c r="M18" s="13" t="s">
        <v>683</v>
      </c>
      <c r="N18" s="498" t="s">
        <v>684</v>
      </c>
      <c r="O18" s="17" t="s">
        <v>685</v>
      </c>
      <c r="P18" s="79" t="s">
        <v>236</v>
      </c>
      <c r="Q18" s="13" t="s">
        <v>618</v>
      </c>
      <c r="R18" s="13" t="str">
        <f>VLOOKUP(P18,'Dados das Regiões '!A:B,2,0)</f>
        <v>CORNÉLIO PROCÓPIO</v>
      </c>
      <c r="S18" s="13" t="s">
        <v>686</v>
      </c>
      <c r="T18" s="13"/>
      <c r="U18" s="79" t="s">
        <v>687</v>
      </c>
      <c r="V18" s="13" t="s">
        <v>688</v>
      </c>
      <c r="W18" s="13" t="s">
        <v>689</v>
      </c>
      <c r="X18" s="15">
        <v>0.5625</v>
      </c>
      <c r="Y18" s="16" t="s">
        <v>680</v>
      </c>
      <c r="Z18" s="16" t="s">
        <v>622</v>
      </c>
      <c r="AA18" s="36"/>
      <c r="AB18" s="164">
        <v>202401281</v>
      </c>
      <c r="AC18" s="55" t="s">
        <v>7</v>
      </c>
    </row>
    <row r="19" spans="1:29">
      <c r="A19" s="14">
        <v>45911</v>
      </c>
      <c r="B19" s="13" t="str">
        <f t="shared" si="0"/>
        <v>Realizada</v>
      </c>
      <c r="C19" s="14">
        <f t="shared" si="1"/>
        <v>46002</v>
      </c>
      <c r="D19" s="13" t="s">
        <v>611</v>
      </c>
      <c r="E19" s="14">
        <f t="shared" si="2"/>
        <v>46092</v>
      </c>
      <c r="F19" s="13" t="s">
        <v>611</v>
      </c>
      <c r="G19" s="40">
        <v>202400990</v>
      </c>
      <c r="H19" s="13" t="s">
        <v>700</v>
      </c>
      <c r="I19" s="13" t="s">
        <v>613</v>
      </c>
      <c r="J19" s="14">
        <v>45621</v>
      </c>
      <c r="K19" s="14">
        <v>45979</v>
      </c>
      <c r="L19" s="13" t="s">
        <v>672</v>
      </c>
      <c r="M19" s="13" t="s">
        <v>701</v>
      </c>
      <c r="N19" s="13" t="s">
        <v>702</v>
      </c>
      <c r="O19" s="17" t="s">
        <v>703</v>
      </c>
      <c r="P19" s="79" t="s">
        <v>161</v>
      </c>
      <c r="Q19" s="13" t="s">
        <v>618</v>
      </c>
      <c r="R19" s="13" t="str">
        <f>VLOOKUP(P19,'Dados das Regiões '!A:B,2,0)</f>
        <v>CAMPO MOURÃO</v>
      </c>
      <c r="S19" s="13" t="s">
        <v>704</v>
      </c>
      <c r="T19" s="13"/>
      <c r="U19" s="79" t="s">
        <v>705</v>
      </c>
      <c r="V19" s="13" t="s">
        <v>706</v>
      </c>
      <c r="W19" s="13" t="s">
        <v>707</v>
      </c>
      <c r="X19" s="15">
        <v>0.5625</v>
      </c>
      <c r="Y19" s="16" t="s">
        <v>680</v>
      </c>
      <c r="Z19" s="16" t="s">
        <v>622</v>
      </c>
      <c r="AA19" s="36"/>
      <c r="AB19" s="164">
        <v>202400990</v>
      </c>
      <c r="AC19" s="55" t="s">
        <v>18</v>
      </c>
    </row>
    <row r="20" spans="1:29">
      <c r="A20" s="14"/>
      <c r="B20" s="13" t="str">
        <f t="shared" si="0"/>
        <v>Pendente</v>
      </c>
      <c r="C20" s="14" t="str">
        <f t="shared" si="1"/>
        <v/>
      </c>
      <c r="D20" s="13" t="s">
        <v>611</v>
      </c>
      <c r="E20" s="14" t="str">
        <f t="shared" si="2"/>
        <v/>
      </c>
      <c r="F20" s="13" t="s">
        <v>611</v>
      </c>
      <c r="G20" s="40">
        <v>202400991</v>
      </c>
      <c r="H20" s="13" t="s">
        <v>708</v>
      </c>
      <c r="I20" s="13" t="s">
        <v>613</v>
      </c>
      <c r="J20" s="14">
        <v>45621</v>
      </c>
      <c r="K20" s="14">
        <v>45979</v>
      </c>
      <c r="L20" s="13" t="s">
        <v>657</v>
      </c>
      <c r="M20" s="13" t="s">
        <v>709</v>
      </c>
      <c r="N20" s="13" t="s">
        <v>710</v>
      </c>
      <c r="O20" s="17" t="s">
        <v>711</v>
      </c>
      <c r="P20" s="79" t="s">
        <v>283</v>
      </c>
      <c r="Q20" s="13" t="s">
        <v>618</v>
      </c>
      <c r="R20" s="13" t="str">
        <f>VLOOKUP(P20,'Dados das Regiões '!A:B,2,0)</f>
        <v>FRANCISCO BELTRÃO</v>
      </c>
      <c r="S20" s="13" t="s">
        <v>712</v>
      </c>
      <c r="T20" s="13"/>
      <c r="U20" s="79" t="s">
        <v>713</v>
      </c>
      <c r="V20" s="13" t="s">
        <v>714</v>
      </c>
      <c r="W20" s="13" t="s">
        <v>715</v>
      </c>
      <c r="X20" s="15">
        <v>0.33333333333333331</v>
      </c>
      <c r="Y20" s="16" t="s">
        <v>648</v>
      </c>
      <c r="Z20" s="16" t="s">
        <v>622</v>
      </c>
      <c r="AA20" s="36"/>
      <c r="AB20" s="164">
        <v>202400991</v>
      </c>
      <c r="AC20" s="55" t="s">
        <v>11</v>
      </c>
    </row>
    <row r="21" spans="1:29">
      <c r="A21" s="14">
        <v>45932</v>
      </c>
      <c r="B21" s="13" t="str">
        <f t="shared" si="0"/>
        <v>Realizada</v>
      </c>
      <c r="C21" s="14">
        <f t="shared" si="1"/>
        <v>46024</v>
      </c>
      <c r="D21" s="13" t="s">
        <v>611</v>
      </c>
      <c r="E21" s="14">
        <f t="shared" si="2"/>
        <v>46114</v>
      </c>
      <c r="F21" s="13" t="s">
        <v>611</v>
      </c>
      <c r="G21" s="40">
        <v>202400991</v>
      </c>
      <c r="H21" s="13" t="s">
        <v>716</v>
      </c>
      <c r="I21" s="13" t="s">
        <v>613</v>
      </c>
      <c r="J21" s="14">
        <v>45621</v>
      </c>
      <c r="K21" s="14">
        <v>45979</v>
      </c>
      <c r="L21" s="13" t="s">
        <v>657</v>
      </c>
      <c r="M21" s="13" t="s">
        <v>717</v>
      </c>
      <c r="N21" s="13" t="s">
        <v>718</v>
      </c>
      <c r="O21" s="17" t="s">
        <v>719</v>
      </c>
      <c r="P21" s="79" t="s">
        <v>271</v>
      </c>
      <c r="Q21" s="13" t="s">
        <v>618</v>
      </c>
      <c r="R21" s="13" t="str">
        <f>VLOOKUP(P21,'Dados das Regiões '!A:B,2,0)</f>
        <v>FRANCISCO BELTRÃO</v>
      </c>
      <c r="S21" s="13" t="s">
        <v>720</v>
      </c>
      <c r="T21" s="13"/>
      <c r="U21" s="79"/>
      <c r="V21" s="13" t="s">
        <v>721</v>
      </c>
      <c r="W21" s="13" t="s">
        <v>722</v>
      </c>
      <c r="X21" s="15">
        <v>0.5625</v>
      </c>
      <c r="Y21" s="16" t="s">
        <v>680</v>
      </c>
      <c r="Z21" s="16" t="s">
        <v>622</v>
      </c>
      <c r="AA21" s="36"/>
      <c r="AB21" s="164">
        <v>202400991</v>
      </c>
      <c r="AC21" s="55" t="s">
        <v>11</v>
      </c>
    </row>
    <row r="22" spans="1:29">
      <c r="A22" s="14">
        <v>45911</v>
      </c>
      <c r="B22" s="13" t="str">
        <f t="shared" si="0"/>
        <v>Realizada</v>
      </c>
      <c r="C22" s="14">
        <f t="shared" si="1"/>
        <v>46002</v>
      </c>
      <c r="D22" s="13" t="s">
        <v>611</v>
      </c>
      <c r="E22" s="14">
        <f t="shared" si="2"/>
        <v>46092</v>
      </c>
      <c r="F22" s="13" t="s">
        <v>611</v>
      </c>
      <c r="G22" s="40">
        <v>202400990</v>
      </c>
      <c r="H22" s="13" t="s">
        <v>723</v>
      </c>
      <c r="I22" s="13" t="s">
        <v>613</v>
      </c>
      <c r="J22" s="14">
        <v>45621</v>
      </c>
      <c r="K22" s="14">
        <v>45979</v>
      </c>
      <c r="L22" s="13" t="s">
        <v>672</v>
      </c>
      <c r="M22" s="13" t="s">
        <v>724</v>
      </c>
      <c r="N22" s="13" t="s">
        <v>725</v>
      </c>
      <c r="O22" s="17" t="s">
        <v>726</v>
      </c>
      <c r="P22" s="79" t="s">
        <v>166</v>
      </c>
      <c r="Q22" s="13" t="s">
        <v>618</v>
      </c>
      <c r="R22" s="13" t="str">
        <f>VLOOKUP(P22,'Dados das Regiões '!A:B,2,0)</f>
        <v>CAMPO MOURÃO</v>
      </c>
      <c r="S22" s="13" t="s">
        <v>727</v>
      </c>
      <c r="T22" s="13"/>
      <c r="U22" s="79" t="s">
        <v>728</v>
      </c>
      <c r="V22" s="13" t="s">
        <v>729</v>
      </c>
      <c r="W22" s="13" t="s">
        <v>730</v>
      </c>
      <c r="X22" s="15">
        <v>0.64583333333333337</v>
      </c>
      <c r="Y22" s="16" t="s">
        <v>698</v>
      </c>
      <c r="Z22" s="16" t="s">
        <v>622</v>
      </c>
      <c r="AA22" s="36"/>
      <c r="AB22" s="164">
        <v>202400990</v>
      </c>
      <c r="AC22" s="55" t="s">
        <v>18</v>
      </c>
    </row>
    <row r="23" spans="1:29">
      <c r="A23" s="14">
        <v>45929</v>
      </c>
      <c r="B23" s="13" t="str">
        <f t="shared" si="0"/>
        <v>Realizada</v>
      </c>
      <c r="C23" s="14">
        <f t="shared" si="1"/>
        <v>46020</v>
      </c>
      <c r="D23" s="13" t="s">
        <v>611</v>
      </c>
      <c r="E23" s="14">
        <f t="shared" si="2"/>
        <v>46110</v>
      </c>
      <c r="F23" s="13" t="s">
        <v>611</v>
      </c>
      <c r="G23" s="40">
        <v>202400991</v>
      </c>
      <c r="H23" s="13" t="s">
        <v>731</v>
      </c>
      <c r="I23" s="13" t="s">
        <v>613</v>
      </c>
      <c r="J23" s="14">
        <v>45621</v>
      </c>
      <c r="K23" s="14">
        <v>45979</v>
      </c>
      <c r="L23" s="13" t="s">
        <v>657</v>
      </c>
      <c r="M23" s="13" t="s">
        <v>732</v>
      </c>
      <c r="N23" s="13" t="s">
        <v>733</v>
      </c>
      <c r="O23" s="17" t="s">
        <v>734</v>
      </c>
      <c r="P23" s="79" t="s">
        <v>282</v>
      </c>
      <c r="Q23" s="13" t="s">
        <v>618</v>
      </c>
      <c r="R23" s="13" t="str">
        <f>VLOOKUP(P23,'Dados das Regiões '!A:B,2,0)</f>
        <v>FRANCISCO BELTRÃO</v>
      </c>
      <c r="S23" s="13" t="s">
        <v>735</v>
      </c>
      <c r="T23" s="13"/>
      <c r="U23" s="79"/>
      <c r="V23" s="13" t="s">
        <v>736</v>
      </c>
      <c r="W23" s="13" t="s">
        <v>737</v>
      </c>
      <c r="X23" s="15">
        <v>0.5625</v>
      </c>
      <c r="Y23" s="16" t="s">
        <v>680</v>
      </c>
      <c r="Z23" s="16" t="s">
        <v>622</v>
      </c>
      <c r="AA23" s="36"/>
      <c r="AB23" s="164">
        <v>202400991</v>
      </c>
      <c r="AC23" s="55" t="s">
        <v>11</v>
      </c>
    </row>
    <row r="24" spans="1:29">
      <c r="A24" s="14"/>
      <c r="B24" s="13" t="str">
        <f t="shared" si="0"/>
        <v>Pendente</v>
      </c>
      <c r="C24" s="14" t="str">
        <f t="shared" si="1"/>
        <v/>
      </c>
      <c r="D24" s="13" t="s">
        <v>611</v>
      </c>
      <c r="E24" s="14" t="str">
        <f t="shared" si="2"/>
        <v/>
      </c>
      <c r="F24" s="13" t="s">
        <v>611</v>
      </c>
      <c r="G24" s="40">
        <v>202400991</v>
      </c>
      <c r="H24" s="13" t="s">
        <v>738</v>
      </c>
      <c r="I24" s="13" t="s">
        <v>613</v>
      </c>
      <c r="J24" s="14">
        <v>45621</v>
      </c>
      <c r="K24" s="14">
        <v>45979</v>
      </c>
      <c r="L24" s="13" t="s">
        <v>657</v>
      </c>
      <c r="M24" s="13" t="s">
        <v>739</v>
      </c>
      <c r="N24" s="13" t="s">
        <v>740</v>
      </c>
      <c r="O24" s="17" t="s">
        <v>741</v>
      </c>
      <c r="P24" s="79" t="s">
        <v>267</v>
      </c>
      <c r="Q24" s="13" t="s">
        <v>618</v>
      </c>
      <c r="R24" s="13" t="str">
        <f>VLOOKUP(P24,'Dados das Regiões '!A:B,2,0)</f>
        <v>FRANCISCO BELTRÃO</v>
      </c>
      <c r="S24" s="13" t="s">
        <v>742</v>
      </c>
      <c r="T24" s="13"/>
      <c r="U24" s="79" t="s">
        <v>743</v>
      </c>
      <c r="V24" s="13" t="s">
        <v>744</v>
      </c>
      <c r="W24" s="13" t="s">
        <v>745</v>
      </c>
      <c r="X24" s="15">
        <v>0.64583333333333337</v>
      </c>
      <c r="Y24" s="16" t="s">
        <v>680</v>
      </c>
      <c r="Z24" s="16" t="s">
        <v>622</v>
      </c>
      <c r="AA24" s="36"/>
      <c r="AB24" s="164">
        <v>202400991</v>
      </c>
      <c r="AC24" s="55" t="s">
        <v>11</v>
      </c>
    </row>
    <row r="25" spans="1:29">
      <c r="A25" s="14">
        <v>45911</v>
      </c>
      <c r="B25" s="13" t="str">
        <f t="shared" si="0"/>
        <v>Realizada</v>
      </c>
      <c r="C25" s="14">
        <f t="shared" si="1"/>
        <v>46002</v>
      </c>
      <c r="D25" s="13" t="s">
        <v>611</v>
      </c>
      <c r="E25" s="14">
        <f t="shared" si="2"/>
        <v>46092</v>
      </c>
      <c r="F25" s="13" t="s">
        <v>611</v>
      </c>
      <c r="G25" s="40">
        <v>202400990</v>
      </c>
      <c r="H25" s="13" t="s">
        <v>746</v>
      </c>
      <c r="I25" s="13" t="s">
        <v>613</v>
      </c>
      <c r="J25" s="14">
        <v>45621</v>
      </c>
      <c r="K25" s="14">
        <v>45979</v>
      </c>
      <c r="L25" s="13" t="s">
        <v>672</v>
      </c>
      <c r="M25" s="13" t="s">
        <v>747</v>
      </c>
      <c r="N25" s="13" t="s">
        <v>748</v>
      </c>
      <c r="O25" s="17" t="s">
        <v>749</v>
      </c>
      <c r="P25" s="79" t="s">
        <v>166</v>
      </c>
      <c r="Q25" s="13" t="s">
        <v>618</v>
      </c>
      <c r="R25" s="13" t="str">
        <f>VLOOKUP(P25,'Dados das Regiões '!A:B,2,0)</f>
        <v>CAMPO MOURÃO</v>
      </c>
      <c r="S25" s="13" t="s">
        <v>727</v>
      </c>
      <c r="T25" s="13"/>
      <c r="U25" s="79" t="s">
        <v>728</v>
      </c>
      <c r="V25" s="13" t="s">
        <v>729</v>
      </c>
      <c r="W25" s="13" t="s">
        <v>730</v>
      </c>
      <c r="X25" s="15">
        <v>0.64583333333333337</v>
      </c>
      <c r="Y25" s="16" t="s">
        <v>698</v>
      </c>
      <c r="Z25" s="16" t="s">
        <v>622</v>
      </c>
      <c r="AA25" s="36"/>
      <c r="AB25" s="164">
        <v>202400990</v>
      </c>
      <c r="AC25" s="55" t="s">
        <v>18</v>
      </c>
    </row>
    <row r="26" spans="1:29">
      <c r="A26" s="14">
        <v>45929</v>
      </c>
      <c r="B26" s="13" t="str">
        <f t="shared" si="0"/>
        <v>Realizada</v>
      </c>
      <c r="C26" s="14">
        <f t="shared" si="1"/>
        <v>46020</v>
      </c>
      <c r="D26" s="13" t="s">
        <v>611</v>
      </c>
      <c r="E26" s="14">
        <f t="shared" si="2"/>
        <v>46110</v>
      </c>
      <c r="F26" s="13" t="s">
        <v>611</v>
      </c>
      <c r="G26" s="40">
        <v>202400991</v>
      </c>
      <c r="H26" s="13" t="s">
        <v>750</v>
      </c>
      <c r="I26" s="13" t="s">
        <v>613</v>
      </c>
      <c r="J26" s="14">
        <v>45621</v>
      </c>
      <c r="K26" s="14">
        <v>45979</v>
      </c>
      <c r="L26" s="13" t="s">
        <v>657</v>
      </c>
      <c r="M26" s="13" t="s">
        <v>751</v>
      </c>
      <c r="N26" s="13" t="s">
        <v>752</v>
      </c>
      <c r="O26" s="17" t="s">
        <v>753</v>
      </c>
      <c r="P26" s="79" t="s">
        <v>282</v>
      </c>
      <c r="Q26" s="13" t="s">
        <v>618</v>
      </c>
      <c r="R26" s="13" t="str">
        <f>VLOOKUP(P26,'Dados das Regiões '!A:B,2,0)</f>
        <v>FRANCISCO BELTRÃO</v>
      </c>
      <c r="S26" s="13" t="s">
        <v>754</v>
      </c>
      <c r="T26" s="13"/>
      <c r="U26" s="79" t="s">
        <v>755</v>
      </c>
      <c r="V26" s="13" t="s">
        <v>756</v>
      </c>
      <c r="W26" s="13" t="s">
        <v>757</v>
      </c>
      <c r="X26" s="15">
        <v>0.64583333333333337</v>
      </c>
      <c r="Y26" s="16" t="s">
        <v>680</v>
      </c>
      <c r="Z26" s="16" t="s">
        <v>622</v>
      </c>
      <c r="AA26" s="36"/>
      <c r="AB26" s="164">
        <v>202400991</v>
      </c>
      <c r="AC26" s="55" t="s">
        <v>11</v>
      </c>
    </row>
    <row r="27" spans="1:29">
      <c r="A27" s="14">
        <v>45911</v>
      </c>
      <c r="B27" s="13" t="str">
        <f t="shared" si="0"/>
        <v>Realizada</v>
      </c>
      <c r="C27" s="14">
        <f t="shared" si="1"/>
        <v>46002</v>
      </c>
      <c r="D27" s="13" t="s">
        <v>611</v>
      </c>
      <c r="E27" s="14">
        <f t="shared" si="2"/>
        <v>46092</v>
      </c>
      <c r="F27" s="13" t="s">
        <v>611</v>
      </c>
      <c r="G27" s="40">
        <v>202400990</v>
      </c>
      <c r="H27" s="13" t="s">
        <v>758</v>
      </c>
      <c r="I27" s="13" t="s">
        <v>613</v>
      </c>
      <c r="J27" s="14">
        <v>45621</v>
      </c>
      <c r="K27" s="14">
        <v>45979</v>
      </c>
      <c r="L27" s="13" t="s">
        <v>672</v>
      </c>
      <c r="M27" s="13" t="s">
        <v>747</v>
      </c>
      <c r="N27" s="13" t="s">
        <v>748</v>
      </c>
      <c r="O27" s="17" t="s">
        <v>749</v>
      </c>
      <c r="P27" s="79" t="s">
        <v>166</v>
      </c>
      <c r="Q27" s="13" t="s">
        <v>618</v>
      </c>
      <c r="R27" s="13" t="str">
        <f>VLOOKUP(P27,'Dados das Regiões '!A:B,2,0)</f>
        <v>CAMPO MOURÃO</v>
      </c>
      <c r="S27" s="13" t="s">
        <v>727</v>
      </c>
      <c r="T27" s="13"/>
      <c r="U27" s="79" t="s">
        <v>728</v>
      </c>
      <c r="V27" s="13" t="s">
        <v>729</v>
      </c>
      <c r="W27" s="13" t="s">
        <v>730</v>
      </c>
      <c r="X27" s="15">
        <v>0.64583333333333337</v>
      </c>
      <c r="Y27" s="16" t="s">
        <v>698</v>
      </c>
      <c r="Z27" s="16" t="s">
        <v>622</v>
      </c>
      <c r="AA27" s="36"/>
      <c r="AB27" s="164">
        <v>202400990</v>
      </c>
      <c r="AC27" s="55" t="s">
        <v>18</v>
      </c>
    </row>
    <row r="28" spans="1:29">
      <c r="A28" s="14">
        <v>45911</v>
      </c>
      <c r="B28" s="13" t="str">
        <f t="shared" si="0"/>
        <v>Realizada</v>
      </c>
      <c r="C28" s="14">
        <f t="shared" si="1"/>
        <v>46002</v>
      </c>
      <c r="D28" s="13" t="s">
        <v>611</v>
      </c>
      <c r="E28" s="14">
        <f t="shared" si="2"/>
        <v>46092</v>
      </c>
      <c r="F28" s="13" t="s">
        <v>611</v>
      </c>
      <c r="G28" s="40">
        <v>202400990</v>
      </c>
      <c r="H28" s="13" t="s">
        <v>759</v>
      </c>
      <c r="I28" s="13" t="s">
        <v>613</v>
      </c>
      <c r="J28" s="14">
        <v>45621</v>
      </c>
      <c r="K28" s="14">
        <v>45979</v>
      </c>
      <c r="L28" s="13" t="s">
        <v>672</v>
      </c>
      <c r="M28" s="13" t="s">
        <v>760</v>
      </c>
      <c r="N28" s="13" t="s">
        <v>761</v>
      </c>
      <c r="O28" s="13" t="s">
        <v>762</v>
      </c>
      <c r="P28" s="79" t="s">
        <v>166</v>
      </c>
      <c r="Q28" s="13" t="s">
        <v>618</v>
      </c>
      <c r="R28" s="13" t="str">
        <f>VLOOKUP(P28,'Dados das Regiões '!A:B,2,0)</f>
        <v>CAMPO MOURÃO</v>
      </c>
      <c r="S28" s="13" t="s">
        <v>727</v>
      </c>
      <c r="T28" s="13"/>
      <c r="U28" s="79" t="s">
        <v>728</v>
      </c>
      <c r="V28" s="13" t="s">
        <v>729</v>
      </c>
      <c r="W28" s="13" t="s">
        <v>730</v>
      </c>
      <c r="X28" s="15">
        <v>0.64583333333333337</v>
      </c>
      <c r="Y28" s="16" t="s">
        <v>698</v>
      </c>
      <c r="Z28" s="16" t="s">
        <v>622</v>
      </c>
      <c r="AA28" s="36"/>
      <c r="AB28" s="164">
        <v>202400990</v>
      </c>
      <c r="AC28" s="55" t="s">
        <v>18</v>
      </c>
    </row>
    <row r="29" spans="1:29">
      <c r="A29" s="14"/>
      <c r="B29" s="13" t="str">
        <f t="shared" si="0"/>
        <v>Pendente</v>
      </c>
      <c r="C29" s="14" t="str">
        <f t="shared" si="1"/>
        <v/>
      </c>
      <c r="D29" s="13" t="s">
        <v>611</v>
      </c>
      <c r="E29" s="14" t="str">
        <f t="shared" si="2"/>
        <v/>
      </c>
      <c r="F29" s="13" t="s">
        <v>611</v>
      </c>
      <c r="G29" s="40">
        <v>202400990</v>
      </c>
      <c r="H29" s="13" t="s">
        <v>763</v>
      </c>
      <c r="I29" s="13" t="s">
        <v>613</v>
      </c>
      <c r="J29" s="14">
        <v>45621</v>
      </c>
      <c r="K29" s="14">
        <v>45979</v>
      </c>
      <c r="L29" s="13" t="s">
        <v>672</v>
      </c>
      <c r="M29" s="13" t="s">
        <v>764</v>
      </c>
      <c r="N29" s="13" t="s">
        <v>765</v>
      </c>
      <c r="O29" s="13" t="s">
        <v>766</v>
      </c>
      <c r="P29" s="79" t="s">
        <v>158</v>
      </c>
      <c r="Q29" s="13" t="s">
        <v>618</v>
      </c>
      <c r="R29" s="13" t="str">
        <f>VLOOKUP(P29,'Dados das Regiões '!A:B,2,0)</f>
        <v>CAMPO MOURÃO</v>
      </c>
      <c r="S29" s="13" t="s">
        <v>767</v>
      </c>
      <c r="T29" s="13"/>
      <c r="U29" s="79" t="s">
        <v>768</v>
      </c>
      <c r="V29" s="13" t="s">
        <v>769</v>
      </c>
      <c r="W29" s="13" t="s">
        <v>770</v>
      </c>
      <c r="X29" s="15">
        <v>0.5625</v>
      </c>
      <c r="Y29" s="16" t="s">
        <v>680</v>
      </c>
      <c r="Z29" s="16" t="s">
        <v>622</v>
      </c>
      <c r="AA29" s="36"/>
      <c r="AB29" s="164">
        <v>202400990</v>
      </c>
      <c r="AC29" s="55" t="s">
        <v>18</v>
      </c>
    </row>
    <row r="30" spans="1:29">
      <c r="A30" s="14"/>
      <c r="B30" s="13" t="str">
        <f t="shared" si="0"/>
        <v>Pendente</v>
      </c>
      <c r="C30" s="14" t="str">
        <f t="shared" si="1"/>
        <v/>
      </c>
      <c r="D30" s="13" t="s">
        <v>611</v>
      </c>
      <c r="E30" s="14" t="str">
        <f t="shared" si="2"/>
        <v/>
      </c>
      <c r="F30" s="13" t="s">
        <v>611</v>
      </c>
      <c r="G30" s="40">
        <v>202400990</v>
      </c>
      <c r="H30" s="13" t="s">
        <v>771</v>
      </c>
      <c r="I30" s="13" t="s">
        <v>613</v>
      </c>
      <c r="J30" s="14">
        <v>45621</v>
      </c>
      <c r="K30" s="14">
        <v>45979</v>
      </c>
      <c r="L30" s="13" t="s">
        <v>672</v>
      </c>
      <c r="M30" s="13" t="s">
        <v>772</v>
      </c>
      <c r="N30" s="13" t="s">
        <v>765</v>
      </c>
      <c r="O30" s="13" t="s">
        <v>766</v>
      </c>
      <c r="P30" s="79" t="s">
        <v>172</v>
      </c>
      <c r="Q30" s="13" t="s">
        <v>618</v>
      </c>
      <c r="R30" s="13" t="str">
        <f>VLOOKUP(P30,'Dados das Regiões '!A:B,2,0)</f>
        <v>CAMPO MOURÃO</v>
      </c>
      <c r="S30" s="13" t="s">
        <v>773</v>
      </c>
      <c r="T30" s="13"/>
      <c r="U30" s="79"/>
      <c r="V30" s="13" t="s">
        <v>774</v>
      </c>
      <c r="W30" s="13" t="s">
        <v>775</v>
      </c>
      <c r="X30" s="15">
        <v>0.5625</v>
      </c>
      <c r="Y30" s="16" t="s">
        <v>680</v>
      </c>
      <c r="Z30" s="16" t="s">
        <v>622</v>
      </c>
      <c r="AA30" s="36"/>
      <c r="AB30" s="164">
        <v>202400990</v>
      </c>
      <c r="AC30" s="55" t="s">
        <v>18</v>
      </c>
    </row>
    <row r="31" spans="1:29">
      <c r="A31" s="14">
        <v>45911</v>
      </c>
      <c r="B31" s="13" t="str">
        <f t="shared" si="0"/>
        <v>Realizada</v>
      </c>
      <c r="C31" s="14">
        <f t="shared" si="1"/>
        <v>46002</v>
      </c>
      <c r="D31" s="13" t="s">
        <v>611</v>
      </c>
      <c r="E31" s="14">
        <f t="shared" si="2"/>
        <v>46092</v>
      </c>
      <c r="F31" s="13" t="s">
        <v>611</v>
      </c>
      <c r="G31" s="40">
        <v>202400990</v>
      </c>
      <c r="H31" s="13" t="s">
        <v>776</v>
      </c>
      <c r="I31" s="13" t="s">
        <v>613</v>
      </c>
      <c r="J31" s="14">
        <v>45621</v>
      </c>
      <c r="K31" s="14">
        <v>45979</v>
      </c>
      <c r="L31" s="13" t="s">
        <v>672</v>
      </c>
      <c r="M31" s="13" t="s">
        <v>777</v>
      </c>
      <c r="N31" s="13" t="s">
        <v>778</v>
      </c>
      <c r="O31" s="17" t="s">
        <v>779</v>
      </c>
      <c r="P31" s="79" t="s">
        <v>161</v>
      </c>
      <c r="Q31" s="13" t="s">
        <v>618</v>
      </c>
      <c r="R31" s="13" t="str">
        <f>VLOOKUP(P31,'Dados das Regiões '!A:B,2,0)</f>
        <v>CAMPO MOURÃO</v>
      </c>
      <c r="S31" s="13" t="s">
        <v>780</v>
      </c>
      <c r="T31" s="13"/>
      <c r="U31" s="79" t="s">
        <v>781</v>
      </c>
      <c r="V31" s="13" t="s">
        <v>782</v>
      </c>
      <c r="W31" s="13" t="s">
        <v>783</v>
      </c>
      <c r="X31" s="15">
        <v>0.5625</v>
      </c>
      <c r="Y31" s="16" t="s">
        <v>784</v>
      </c>
      <c r="Z31" s="16" t="s">
        <v>622</v>
      </c>
      <c r="AA31" s="36"/>
      <c r="AB31" s="164">
        <v>202400990</v>
      </c>
      <c r="AC31" s="55" t="s">
        <v>18</v>
      </c>
    </row>
    <row r="32" spans="1:29">
      <c r="A32" s="14"/>
      <c r="B32" s="13" t="str">
        <f t="shared" si="0"/>
        <v>Pendente</v>
      </c>
      <c r="C32" s="14" t="str">
        <f t="shared" si="1"/>
        <v/>
      </c>
      <c r="D32" s="13" t="s">
        <v>611</v>
      </c>
      <c r="E32" s="14" t="str">
        <f t="shared" si="2"/>
        <v/>
      </c>
      <c r="F32" s="13" t="s">
        <v>611</v>
      </c>
      <c r="G32" s="40">
        <v>202400990</v>
      </c>
      <c r="H32" s="13" t="s">
        <v>785</v>
      </c>
      <c r="I32" s="13" t="s">
        <v>613</v>
      </c>
      <c r="J32" s="14">
        <v>45621</v>
      </c>
      <c r="K32" s="14">
        <v>45979</v>
      </c>
      <c r="L32" s="13" t="s">
        <v>672</v>
      </c>
      <c r="M32" s="13" t="s">
        <v>772</v>
      </c>
      <c r="N32" s="13" t="s">
        <v>786</v>
      </c>
      <c r="O32" s="17" t="s">
        <v>787</v>
      </c>
      <c r="P32" s="79" t="s">
        <v>172</v>
      </c>
      <c r="Q32" s="13" t="s">
        <v>618</v>
      </c>
      <c r="R32" s="13" t="str">
        <f>VLOOKUP(P32,'Dados das Regiões '!A:B,2,0)</f>
        <v>CAMPO MOURÃO</v>
      </c>
      <c r="S32" s="13" t="s">
        <v>773</v>
      </c>
      <c r="T32" s="13"/>
      <c r="U32" s="79"/>
      <c r="V32" s="13" t="s">
        <v>774</v>
      </c>
      <c r="W32" s="13" t="s">
        <v>775</v>
      </c>
      <c r="X32" s="15">
        <v>0.5625</v>
      </c>
      <c r="Y32" s="16" t="s">
        <v>680</v>
      </c>
      <c r="Z32" s="16" t="s">
        <v>622</v>
      </c>
      <c r="AA32" s="36"/>
      <c r="AB32" s="164">
        <v>202400990</v>
      </c>
      <c r="AC32" s="55" t="s">
        <v>18</v>
      </c>
    </row>
    <row r="33" spans="1:29">
      <c r="A33" s="14">
        <v>45911</v>
      </c>
      <c r="B33" s="13" t="str">
        <f t="shared" si="0"/>
        <v>Realizada</v>
      </c>
      <c r="C33" s="14">
        <f t="shared" si="1"/>
        <v>46002</v>
      </c>
      <c r="D33" s="13" t="s">
        <v>611</v>
      </c>
      <c r="E33" s="14">
        <f t="shared" si="2"/>
        <v>46092</v>
      </c>
      <c r="F33" s="13" t="s">
        <v>611</v>
      </c>
      <c r="G33" s="40">
        <v>202400990</v>
      </c>
      <c r="H33" s="13" t="s">
        <v>788</v>
      </c>
      <c r="I33" s="13" t="s">
        <v>613</v>
      </c>
      <c r="J33" s="14">
        <v>45621</v>
      </c>
      <c r="K33" s="14">
        <v>45979</v>
      </c>
      <c r="L33" s="13" t="s">
        <v>672</v>
      </c>
      <c r="M33" s="13" t="s">
        <v>789</v>
      </c>
      <c r="N33" s="13" t="s">
        <v>790</v>
      </c>
      <c r="O33" s="13" t="s">
        <v>791</v>
      </c>
      <c r="P33" s="79" t="s">
        <v>161</v>
      </c>
      <c r="Q33" s="13" t="s">
        <v>618</v>
      </c>
      <c r="R33" s="13" t="str">
        <f>VLOOKUP(P33,'Dados das Regiões '!A:B,2,0)</f>
        <v>CAMPO MOURÃO</v>
      </c>
      <c r="S33" s="13" t="s">
        <v>792</v>
      </c>
      <c r="T33" s="13"/>
      <c r="U33" s="79" t="s">
        <v>793</v>
      </c>
      <c r="V33" s="13" t="s">
        <v>794</v>
      </c>
      <c r="W33" s="13" t="s">
        <v>795</v>
      </c>
      <c r="X33" s="15">
        <v>0.3125</v>
      </c>
      <c r="Y33" s="16" t="s">
        <v>796</v>
      </c>
      <c r="Z33" s="16" t="s">
        <v>622</v>
      </c>
      <c r="AA33" s="36"/>
      <c r="AB33" s="164">
        <v>202400990</v>
      </c>
      <c r="AC33" s="55" t="s">
        <v>18</v>
      </c>
    </row>
    <row r="34" spans="1:29">
      <c r="A34" s="14">
        <v>45953</v>
      </c>
      <c r="B34" s="13" t="str">
        <f t="shared" ref="B34:B65" si="3">IF(ISBLANK(A34), "Pendente", "Realizada")</f>
        <v>Realizada</v>
      </c>
      <c r="C34" s="14">
        <f t="shared" ref="C34:C55" si="4">IF(A34="", "", EDATE(A34, 3))</f>
        <v>46045</v>
      </c>
      <c r="D34" s="13" t="s">
        <v>611</v>
      </c>
      <c r="E34" s="14">
        <f t="shared" ref="E34:E65" si="5">IF(C34="", "", EDATE(C34, 3))</f>
        <v>46135</v>
      </c>
      <c r="F34" s="13" t="s">
        <v>611</v>
      </c>
      <c r="G34" s="40">
        <v>202400991</v>
      </c>
      <c r="H34" s="13" t="s">
        <v>797</v>
      </c>
      <c r="I34" s="13" t="s">
        <v>613</v>
      </c>
      <c r="J34" s="14">
        <v>45621</v>
      </c>
      <c r="K34" s="14">
        <v>45979</v>
      </c>
      <c r="L34" s="13" t="s">
        <v>657</v>
      </c>
      <c r="M34" s="13" t="s">
        <v>798</v>
      </c>
      <c r="N34" s="13" t="s">
        <v>799</v>
      </c>
      <c r="O34" s="17" t="s">
        <v>800</v>
      </c>
      <c r="P34" s="79" t="s">
        <v>269</v>
      </c>
      <c r="Q34" s="13" t="s">
        <v>618</v>
      </c>
      <c r="R34" s="13" t="str">
        <f>VLOOKUP(P34,'Dados das Regiões '!A:B,2,0)</f>
        <v>FRANCISCO BELTRÃO</v>
      </c>
      <c r="S34" s="13" t="s">
        <v>801</v>
      </c>
      <c r="T34" s="13"/>
      <c r="U34" s="79"/>
      <c r="V34" s="13" t="s">
        <v>802</v>
      </c>
      <c r="W34" s="13" t="s">
        <v>803</v>
      </c>
      <c r="X34" s="15">
        <v>0.5625</v>
      </c>
      <c r="Y34" s="16" t="s">
        <v>680</v>
      </c>
      <c r="Z34" s="16" t="s">
        <v>622</v>
      </c>
      <c r="AA34" s="36"/>
      <c r="AB34" s="164">
        <v>202400991</v>
      </c>
      <c r="AC34" s="55" t="s">
        <v>11</v>
      </c>
    </row>
    <row r="35" spans="1:29">
      <c r="A35" s="14"/>
      <c r="B35" s="13" t="str">
        <f t="shared" si="3"/>
        <v>Pendente</v>
      </c>
      <c r="C35" s="14" t="str">
        <f t="shared" si="4"/>
        <v/>
      </c>
      <c r="D35" s="13" t="s">
        <v>611</v>
      </c>
      <c r="E35" s="14" t="str">
        <f t="shared" si="5"/>
        <v/>
      </c>
      <c r="F35" s="13" t="s">
        <v>611</v>
      </c>
      <c r="G35" s="40">
        <v>202400990</v>
      </c>
      <c r="H35" s="13" t="s">
        <v>804</v>
      </c>
      <c r="I35" s="13" t="s">
        <v>613</v>
      </c>
      <c r="J35" s="14">
        <v>45621</v>
      </c>
      <c r="K35" s="14">
        <v>45979</v>
      </c>
      <c r="L35" s="13" t="s">
        <v>672</v>
      </c>
      <c r="M35" s="13" t="s">
        <v>805</v>
      </c>
      <c r="N35" s="13" t="s">
        <v>806</v>
      </c>
      <c r="O35" s="13" t="s">
        <v>807</v>
      </c>
      <c r="P35" s="79" t="s">
        <v>164</v>
      </c>
      <c r="Q35" s="13" t="s">
        <v>618</v>
      </c>
      <c r="R35" s="13" t="str">
        <f>VLOOKUP(P35,'Dados das Regiões '!A:B,2,0)</f>
        <v>CAMPO MOURÃO</v>
      </c>
      <c r="S35" s="13" t="s">
        <v>808</v>
      </c>
      <c r="T35" s="13"/>
      <c r="U35" s="79" t="s">
        <v>809</v>
      </c>
      <c r="V35" s="13" t="s">
        <v>809</v>
      </c>
      <c r="W35" s="13" t="s">
        <v>810</v>
      </c>
      <c r="X35" s="15">
        <v>0.64583333333333337</v>
      </c>
      <c r="Y35" s="16" t="s">
        <v>698</v>
      </c>
      <c r="Z35" s="16" t="s">
        <v>622</v>
      </c>
      <c r="AA35" s="36"/>
      <c r="AB35" s="164">
        <v>202400990</v>
      </c>
      <c r="AC35" s="55" t="s">
        <v>18</v>
      </c>
    </row>
    <row r="36" spans="1:29">
      <c r="A36" s="14">
        <v>45909</v>
      </c>
      <c r="B36" s="13" t="str">
        <f t="shared" si="3"/>
        <v>Realizada</v>
      </c>
      <c r="C36" s="14">
        <f t="shared" si="4"/>
        <v>46000</v>
      </c>
      <c r="D36" s="13" t="s">
        <v>611</v>
      </c>
      <c r="E36" s="14">
        <f t="shared" si="5"/>
        <v>46090</v>
      </c>
      <c r="F36" s="13" t="s">
        <v>611</v>
      </c>
      <c r="G36" s="40">
        <v>202400991</v>
      </c>
      <c r="H36" s="13" t="s">
        <v>811</v>
      </c>
      <c r="I36" s="13" t="s">
        <v>613</v>
      </c>
      <c r="J36" s="14">
        <v>45621</v>
      </c>
      <c r="K36" s="14">
        <v>45979</v>
      </c>
      <c r="L36" s="13" t="s">
        <v>812</v>
      </c>
      <c r="M36" s="13" t="s">
        <v>813</v>
      </c>
      <c r="N36" s="13" t="s">
        <v>814</v>
      </c>
      <c r="O36" s="17" t="s">
        <v>815</v>
      </c>
      <c r="P36" s="79" t="s">
        <v>301</v>
      </c>
      <c r="Q36" s="13" t="s">
        <v>618</v>
      </c>
      <c r="R36" s="13" t="str">
        <f>VLOOKUP(P36,'Dados das Regiões '!A:B,2,0)</f>
        <v>GUARAPUAVA</v>
      </c>
      <c r="S36" s="13" t="s">
        <v>816</v>
      </c>
      <c r="T36" s="13"/>
      <c r="U36" s="79" t="s">
        <v>817</v>
      </c>
      <c r="V36" s="13" t="s">
        <v>818</v>
      </c>
      <c r="W36" s="13" t="s">
        <v>819</v>
      </c>
      <c r="X36" s="15">
        <v>0.33333333333333331</v>
      </c>
      <c r="Y36" s="16" t="s">
        <v>648</v>
      </c>
      <c r="Z36" s="16" t="s">
        <v>622</v>
      </c>
      <c r="AA36" s="36"/>
      <c r="AB36" s="164">
        <v>202400991</v>
      </c>
      <c r="AC36" s="55" t="s">
        <v>11</v>
      </c>
    </row>
    <row r="37" spans="1:29">
      <c r="A37" s="14">
        <v>45918</v>
      </c>
      <c r="B37" s="13" t="str">
        <f t="shared" si="3"/>
        <v>Realizada</v>
      </c>
      <c r="C37" s="14">
        <f t="shared" si="4"/>
        <v>46009</v>
      </c>
      <c r="D37" s="13" t="s">
        <v>611</v>
      </c>
      <c r="E37" s="14">
        <f t="shared" si="5"/>
        <v>46099</v>
      </c>
      <c r="F37" s="13" t="s">
        <v>611</v>
      </c>
      <c r="G37" s="40">
        <v>202400991</v>
      </c>
      <c r="H37" s="13" t="s">
        <v>820</v>
      </c>
      <c r="I37" s="13" t="s">
        <v>613</v>
      </c>
      <c r="J37" s="14">
        <v>45621</v>
      </c>
      <c r="K37" s="14">
        <v>45979</v>
      </c>
      <c r="L37" s="13" t="s">
        <v>657</v>
      </c>
      <c r="M37" s="13" t="s">
        <v>821</v>
      </c>
      <c r="N37" s="13" t="s">
        <v>822</v>
      </c>
      <c r="O37" s="17" t="s">
        <v>823</v>
      </c>
      <c r="P37" s="79" t="s">
        <v>279</v>
      </c>
      <c r="Q37" s="13" t="s">
        <v>618</v>
      </c>
      <c r="R37" s="13" t="str">
        <f>VLOOKUP(P37,'Dados das Regiões '!A:B,2,0)</f>
        <v>FRANCISCO BELTRÃO</v>
      </c>
      <c r="S37" s="13" t="s">
        <v>824</v>
      </c>
      <c r="T37" s="13"/>
      <c r="U37" s="79"/>
      <c r="V37" s="13" t="s">
        <v>825</v>
      </c>
      <c r="W37" s="13" t="s">
        <v>826</v>
      </c>
      <c r="X37" s="15">
        <v>0.5625</v>
      </c>
      <c r="Y37" s="16" t="s">
        <v>680</v>
      </c>
      <c r="Z37" s="16" t="s">
        <v>622</v>
      </c>
      <c r="AA37" s="36"/>
      <c r="AB37" s="164">
        <v>202400991</v>
      </c>
      <c r="AC37" s="55" t="s">
        <v>11</v>
      </c>
    </row>
    <row r="38" spans="1:29">
      <c r="A38" s="14">
        <v>45909</v>
      </c>
      <c r="B38" s="13" t="str">
        <f t="shared" si="3"/>
        <v>Realizada</v>
      </c>
      <c r="C38" s="14">
        <f t="shared" si="4"/>
        <v>46000</v>
      </c>
      <c r="D38" s="13" t="s">
        <v>611</v>
      </c>
      <c r="E38" s="14">
        <f t="shared" si="5"/>
        <v>46090</v>
      </c>
      <c r="F38" s="13" t="s">
        <v>611</v>
      </c>
      <c r="G38" s="40">
        <v>202400991</v>
      </c>
      <c r="H38" s="13" t="s">
        <v>827</v>
      </c>
      <c r="I38" s="13" t="s">
        <v>613</v>
      </c>
      <c r="J38" s="14">
        <v>45621</v>
      </c>
      <c r="K38" s="14">
        <v>45979</v>
      </c>
      <c r="L38" s="13" t="s">
        <v>812</v>
      </c>
      <c r="M38" s="13" t="s">
        <v>828</v>
      </c>
      <c r="N38" s="13" t="s">
        <v>829</v>
      </c>
      <c r="O38" s="13" t="s">
        <v>829</v>
      </c>
      <c r="P38" s="79" t="s">
        <v>301</v>
      </c>
      <c r="Q38" s="13" t="s">
        <v>618</v>
      </c>
      <c r="R38" s="13" t="str">
        <f>VLOOKUP(P38,'Dados das Regiões '!A:B,2,0)</f>
        <v>GUARAPUAVA</v>
      </c>
      <c r="S38" s="13" t="s">
        <v>830</v>
      </c>
      <c r="T38" s="13"/>
      <c r="U38" s="79" t="s">
        <v>817</v>
      </c>
      <c r="V38" s="13" t="s">
        <v>831</v>
      </c>
      <c r="W38" s="13" t="s">
        <v>832</v>
      </c>
      <c r="X38" s="15">
        <v>0.33333333333333331</v>
      </c>
      <c r="Y38" s="16" t="s">
        <v>833</v>
      </c>
      <c r="Z38" s="16" t="s">
        <v>622</v>
      </c>
      <c r="AA38" s="36"/>
      <c r="AB38" s="164">
        <v>202400991</v>
      </c>
      <c r="AC38" s="55" t="s">
        <v>11</v>
      </c>
    </row>
    <row r="39" spans="1:29">
      <c r="A39" s="14"/>
      <c r="B39" s="13" t="str">
        <f t="shared" si="3"/>
        <v>Pendente</v>
      </c>
      <c r="C39" s="14" t="str">
        <f t="shared" si="4"/>
        <v/>
      </c>
      <c r="D39" s="13" t="s">
        <v>611</v>
      </c>
      <c r="E39" s="14" t="str">
        <f t="shared" si="5"/>
        <v/>
      </c>
      <c r="F39" s="13" t="s">
        <v>611</v>
      </c>
      <c r="G39" s="40">
        <v>202400990</v>
      </c>
      <c r="H39" s="13" t="s">
        <v>834</v>
      </c>
      <c r="I39" s="13" t="s">
        <v>613</v>
      </c>
      <c r="J39" s="14">
        <v>45621</v>
      </c>
      <c r="K39" s="14">
        <v>45979</v>
      </c>
      <c r="L39" s="13" t="s">
        <v>835</v>
      </c>
      <c r="M39" s="13" t="s">
        <v>836</v>
      </c>
      <c r="N39" s="13" t="s">
        <v>837</v>
      </c>
      <c r="O39" s="17" t="s">
        <v>838</v>
      </c>
      <c r="P39" s="79" t="s">
        <v>201</v>
      </c>
      <c r="Q39" s="13" t="s">
        <v>618</v>
      </c>
      <c r="R39" s="13" t="str">
        <f>VLOOKUP(P39,'Dados das Regiões '!A:B,2,0)</f>
        <v>CASCAVEL</v>
      </c>
      <c r="S39" s="13" t="s">
        <v>839</v>
      </c>
      <c r="T39" s="13"/>
      <c r="U39" s="79" t="s">
        <v>840</v>
      </c>
      <c r="V39" s="13" t="s">
        <v>841</v>
      </c>
      <c r="W39" s="13" t="s">
        <v>842</v>
      </c>
      <c r="X39" s="15">
        <v>0.5625</v>
      </c>
      <c r="Y39" s="16" t="s">
        <v>680</v>
      </c>
      <c r="Z39" s="16" t="s">
        <v>622</v>
      </c>
      <c r="AA39" s="36"/>
      <c r="AB39" s="164">
        <v>202400990</v>
      </c>
      <c r="AC39" s="55" t="s">
        <v>18</v>
      </c>
    </row>
    <row r="40" spans="1:29">
      <c r="A40" s="14">
        <v>45909</v>
      </c>
      <c r="B40" s="13" t="str">
        <f t="shared" si="3"/>
        <v>Realizada</v>
      </c>
      <c r="C40" s="14">
        <f t="shared" si="4"/>
        <v>46000</v>
      </c>
      <c r="D40" s="13" t="s">
        <v>611</v>
      </c>
      <c r="E40" s="14">
        <f t="shared" si="5"/>
        <v>46090</v>
      </c>
      <c r="F40" s="13" t="s">
        <v>611</v>
      </c>
      <c r="G40" s="40">
        <v>202400991</v>
      </c>
      <c r="H40" s="13" t="s">
        <v>843</v>
      </c>
      <c r="I40" s="13" t="s">
        <v>613</v>
      </c>
      <c r="J40" s="14">
        <v>45621</v>
      </c>
      <c r="K40" s="14">
        <v>45979</v>
      </c>
      <c r="L40" s="13" t="s">
        <v>812</v>
      </c>
      <c r="M40" s="13" t="s">
        <v>844</v>
      </c>
      <c r="N40" s="13" t="s">
        <v>845</v>
      </c>
      <c r="O40" s="17" t="s">
        <v>846</v>
      </c>
      <c r="P40" s="79" t="s">
        <v>301</v>
      </c>
      <c r="Q40" s="13" t="s">
        <v>618</v>
      </c>
      <c r="R40" s="13" t="str">
        <f>VLOOKUP(P40,'Dados das Regiões '!A:B,2,0)</f>
        <v>GUARAPUAVA</v>
      </c>
      <c r="S40" s="13" t="s">
        <v>847</v>
      </c>
      <c r="T40" s="13"/>
      <c r="U40" s="79" t="s">
        <v>817</v>
      </c>
      <c r="V40" s="13" t="s">
        <v>818</v>
      </c>
      <c r="W40" s="13" t="s">
        <v>819</v>
      </c>
      <c r="X40" s="15">
        <v>0.54166666666666663</v>
      </c>
      <c r="Y40" s="16" t="s">
        <v>848</v>
      </c>
      <c r="Z40" s="16" t="s">
        <v>622</v>
      </c>
      <c r="AA40" s="36"/>
      <c r="AB40" s="164">
        <v>202400991</v>
      </c>
      <c r="AC40" s="55" t="s">
        <v>11</v>
      </c>
    </row>
    <row r="41" spans="1:29">
      <c r="A41" s="14"/>
      <c r="B41" s="13" t="str">
        <f t="shared" si="3"/>
        <v>Pendente</v>
      </c>
      <c r="C41" s="14" t="str">
        <f t="shared" si="4"/>
        <v/>
      </c>
      <c r="D41" s="13" t="s">
        <v>611</v>
      </c>
      <c r="E41" s="14" t="str">
        <f t="shared" si="5"/>
        <v/>
      </c>
      <c r="F41" s="13" t="s">
        <v>611</v>
      </c>
      <c r="G41" s="40">
        <v>202400990</v>
      </c>
      <c r="H41" s="13" t="s">
        <v>849</v>
      </c>
      <c r="I41" s="13" t="s">
        <v>613</v>
      </c>
      <c r="J41" s="14">
        <v>45621</v>
      </c>
      <c r="K41" s="14">
        <v>45979</v>
      </c>
      <c r="L41" s="13" t="s">
        <v>835</v>
      </c>
      <c r="M41" s="13" t="s">
        <v>850</v>
      </c>
      <c r="N41" s="13" t="s">
        <v>851</v>
      </c>
      <c r="O41" s="17" t="s">
        <v>852</v>
      </c>
      <c r="P41" s="79" t="s">
        <v>185</v>
      </c>
      <c r="Q41" s="13" t="s">
        <v>618</v>
      </c>
      <c r="R41" s="13" t="str">
        <f>VLOOKUP(P41,'Dados das Regiões '!A:B,2,0)</f>
        <v>CASCAVEL</v>
      </c>
      <c r="S41" s="13" t="s">
        <v>853</v>
      </c>
      <c r="T41" s="13"/>
      <c r="U41" s="79" t="s">
        <v>854</v>
      </c>
      <c r="V41" s="13" t="s">
        <v>855</v>
      </c>
      <c r="W41" s="13" t="s">
        <v>856</v>
      </c>
      <c r="X41" s="15">
        <v>0.33333333333333331</v>
      </c>
      <c r="Y41" s="16" t="s">
        <v>648</v>
      </c>
      <c r="Z41" s="16" t="s">
        <v>622</v>
      </c>
      <c r="AA41" s="36"/>
      <c r="AB41" s="164">
        <v>202400990</v>
      </c>
      <c r="AC41" s="55" t="s">
        <v>18</v>
      </c>
    </row>
    <row r="42" spans="1:29">
      <c r="A42" s="14"/>
      <c r="B42" s="13" t="str">
        <f t="shared" si="3"/>
        <v>Pendente</v>
      </c>
      <c r="C42" s="14" t="str">
        <f t="shared" si="4"/>
        <v/>
      </c>
      <c r="D42" s="13" t="s">
        <v>611</v>
      </c>
      <c r="E42" s="14" t="str">
        <f t="shared" si="5"/>
        <v/>
      </c>
      <c r="F42" s="13" t="s">
        <v>611</v>
      </c>
      <c r="G42" s="40">
        <v>202400990</v>
      </c>
      <c r="H42" s="13" t="s">
        <v>857</v>
      </c>
      <c r="I42" s="13" t="s">
        <v>613</v>
      </c>
      <c r="J42" s="14">
        <v>45621</v>
      </c>
      <c r="K42" s="14">
        <v>45979</v>
      </c>
      <c r="L42" s="13" t="s">
        <v>835</v>
      </c>
      <c r="M42" s="13" t="s">
        <v>858</v>
      </c>
      <c r="N42" s="13" t="s">
        <v>859</v>
      </c>
      <c r="O42" s="17" t="s">
        <v>860</v>
      </c>
      <c r="P42" s="79" t="s">
        <v>185</v>
      </c>
      <c r="Q42" s="13" t="s">
        <v>618</v>
      </c>
      <c r="R42" s="13" t="str">
        <f>VLOOKUP(P42,'Dados das Regiões '!A:B,2,0)</f>
        <v>CASCAVEL</v>
      </c>
      <c r="S42" s="13" t="s">
        <v>853</v>
      </c>
      <c r="T42" s="13"/>
      <c r="U42" s="79" t="s">
        <v>854</v>
      </c>
      <c r="V42" s="13" t="s">
        <v>855</v>
      </c>
      <c r="W42" s="13" t="s">
        <v>856</v>
      </c>
      <c r="X42" s="15">
        <v>0.5625</v>
      </c>
      <c r="Y42" s="16" t="s">
        <v>680</v>
      </c>
      <c r="Z42" s="16" t="s">
        <v>622</v>
      </c>
      <c r="AA42" s="36"/>
      <c r="AB42" s="164">
        <v>202400990</v>
      </c>
      <c r="AC42" s="55" t="s">
        <v>18</v>
      </c>
    </row>
    <row r="43" spans="1:29">
      <c r="A43" s="14"/>
      <c r="B43" s="13" t="str">
        <f t="shared" si="3"/>
        <v>Pendente</v>
      </c>
      <c r="C43" s="14" t="str">
        <f t="shared" si="4"/>
        <v/>
      </c>
      <c r="D43" s="13" t="s">
        <v>611</v>
      </c>
      <c r="E43" s="14" t="str">
        <f t="shared" si="5"/>
        <v/>
      </c>
      <c r="F43" s="13" t="s">
        <v>611</v>
      </c>
      <c r="G43" s="40">
        <v>202401281</v>
      </c>
      <c r="H43" s="13" t="s">
        <v>861</v>
      </c>
      <c r="I43" s="13" t="s">
        <v>613</v>
      </c>
      <c r="J43" s="14">
        <v>45621</v>
      </c>
      <c r="K43" s="14">
        <v>45979</v>
      </c>
      <c r="L43" s="13" t="s">
        <v>682</v>
      </c>
      <c r="M43" s="13" t="s">
        <v>862</v>
      </c>
      <c r="N43" s="13" t="s">
        <v>863</v>
      </c>
      <c r="O43" s="17" t="s">
        <v>864</v>
      </c>
      <c r="P43" s="79" t="s">
        <v>326</v>
      </c>
      <c r="Q43" s="13" t="s">
        <v>618</v>
      </c>
      <c r="R43" s="13" t="str">
        <f>VLOOKUP(P43,'Dados das Regiões '!A:B,2,0)</f>
        <v>JACAREZINHO</v>
      </c>
      <c r="S43" s="13" t="s">
        <v>865</v>
      </c>
      <c r="T43" s="13"/>
      <c r="U43" s="79" t="s">
        <v>866</v>
      </c>
      <c r="V43" s="13" t="s">
        <v>867</v>
      </c>
      <c r="W43" s="13" t="s">
        <v>868</v>
      </c>
      <c r="X43" s="15">
        <v>0.5625</v>
      </c>
      <c r="Y43" s="16" t="s">
        <v>680</v>
      </c>
      <c r="Z43" s="16" t="s">
        <v>622</v>
      </c>
      <c r="AA43" s="36"/>
      <c r="AB43" s="164">
        <v>202401281</v>
      </c>
      <c r="AC43" s="55" t="s">
        <v>7</v>
      </c>
    </row>
    <row r="44" spans="1:29">
      <c r="A44" s="14"/>
      <c r="B44" s="13" t="str">
        <f t="shared" si="3"/>
        <v>Pendente</v>
      </c>
      <c r="C44" s="14" t="str">
        <f t="shared" si="4"/>
        <v/>
      </c>
      <c r="D44" s="13" t="s">
        <v>611</v>
      </c>
      <c r="E44" s="14" t="str">
        <f t="shared" si="5"/>
        <v/>
      </c>
      <c r="F44" s="13" t="s">
        <v>611</v>
      </c>
      <c r="G44" s="40">
        <v>202400990</v>
      </c>
      <c r="H44" s="13" t="s">
        <v>869</v>
      </c>
      <c r="I44" s="13" t="s">
        <v>613</v>
      </c>
      <c r="J44" s="14">
        <v>45621</v>
      </c>
      <c r="K44" s="14">
        <v>45979</v>
      </c>
      <c r="L44" s="13" t="s">
        <v>835</v>
      </c>
      <c r="M44" s="13" t="s">
        <v>858</v>
      </c>
      <c r="N44" s="13" t="s">
        <v>859</v>
      </c>
      <c r="O44" s="17" t="s">
        <v>860</v>
      </c>
      <c r="P44" s="79" t="s">
        <v>185</v>
      </c>
      <c r="Q44" s="13" t="s">
        <v>618</v>
      </c>
      <c r="R44" s="13" t="str">
        <f>VLOOKUP(P44,'Dados das Regiões '!A:B,2,0)</f>
        <v>CASCAVEL</v>
      </c>
      <c r="S44" s="13" t="s">
        <v>853</v>
      </c>
      <c r="T44" s="13"/>
      <c r="U44" s="79" t="s">
        <v>854</v>
      </c>
      <c r="V44" s="13" t="s">
        <v>855</v>
      </c>
      <c r="W44" s="13" t="s">
        <v>856</v>
      </c>
      <c r="X44" s="15">
        <v>0.5625</v>
      </c>
      <c r="Y44" s="16" t="s">
        <v>680</v>
      </c>
      <c r="Z44" s="16" t="s">
        <v>622</v>
      </c>
      <c r="AA44" s="36"/>
      <c r="AB44" s="164">
        <v>202400990</v>
      </c>
      <c r="AC44" s="55" t="s">
        <v>18</v>
      </c>
    </row>
    <row r="45" spans="1:29">
      <c r="A45" s="14"/>
      <c r="B45" s="13" t="str">
        <f t="shared" si="3"/>
        <v>Pendente</v>
      </c>
      <c r="C45" s="14" t="str">
        <f t="shared" si="4"/>
        <v/>
      </c>
      <c r="D45" s="13" t="s">
        <v>611</v>
      </c>
      <c r="E45" s="14" t="str">
        <f t="shared" si="5"/>
        <v/>
      </c>
      <c r="F45" s="13" t="s">
        <v>611</v>
      </c>
      <c r="G45" s="40">
        <v>202400990</v>
      </c>
      <c r="H45" s="13" t="s">
        <v>870</v>
      </c>
      <c r="I45" s="13" t="s">
        <v>613</v>
      </c>
      <c r="J45" s="14">
        <v>45621</v>
      </c>
      <c r="K45" s="14">
        <v>45979</v>
      </c>
      <c r="L45" s="13" t="s">
        <v>835</v>
      </c>
      <c r="M45" s="13" t="s">
        <v>871</v>
      </c>
      <c r="N45" s="13" t="s">
        <v>872</v>
      </c>
      <c r="O45" s="17" t="s">
        <v>873</v>
      </c>
      <c r="P45" s="79" t="s">
        <v>179</v>
      </c>
      <c r="Q45" s="13" t="s">
        <v>618</v>
      </c>
      <c r="R45" s="13" t="str">
        <f>VLOOKUP(P45,'Dados das Regiões '!A:B,2,0)</f>
        <v>CASCAVEL</v>
      </c>
      <c r="S45" s="13" t="s">
        <v>874</v>
      </c>
      <c r="T45" s="13"/>
      <c r="U45" s="79" t="s">
        <v>875</v>
      </c>
      <c r="V45" s="13" t="s">
        <v>876</v>
      </c>
      <c r="W45" s="13" t="s">
        <v>877</v>
      </c>
      <c r="X45" s="15">
        <v>0.33333333333333331</v>
      </c>
      <c r="Y45" s="16" t="s">
        <v>648</v>
      </c>
      <c r="Z45" s="16" t="s">
        <v>622</v>
      </c>
      <c r="AA45" s="36"/>
      <c r="AB45" s="164">
        <v>202400990</v>
      </c>
      <c r="AC45" s="55" t="s">
        <v>18</v>
      </c>
    </row>
    <row r="46" spans="1:29">
      <c r="A46" s="14"/>
      <c r="B46" s="13" t="str">
        <f t="shared" si="3"/>
        <v>Pendente</v>
      </c>
      <c r="C46" s="14" t="str">
        <f t="shared" si="4"/>
        <v/>
      </c>
      <c r="D46" s="13" t="s">
        <v>611</v>
      </c>
      <c r="E46" s="14" t="str">
        <f t="shared" si="5"/>
        <v/>
      </c>
      <c r="F46" s="13" t="s">
        <v>611</v>
      </c>
      <c r="G46" s="40">
        <v>202400990</v>
      </c>
      <c r="H46" s="13" t="s">
        <v>878</v>
      </c>
      <c r="I46" s="13" t="s">
        <v>613</v>
      </c>
      <c r="J46" s="14">
        <v>45621</v>
      </c>
      <c r="K46" s="14">
        <v>45979</v>
      </c>
      <c r="L46" s="13" t="s">
        <v>835</v>
      </c>
      <c r="M46" s="13" t="s">
        <v>871</v>
      </c>
      <c r="N46" s="13" t="s">
        <v>872</v>
      </c>
      <c r="O46" s="17" t="s">
        <v>873</v>
      </c>
      <c r="P46" s="79" t="s">
        <v>179</v>
      </c>
      <c r="Q46" s="13" t="s">
        <v>618</v>
      </c>
      <c r="R46" s="13" t="str">
        <f>VLOOKUP(P46,'Dados das Regiões '!A:B,2,0)</f>
        <v>CASCAVEL</v>
      </c>
      <c r="S46" s="13" t="s">
        <v>874</v>
      </c>
      <c r="T46" s="13"/>
      <c r="U46" s="79" t="s">
        <v>875</v>
      </c>
      <c r="V46" s="13" t="s">
        <v>876</v>
      </c>
      <c r="W46" s="13" t="s">
        <v>877</v>
      </c>
      <c r="X46" s="15">
        <v>0.5625</v>
      </c>
      <c r="Y46" s="16" t="s">
        <v>680</v>
      </c>
      <c r="Z46" s="16" t="s">
        <v>622</v>
      </c>
      <c r="AA46" s="36"/>
      <c r="AB46" s="164">
        <v>202400990</v>
      </c>
      <c r="AC46" s="55" t="s">
        <v>18</v>
      </c>
    </row>
    <row r="47" spans="1:29">
      <c r="A47" s="14">
        <v>45932</v>
      </c>
      <c r="B47" s="13" t="str">
        <f t="shared" si="3"/>
        <v>Realizada</v>
      </c>
      <c r="C47" s="14">
        <f t="shared" si="4"/>
        <v>46024</v>
      </c>
      <c r="D47" s="13" t="s">
        <v>611</v>
      </c>
      <c r="E47" s="14">
        <f t="shared" si="5"/>
        <v>46114</v>
      </c>
      <c r="F47" s="13" t="s">
        <v>611</v>
      </c>
      <c r="G47" s="40">
        <v>202400991</v>
      </c>
      <c r="H47" s="13" t="s">
        <v>879</v>
      </c>
      <c r="I47" s="13" t="s">
        <v>613</v>
      </c>
      <c r="J47" s="14">
        <v>45621</v>
      </c>
      <c r="K47" s="14">
        <v>45979</v>
      </c>
      <c r="L47" s="13" t="s">
        <v>812</v>
      </c>
      <c r="M47" s="13" t="s">
        <v>880</v>
      </c>
      <c r="N47" s="13" t="s">
        <v>881</v>
      </c>
      <c r="O47" s="17" t="s">
        <v>882</v>
      </c>
      <c r="P47" s="79" t="s">
        <v>298</v>
      </c>
      <c r="Q47" s="13" t="s">
        <v>618</v>
      </c>
      <c r="R47" s="13" t="str">
        <f>VLOOKUP(P47,'Dados das Regiões '!A:B,2,0)</f>
        <v>GUARAPUAVA</v>
      </c>
      <c r="S47" s="13" t="s">
        <v>883</v>
      </c>
      <c r="T47" s="13"/>
      <c r="U47" s="79" t="s">
        <v>884</v>
      </c>
      <c r="V47" s="13" t="s">
        <v>885</v>
      </c>
      <c r="W47" s="13" t="s">
        <v>886</v>
      </c>
      <c r="X47" s="15">
        <v>0.54166666666666663</v>
      </c>
      <c r="Y47" s="16" t="s">
        <v>848</v>
      </c>
      <c r="Z47" s="16" t="s">
        <v>622</v>
      </c>
      <c r="AA47" s="36"/>
      <c r="AB47" s="164">
        <v>202400991</v>
      </c>
      <c r="AC47" s="55" t="s">
        <v>11</v>
      </c>
    </row>
    <row r="48" spans="1:29">
      <c r="A48" s="14"/>
      <c r="B48" s="13" t="str">
        <f t="shared" si="3"/>
        <v>Pendente</v>
      </c>
      <c r="C48" s="14" t="str">
        <f t="shared" si="4"/>
        <v/>
      </c>
      <c r="D48" s="13" t="s">
        <v>611</v>
      </c>
      <c r="E48" s="14" t="str">
        <f t="shared" si="5"/>
        <v/>
      </c>
      <c r="F48" s="13" t="s">
        <v>611</v>
      </c>
      <c r="G48" s="40">
        <v>202400990</v>
      </c>
      <c r="H48" s="13" t="s">
        <v>887</v>
      </c>
      <c r="I48" s="13" t="s">
        <v>613</v>
      </c>
      <c r="J48" s="14">
        <v>45621</v>
      </c>
      <c r="K48" s="14">
        <v>45979</v>
      </c>
      <c r="L48" s="13" t="s">
        <v>835</v>
      </c>
      <c r="M48" s="13" t="s">
        <v>850</v>
      </c>
      <c r="N48" s="13" t="s">
        <v>851</v>
      </c>
      <c r="O48" s="17" t="s">
        <v>852</v>
      </c>
      <c r="P48" s="79" t="s">
        <v>185</v>
      </c>
      <c r="Q48" s="13" t="s">
        <v>618</v>
      </c>
      <c r="R48" s="13" t="str">
        <f>VLOOKUP(P48,'Dados das Regiões '!A:B,2,0)</f>
        <v>CASCAVEL</v>
      </c>
      <c r="S48" s="13" t="s">
        <v>853</v>
      </c>
      <c r="T48" s="13"/>
      <c r="U48" s="79" t="s">
        <v>854</v>
      </c>
      <c r="V48" s="13" t="s">
        <v>855</v>
      </c>
      <c r="W48" s="13" t="s">
        <v>856</v>
      </c>
      <c r="X48" s="15">
        <v>0.5625</v>
      </c>
      <c r="Y48" s="16" t="s">
        <v>680</v>
      </c>
      <c r="Z48" s="16" t="s">
        <v>622</v>
      </c>
      <c r="AA48" s="36"/>
      <c r="AB48" s="164">
        <v>202400990</v>
      </c>
      <c r="AC48" s="55" t="s">
        <v>18</v>
      </c>
    </row>
    <row r="49" spans="1:29">
      <c r="A49" s="14"/>
      <c r="B49" s="13" t="str">
        <f t="shared" si="3"/>
        <v>Pendente</v>
      </c>
      <c r="C49" s="14" t="str">
        <f t="shared" si="4"/>
        <v/>
      </c>
      <c r="D49" s="13" t="s">
        <v>611</v>
      </c>
      <c r="E49" s="14" t="str">
        <f t="shared" si="5"/>
        <v/>
      </c>
      <c r="F49" s="13" t="s">
        <v>611</v>
      </c>
      <c r="G49" s="40">
        <v>202401281</v>
      </c>
      <c r="H49" s="13" t="s">
        <v>888</v>
      </c>
      <c r="I49" s="13" t="s">
        <v>613</v>
      </c>
      <c r="J49" s="14">
        <v>45621</v>
      </c>
      <c r="K49" s="14">
        <v>45979</v>
      </c>
      <c r="L49" s="13" t="s">
        <v>632</v>
      </c>
      <c r="M49" s="13" t="s">
        <v>889</v>
      </c>
      <c r="N49" s="13" t="s">
        <v>890</v>
      </c>
      <c r="O49" s="17" t="s">
        <v>891</v>
      </c>
      <c r="P49" s="79" t="s">
        <v>375</v>
      </c>
      <c r="Q49" s="13" t="s">
        <v>618</v>
      </c>
      <c r="R49" s="13" t="str">
        <f>VLOOKUP(P49,'Dados das Regiões '!A:B,2,0)</f>
        <v>MARINGÁ</v>
      </c>
      <c r="S49" s="13" t="s">
        <v>892</v>
      </c>
      <c r="T49" s="13"/>
      <c r="U49" s="79" t="s">
        <v>893</v>
      </c>
      <c r="V49" s="13" t="s">
        <v>893</v>
      </c>
      <c r="W49" s="13" t="s">
        <v>894</v>
      </c>
      <c r="X49" s="15">
        <v>0.33333333333333331</v>
      </c>
      <c r="Y49" s="16" t="s">
        <v>648</v>
      </c>
      <c r="Z49" s="16" t="s">
        <v>622</v>
      </c>
      <c r="AA49" s="36"/>
      <c r="AB49" s="164">
        <v>202401281</v>
      </c>
      <c r="AC49" s="55" t="s">
        <v>7</v>
      </c>
    </row>
    <row r="50" spans="1:29">
      <c r="A50" s="14"/>
      <c r="B50" s="13" t="str">
        <f t="shared" si="3"/>
        <v>Pendente</v>
      </c>
      <c r="C50" s="14" t="str">
        <f t="shared" si="4"/>
        <v/>
      </c>
      <c r="D50" s="13" t="s">
        <v>611</v>
      </c>
      <c r="E50" s="14" t="str">
        <f t="shared" si="5"/>
        <v/>
      </c>
      <c r="F50" s="13" t="s">
        <v>611</v>
      </c>
      <c r="G50" s="40">
        <v>202400990</v>
      </c>
      <c r="H50" s="13" t="s">
        <v>895</v>
      </c>
      <c r="I50" s="13" t="s">
        <v>613</v>
      </c>
      <c r="J50" s="14">
        <v>45621</v>
      </c>
      <c r="K50" s="14">
        <v>45979</v>
      </c>
      <c r="L50" s="13" t="s">
        <v>672</v>
      </c>
      <c r="M50" s="13" t="s">
        <v>896</v>
      </c>
      <c r="N50" s="13" t="s">
        <v>897</v>
      </c>
      <c r="O50" s="17" t="s">
        <v>898</v>
      </c>
      <c r="P50" s="79" t="s">
        <v>53</v>
      </c>
      <c r="Q50" s="13" t="s">
        <v>618</v>
      </c>
      <c r="R50" s="13" t="str">
        <f>VLOOKUP(P50,'Dados das Regiões '!A:B,2,0)</f>
        <v>GOIOERÊ</v>
      </c>
      <c r="S50" s="13" t="s">
        <v>899</v>
      </c>
      <c r="T50" s="13"/>
      <c r="U50" s="79" t="s">
        <v>900</v>
      </c>
      <c r="V50" s="13" t="s">
        <v>901</v>
      </c>
      <c r="W50" s="13" t="s">
        <v>902</v>
      </c>
      <c r="X50" s="15">
        <v>0.5625</v>
      </c>
      <c r="Y50" s="16" t="s">
        <v>680</v>
      </c>
      <c r="Z50" s="16" t="s">
        <v>622</v>
      </c>
      <c r="AA50" s="36"/>
      <c r="AB50" s="164">
        <v>202400990</v>
      </c>
      <c r="AC50" s="55" t="s">
        <v>18</v>
      </c>
    </row>
    <row r="51" spans="1:29">
      <c r="A51" s="14"/>
      <c r="B51" s="13" t="str">
        <f t="shared" si="3"/>
        <v>Pendente</v>
      </c>
      <c r="C51" s="14" t="str">
        <f t="shared" si="4"/>
        <v/>
      </c>
      <c r="D51" s="13" t="s">
        <v>611</v>
      </c>
      <c r="E51" s="14" t="str">
        <f t="shared" si="5"/>
        <v/>
      </c>
      <c r="F51" s="13" t="s">
        <v>611</v>
      </c>
      <c r="G51" s="40">
        <v>202400991</v>
      </c>
      <c r="H51" s="13" t="s">
        <v>903</v>
      </c>
      <c r="I51" s="13" t="s">
        <v>613</v>
      </c>
      <c r="J51" s="14">
        <v>45621</v>
      </c>
      <c r="K51" s="14">
        <v>45979</v>
      </c>
      <c r="L51" s="13" t="s">
        <v>657</v>
      </c>
      <c r="M51" s="13" t="s">
        <v>904</v>
      </c>
      <c r="N51" s="13" t="s">
        <v>905</v>
      </c>
      <c r="O51" s="17" t="s">
        <v>906</v>
      </c>
      <c r="P51" s="189" t="s">
        <v>298</v>
      </c>
      <c r="Q51" s="13" t="s">
        <v>618</v>
      </c>
      <c r="R51" s="13" t="str">
        <f>VLOOKUP(P51,'Dados das Regiões '!A:B,2,0)</f>
        <v>GUARAPUAVA</v>
      </c>
      <c r="S51" s="13" t="s">
        <v>907</v>
      </c>
      <c r="T51" s="13"/>
      <c r="U51" s="79"/>
      <c r="V51" s="13" t="s">
        <v>908</v>
      </c>
      <c r="W51" s="13" t="s">
        <v>909</v>
      </c>
      <c r="X51" s="15">
        <v>0.5625</v>
      </c>
      <c r="Y51" s="16" t="s">
        <v>680</v>
      </c>
      <c r="Z51" s="16" t="s">
        <v>622</v>
      </c>
      <c r="AA51" s="36"/>
      <c r="AB51" s="164">
        <v>202400991</v>
      </c>
      <c r="AC51" s="55" t="s">
        <v>11</v>
      </c>
    </row>
    <row r="52" spans="1:29">
      <c r="A52" s="14">
        <v>45932</v>
      </c>
      <c r="B52" s="13" t="str">
        <f t="shared" si="3"/>
        <v>Realizada</v>
      </c>
      <c r="C52" s="14">
        <f t="shared" si="4"/>
        <v>46024</v>
      </c>
      <c r="D52" s="13" t="s">
        <v>611</v>
      </c>
      <c r="E52" s="14">
        <f t="shared" si="5"/>
        <v>46114</v>
      </c>
      <c r="F52" s="13" t="s">
        <v>611</v>
      </c>
      <c r="G52" s="40">
        <v>202400991</v>
      </c>
      <c r="H52" s="13" t="s">
        <v>910</v>
      </c>
      <c r="I52" s="13" t="s">
        <v>613</v>
      </c>
      <c r="J52" s="14">
        <v>45621</v>
      </c>
      <c r="K52" s="14">
        <v>45979</v>
      </c>
      <c r="L52" s="13" t="s">
        <v>812</v>
      </c>
      <c r="M52" s="13" t="s">
        <v>911</v>
      </c>
      <c r="N52" s="13" t="s">
        <v>912</v>
      </c>
      <c r="O52" s="17" t="s">
        <v>913</v>
      </c>
      <c r="P52" s="79" t="s">
        <v>298</v>
      </c>
      <c r="Q52" s="13" t="s">
        <v>618</v>
      </c>
      <c r="R52" s="13" t="str">
        <f>VLOOKUP(P52,'Dados das Regiões '!A:B,2,0)</f>
        <v>GUARAPUAVA</v>
      </c>
      <c r="S52" s="13" t="s">
        <v>914</v>
      </c>
      <c r="T52" s="13"/>
      <c r="U52" s="79" t="s">
        <v>884</v>
      </c>
      <c r="V52" s="13" t="s">
        <v>915</v>
      </c>
      <c r="W52" s="13" t="s">
        <v>916</v>
      </c>
      <c r="X52" s="15">
        <v>0.54166666666666663</v>
      </c>
      <c r="Y52" s="16" t="s">
        <v>848</v>
      </c>
      <c r="Z52" s="16" t="s">
        <v>622</v>
      </c>
      <c r="AA52" s="36"/>
      <c r="AB52" s="164">
        <v>202400991</v>
      </c>
      <c r="AC52" s="55" t="s">
        <v>11</v>
      </c>
    </row>
    <row r="53" spans="1:29">
      <c r="A53" s="14">
        <v>45881</v>
      </c>
      <c r="B53" s="13" t="str">
        <f t="shared" si="3"/>
        <v>Realizada</v>
      </c>
      <c r="C53" s="14">
        <f t="shared" si="4"/>
        <v>45973</v>
      </c>
      <c r="D53" s="13" t="s">
        <v>611</v>
      </c>
      <c r="E53" s="14">
        <f t="shared" si="5"/>
        <v>46065</v>
      </c>
      <c r="F53" s="13" t="s">
        <v>611</v>
      </c>
      <c r="G53" s="40">
        <v>202400990</v>
      </c>
      <c r="H53" s="13" t="s">
        <v>917</v>
      </c>
      <c r="I53" s="13" t="s">
        <v>613</v>
      </c>
      <c r="J53" s="14">
        <v>45621</v>
      </c>
      <c r="K53" s="14">
        <v>45979</v>
      </c>
      <c r="L53" s="13" t="s">
        <v>672</v>
      </c>
      <c r="M53" s="13" t="s">
        <v>918</v>
      </c>
      <c r="N53" s="13" t="s">
        <v>919</v>
      </c>
      <c r="O53" s="17" t="s">
        <v>920</v>
      </c>
      <c r="P53" s="79" t="s">
        <v>286</v>
      </c>
      <c r="Q53" s="13" t="s">
        <v>618</v>
      </c>
      <c r="R53" s="13" t="str">
        <f>VLOOKUP(P53,'Dados das Regiões '!A:B,2,0)</f>
        <v>GUARAPUAVA</v>
      </c>
      <c r="S53" s="13" t="s">
        <v>921</v>
      </c>
      <c r="T53" s="13"/>
      <c r="U53" s="79" t="s">
        <v>922</v>
      </c>
      <c r="V53" s="13" t="s">
        <v>923</v>
      </c>
      <c r="W53" s="13" t="s">
        <v>924</v>
      </c>
      <c r="X53" s="15">
        <v>0.3125</v>
      </c>
      <c r="Y53" s="16" t="s">
        <v>796</v>
      </c>
      <c r="Z53" s="16" t="s">
        <v>622</v>
      </c>
      <c r="AA53" s="36"/>
      <c r="AB53" s="164">
        <v>202400990</v>
      </c>
      <c r="AC53" s="55" t="s">
        <v>18</v>
      </c>
    </row>
    <row r="54" spans="1:29">
      <c r="A54" s="14"/>
      <c r="B54" s="13" t="str">
        <f t="shared" si="3"/>
        <v>Pendente</v>
      </c>
      <c r="C54" s="14" t="str">
        <f t="shared" si="4"/>
        <v/>
      </c>
      <c r="D54" s="13" t="s">
        <v>611</v>
      </c>
      <c r="E54" s="14" t="str">
        <f t="shared" si="5"/>
        <v/>
      </c>
      <c r="F54" s="13" t="s">
        <v>611</v>
      </c>
      <c r="G54" s="40">
        <v>202400991</v>
      </c>
      <c r="H54" s="13" t="s">
        <v>925</v>
      </c>
      <c r="I54" s="13" t="s">
        <v>613</v>
      </c>
      <c r="J54" s="14">
        <v>45621</v>
      </c>
      <c r="K54" s="14">
        <v>45979</v>
      </c>
      <c r="L54" s="13" t="s">
        <v>657</v>
      </c>
      <c r="M54" s="13" t="s">
        <v>904</v>
      </c>
      <c r="N54" s="13" t="s">
        <v>905</v>
      </c>
      <c r="O54" s="17" t="s">
        <v>906</v>
      </c>
      <c r="P54" s="189" t="s">
        <v>298</v>
      </c>
      <c r="Q54" s="13" t="s">
        <v>618</v>
      </c>
      <c r="R54" s="13" t="str">
        <f>VLOOKUP(P54,'Dados das Regiões '!A:B,2,0)</f>
        <v>GUARAPUAVA</v>
      </c>
      <c r="S54" s="13" t="s">
        <v>907</v>
      </c>
      <c r="T54" s="13"/>
      <c r="U54" s="79"/>
      <c r="V54" s="13" t="s">
        <v>908</v>
      </c>
      <c r="W54" s="13" t="s">
        <v>909</v>
      </c>
      <c r="X54" s="15">
        <v>0.5625</v>
      </c>
      <c r="Y54" s="16" t="s">
        <v>926</v>
      </c>
      <c r="Z54" s="16" t="s">
        <v>622</v>
      </c>
      <c r="AA54" s="36"/>
      <c r="AB54" s="164">
        <v>202400991</v>
      </c>
      <c r="AC54" s="55" t="s">
        <v>11</v>
      </c>
    </row>
    <row r="55" spans="1:29">
      <c r="A55" s="14"/>
      <c r="B55" s="13" t="str">
        <f t="shared" si="3"/>
        <v>Pendente</v>
      </c>
      <c r="C55" s="14" t="str">
        <f t="shared" si="4"/>
        <v/>
      </c>
      <c r="D55" s="13" t="s">
        <v>611</v>
      </c>
      <c r="E55" s="14" t="str">
        <f t="shared" si="5"/>
        <v/>
      </c>
      <c r="F55" s="13" t="s">
        <v>611</v>
      </c>
      <c r="G55" s="40">
        <v>202401281</v>
      </c>
      <c r="H55" s="13" t="s">
        <v>927</v>
      </c>
      <c r="I55" s="13" t="s">
        <v>613</v>
      </c>
      <c r="J55" s="14">
        <v>45621</v>
      </c>
      <c r="K55" s="14">
        <v>45979</v>
      </c>
      <c r="L55" s="13" t="s">
        <v>632</v>
      </c>
      <c r="M55" s="13" t="s">
        <v>928</v>
      </c>
      <c r="N55" s="13" t="s">
        <v>929</v>
      </c>
      <c r="O55" s="17" t="s">
        <v>930</v>
      </c>
      <c r="P55" s="79" t="s">
        <v>401</v>
      </c>
      <c r="Q55" s="13" t="s">
        <v>618</v>
      </c>
      <c r="R55" s="13" t="str">
        <f>VLOOKUP(P55,'Dados das Regiões '!A:B,2,0)</f>
        <v>NOVA LONDRINA</v>
      </c>
      <c r="S55" s="13" t="s">
        <v>931</v>
      </c>
      <c r="T55" s="13"/>
      <c r="U55" s="79" t="s">
        <v>932</v>
      </c>
      <c r="V55" s="13" t="s">
        <v>933</v>
      </c>
      <c r="W55" s="13" t="s">
        <v>934</v>
      </c>
      <c r="X55" s="15">
        <v>0.33333333333333331</v>
      </c>
      <c r="Y55" s="16" t="s">
        <v>648</v>
      </c>
      <c r="Z55" s="16" t="s">
        <v>622</v>
      </c>
      <c r="AA55" s="36"/>
      <c r="AB55" s="164">
        <v>202401281</v>
      </c>
      <c r="AC55" s="55" t="s">
        <v>7</v>
      </c>
    </row>
    <row r="56" spans="1:29">
      <c r="A56" s="14">
        <v>45881</v>
      </c>
      <c r="B56" s="13" t="str">
        <f t="shared" si="3"/>
        <v>Realizada</v>
      </c>
      <c r="C56" s="14">
        <v>45967</v>
      </c>
      <c r="D56" s="13" t="s">
        <v>611</v>
      </c>
      <c r="E56" s="14">
        <f t="shared" si="5"/>
        <v>46059</v>
      </c>
      <c r="F56" s="13" t="s">
        <v>611</v>
      </c>
      <c r="G56" s="40">
        <v>202400990</v>
      </c>
      <c r="H56" s="13" t="s">
        <v>935</v>
      </c>
      <c r="I56" s="13" t="s">
        <v>613</v>
      </c>
      <c r="J56" s="14">
        <v>45621</v>
      </c>
      <c r="K56" s="14">
        <v>45979</v>
      </c>
      <c r="L56" s="13" t="s">
        <v>672</v>
      </c>
      <c r="M56" s="13" t="s">
        <v>918</v>
      </c>
      <c r="N56" s="13" t="s">
        <v>919</v>
      </c>
      <c r="O56" s="17" t="s">
        <v>920</v>
      </c>
      <c r="P56" s="79" t="s">
        <v>286</v>
      </c>
      <c r="Q56" s="13" t="s">
        <v>618</v>
      </c>
      <c r="R56" s="13" t="str">
        <f>VLOOKUP(P56,'Dados das Regiões '!A:B,2,0)</f>
        <v>GUARAPUAVA</v>
      </c>
      <c r="S56" s="13" t="s">
        <v>921</v>
      </c>
      <c r="T56" s="13"/>
      <c r="U56" s="79" t="s">
        <v>922</v>
      </c>
      <c r="V56" s="13" t="s">
        <v>923</v>
      </c>
      <c r="W56" s="13" t="s">
        <v>924</v>
      </c>
      <c r="X56" s="15">
        <v>0.5625</v>
      </c>
      <c r="Y56" s="16" t="s">
        <v>936</v>
      </c>
      <c r="Z56" s="16" t="s">
        <v>622</v>
      </c>
      <c r="AA56" s="36"/>
      <c r="AB56" s="164">
        <v>202400990</v>
      </c>
      <c r="AC56" s="55" t="s">
        <v>18</v>
      </c>
    </row>
    <row r="57" spans="1:29">
      <c r="A57" s="14"/>
      <c r="B57" s="13" t="str">
        <f t="shared" si="3"/>
        <v>Pendente</v>
      </c>
      <c r="C57" s="14" t="str">
        <f t="shared" ref="C57:C96" si="6">IF(A57="", "", EDATE(A57, 3))</f>
        <v/>
      </c>
      <c r="D57" s="13" t="s">
        <v>611</v>
      </c>
      <c r="E57" s="14" t="str">
        <f t="shared" si="5"/>
        <v/>
      </c>
      <c r="F57" s="13" t="s">
        <v>611</v>
      </c>
      <c r="G57" s="40">
        <v>202400990</v>
      </c>
      <c r="H57" s="13" t="s">
        <v>937</v>
      </c>
      <c r="I57" s="13" t="s">
        <v>613</v>
      </c>
      <c r="J57" s="14">
        <v>45621</v>
      </c>
      <c r="K57" s="14">
        <v>45979</v>
      </c>
      <c r="L57" s="13" t="s">
        <v>672</v>
      </c>
      <c r="M57" s="13" t="s">
        <v>938</v>
      </c>
      <c r="N57" s="13" t="s">
        <v>939</v>
      </c>
      <c r="O57" s="17" t="s">
        <v>940</v>
      </c>
      <c r="P57" s="79" t="s">
        <v>311</v>
      </c>
      <c r="Q57" s="13" t="s">
        <v>618</v>
      </c>
      <c r="R57" s="13" t="str">
        <f>VLOOKUP(P57,'Dados das Regiões '!A:B,2,0)</f>
        <v>IVAIPORÃ</v>
      </c>
      <c r="S57" s="13" t="s">
        <v>941</v>
      </c>
      <c r="T57" s="13"/>
      <c r="U57" s="79" t="s">
        <v>942</v>
      </c>
      <c r="V57" s="13" t="s">
        <v>943</v>
      </c>
      <c r="W57" s="13" t="s">
        <v>944</v>
      </c>
      <c r="X57" s="15">
        <v>0.64583333333333337</v>
      </c>
      <c r="Y57" s="16" t="s">
        <v>698</v>
      </c>
      <c r="Z57" s="16" t="s">
        <v>622</v>
      </c>
      <c r="AA57" s="36"/>
      <c r="AB57" s="164">
        <v>202400990</v>
      </c>
      <c r="AC57" s="55" t="s">
        <v>18</v>
      </c>
    </row>
    <row r="58" spans="1:29">
      <c r="A58" s="14">
        <v>45897</v>
      </c>
      <c r="B58" s="13" t="str">
        <f t="shared" si="3"/>
        <v>Realizada</v>
      </c>
      <c r="C58" s="14">
        <f t="shared" si="6"/>
        <v>45989</v>
      </c>
      <c r="D58" s="13" t="s">
        <v>611</v>
      </c>
      <c r="E58" s="14">
        <f t="shared" si="5"/>
        <v>46081</v>
      </c>
      <c r="F58" s="13" t="s">
        <v>611</v>
      </c>
      <c r="G58" s="40">
        <v>202400991</v>
      </c>
      <c r="H58" s="13" t="s">
        <v>945</v>
      </c>
      <c r="I58" s="13" t="s">
        <v>613</v>
      </c>
      <c r="J58" s="14">
        <v>45621</v>
      </c>
      <c r="K58" s="14">
        <v>45979</v>
      </c>
      <c r="L58" s="13" t="s">
        <v>812</v>
      </c>
      <c r="M58" s="13" t="s">
        <v>946</v>
      </c>
      <c r="N58" s="13" t="s">
        <v>947</v>
      </c>
      <c r="O58" s="17" t="s">
        <v>948</v>
      </c>
      <c r="P58" s="79" t="s">
        <v>296</v>
      </c>
      <c r="Q58" s="13" t="s">
        <v>618</v>
      </c>
      <c r="R58" s="13" t="str">
        <f>VLOOKUP(P58,'Dados das Regiões '!A:B,2,0)</f>
        <v>GUARAPUAVA</v>
      </c>
      <c r="S58" s="13" t="s">
        <v>949</v>
      </c>
      <c r="T58" s="13"/>
      <c r="U58" s="79" t="s">
        <v>950</v>
      </c>
      <c r="V58" s="13" t="s">
        <v>951</v>
      </c>
      <c r="W58" s="13" t="s">
        <v>952</v>
      </c>
      <c r="X58" s="15">
        <v>0.54166666666666663</v>
      </c>
      <c r="Y58" s="16" t="s">
        <v>953</v>
      </c>
      <c r="Z58" s="16" t="s">
        <v>622</v>
      </c>
      <c r="AA58" s="36"/>
      <c r="AB58" s="164">
        <v>202400991</v>
      </c>
      <c r="AC58" s="55" t="s">
        <v>11</v>
      </c>
    </row>
    <row r="59" spans="1:29">
      <c r="A59" s="14"/>
      <c r="B59" s="13" t="str">
        <f t="shared" si="3"/>
        <v>Pendente</v>
      </c>
      <c r="C59" s="14" t="str">
        <f t="shared" si="6"/>
        <v/>
      </c>
      <c r="D59" s="13" t="s">
        <v>611</v>
      </c>
      <c r="E59" s="14" t="str">
        <f t="shared" si="5"/>
        <v/>
      </c>
      <c r="F59" s="13" t="s">
        <v>611</v>
      </c>
      <c r="G59" s="40">
        <v>202401281</v>
      </c>
      <c r="H59" s="13" t="s">
        <v>954</v>
      </c>
      <c r="I59" s="13" t="s">
        <v>613</v>
      </c>
      <c r="J59" s="14">
        <v>45621</v>
      </c>
      <c r="K59" s="14">
        <v>45979</v>
      </c>
      <c r="L59" s="13" t="s">
        <v>632</v>
      </c>
      <c r="M59" s="13" t="s">
        <v>955</v>
      </c>
      <c r="N59" s="13" t="s">
        <v>956</v>
      </c>
      <c r="O59" s="17" t="s">
        <v>957</v>
      </c>
      <c r="P59" s="79" t="s">
        <v>333</v>
      </c>
      <c r="Q59" s="13" t="s">
        <v>618</v>
      </c>
      <c r="R59" s="13" t="str">
        <f>VLOOKUP(P59,'Dados das Regiões '!A:B,2,0)</f>
        <v>LONDRINA CENTRO</v>
      </c>
      <c r="S59" s="13" t="s">
        <v>958</v>
      </c>
      <c r="T59" s="13"/>
      <c r="U59" s="79" t="s">
        <v>959</v>
      </c>
      <c r="V59" s="13" t="s">
        <v>960</v>
      </c>
      <c r="W59" s="13" t="s">
        <v>961</v>
      </c>
      <c r="X59" s="15">
        <v>0.5625</v>
      </c>
      <c r="Y59" s="16" t="s">
        <v>680</v>
      </c>
      <c r="Z59" s="16" t="s">
        <v>622</v>
      </c>
      <c r="AA59" s="36"/>
      <c r="AB59" s="164">
        <v>202401281</v>
      </c>
      <c r="AC59" s="55" t="s">
        <v>7</v>
      </c>
    </row>
    <row r="60" spans="1:29">
      <c r="A60" s="14"/>
      <c r="B60" s="13" t="str">
        <f t="shared" si="3"/>
        <v>Pendente</v>
      </c>
      <c r="C60" s="14" t="str">
        <f t="shared" si="6"/>
        <v/>
      </c>
      <c r="D60" s="13" t="s">
        <v>611</v>
      </c>
      <c r="E60" s="14" t="str">
        <f t="shared" si="5"/>
        <v/>
      </c>
      <c r="F60" s="13" t="s">
        <v>611</v>
      </c>
      <c r="G60" s="40">
        <v>202401281</v>
      </c>
      <c r="H60" s="13" t="s">
        <v>962</v>
      </c>
      <c r="I60" s="13" t="s">
        <v>613</v>
      </c>
      <c r="J60" s="14">
        <v>45621</v>
      </c>
      <c r="K60" s="14">
        <v>45979</v>
      </c>
      <c r="L60" s="13" t="s">
        <v>632</v>
      </c>
      <c r="M60" s="13" t="s">
        <v>963</v>
      </c>
      <c r="N60" s="13" t="s">
        <v>964</v>
      </c>
      <c r="O60" s="17" t="s">
        <v>965</v>
      </c>
      <c r="P60" s="79" t="s">
        <v>365</v>
      </c>
      <c r="Q60" s="13" t="s">
        <v>618</v>
      </c>
      <c r="R60" s="13" t="str">
        <f>VLOOKUP(P60,'Dados das Regiões '!A:B,2,0)</f>
        <v>MARINGÁ</v>
      </c>
      <c r="S60" s="13" t="s">
        <v>966</v>
      </c>
      <c r="T60" s="13"/>
      <c r="U60" s="79"/>
      <c r="V60" s="13" t="s">
        <v>967</v>
      </c>
      <c r="W60" s="13" t="s">
        <v>968</v>
      </c>
      <c r="X60" s="15">
        <v>0.5625</v>
      </c>
      <c r="Y60" s="16" t="s">
        <v>680</v>
      </c>
      <c r="Z60" s="16" t="s">
        <v>622</v>
      </c>
      <c r="AA60" s="36"/>
      <c r="AB60" s="164">
        <v>202401281</v>
      </c>
      <c r="AC60" s="55" t="s">
        <v>7</v>
      </c>
    </row>
    <row r="61" spans="1:29">
      <c r="A61" s="14">
        <v>45929</v>
      </c>
      <c r="B61" s="13" t="str">
        <f t="shared" si="3"/>
        <v>Realizada</v>
      </c>
      <c r="C61" s="14">
        <f t="shared" si="6"/>
        <v>46020</v>
      </c>
      <c r="D61" s="13" t="s">
        <v>611</v>
      </c>
      <c r="E61" s="14">
        <f t="shared" si="5"/>
        <v>46110</v>
      </c>
      <c r="F61" s="13" t="s">
        <v>611</v>
      </c>
      <c r="G61" s="40">
        <v>202400991</v>
      </c>
      <c r="H61" s="13" t="s">
        <v>969</v>
      </c>
      <c r="I61" s="13" t="s">
        <v>613</v>
      </c>
      <c r="J61" s="14">
        <v>45621</v>
      </c>
      <c r="K61" s="14">
        <v>45979</v>
      </c>
      <c r="L61" s="13" t="s">
        <v>657</v>
      </c>
      <c r="M61" s="13" t="s">
        <v>970</v>
      </c>
      <c r="N61" s="13" t="s">
        <v>971</v>
      </c>
      <c r="O61" s="17" t="s">
        <v>972</v>
      </c>
      <c r="P61" s="79" t="s">
        <v>282</v>
      </c>
      <c r="Q61" s="13" t="s">
        <v>618</v>
      </c>
      <c r="R61" s="13" t="str">
        <f>VLOOKUP(P61,'Dados das Regiões '!A:B,2,0)</f>
        <v>FRANCISCO BELTRÃO</v>
      </c>
      <c r="S61" s="13" t="s">
        <v>973</v>
      </c>
      <c r="T61" s="13"/>
      <c r="U61" s="79"/>
      <c r="V61" s="13" t="s">
        <v>974</v>
      </c>
      <c r="W61" s="13" t="s">
        <v>975</v>
      </c>
      <c r="X61" s="15">
        <v>0.5625</v>
      </c>
      <c r="Y61" s="16" t="s">
        <v>784</v>
      </c>
      <c r="Z61" s="16" t="s">
        <v>622</v>
      </c>
      <c r="AA61" s="36"/>
      <c r="AB61" s="164">
        <v>202400991</v>
      </c>
      <c r="AC61" s="55" t="s">
        <v>11</v>
      </c>
    </row>
    <row r="62" spans="1:29">
      <c r="A62" s="14"/>
      <c r="B62" s="13" t="str">
        <f t="shared" si="3"/>
        <v>Pendente</v>
      </c>
      <c r="C62" s="14" t="str">
        <f t="shared" si="6"/>
        <v/>
      </c>
      <c r="D62" s="13" t="s">
        <v>611</v>
      </c>
      <c r="E62" s="14" t="str">
        <f t="shared" si="5"/>
        <v/>
      </c>
      <c r="F62" s="13" t="s">
        <v>611</v>
      </c>
      <c r="G62" s="40">
        <v>202401281</v>
      </c>
      <c r="H62" s="13" t="s">
        <v>976</v>
      </c>
      <c r="I62" s="13" t="s">
        <v>613</v>
      </c>
      <c r="J62" s="14">
        <v>45621</v>
      </c>
      <c r="K62" s="14">
        <v>45979</v>
      </c>
      <c r="L62" s="13" t="s">
        <v>632</v>
      </c>
      <c r="M62" s="13" t="s">
        <v>977</v>
      </c>
      <c r="N62" s="13" t="s">
        <v>978</v>
      </c>
      <c r="O62" s="17" t="s">
        <v>979</v>
      </c>
      <c r="P62" s="79" t="s">
        <v>486</v>
      </c>
      <c r="Q62" s="13" t="s">
        <v>618</v>
      </c>
      <c r="R62" s="13" t="str">
        <f>VLOOKUP(P62,'Dados das Regiões '!A:B,2,0)</f>
        <v>UMUARAMA</v>
      </c>
      <c r="S62" s="13" t="s">
        <v>980</v>
      </c>
      <c r="T62" s="13"/>
      <c r="U62" s="79" t="s">
        <v>981</v>
      </c>
      <c r="V62" s="13" t="s">
        <v>982</v>
      </c>
      <c r="W62" s="13" t="s">
        <v>983</v>
      </c>
      <c r="X62" s="15">
        <v>0.5625</v>
      </c>
      <c r="Y62" s="16" t="s">
        <v>680</v>
      </c>
      <c r="Z62" s="16" t="s">
        <v>622</v>
      </c>
      <c r="AA62" s="36"/>
      <c r="AB62" s="164">
        <v>202401281</v>
      </c>
      <c r="AC62" s="55" t="s">
        <v>7</v>
      </c>
    </row>
    <row r="63" spans="1:29">
      <c r="A63" s="14"/>
      <c r="B63" s="13" t="str">
        <f t="shared" si="3"/>
        <v>Pendente</v>
      </c>
      <c r="C63" s="14" t="str">
        <f t="shared" si="6"/>
        <v/>
      </c>
      <c r="D63" s="13" t="s">
        <v>611</v>
      </c>
      <c r="E63" s="14" t="str">
        <f t="shared" si="5"/>
        <v/>
      </c>
      <c r="F63" s="13" t="s">
        <v>611</v>
      </c>
      <c r="G63" s="40">
        <v>202401281</v>
      </c>
      <c r="H63" s="13" t="s">
        <v>984</v>
      </c>
      <c r="I63" s="13" t="s">
        <v>613</v>
      </c>
      <c r="J63" s="14">
        <v>45621</v>
      </c>
      <c r="K63" s="14">
        <v>45979</v>
      </c>
      <c r="L63" s="13" t="s">
        <v>632</v>
      </c>
      <c r="M63" s="13" t="s">
        <v>955</v>
      </c>
      <c r="N63" s="13" t="s">
        <v>956</v>
      </c>
      <c r="O63" s="17" t="s">
        <v>957</v>
      </c>
      <c r="P63" s="79" t="s">
        <v>333</v>
      </c>
      <c r="Q63" s="13" t="s">
        <v>618</v>
      </c>
      <c r="R63" s="13" t="str">
        <f>VLOOKUP(P63,'Dados das Regiões '!A:B,2,0)</f>
        <v>LONDRINA CENTRO</v>
      </c>
      <c r="S63" s="13" t="s">
        <v>958</v>
      </c>
      <c r="T63" s="13"/>
      <c r="U63" s="79" t="s">
        <v>959</v>
      </c>
      <c r="V63" s="13" t="s">
        <v>960</v>
      </c>
      <c r="W63" s="13" t="s">
        <v>961</v>
      </c>
      <c r="X63" s="15">
        <v>0.33333333333333331</v>
      </c>
      <c r="Y63" s="16" t="s">
        <v>648</v>
      </c>
      <c r="Z63" s="16" t="s">
        <v>622</v>
      </c>
      <c r="AA63" s="36"/>
      <c r="AB63" s="164">
        <v>202401281</v>
      </c>
      <c r="AC63" s="55" t="s">
        <v>7</v>
      </c>
    </row>
    <row r="64" spans="1:29">
      <c r="A64" s="14"/>
      <c r="B64" s="13" t="str">
        <f t="shared" si="3"/>
        <v>Pendente</v>
      </c>
      <c r="C64" s="14" t="str">
        <f t="shared" si="6"/>
        <v/>
      </c>
      <c r="D64" s="13" t="s">
        <v>611</v>
      </c>
      <c r="E64" s="14" t="str">
        <f t="shared" si="5"/>
        <v/>
      </c>
      <c r="F64" s="13" t="s">
        <v>611</v>
      </c>
      <c r="G64" s="40">
        <v>202400990</v>
      </c>
      <c r="H64" s="13" t="s">
        <v>985</v>
      </c>
      <c r="I64" s="13" t="s">
        <v>613</v>
      </c>
      <c r="J64" s="14">
        <v>45621</v>
      </c>
      <c r="K64" s="14">
        <v>45979</v>
      </c>
      <c r="L64" s="13" t="s">
        <v>672</v>
      </c>
      <c r="M64" s="13" t="s">
        <v>938</v>
      </c>
      <c r="N64" s="13" t="s">
        <v>939</v>
      </c>
      <c r="O64" s="17" t="s">
        <v>940</v>
      </c>
      <c r="P64" s="79" t="s">
        <v>311</v>
      </c>
      <c r="Q64" s="13" t="s">
        <v>618</v>
      </c>
      <c r="R64" s="13" t="str">
        <f>VLOOKUP(P64,'Dados das Regiões '!A:B,2,0)</f>
        <v>IVAIPORÃ</v>
      </c>
      <c r="S64" s="13" t="s">
        <v>941</v>
      </c>
      <c r="T64" s="13"/>
      <c r="U64" s="79" t="s">
        <v>942</v>
      </c>
      <c r="V64" s="13" t="s">
        <v>943</v>
      </c>
      <c r="W64" s="13" t="s">
        <v>944</v>
      </c>
      <c r="X64" s="15">
        <v>0.5625</v>
      </c>
      <c r="Y64" s="16" t="s">
        <v>680</v>
      </c>
      <c r="Z64" s="16" t="s">
        <v>622</v>
      </c>
      <c r="AA64" s="36"/>
      <c r="AB64" s="164">
        <v>202400990</v>
      </c>
      <c r="AC64" s="55" t="s">
        <v>18</v>
      </c>
    </row>
    <row r="65" spans="1:29">
      <c r="A65" s="14"/>
      <c r="B65" s="13" t="str">
        <f t="shared" si="3"/>
        <v>Pendente</v>
      </c>
      <c r="C65" s="14" t="str">
        <f t="shared" si="6"/>
        <v/>
      </c>
      <c r="D65" s="13" t="s">
        <v>611</v>
      </c>
      <c r="E65" s="14" t="str">
        <f t="shared" si="5"/>
        <v/>
      </c>
      <c r="F65" s="13" t="s">
        <v>611</v>
      </c>
      <c r="G65" s="40">
        <v>202400990</v>
      </c>
      <c r="H65" s="13" t="s">
        <v>986</v>
      </c>
      <c r="I65" s="13" t="s">
        <v>613</v>
      </c>
      <c r="J65" s="14">
        <v>45621</v>
      </c>
      <c r="K65" s="14">
        <v>45979</v>
      </c>
      <c r="L65" s="13" t="s">
        <v>672</v>
      </c>
      <c r="M65" s="13" t="s">
        <v>987</v>
      </c>
      <c r="N65" s="13" t="s">
        <v>988</v>
      </c>
      <c r="O65" s="17" t="s">
        <v>989</v>
      </c>
      <c r="P65" s="79" t="s">
        <v>317</v>
      </c>
      <c r="Q65" s="13" t="s">
        <v>618</v>
      </c>
      <c r="R65" s="13" t="str">
        <f>VLOOKUP(P65,'Dados das Regiões '!A:B,2,0)</f>
        <v>IVAIPORÃ</v>
      </c>
      <c r="S65" s="13" t="s">
        <v>990</v>
      </c>
      <c r="T65" s="13"/>
      <c r="U65" s="79" t="s">
        <v>991</v>
      </c>
      <c r="V65" s="13" t="s">
        <v>992</v>
      </c>
      <c r="W65" s="13" t="s">
        <v>993</v>
      </c>
      <c r="X65" s="15">
        <v>0.64583333333333337</v>
      </c>
      <c r="Y65" s="16" t="s">
        <v>698</v>
      </c>
      <c r="Z65" s="16" t="s">
        <v>622</v>
      </c>
      <c r="AA65" s="36"/>
      <c r="AB65" s="164">
        <v>202400990</v>
      </c>
      <c r="AC65" s="55" t="s">
        <v>18</v>
      </c>
    </row>
    <row r="66" spans="1:29">
      <c r="A66" s="14"/>
      <c r="B66" s="13" t="str">
        <f t="shared" ref="B66:B97" si="7">IF(ISBLANK(A66), "Pendente", "Realizada")</f>
        <v>Pendente</v>
      </c>
      <c r="C66" s="14" t="str">
        <f t="shared" si="6"/>
        <v/>
      </c>
      <c r="D66" s="13" t="s">
        <v>611</v>
      </c>
      <c r="E66" s="14" t="str">
        <f t="shared" ref="E66:E96" si="8">IF(C66="", "", EDATE(C66, 3))</f>
        <v/>
      </c>
      <c r="F66" s="13" t="s">
        <v>611</v>
      </c>
      <c r="G66" s="40">
        <v>202400990</v>
      </c>
      <c r="H66" s="13" t="s">
        <v>994</v>
      </c>
      <c r="I66" s="13" t="s">
        <v>613</v>
      </c>
      <c r="J66" s="14">
        <v>45621</v>
      </c>
      <c r="K66" s="14">
        <v>45979</v>
      </c>
      <c r="L66" s="13" t="s">
        <v>672</v>
      </c>
      <c r="M66" s="13" t="s">
        <v>995</v>
      </c>
      <c r="N66" s="13" t="s">
        <v>996</v>
      </c>
      <c r="O66" s="13" t="s">
        <v>997</v>
      </c>
      <c r="P66" s="79" t="s">
        <v>408</v>
      </c>
      <c r="Q66" s="13" t="s">
        <v>618</v>
      </c>
      <c r="R66" s="13" t="str">
        <f>VLOOKUP(P66,'Dados das Regiões '!A:B,2,0)</f>
        <v>PALMAS</v>
      </c>
      <c r="S66" s="13" t="s">
        <v>998</v>
      </c>
      <c r="T66" s="13"/>
      <c r="U66" s="79" t="s">
        <v>999</v>
      </c>
      <c r="V66" s="13" t="s">
        <v>1000</v>
      </c>
      <c r="W66" s="13" t="s">
        <v>1001</v>
      </c>
      <c r="X66" s="15">
        <v>0.5625</v>
      </c>
      <c r="Y66" s="16" t="s">
        <v>680</v>
      </c>
      <c r="Z66" s="16" t="s">
        <v>622</v>
      </c>
      <c r="AA66" s="36"/>
      <c r="AB66" s="164">
        <v>202400990</v>
      </c>
      <c r="AC66" s="55" t="s">
        <v>18</v>
      </c>
    </row>
    <row r="67" spans="1:29">
      <c r="A67" s="14"/>
      <c r="B67" s="13" t="str">
        <f t="shared" si="7"/>
        <v>Pendente</v>
      </c>
      <c r="C67" s="14" t="str">
        <f t="shared" si="6"/>
        <v/>
      </c>
      <c r="D67" s="13" t="s">
        <v>611</v>
      </c>
      <c r="E67" s="14" t="str">
        <f t="shared" si="8"/>
        <v/>
      </c>
      <c r="F67" s="13" t="s">
        <v>611</v>
      </c>
      <c r="G67" s="40">
        <v>202401281</v>
      </c>
      <c r="H67" s="13" t="s">
        <v>1002</v>
      </c>
      <c r="I67" s="13" t="s">
        <v>613</v>
      </c>
      <c r="J67" s="14">
        <v>45621</v>
      </c>
      <c r="K67" s="14">
        <v>45979</v>
      </c>
      <c r="L67" s="13" t="s">
        <v>632</v>
      </c>
      <c r="M67" s="13" t="s">
        <v>1003</v>
      </c>
      <c r="N67" s="13" t="s">
        <v>1004</v>
      </c>
      <c r="O67" s="17" t="s">
        <v>1005</v>
      </c>
      <c r="P67" s="79" t="s">
        <v>176</v>
      </c>
      <c r="Q67" s="13" t="s">
        <v>618</v>
      </c>
      <c r="R67" s="13" t="str">
        <f>VLOOKUP(P67,'Dados das Regiões '!A:B,2,0)</f>
        <v>CAMPO MOURÃO</v>
      </c>
      <c r="S67" s="13" t="s">
        <v>1006</v>
      </c>
      <c r="T67" s="13"/>
      <c r="U67" s="79" t="s">
        <v>1007</v>
      </c>
      <c r="V67" s="13" t="s">
        <v>1008</v>
      </c>
      <c r="W67" s="13" t="s">
        <v>1009</v>
      </c>
      <c r="X67" s="15">
        <v>0.33333333333333331</v>
      </c>
      <c r="Y67" s="16" t="s">
        <v>648</v>
      </c>
      <c r="Z67" s="16" t="s">
        <v>622</v>
      </c>
      <c r="AA67" s="36"/>
      <c r="AB67" s="164">
        <v>202401281</v>
      </c>
      <c r="AC67" s="55" t="s">
        <v>7</v>
      </c>
    </row>
    <row r="68" spans="1:29">
      <c r="A68" s="14"/>
      <c r="B68" s="13" t="str">
        <f t="shared" si="7"/>
        <v>Pendente</v>
      </c>
      <c r="C68" s="14" t="str">
        <f t="shared" si="6"/>
        <v/>
      </c>
      <c r="D68" s="13" t="s">
        <v>611</v>
      </c>
      <c r="E68" s="14" t="str">
        <f t="shared" si="8"/>
        <v/>
      </c>
      <c r="F68" s="13" t="s">
        <v>611</v>
      </c>
      <c r="G68" s="40">
        <v>202400990</v>
      </c>
      <c r="H68" s="13" t="s">
        <v>1010</v>
      </c>
      <c r="I68" s="13" t="s">
        <v>613</v>
      </c>
      <c r="J68" s="14">
        <v>45621</v>
      </c>
      <c r="K68" s="14">
        <v>45979</v>
      </c>
      <c r="L68" s="13" t="s">
        <v>672</v>
      </c>
      <c r="M68" s="13" t="s">
        <v>1011</v>
      </c>
      <c r="N68" s="13" t="s">
        <v>1012</v>
      </c>
      <c r="O68" s="17" t="s">
        <v>1013</v>
      </c>
      <c r="P68" s="79" t="s">
        <v>408</v>
      </c>
      <c r="Q68" s="13" t="s">
        <v>618</v>
      </c>
      <c r="R68" s="13" t="str">
        <f>VLOOKUP(P68,'Dados das Regiões '!A:B,2,0)</f>
        <v>PALMAS</v>
      </c>
      <c r="S68" s="13" t="s">
        <v>1014</v>
      </c>
      <c r="T68" s="13"/>
      <c r="U68" s="79" t="s">
        <v>999</v>
      </c>
      <c r="V68" s="13" t="s">
        <v>1015</v>
      </c>
      <c r="W68" s="13" t="s">
        <v>1016</v>
      </c>
      <c r="X68" s="15">
        <v>0.5625</v>
      </c>
      <c r="Y68" s="16" t="s">
        <v>680</v>
      </c>
      <c r="Z68" s="16" t="s">
        <v>622</v>
      </c>
      <c r="AA68" s="36"/>
      <c r="AB68" s="164">
        <v>202400990</v>
      </c>
      <c r="AC68" s="55" t="s">
        <v>18</v>
      </c>
    </row>
    <row r="69" spans="1:29">
      <c r="A69" s="14"/>
      <c r="B69" s="13" t="str">
        <f t="shared" si="7"/>
        <v>Pendente</v>
      </c>
      <c r="C69" s="14" t="str">
        <f t="shared" si="6"/>
        <v/>
      </c>
      <c r="D69" s="13" t="s">
        <v>611</v>
      </c>
      <c r="E69" s="14" t="str">
        <f t="shared" si="8"/>
        <v/>
      </c>
      <c r="F69" s="13" t="s">
        <v>611</v>
      </c>
      <c r="G69" s="40">
        <v>202400991</v>
      </c>
      <c r="H69" s="13" t="s">
        <v>1017</v>
      </c>
      <c r="I69" s="13" t="s">
        <v>613</v>
      </c>
      <c r="J69" s="14">
        <v>45621</v>
      </c>
      <c r="K69" s="14">
        <v>45979</v>
      </c>
      <c r="L69" s="13" t="s">
        <v>657</v>
      </c>
      <c r="M69" s="13" t="s">
        <v>1018</v>
      </c>
      <c r="N69" s="13" t="s">
        <v>1019</v>
      </c>
      <c r="O69" s="17" t="s">
        <v>1020</v>
      </c>
      <c r="P69" s="79" t="s">
        <v>203</v>
      </c>
      <c r="Q69" s="13" t="s">
        <v>618</v>
      </c>
      <c r="R69" s="13" t="str">
        <f>VLOOKUP(P69,'Dados das Regiões '!A:B,2,0)</f>
        <v>CASCAVEL</v>
      </c>
      <c r="S69" s="13" t="s">
        <v>1021</v>
      </c>
      <c r="T69" s="13"/>
      <c r="U69" s="79"/>
      <c r="V69" s="13" t="s">
        <v>1022</v>
      </c>
      <c r="W69" s="13" t="s">
        <v>1023</v>
      </c>
      <c r="X69" s="15">
        <v>0.64583333333333337</v>
      </c>
      <c r="Y69" s="16" t="s">
        <v>680</v>
      </c>
      <c r="Z69" s="16" t="s">
        <v>622</v>
      </c>
      <c r="AA69" s="36"/>
      <c r="AB69" s="164">
        <v>202400991</v>
      </c>
      <c r="AC69" s="55" t="s">
        <v>11</v>
      </c>
    </row>
    <row r="70" spans="1:29">
      <c r="A70" s="14"/>
      <c r="B70" s="13" t="str">
        <f t="shared" si="7"/>
        <v>Pendente</v>
      </c>
      <c r="C70" s="14" t="str">
        <f t="shared" si="6"/>
        <v/>
      </c>
      <c r="D70" s="13" t="s">
        <v>611</v>
      </c>
      <c r="E70" s="14" t="str">
        <f t="shared" si="8"/>
        <v/>
      </c>
      <c r="F70" s="13" t="s">
        <v>611</v>
      </c>
      <c r="G70" s="40">
        <v>202400991</v>
      </c>
      <c r="H70" s="13" t="s">
        <v>1024</v>
      </c>
      <c r="I70" s="13" t="s">
        <v>613</v>
      </c>
      <c r="J70" s="14">
        <v>45621</v>
      </c>
      <c r="K70" s="14">
        <v>45979</v>
      </c>
      <c r="L70" s="13" t="s">
        <v>657</v>
      </c>
      <c r="M70" s="13" t="s">
        <v>1025</v>
      </c>
      <c r="N70" s="13" t="s">
        <v>1026</v>
      </c>
      <c r="O70" s="17" t="s">
        <v>1027</v>
      </c>
      <c r="P70" s="79" t="s">
        <v>441</v>
      </c>
      <c r="Q70" s="13" t="s">
        <v>618</v>
      </c>
      <c r="R70" s="13" t="str">
        <f>VLOOKUP(P70,'Dados das Regiões '!A:B,2,0)</f>
        <v>PATO BRANCO</v>
      </c>
      <c r="S70" s="13" t="s">
        <v>1028</v>
      </c>
      <c r="T70" s="13"/>
      <c r="U70" s="79"/>
      <c r="V70" s="13" t="s">
        <v>1029</v>
      </c>
      <c r="W70" s="13" t="s">
        <v>1030</v>
      </c>
      <c r="X70" s="15">
        <v>0.5625</v>
      </c>
      <c r="Y70" s="16" t="s">
        <v>1031</v>
      </c>
      <c r="Z70" s="16" t="s">
        <v>622</v>
      </c>
      <c r="AA70" s="36"/>
      <c r="AB70" s="164">
        <v>202400991</v>
      </c>
      <c r="AC70" s="55" t="s">
        <v>11</v>
      </c>
    </row>
    <row r="71" spans="1:29">
      <c r="A71" s="14"/>
      <c r="B71" s="13" t="str">
        <f t="shared" si="7"/>
        <v>Pendente</v>
      </c>
      <c r="C71" s="14" t="str">
        <f t="shared" si="6"/>
        <v/>
      </c>
      <c r="D71" s="13" t="s">
        <v>611</v>
      </c>
      <c r="E71" s="14" t="str">
        <f t="shared" si="8"/>
        <v/>
      </c>
      <c r="F71" s="13" t="s">
        <v>611</v>
      </c>
      <c r="G71" s="40">
        <v>202401281</v>
      </c>
      <c r="H71" s="13" t="s">
        <v>1032</v>
      </c>
      <c r="I71" s="13" t="s">
        <v>613</v>
      </c>
      <c r="J71" s="14">
        <v>45621</v>
      </c>
      <c r="K71" s="14">
        <v>45979</v>
      </c>
      <c r="L71" s="13" t="s">
        <v>632</v>
      </c>
      <c r="M71" s="13" t="s">
        <v>1033</v>
      </c>
      <c r="N71" s="13" t="s">
        <v>1034</v>
      </c>
      <c r="O71" s="17" t="s">
        <v>1035</v>
      </c>
      <c r="P71" s="79" t="s">
        <v>235</v>
      </c>
      <c r="Q71" s="13" t="s">
        <v>618</v>
      </c>
      <c r="R71" s="13" t="str">
        <f>VLOOKUP(P71,'Dados das Regiões '!A:B,2,0)</f>
        <v>CORNÉLIO PROCÓPIO</v>
      </c>
      <c r="S71" s="13" t="s">
        <v>1036</v>
      </c>
      <c r="T71" s="13"/>
      <c r="U71" s="79" t="s">
        <v>1037</v>
      </c>
      <c r="V71" s="13" t="s">
        <v>1038</v>
      </c>
      <c r="W71" s="13" t="s">
        <v>1039</v>
      </c>
      <c r="X71" s="15">
        <v>0.33333333333333331</v>
      </c>
      <c r="Y71" s="16" t="s">
        <v>648</v>
      </c>
      <c r="Z71" s="16" t="s">
        <v>622</v>
      </c>
      <c r="AA71" s="36"/>
      <c r="AB71" s="164">
        <v>202401281</v>
      </c>
      <c r="AC71" s="55" t="s">
        <v>7</v>
      </c>
    </row>
    <row r="72" spans="1:29">
      <c r="A72" s="14"/>
      <c r="B72" s="13" t="str">
        <f t="shared" si="7"/>
        <v>Pendente</v>
      </c>
      <c r="C72" s="14" t="str">
        <f t="shared" si="6"/>
        <v/>
      </c>
      <c r="D72" s="13" t="s">
        <v>611</v>
      </c>
      <c r="E72" s="14" t="str">
        <f t="shared" si="8"/>
        <v/>
      </c>
      <c r="F72" s="13" t="s">
        <v>611</v>
      </c>
      <c r="G72" s="40">
        <v>202400991</v>
      </c>
      <c r="H72" s="13" t="s">
        <v>1040</v>
      </c>
      <c r="I72" s="13" t="s">
        <v>613</v>
      </c>
      <c r="J72" s="14">
        <v>45621</v>
      </c>
      <c r="K72" s="14">
        <v>45979</v>
      </c>
      <c r="L72" s="13" t="s">
        <v>812</v>
      </c>
      <c r="M72" s="13" t="s">
        <v>1041</v>
      </c>
      <c r="N72" s="13" t="s">
        <v>1042</v>
      </c>
      <c r="O72" s="17" t="s">
        <v>1043</v>
      </c>
      <c r="P72" s="79" t="s">
        <v>202</v>
      </c>
      <c r="Q72" s="13" t="s">
        <v>618</v>
      </c>
      <c r="R72" s="13" t="str">
        <f>VLOOKUP(P72,'Dados das Regiões '!A:B,2,0)</f>
        <v>CASCAVEL</v>
      </c>
      <c r="S72" s="13" t="s">
        <v>1044</v>
      </c>
      <c r="T72" s="13"/>
      <c r="U72" s="79"/>
      <c r="V72" s="13" t="s">
        <v>1045</v>
      </c>
      <c r="W72" s="13" t="s">
        <v>1046</v>
      </c>
      <c r="X72" s="15">
        <v>0.54166666666666663</v>
      </c>
      <c r="Y72" s="16" t="s">
        <v>1047</v>
      </c>
      <c r="Z72" s="16" t="s">
        <v>622</v>
      </c>
      <c r="AA72" s="36"/>
      <c r="AB72" s="164">
        <v>202400991</v>
      </c>
      <c r="AC72" s="55" t="s">
        <v>11</v>
      </c>
    </row>
    <row r="73" spans="1:29">
      <c r="A73" s="14"/>
      <c r="B73" s="13" t="str">
        <f t="shared" si="7"/>
        <v>Pendente</v>
      </c>
      <c r="C73" s="14" t="str">
        <f t="shared" si="6"/>
        <v/>
      </c>
      <c r="D73" s="13" t="s">
        <v>611</v>
      </c>
      <c r="E73" s="14" t="str">
        <f t="shared" si="8"/>
        <v/>
      </c>
      <c r="F73" s="13" t="s">
        <v>611</v>
      </c>
      <c r="G73" s="40">
        <v>202400991</v>
      </c>
      <c r="H73" s="13" t="s">
        <v>1048</v>
      </c>
      <c r="I73" s="13" t="s">
        <v>613</v>
      </c>
      <c r="J73" s="14">
        <v>45621</v>
      </c>
      <c r="K73" s="14">
        <v>45979</v>
      </c>
      <c r="L73" s="13" t="s">
        <v>657</v>
      </c>
      <c r="M73" s="13" t="s">
        <v>1049</v>
      </c>
      <c r="N73" s="13" t="s">
        <v>1050</v>
      </c>
      <c r="O73" s="17" t="s">
        <v>1051</v>
      </c>
      <c r="P73" s="79" t="s">
        <v>206</v>
      </c>
      <c r="Q73" s="13" t="s">
        <v>618</v>
      </c>
      <c r="R73" s="13" t="str">
        <f>VLOOKUP(P73,'Dados das Regiões '!A:B,2,0)</f>
        <v>CASCAVEL</v>
      </c>
      <c r="S73" s="13" t="s">
        <v>1052</v>
      </c>
      <c r="T73" s="13"/>
      <c r="U73" s="79"/>
      <c r="V73" s="13" t="s">
        <v>1053</v>
      </c>
      <c r="W73" s="13" t="s">
        <v>1054</v>
      </c>
      <c r="X73" s="15">
        <v>0.33333333333333331</v>
      </c>
      <c r="Y73" s="16" t="s">
        <v>648</v>
      </c>
      <c r="Z73" s="16" t="s">
        <v>622</v>
      </c>
      <c r="AA73" s="36"/>
      <c r="AB73" s="164">
        <v>202400991</v>
      </c>
      <c r="AC73" s="55" t="s">
        <v>11</v>
      </c>
    </row>
    <row r="74" spans="1:29">
      <c r="A74" s="14"/>
      <c r="B74" s="13" t="str">
        <f t="shared" si="7"/>
        <v>Pendente</v>
      </c>
      <c r="C74" s="14" t="str">
        <f t="shared" si="6"/>
        <v/>
      </c>
      <c r="D74" s="13" t="s">
        <v>611</v>
      </c>
      <c r="E74" s="14" t="str">
        <f t="shared" si="8"/>
        <v/>
      </c>
      <c r="F74" s="13" t="s">
        <v>611</v>
      </c>
      <c r="G74" s="40">
        <v>202400991</v>
      </c>
      <c r="H74" s="13" t="s">
        <v>1055</v>
      </c>
      <c r="I74" s="13" t="s">
        <v>613</v>
      </c>
      <c r="J74" s="14">
        <v>45621</v>
      </c>
      <c r="K74" s="14">
        <v>45979</v>
      </c>
      <c r="L74" s="13" t="s">
        <v>812</v>
      </c>
      <c r="M74" s="13" t="s">
        <v>1056</v>
      </c>
      <c r="N74" s="13" t="s">
        <v>1057</v>
      </c>
      <c r="O74" s="17" t="s">
        <v>1058</v>
      </c>
      <c r="P74" s="79" t="s">
        <v>202</v>
      </c>
      <c r="Q74" s="13" t="s">
        <v>618</v>
      </c>
      <c r="R74" s="13" t="str">
        <f>VLOOKUP(P74,'Dados das Regiões '!A:B,2,0)</f>
        <v>CASCAVEL</v>
      </c>
      <c r="S74" s="13" t="s">
        <v>1059</v>
      </c>
      <c r="T74" s="13"/>
      <c r="U74" s="79"/>
      <c r="V74" s="13" t="s">
        <v>1060</v>
      </c>
      <c r="W74" s="13" t="s">
        <v>1061</v>
      </c>
      <c r="X74" s="15">
        <v>0.54166666666666663</v>
      </c>
      <c r="Y74" s="16" t="s">
        <v>953</v>
      </c>
      <c r="Z74" s="16" t="s">
        <v>622</v>
      </c>
      <c r="AA74" s="36"/>
      <c r="AB74" s="164">
        <v>202400991</v>
      </c>
      <c r="AC74" s="55" t="s">
        <v>11</v>
      </c>
    </row>
    <row r="75" spans="1:29">
      <c r="A75" s="14"/>
      <c r="B75" s="13" t="str">
        <f t="shared" si="7"/>
        <v>Pendente</v>
      </c>
      <c r="C75" s="14" t="str">
        <f t="shared" si="6"/>
        <v/>
      </c>
      <c r="D75" s="13" t="s">
        <v>611</v>
      </c>
      <c r="E75" s="14" t="str">
        <f t="shared" si="8"/>
        <v/>
      </c>
      <c r="F75" s="13" t="s">
        <v>611</v>
      </c>
      <c r="G75" s="40">
        <v>202400991</v>
      </c>
      <c r="H75" s="13" t="s">
        <v>1062</v>
      </c>
      <c r="I75" s="13" t="s">
        <v>613</v>
      </c>
      <c r="J75" s="14">
        <v>45621</v>
      </c>
      <c r="K75" s="14">
        <v>45979</v>
      </c>
      <c r="L75" s="13" t="s">
        <v>657</v>
      </c>
      <c r="M75" s="13" t="s">
        <v>1063</v>
      </c>
      <c r="N75" s="13" t="s">
        <v>1064</v>
      </c>
      <c r="O75" s="17" t="s">
        <v>1065</v>
      </c>
      <c r="P75" s="79" t="s">
        <v>442</v>
      </c>
      <c r="Q75" s="13" t="s">
        <v>618</v>
      </c>
      <c r="R75" s="13" t="str">
        <f>VLOOKUP(P75,'Dados das Regiões '!A:B,2,0)</f>
        <v>PATO BRANCO</v>
      </c>
      <c r="S75" s="13" t="s">
        <v>1066</v>
      </c>
      <c r="T75" s="13"/>
      <c r="U75" s="79"/>
      <c r="V75" s="13" t="s">
        <v>1067</v>
      </c>
      <c r="W75" s="13" t="s">
        <v>1068</v>
      </c>
      <c r="X75" s="15">
        <v>0.33333333333333331</v>
      </c>
      <c r="Y75" s="16" t="s">
        <v>648</v>
      </c>
      <c r="Z75" s="16" t="s">
        <v>622</v>
      </c>
      <c r="AA75" s="36"/>
      <c r="AB75" s="164">
        <v>202400991</v>
      </c>
      <c r="AC75" s="55" t="s">
        <v>11</v>
      </c>
    </row>
    <row r="76" spans="1:29">
      <c r="A76" s="14"/>
      <c r="B76" s="13" t="str">
        <f t="shared" si="7"/>
        <v>Pendente</v>
      </c>
      <c r="C76" s="14" t="str">
        <f t="shared" si="6"/>
        <v/>
      </c>
      <c r="D76" s="13" t="s">
        <v>611</v>
      </c>
      <c r="E76" s="14" t="str">
        <f t="shared" si="8"/>
        <v/>
      </c>
      <c r="F76" s="13" t="s">
        <v>611</v>
      </c>
      <c r="G76" s="40">
        <v>202400991</v>
      </c>
      <c r="H76" s="13" t="s">
        <v>1069</v>
      </c>
      <c r="I76" s="13" t="s">
        <v>613</v>
      </c>
      <c r="J76" s="14">
        <v>45621</v>
      </c>
      <c r="K76" s="14">
        <v>45979</v>
      </c>
      <c r="L76" s="13" t="s">
        <v>657</v>
      </c>
      <c r="M76" s="13" t="s">
        <v>1070</v>
      </c>
      <c r="N76" s="13" t="s">
        <v>1071</v>
      </c>
      <c r="O76" s="17" t="s">
        <v>1072</v>
      </c>
      <c r="P76" s="79" t="s">
        <v>261</v>
      </c>
      <c r="Q76" s="13" t="s">
        <v>618</v>
      </c>
      <c r="R76" s="13" t="str">
        <f>VLOOKUP(P76,'Dados das Regiões '!A:B,2,0)</f>
        <v>FRANCISCO BELTRÃO</v>
      </c>
      <c r="S76" s="13" t="s">
        <v>1073</v>
      </c>
      <c r="T76" s="13"/>
      <c r="U76" s="79"/>
      <c r="V76" s="13" t="s">
        <v>1074</v>
      </c>
      <c r="W76" s="13" t="s">
        <v>1075</v>
      </c>
      <c r="X76" s="15">
        <v>0.5625</v>
      </c>
      <c r="Y76" s="16" t="s">
        <v>936</v>
      </c>
      <c r="Z76" s="16" t="s">
        <v>622</v>
      </c>
      <c r="AA76" s="36"/>
      <c r="AB76" s="164">
        <v>202400991</v>
      </c>
      <c r="AC76" s="55" t="s">
        <v>11</v>
      </c>
    </row>
    <row r="77" spans="1:29">
      <c r="A77" s="14"/>
      <c r="B77" s="13" t="str">
        <f t="shared" si="7"/>
        <v>Pendente</v>
      </c>
      <c r="C77" s="14" t="str">
        <f t="shared" si="6"/>
        <v/>
      </c>
      <c r="D77" s="13" t="s">
        <v>611</v>
      </c>
      <c r="E77" s="14" t="str">
        <f t="shared" si="8"/>
        <v/>
      </c>
      <c r="F77" s="13" t="s">
        <v>611</v>
      </c>
      <c r="G77" s="40">
        <v>202400991</v>
      </c>
      <c r="H77" s="13" t="s">
        <v>1076</v>
      </c>
      <c r="I77" s="13" t="s">
        <v>613</v>
      </c>
      <c r="J77" s="14">
        <v>45621</v>
      </c>
      <c r="K77" s="14">
        <v>45979</v>
      </c>
      <c r="L77" s="13" t="s">
        <v>657</v>
      </c>
      <c r="M77" s="13" t="s">
        <v>1077</v>
      </c>
      <c r="N77" s="13" t="s">
        <v>1078</v>
      </c>
      <c r="O77" s="17" t="s">
        <v>1079</v>
      </c>
      <c r="P77" s="79" t="s">
        <v>264</v>
      </c>
      <c r="Q77" s="13" t="s">
        <v>618</v>
      </c>
      <c r="R77" s="13" t="str">
        <f>VLOOKUP(P77,'Dados das Regiões '!A:B,2,0)</f>
        <v>FRANCISCO BELTRÃO</v>
      </c>
      <c r="S77" s="13" t="s">
        <v>1080</v>
      </c>
      <c r="T77" s="13"/>
      <c r="U77" s="79" t="s">
        <v>1081</v>
      </c>
      <c r="V77" s="13" t="s">
        <v>1081</v>
      </c>
      <c r="W77" s="13" t="s">
        <v>1082</v>
      </c>
      <c r="X77" s="15">
        <v>0.33333333333333331</v>
      </c>
      <c r="Y77" s="16">
        <v>0.41666666666666669</v>
      </c>
      <c r="Z77" s="16" t="s">
        <v>622</v>
      </c>
      <c r="AA77" s="36"/>
      <c r="AB77" s="164">
        <v>202400991</v>
      </c>
      <c r="AC77" s="55" t="s">
        <v>11</v>
      </c>
    </row>
    <row r="78" spans="1:29">
      <c r="A78" s="14"/>
      <c r="B78" s="13" t="str">
        <f t="shared" si="7"/>
        <v>Pendente</v>
      </c>
      <c r="C78" s="14" t="str">
        <f t="shared" si="6"/>
        <v/>
      </c>
      <c r="D78" s="13" t="s">
        <v>611</v>
      </c>
      <c r="E78" s="14" t="str">
        <f t="shared" si="8"/>
        <v/>
      </c>
      <c r="F78" s="13" t="s">
        <v>611</v>
      </c>
      <c r="G78" s="40">
        <v>202401281</v>
      </c>
      <c r="H78" s="13" t="s">
        <v>1083</v>
      </c>
      <c r="I78" s="13" t="s">
        <v>613</v>
      </c>
      <c r="J78" s="14">
        <v>45621</v>
      </c>
      <c r="K78" s="14">
        <v>45979</v>
      </c>
      <c r="L78" s="13" t="s">
        <v>682</v>
      </c>
      <c r="M78" s="13" t="s">
        <v>1084</v>
      </c>
      <c r="N78" s="13" t="s">
        <v>1085</v>
      </c>
      <c r="O78" s="17" t="s">
        <v>1086</v>
      </c>
      <c r="P78" s="79" t="s">
        <v>324</v>
      </c>
      <c r="Q78" s="13" t="s">
        <v>618</v>
      </c>
      <c r="R78" s="13" t="str">
        <f>VLOOKUP(P78,'Dados das Regiões '!A:B,2,0)</f>
        <v>JACAREZINHO</v>
      </c>
      <c r="S78" s="13" t="s">
        <v>1087</v>
      </c>
      <c r="T78" s="13"/>
      <c r="U78" s="79" t="s">
        <v>1088</v>
      </c>
      <c r="V78" s="13" t="s">
        <v>1089</v>
      </c>
      <c r="W78" s="13" t="s">
        <v>1090</v>
      </c>
      <c r="X78" s="15">
        <v>0.5625</v>
      </c>
      <c r="Y78" s="16" t="s">
        <v>680</v>
      </c>
      <c r="Z78" s="16" t="s">
        <v>622</v>
      </c>
      <c r="AA78" s="36"/>
      <c r="AB78" s="164">
        <v>202401281</v>
      </c>
      <c r="AC78" s="55" t="s">
        <v>7</v>
      </c>
    </row>
    <row r="79" spans="1:29">
      <c r="A79" s="14"/>
      <c r="B79" s="13" t="str">
        <f t="shared" si="7"/>
        <v>Pendente</v>
      </c>
      <c r="C79" s="14" t="str">
        <f t="shared" si="6"/>
        <v/>
      </c>
      <c r="D79" s="13" t="s">
        <v>611</v>
      </c>
      <c r="E79" s="14" t="str">
        <f t="shared" si="8"/>
        <v/>
      </c>
      <c r="F79" s="13" t="s">
        <v>611</v>
      </c>
      <c r="G79" s="40">
        <v>202401281</v>
      </c>
      <c r="H79" s="13" t="s">
        <v>1091</v>
      </c>
      <c r="I79" s="13" t="s">
        <v>613</v>
      </c>
      <c r="J79" s="14">
        <v>45621</v>
      </c>
      <c r="K79" s="14">
        <v>45979</v>
      </c>
      <c r="L79" s="13" t="s">
        <v>682</v>
      </c>
      <c r="M79" s="13" t="s">
        <v>1084</v>
      </c>
      <c r="N79" s="13" t="s">
        <v>1085</v>
      </c>
      <c r="O79" s="17" t="s">
        <v>1086</v>
      </c>
      <c r="P79" s="79" t="s">
        <v>324</v>
      </c>
      <c r="Q79" s="13" t="s">
        <v>618</v>
      </c>
      <c r="R79" s="13" t="str">
        <f>VLOOKUP(P79,'Dados das Regiões '!A:B,2,0)</f>
        <v>JACAREZINHO</v>
      </c>
      <c r="S79" s="13" t="s">
        <v>1087</v>
      </c>
      <c r="T79" s="13"/>
      <c r="U79" s="79"/>
      <c r="V79" s="13" t="s">
        <v>1088</v>
      </c>
      <c r="W79" s="13" t="s">
        <v>1090</v>
      </c>
      <c r="X79" s="15">
        <v>0.5625</v>
      </c>
      <c r="Y79" s="16" t="s">
        <v>680</v>
      </c>
      <c r="Z79" s="16" t="s">
        <v>622</v>
      </c>
      <c r="AA79" s="36"/>
      <c r="AB79" s="164">
        <v>202401281</v>
      </c>
      <c r="AC79" s="55" t="s">
        <v>7</v>
      </c>
    </row>
    <row r="80" spans="1:29">
      <c r="A80" s="14"/>
      <c r="B80" s="13" t="str">
        <f t="shared" si="7"/>
        <v>Pendente</v>
      </c>
      <c r="C80" s="14" t="str">
        <f t="shared" si="6"/>
        <v/>
      </c>
      <c r="D80" s="13" t="s">
        <v>611</v>
      </c>
      <c r="E80" s="14" t="str">
        <f t="shared" si="8"/>
        <v/>
      </c>
      <c r="F80" s="13" t="s">
        <v>611</v>
      </c>
      <c r="G80" s="40">
        <v>202400991</v>
      </c>
      <c r="H80" s="13" t="s">
        <v>1092</v>
      </c>
      <c r="I80" s="13" t="s">
        <v>613</v>
      </c>
      <c r="J80" s="14">
        <v>45621</v>
      </c>
      <c r="K80" s="14">
        <v>45979</v>
      </c>
      <c r="L80" s="13" t="s">
        <v>657</v>
      </c>
      <c r="M80" s="13" t="s">
        <v>1093</v>
      </c>
      <c r="N80" s="13" t="s">
        <v>1094</v>
      </c>
      <c r="O80" s="17" t="s">
        <v>1095</v>
      </c>
      <c r="P80" s="79" t="s">
        <v>442</v>
      </c>
      <c r="Q80" s="13" t="s">
        <v>618</v>
      </c>
      <c r="R80" s="13" t="str">
        <f>VLOOKUP(P80,'Dados das Regiões '!A:B,2,0)</f>
        <v>PATO BRANCO</v>
      </c>
      <c r="S80" s="13" t="s">
        <v>1066</v>
      </c>
      <c r="T80" s="13"/>
      <c r="U80" s="79"/>
      <c r="V80" s="13" t="s">
        <v>1067</v>
      </c>
      <c r="W80" s="13" t="s">
        <v>1068</v>
      </c>
      <c r="X80" s="15">
        <v>0.33333333333333331</v>
      </c>
      <c r="Y80" s="16" t="s">
        <v>648</v>
      </c>
      <c r="Z80" s="16" t="s">
        <v>622</v>
      </c>
      <c r="AA80" s="36"/>
      <c r="AB80" s="164">
        <v>202400991</v>
      </c>
      <c r="AC80" s="55" t="s">
        <v>11</v>
      </c>
    </row>
    <row r="81" spans="1:29">
      <c r="A81" s="14"/>
      <c r="B81" s="13" t="str">
        <f t="shared" si="7"/>
        <v>Pendente</v>
      </c>
      <c r="C81" s="14" t="str">
        <f t="shared" si="6"/>
        <v/>
      </c>
      <c r="D81" s="13" t="s">
        <v>611</v>
      </c>
      <c r="E81" s="14" t="str">
        <f t="shared" si="8"/>
        <v/>
      </c>
      <c r="F81" s="13" t="s">
        <v>611</v>
      </c>
      <c r="G81" s="40">
        <v>202401281</v>
      </c>
      <c r="H81" s="13" t="s">
        <v>1096</v>
      </c>
      <c r="I81" s="13" t="s">
        <v>613</v>
      </c>
      <c r="J81" s="14">
        <v>45621</v>
      </c>
      <c r="K81" s="14">
        <v>45979</v>
      </c>
      <c r="L81" s="13" t="s">
        <v>632</v>
      </c>
      <c r="M81" s="13" t="s">
        <v>1097</v>
      </c>
      <c r="N81" s="13" t="s">
        <v>1098</v>
      </c>
      <c r="O81" s="17" t="s">
        <v>1099</v>
      </c>
      <c r="P81" s="79" t="s">
        <v>418</v>
      </c>
      <c r="Q81" s="13" t="s">
        <v>618</v>
      </c>
      <c r="R81" s="13" t="str">
        <f>VLOOKUP(P81,'Dados das Regiões '!A:B,2,0)</f>
        <v>PARANAVAÍ</v>
      </c>
      <c r="S81" s="13" t="s">
        <v>1100</v>
      </c>
      <c r="T81" s="13"/>
      <c r="U81" s="79" t="s">
        <v>1101</v>
      </c>
      <c r="V81" s="13" t="s">
        <v>1102</v>
      </c>
      <c r="W81" s="13" t="s">
        <v>1103</v>
      </c>
      <c r="X81" s="15">
        <v>0.33333333333333331</v>
      </c>
      <c r="Y81" s="16" t="s">
        <v>648</v>
      </c>
      <c r="Z81" s="16" t="s">
        <v>622</v>
      </c>
      <c r="AA81" s="36"/>
      <c r="AB81" s="164">
        <v>202401281</v>
      </c>
      <c r="AC81" s="55" t="s">
        <v>7</v>
      </c>
    </row>
    <row r="82" spans="1:29">
      <c r="A82" s="14"/>
      <c r="B82" s="13" t="str">
        <f t="shared" si="7"/>
        <v>Pendente</v>
      </c>
      <c r="C82" s="14" t="str">
        <f t="shared" si="6"/>
        <v/>
      </c>
      <c r="D82" s="13" t="s">
        <v>611</v>
      </c>
      <c r="E82" s="14" t="str">
        <f t="shared" si="8"/>
        <v/>
      </c>
      <c r="F82" s="13" t="s">
        <v>611</v>
      </c>
      <c r="G82" s="40">
        <v>202400990</v>
      </c>
      <c r="H82" s="13" t="s">
        <v>1104</v>
      </c>
      <c r="I82" s="13" t="s">
        <v>613</v>
      </c>
      <c r="J82" s="14">
        <v>45621</v>
      </c>
      <c r="K82" s="14">
        <v>45979</v>
      </c>
      <c r="L82" s="13" t="s">
        <v>672</v>
      </c>
      <c r="M82" s="13" t="s">
        <v>1105</v>
      </c>
      <c r="N82" s="13" t="s">
        <v>1106</v>
      </c>
      <c r="O82" s="17" t="s">
        <v>1107</v>
      </c>
      <c r="P82" s="79" t="s">
        <v>481</v>
      </c>
      <c r="Q82" s="13" t="s">
        <v>618</v>
      </c>
      <c r="R82" s="13" t="str">
        <f>VLOOKUP(P82,'Dados das Regiões '!A:B,2,0)</f>
        <v>TOLEDO</v>
      </c>
      <c r="S82" s="13" t="s">
        <v>1108</v>
      </c>
      <c r="T82" s="13"/>
      <c r="U82" s="79" t="s">
        <v>1109</v>
      </c>
      <c r="V82" s="13" t="s">
        <v>1110</v>
      </c>
      <c r="W82" s="13" t="s">
        <v>1111</v>
      </c>
      <c r="X82" s="15">
        <v>0.5625</v>
      </c>
      <c r="Y82" s="16" t="s">
        <v>936</v>
      </c>
      <c r="Z82" s="16" t="s">
        <v>622</v>
      </c>
      <c r="AA82" s="36"/>
      <c r="AB82" s="164">
        <v>202400990</v>
      </c>
      <c r="AC82" s="55" t="s">
        <v>18</v>
      </c>
    </row>
    <row r="83" spans="1:29">
      <c r="A83" s="14"/>
      <c r="B83" s="13" t="str">
        <f t="shared" si="7"/>
        <v>Pendente</v>
      </c>
      <c r="C83" s="14" t="str">
        <f t="shared" si="6"/>
        <v/>
      </c>
      <c r="D83" s="13" t="s">
        <v>611</v>
      </c>
      <c r="E83" s="14" t="str">
        <f t="shared" si="8"/>
        <v/>
      </c>
      <c r="F83" s="13" t="s">
        <v>611</v>
      </c>
      <c r="G83" s="40">
        <v>202401281</v>
      </c>
      <c r="H83" s="13" t="s">
        <v>1112</v>
      </c>
      <c r="I83" s="13" t="s">
        <v>613</v>
      </c>
      <c r="J83" s="14">
        <v>45621</v>
      </c>
      <c r="K83" s="14">
        <v>45979</v>
      </c>
      <c r="L83" s="13" t="s">
        <v>682</v>
      </c>
      <c r="M83" s="13" t="s">
        <v>1113</v>
      </c>
      <c r="N83" s="13" t="s">
        <v>1114</v>
      </c>
      <c r="O83" s="17" t="s">
        <v>1115</v>
      </c>
      <c r="P83" s="79" t="s">
        <v>53</v>
      </c>
      <c r="Q83" s="13" t="s">
        <v>618</v>
      </c>
      <c r="R83" s="13" t="str">
        <f>VLOOKUP(P83,'Dados das Regiões '!A:B,2,0)</f>
        <v>GOIOERÊ</v>
      </c>
      <c r="S83" s="13" t="s">
        <v>1116</v>
      </c>
      <c r="T83" s="13"/>
      <c r="U83" s="79" t="s">
        <v>1117</v>
      </c>
      <c r="V83" s="13" t="s">
        <v>1118</v>
      </c>
      <c r="W83" s="13" t="s">
        <v>1119</v>
      </c>
      <c r="X83" s="15">
        <v>0.5625</v>
      </c>
      <c r="Y83" s="16" t="s">
        <v>680</v>
      </c>
      <c r="Z83" s="16" t="s">
        <v>622</v>
      </c>
      <c r="AA83" s="36"/>
      <c r="AB83" s="164">
        <v>202401281</v>
      </c>
      <c r="AC83" s="55" t="s">
        <v>7</v>
      </c>
    </row>
    <row r="84" spans="1:29">
      <c r="A84" s="14"/>
      <c r="B84" s="13" t="str">
        <f t="shared" si="7"/>
        <v>Pendente</v>
      </c>
      <c r="C84" s="14" t="str">
        <f t="shared" si="6"/>
        <v/>
      </c>
      <c r="D84" s="13" t="s">
        <v>611</v>
      </c>
      <c r="E84" s="14" t="str">
        <f t="shared" si="8"/>
        <v/>
      </c>
      <c r="F84" s="13" t="s">
        <v>611</v>
      </c>
      <c r="G84" s="40">
        <v>202401281</v>
      </c>
      <c r="H84" s="13" t="s">
        <v>1120</v>
      </c>
      <c r="I84" s="13" t="s">
        <v>613</v>
      </c>
      <c r="J84" s="14">
        <v>45621</v>
      </c>
      <c r="K84" s="14">
        <v>45979</v>
      </c>
      <c r="L84" s="13" t="s">
        <v>682</v>
      </c>
      <c r="M84" s="13" t="s">
        <v>1113</v>
      </c>
      <c r="N84" s="13" t="s">
        <v>1114</v>
      </c>
      <c r="O84" s="17" t="s">
        <v>1115</v>
      </c>
      <c r="P84" s="79" t="s">
        <v>53</v>
      </c>
      <c r="Q84" s="13" t="s">
        <v>618</v>
      </c>
      <c r="R84" s="13" t="str">
        <f>VLOOKUP(P84,'Dados das Regiões '!A:B,2,0)</f>
        <v>GOIOERÊ</v>
      </c>
      <c r="S84" s="13" t="s">
        <v>1116</v>
      </c>
      <c r="T84" s="13"/>
      <c r="U84" s="79" t="s">
        <v>1117</v>
      </c>
      <c r="V84" s="13" t="s">
        <v>1118</v>
      </c>
      <c r="W84" s="13" t="s">
        <v>1119</v>
      </c>
      <c r="X84" s="15">
        <v>0.5625</v>
      </c>
      <c r="Y84" s="16" t="s">
        <v>680</v>
      </c>
      <c r="Z84" s="16" t="s">
        <v>622</v>
      </c>
      <c r="AA84" s="36"/>
      <c r="AB84" s="164">
        <v>202401281</v>
      </c>
      <c r="AC84" s="55" t="s">
        <v>7</v>
      </c>
    </row>
    <row r="85" spans="1:29">
      <c r="A85" s="14"/>
      <c r="B85" s="13" t="str">
        <f t="shared" si="7"/>
        <v>Pendente</v>
      </c>
      <c r="C85" s="14" t="str">
        <f t="shared" si="6"/>
        <v/>
      </c>
      <c r="D85" s="13" t="s">
        <v>611</v>
      </c>
      <c r="E85" s="14" t="str">
        <f t="shared" si="8"/>
        <v/>
      </c>
      <c r="F85" s="13" t="s">
        <v>611</v>
      </c>
      <c r="G85" s="40">
        <v>202400990</v>
      </c>
      <c r="H85" s="13" t="s">
        <v>1121</v>
      </c>
      <c r="I85" s="13" t="s">
        <v>613</v>
      </c>
      <c r="J85" s="14">
        <v>45621</v>
      </c>
      <c r="K85" s="14">
        <v>45979</v>
      </c>
      <c r="L85" s="13" t="s">
        <v>672</v>
      </c>
      <c r="M85" s="13" t="s">
        <v>1122</v>
      </c>
      <c r="N85" s="13" t="s">
        <v>1123</v>
      </c>
      <c r="O85" s="13" t="s">
        <v>1124</v>
      </c>
      <c r="P85" s="79" t="s">
        <v>498</v>
      </c>
      <c r="Q85" s="13" t="s">
        <v>618</v>
      </c>
      <c r="R85" s="13" t="str">
        <f>VLOOKUP(P85,'Dados das Regiões '!A:B,2,0)</f>
        <v>UMUARAMA</v>
      </c>
      <c r="S85" s="13" t="s">
        <v>1125</v>
      </c>
      <c r="T85" s="13"/>
      <c r="U85" s="79" t="s">
        <v>1126</v>
      </c>
      <c r="V85" s="13" t="s">
        <v>1127</v>
      </c>
      <c r="W85" s="13" t="s">
        <v>1128</v>
      </c>
      <c r="X85" s="15">
        <v>0.5625</v>
      </c>
      <c r="Y85" s="16" t="s">
        <v>680</v>
      </c>
      <c r="Z85" s="16" t="s">
        <v>622</v>
      </c>
      <c r="AA85" s="36"/>
      <c r="AB85" s="164">
        <v>202400990</v>
      </c>
      <c r="AC85" s="55" t="s">
        <v>18</v>
      </c>
    </row>
    <row r="86" spans="1:29">
      <c r="A86" s="14"/>
      <c r="B86" s="13" t="str">
        <f t="shared" si="7"/>
        <v>Pendente</v>
      </c>
      <c r="C86" s="14" t="str">
        <f t="shared" si="6"/>
        <v/>
      </c>
      <c r="D86" s="13" t="s">
        <v>611</v>
      </c>
      <c r="E86" s="14" t="str">
        <f t="shared" si="8"/>
        <v/>
      </c>
      <c r="F86" s="13" t="s">
        <v>611</v>
      </c>
      <c r="G86" s="40">
        <v>202401281</v>
      </c>
      <c r="H86" s="13" t="s">
        <v>1129</v>
      </c>
      <c r="I86" s="13" t="s">
        <v>613</v>
      </c>
      <c r="J86" s="14">
        <v>45621</v>
      </c>
      <c r="K86" s="14">
        <v>45979</v>
      </c>
      <c r="L86" s="13" t="s">
        <v>682</v>
      </c>
      <c r="M86" s="13" t="s">
        <v>1130</v>
      </c>
      <c r="N86" s="13" t="s">
        <v>1131</v>
      </c>
      <c r="O86" s="13" t="s">
        <v>1132</v>
      </c>
      <c r="P86" s="79" t="s">
        <v>236</v>
      </c>
      <c r="Q86" s="13" t="s">
        <v>618</v>
      </c>
      <c r="R86" s="13" t="str">
        <f>VLOOKUP(P86,'Dados das Regiões '!A:B,2,0)</f>
        <v>CORNÉLIO PROCÓPIO</v>
      </c>
      <c r="S86" s="13" t="s">
        <v>1133</v>
      </c>
      <c r="T86" s="13"/>
      <c r="U86" s="79" t="s">
        <v>1134</v>
      </c>
      <c r="V86" s="13" t="s">
        <v>1135</v>
      </c>
      <c r="W86" s="13" t="s">
        <v>1136</v>
      </c>
      <c r="X86" s="15">
        <v>0.33333333333333331</v>
      </c>
      <c r="Y86" s="16" t="s">
        <v>648</v>
      </c>
      <c r="Z86" s="16" t="s">
        <v>622</v>
      </c>
      <c r="AA86" s="36"/>
      <c r="AB86" s="164">
        <v>202401281</v>
      </c>
      <c r="AC86" s="55" t="s">
        <v>7</v>
      </c>
    </row>
    <row r="87" spans="1:29">
      <c r="A87" s="14"/>
      <c r="B87" s="13" t="str">
        <f t="shared" si="7"/>
        <v>Pendente</v>
      </c>
      <c r="C87" s="14" t="str">
        <f t="shared" si="6"/>
        <v/>
      </c>
      <c r="D87" s="13" t="s">
        <v>611</v>
      </c>
      <c r="E87" s="14" t="str">
        <f t="shared" si="8"/>
        <v/>
      </c>
      <c r="F87" s="13" t="s">
        <v>611</v>
      </c>
      <c r="G87" s="40">
        <v>202401281</v>
      </c>
      <c r="H87" s="13" t="s">
        <v>1137</v>
      </c>
      <c r="I87" s="13" t="s">
        <v>613</v>
      </c>
      <c r="J87" s="14">
        <v>45621</v>
      </c>
      <c r="K87" s="14">
        <v>45979</v>
      </c>
      <c r="L87" s="13" t="s">
        <v>682</v>
      </c>
      <c r="M87" s="13" t="s">
        <v>1138</v>
      </c>
      <c r="N87" s="13" t="s">
        <v>1139</v>
      </c>
      <c r="O87" s="17" t="s">
        <v>1140</v>
      </c>
      <c r="P87" s="79" t="s">
        <v>170</v>
      </c>
      <c r="Q87" s="13" t="s">
        <v>618</v>
      </c>
      <c r="R87" s="13" t="str">
        <f>VLOOKUP(P87,'Dados das Regiões '!A:B,2,0)</f>
        <v>CAMPO MOURÃO</v>
      </c>
      <c r="S87" s="13" t="s">
        <v>1141</v>
      </c>
      <c r="T87" s="13"/>
      <c r="U87" s="79" t="s">
        <v>1142</v>
      </c>
      <c r="V87" s="13" t="s">
        <v>1143</v>
      </c>
      <c r="W87" s="13" t="s">
        <v>1144</v>
      </c>
      <c r="X87" s="15">
        <v>0.5625</v>
      </c>
      <c r="Y87" s="16" t="s">
        <v>680</v>
      </c>
      <c r="Z87" s="16" t="s">
        <v>622</v>
      </c>
      <c r="AA87" s="36"/>
      <c r="AB87" s="164">
        <v>202401281</v>
      </c>
      <c r="AC87" s="55" t="s">
        <v>7</v>
      </c>
    </row>
    <row r="88" spans="1:29">
      <c r="A88" s="14"/>
      <c r="B88" s="13" t="str">
        <f t="shared" si="7"/>
        <v>Pendente</v>
      </c>
      <c r="C88" s="14" t="str">
        <f t="shared" si="6"/>
        <v/>
      </c>
      <c r="D88" s="13" t="s">
        <v>611</v>
      </c>
      <c r="E88" s="14" t="str">
        <f t="shared" si="8"/>
        <v/>
      </c>
      <c r="F88" s="13" t="s">
        <v>611</v>
      </c>
      <c r="G88" s="40">
        <v>202401281</v>
      </c>
      <c r="H88" s="13" t="s">
        <v>1145</v>
      </c>
      <c r="I88" s="13" t="s">
        <v>613</v>
      </c>
      <c r="J88" s="14">
        <v>45621</v>
      </c>
      <c r="K88" s="14">
        <v>45979</v>
      </c>
      <c r="L88" s="13" t="s">
        <v>632</v>
      </c>
      <c r="M88" s="13" t="s">
        <v>1146</v>
      </c>
      <c r="N88" s="13" t="s">
        <v>1147</v>
      </c>
      <c r="O88" s="17" t="s">
        <v>1148</v>
      </c>
      <c r="P88" s="79" t="s">
        <v>506</v>
      </c>
      <c r="Q88" s="13" t="s">
        <v>618</v>
      </c>
      <c r="R88" s="13" t="str">
        <f>VLOOKUP(P88,'Dados das Regiões '!A:B,2,0)</f>
        <v>UMUARAMA</v>
      </c>
      <c r="S88" s="13" t="s">
        <v>1149</v>
      </c>
      <c r="T88" s="13"/>
      <c r="U88" s="79" t="s">
        <v>1150</v>
      </c>
      <c r="V88" s="13" t="s">
        <v>1151</v>
      </c>
      <c r="W88" s="13" t="s">
        <v>1152</v>
      </c>
      <c r="X88" s="15">
        <v>0.33333333333333331</v>
      </c>
      <c r="Y88" s="16" t="s">
        <v>648</v>
      </c>
      <c r="Z88" s="16" t="s">
        <v>622</v>
      </c>
      <c r="AA88" s="36"/>
      <c r="AB88" s="164">
        <v>202401281</v>
      </c>
      <c r="AC88" s="55" t="s">
        <v>7</v>
      </c>
    </row>
    <row r="89" spans="1:29">
      <c r="A89" s="14"/>
      <c r="B89" s="13" t="str">
        <f t="shared" si="7"/>
        <v>Pendente</v>
      </c>
      <c r="C89" s="14" t="str">
        <f t="shared" si="6"/>
        <v/>
      </c>
      <c r="D89" s="13" t="s">
        <v>611</v>
      </c>
      <c r="E89" s="14" t="str">
        <f t="shared" si="8"/>
        <v/>
      </c>
      <c r="F89" s="13" t="s">
        <v>611</v>
      </c>
      <c r="G89" s="40">
        <v>202400991</v>
      </c>
      <c r="H89" s="13" t="s">
        <v>1153</v>
      </c>
      <c r="I89" s="13" t="s">
        <v>613</v>
      </c>
      <c r="J89" s="14">
        <v>45621</v>
      </c>
      <c r="K89" s="14">
        <v>45979</v>
      </c>
      <c r="L89" s="13" t="s">
        <v>657</v>
      </c>
      <c r="M89" s="13" t="s">
        <v>1154</v>
      </c>
      <c r="N89" s="13" t="s">
        <v>1155</v>
      </c>
      <c r="O89" s="17" t="s">
        <v>1156</v>
      </c>
      <c r="P89" s="79" t="s">
        <v>440</v>
      </c>
      <c r="Q89" s="13" t="s">
        <v>618</v>
      </c>
      <c r="R89" s="13" t="str">
        <f>VLOOKUP(P89,'Dados das Regiões '!A:B,2,0)</f>
        <v>PATO BRANCO</v>
      </c>
      <c r="S89" s="13" t="s">
        <v>1157</v>
      </c>
      <c r="T89" s="13"/>
      <c r="U89" s="79"/>
      <c r="V89" s="13" t="s">
        <v>1158</v>
      </c>
      <c r="W89" s="13" t="s">
        <v>1159</v>
      </c>
      <c r="X89" s="15">
        <v>0.33333333333333331</v>
      </c>
      <c r="Y89" s="16" t="s">
        <v>648</v>
      </c>
      <c r="Z89" s="16" t="s">
        <v>622</v>
      </c>
      <c r="AA89" s="36"/>
      <c r="AB89" s="164">
        <v>202400991</v>
      </c>
      <c r="AC89" s="55" t="s">
        <v>11</v>
      </c>
    </row>
    <row r="90" spans="1:29">
      <c r="A90" s="14"/>
      <c r="B90" s="13" t="str">
        <f t="shared" si="7"/>
        <v>Pendente</v>
      </c>
      <c r="C90" s="14" t="str">
        <f t="shared" si="6"/>
        <v/>
      </c>
      <c r="D90" s="13" t="s">
        <v>611</v>
      </c>
      <c r="E90" s="14" t="str">
        <f t="shared" si="8"/>
        <v/>
      </c>
      <c r="F90" s="13" t="s">
        <v>611</v>
      </c>
      <c r="G90" s="40">
        <v>202401281</v>
      </c>
      <c r="H90" s="13" t="s">
        <v>1160</v>
      </c>
      <c r="I90" s="13" t="s">
        <v>613</v>
      </c>
      <c r="J90" s="14">
        <v>45621</v>
      </c>
      <c r="K90" s="14">
        <v>45979</v>
      </c>
      <c r="L90" s="13" t="s">
        <v>682</v>
      </c>
      <c r="M90" s="13" t="s">
        <v>1161</v>
      </c>
      <c r="N90" s="13" t="s">
        <v>1162</v>
      </c>
      <c r="O90" s="17" t="s">
        <v>1163</v>
      </c>
      <c r="P90" s="79" t="s">
        <v>228</v>
      </c>
      <c r="Q90" s="13" t="s">
        <v>618</v>
      </c>
      <c r="R90" s="13" t="str">
        <f>VLOOKUP(P90,'Dados das Regiões '!A:B,2,0)</f>
        <v>CORNÉLIO PROCÓPIO</v>
      </c>
      <c r="S90" s="13" t="s">
        <v>1164</v>
      </c>
      <c r="T90" s="13"/>
      <c r="U90" s="79"/>
      <c r="V90" s="13" t="s">
        <v>1165</v>
      </c>
      <c r="W90" s="13" t="s">
        <v>1166</v>
      </c>
      <c r="X90" s="15">
        <v>0.33333333333333331</v>
      </c>
      <c r="Y90" s="16" t="s">
        <v>648</v>
      </c>
      <c r="Z90" s="16" t="s">
        <v>622</v>
      </c>
      <c r="AA90" s="36"/>
      <c r="AB90" s="164">
        <v>202401281</v>
      </c>
      <c r="AC90" s="55" t="s">
        <v>7</v>
      </c>
    </row>
    <row r="91" spans="1:29">
      <c r="A91" s="14"/>
      <c r="B91" s="13" t="str">
        <f t="shared" si="7"/>
        <v>Pendente</v>
      </c>
      <c r="C91" s="14" t="str">
        <f t="shared" si="6"/>
        <v/>
      </c>
      <c r="D91" s="13" t="s">
        <v>611</v>
      </c>
      <c r="E91" s="14" t="str">
        <f t="shared" si="8"/>
        <v/>
      </c>
      <c r="F91" s="13" t="s">
        <v>611</v>
      </c>
      <c r="G91" s="40">
        <v>202401281</v>
      </c>
      <c r="H91" s="13" t="s">
        <v>1167</v>
      </c>
      <c r="I91" s="13" t="s">
        <v>613</v>
      </c>
      <c r="J91" s="14">
        <v>45621</v>
      </c>
      <c r="K91" s="14">
        <v>45979</v>
      </c>
      <c r="L91" s="13" t="s">
        <v>632</v>
      </c>
      <c r="M91" s="13" t="s">
        <v>1168</v>
      </c>
      <c r="N91" s="499" t="s">
        <v>1169</v>
      </c>
      <c r="O91" s="17" t="s">
        <v>1170</v>
      </c>
      <c r="P91" s="79" t="s">
        <v>226</v>
      </c>
      <c r="Q91" s="13" t="s">
        <v>618</v>
      </c>
      <c r="R91" s="13" t="str">
        <f>VLOOKUP(P91,'Dados das Regiões '!A:B,2,0)</f>
        <v>CORNÉLIO PROCÓPIO</v>
      </c>
      <c r="S91" s="13" t="s">
        <v>1171</v>
      </c>
      <c r="T91" s="13"/>
      <c r="U91" s="79" t="s">
        <v>1172</v>
      </c>
      <c r="V91" s="13" t="s">
        <v>1173</v>
      </c>
      <c r="W91" s="13" t="s">
        <v>1174</v>
      </c>
      <c r="X91" s="15">
        <v>0.5625</v>
      </c>
      <c r="Y91" s="16" t="s">
        <v>680</v>
      </c>
      <c r="Z91" s="16" t="s">
        <v>622</v>
      </c>
      <c r="AA91" s="36"/>
      <c r="AB91" s="164">
        <v>202401281</v>
      </c>
      <c r="AC91" s="55" t="s">
        <v>7</v>
      </c>
    </row>
    <row r="92" spans="1:29">
      <c r="A92" s="14">
        <v>45866</v>
      </c>
      <c r="B92" s="13" t="str">
        <f t="shared" si="7"/>
        <v>Realizada</v>
      </c>
      <c r="C92" s="14">
        <f t="shared" si="6"/>
        <v>45958</v>
      </c>
      <c r="D92" s="13" t="s">
        <v>611</v>
      </c>
      <c r="E92" s="14">
        <f t="shared" si="8"/>
        <v>46050</v>
      </c>
      <c r="F92" s="13" t="s">
        <v>611</v>
      </c>
      <c r="G92" s="40">
        <v>202401099</v>
      </c>
      <c r="H92" s="13" t="s">
        <v>1175</v>
      </c>
      <c r="I92" s="13" t="s">
        <v>1176</v>
      </c>
      <c r="J92" s="14">
        <v>45586</v>
      </c>
      <c r="K92" s="14">
        <v>45946</v>
      </c>
      <c r="L92" s="13" t="s">
        <v>1177</v>
      </c>
      <c r="M92" s="13" t="s">
        <v>1178</v>
      </c>
      <c r="N92" s="13" t="s">
        <v>1179</v>
      </c>
      <c r="O92" s="17" t="s">
        <v>1180</v>
      </c>
      <c r="P92" s="79" t="s">
        <v>446</v>
      </c>
      <c r="Q92" s="13" t="s">
        <v>618</v>
      </c>
      <c r="R92" s="13" t="e">
        <f>VLOOKUP(P92,'Dados das Regiões '!#REF!,2,0)</f>
        <v>#REF!</v>
      </c>
      <c r="S92" s="13" t="s">
        <v>1181</v>
      </c>
      <c r="T92" s="13"/>
      <c r="U92" s="79"/>
      <c r="V92" s="13" t="s">
        <v>1182</v>
      </c>
      <c r="W92" s="13" t="s">
        <v>1183</v>
      </c>
      <c r="X92" s="15">
        <v>0.33333333333333331</v>
      </c>
      <c r="Y92" s="16" t="s">
        <v>648</v>
      </c>
      <c r="Z92" s="16" t="s">
        <v>622</v>
      </c>
      <c r="AA92" s="36"/>
      <c r="AB92" s="164">
        <v>202401099</v>
      </c>
      <c r="AC92" s="55" t="s">
        <v>17</v>
      </c>
    </row>
    <row r="93" spans="1:29">
      <c r="A93" s="14">
        <v>45867</v>
      </c>
      <c r="B93" s="13" t="str">
        <f t="shared" si="7"/>
        <v>Realizada</v>
      </c>
      <c r="C93" s="14">
        <f t="shared" si="6"/>
        <v>45959</v>
      </c>
      <c r="D93" s="13" t="s">
        <v>611</v>
      </c>
      <c r="E93" s="14">
        <f t="shared" si="8"/>
        <v>46051</v>
      </c>
      <c r="F93" s="13" t="s">
        <v>611</v>
      </c>
      <c r="G93" s="40">
        <v>202401099</v>
      </c>
      <c r="H93" s="13" t="s">
        <v>1184</v>
      </c>
      <c r="I93" s="13" t="s">
        <v>1176</v>
      </c>
      <c r="J93" s="14">
        <v>45586</v>
      </c>
      <c r="K93" s="14">
        <v>45946</v>
      </c>
      <c r="L93" s="13" t="s">
        <v>1185</v>
      </c>
      <c r="M93" s="13" t="s">
        <v>1186</v>
      </c>
      <c r="N93" s="13" t="s">
        <v>1187</v>
      </c>
      <c r="O93" s="17" t="s">
        <v>1188</v>
      </c>
      <c r="P93" s="79" t="s">
        <v>445</v>
      </c>
      <c r="Q93" s="13" t="s">
        <v>618</v>
      </c>
      <c r="R93" s="13" t="e">
        <f>VLOOKUP(P93,'Dados das Regiões '!#REF!,2,0)</f>
        <v>#REF!</v>
      </c>
      <c r="S93" s="97" t="s">
        <v>1189</v>
      </c>
      <c r="T93" s="13"/>
      <c r="U93" s="79"/>
      <c r="V93" s="97" t="s">
        <v>1190</v>
      </c>
      <c r="W93" s="13"/>
      <c r="X93" s="15">
        <v>0.5625</v>
      </c>
      <c r="Y93" s="16" t="s">
        <v>680</v>
      </c>
      <c r="Z93" s="16" t="s">
        <v>622</v>
      </c>
      <c r="AA93" s="36"/>
      <c r="AB93" s="164">
        <v>202401099</v>
      </c>
      <c r="AC93" s="55" t="s">
        <v>17</v>
      </c>
    </row>
    <row r="94" spans="1:29">
      <c r="A94" s="14"/>
      <c r="B94" s="13" t="str">
        <f t="shared" si="7"/>
        <v>Pendente</v>
      </c>
      <c r="C94" s="14" t="str">
        <f t="shared" si="6"/>
        <v/>
      </c>
      <c r="D94" s="13" t="s">
        <v>611</v>
      </c>
      <c r="E94" s="14" t="str">
        <f t="shared" si="8"/>
        <v/>
      </c>
      <c r="F94" s="13" t="s">
        <v>611</v>
      </c>
      <c r="G94" s="40">
        <v>202401100</v>
      </c>
      <c r="H94" s="13" t="s">
        <v>1191</v>
      </c>
      <c r="I94" s="13" t="s">
        <v>1192</v>
      </c>
      <c r="J94" s="14">
        <v>45586</v>
      </c>
      <c r="K94" s="14">
        <v>45946</v>
      </c>
      <c r="L94" s="13" t="s">
        <v>1193</v>
      </c>
      <c r="M94" s="13" t="s">
        <v>1194</v>
      </c>
      <c r="N94" s="13" t="s">
        <v>1195</v>
      </c>
      <c r="O94" s="17" t="s">
        <v>1196</v>
      </c>
      <c r="P94" s="79" t="s">
        <v>150</v>
      </c>
      <c r="Q94" s="13" t="s">
        <v>618</v>
      </c>
      <c r="R94" s="13" t="str">
        <f>VLOOKUP(P94,'Dados das Regiões '!A:B,2,0)</f>
        <v>CAMPO MOURÃO</v>
      </c>
      <c r="S94" s="13" t="s">
        <v>1197</v>
      </c>
      <c r="T94" s="13"/>
      <c r="U94" s="79"/>
      <c r="V94" s="13" t="s">
        <v>1198</v>
      </c>
      <c r="W94" s="13" t="s">
        <v>1199</v>
      </c>
      <c r="X94" s="15">
        <v>0.58333333333333337</v>
      </c>
      <c r="Y94" s="16" t="s">
        <v>1200</v>
      </c>
      <c r="Z94" s="16" t="s">
        <v>622</v>
      </c>
      <c r="AA94" s="36"/>
      <c r="AB94" s="164">
        <v>202401100</v>
      </c>
      <c r="AC94" s="55" t="s">
        <v>3</v>
      </c>
    </row>
    <row r="95" spans="1:29">
      <c r="A95" s="14">
        <v>45924</v>
      </c>
      <c r="B95" s="13" t="str">
        <f t="shared" si="7"/>
        <v>Realizada</v>
      </c>
      <c r="C95" s="14">
        <f t="shared" si="6"/>
        <v>46015</v>
      </c>
      <c r="D95" s="13" t="s">
        <v>611</v>
      </c>
      <c r="E95" s="14">
        <f t="shared" si="8"/>
        <v>46105</v>
      </c>
      <c r="F95" s="13" t="s">
        <v>611</v>
      </c>
      <c r="G95" s="40">
        <v>202401100</v>
      </c>
      <c r="H95" s="13" t="s">
        <v>1201</v>
      </c>
      <c r="I95" s="13" t="s">
        <v>1192</v>
      </c>
      <c r="J95" s="14">
        <v>45586</v>
      </c>
      <c r="K95" s="14">
        <v>45946</v>
      </c>
      <c r="L95" s="13" t="s">
        <v>1202</v>
      </c>
      <c r="M95" s="13" t="s">
        <v>1203</v>
      </c>
      <c r="N95" s="13" t="s">
        <v>1204</v>
      </c>
      <c r="O95" s="17" t="s">
        <v>1205</v>
      </c>
      <c r="P95" s="79" t="s">
        <v>453</v>
      </c>
      <c r="Q95" s="13" t="s">
        <v>618</v>
      </c>
      <c r="R95" s="13" t="str">
        <f>VLOOKUP(P95,'Dados das Regiões '!A:B,2,0)</f>
        <v>PRUDENTÓPOLIS</v>
      </c>
      <c r="S95" s="13" t="s">
        <v>1206</v>
      </c>
      <c r="T95" s="13"/>
      <c r="U95" s="79" t="s">
        <v>1207</v>
      </c>
      <c r="V95" s="13" t="s">
        <v>1208</v>
      </c>
      <c r="W95" s="13" t="s">
        <v>1209</v>
      </c>
      <c r="X95" s="336">
        <v>0.33333333333333331</v>
      </c>
      <c r="Y95" s="16" t="s">
        <v>648</v>
      </c>
      <c r="Z95" s="16" t="s">
        <v>622</v>
      </c>
      <c r="AA95" s="36"/>
      <c r="AB95" s="164">
        <v>202401100</v>
      </c>
      <c r="AC95" s="55" t="s">
        <v>3</v>
      </c>
    </row>
    <row r="96" spans="1:29">
      <c r="A96" s="14"/>
      <c r="B96" s="13" t="str">
        <f t="shared" si="7"/>
        <v>Pendente</v>
      </c>
      <c r="C96" s="14" t="str">
        <f t="shared" si="6"/>
        <v/>
      </c>
      <c r="D96" s="13" t="s">
        <v>611</v>
      </c>
      <c r="E96" s="14" t="str">
        <f t="shared" si="8"/>
        <v/>
      </c>
      <c r="F96" s="13" t="s">
        <v>611</v>
      </c>
      <c r="G96" s="40">
        <v>202401099</v>
      </c>
      <c r="H96" s="13" t="s">
        <v>1210</v>
      </c>
      <c r="I96" s="13" t="s">
        <v>1176</v>
      </c>
      <c r="J96" s="14">
        <v>45586</v>
      </c>
      <c r="K96" s="14">
        <v>45946</v>
      </c>
      <c r="L96" s="13" t="s">
        <v>1185</v>
      </c>
      <c r="M96" s="13" t="s">
        <v>1211</v>
      </c>
      <c r="N96" s="13" t="s">
        <v>1212</v>
      </c>
      <c r="O96" s="17" t="s">
        <v>1213</v>
      </c>
      <c r="P96" s="79" t="s">
        <v>438</v>
      </c>
      <c r="Q96" s="13" t="s">
        <v>618</v>
      </c>
      <c r="R96" s="13" t="str">
        <f>VLOOKUP(P96,'Dados das Regiões '!A:B,2,0)</f>
        <v>PATO BRANCO</v>
      </c>
      <c r="S96" s="13" t="s">
        <v>1214</v>
      </c>
      <c r="T96" s="13"/>
      <c r="U96" s="79"/>
      <c r="V96" s="13" t="s">
        <v>1215</v>
      </c>
      <c r="W96" s="13" t="s">
        <v>1216</v>
      </c>
      <c r="X96" s="15">
        <v>0.5625</v>
      </c>
      <c r="Y96" s="16" t="s">
        <v>680</v>
      </c>
      <c r="Z96" s="16" t="s">
        <v>622</v>
      </c>
      <c r="AA96" s="36" t="s">
        <v>1217</v>
      </c>
      <c r="AB96" s="164">
        <v>202401099</v>
      </c>
      <c r="AC96" s="55" t="s">
        <v>17</v>
      </c>
    </row>
    <row r="97" spans="1:29">
      <c r="A97" s="14" t="s">
        <v>1218</v>
      </c>
      <c r="B97" s="14" t="s">
        <v>1218</v>
      </c>
      <c r="C97" s="14" t="s">
        <v>1218</v>
      </c>
      <c r="D97" s="14" t="s">
        <v>1218</v>
      </c>
      <c r="E97" s="14" t="s">
        <v>1218</v>
      </c>
      <c r="F97" s="14" t="s">
        <v>1218</v>
      </c>
      <c r="G97" s="40">
        <v>202401099</v>
      </c>
      <c r="H97" s="13" t="s">
        <v>1219</v>
      </c>
      <c r="I97" s="13" t="s">
        <v>1176</v>
      </c>
      <c r="J97" s="14">
        <v>45586</v>
      </c>
      <c r="K97" s="14">
        <v>45946</v>
      </c>
      <c r="L97" s="13" t="s">
        <v>1185</v>
      </c>
      <c r="M97" s="13" t="s">
        <v>1220</v>
      </c>
      <c r="N97" s="13" t="s">
        <v>1221</v>
      </c>
      <c r="O97" s="17" t="s">
        <v>1222</v>
      </c>
      <c r="P97" s="79" t="s">
        <v>470</v>
      </c>
      <c r="Q97" s="13" t="s">
        <v>618</v>
      </c>
      <c r="R97" s="13" t="str">
        <f>VLOOKUP(P97,'Dados das Regiões '!A:B,2,0)</f>
        <v>SÃO JOSÉ DOS PINHAIS</v>
      </c>
      <c r="S97" s="13" t="s">
        <v>1223</v>
      </c>
      <c r="T97" s="13"/>
      <c r="U97" s="79" t="s">
        <v>1224</v>
      </c>
      <c r="V97" s="13" t="s">
        <v>1224</v>
      </c>
      <c r="W97" s="13" t="s">
        <v>1225</v>
      </c>
      <c r="X97" s="15">
        <v>0.58333333333333337</v>
      </c>
      <c r="Y97" s="16">
        <v>0.5</v>
      </c>
      <c r="Z97" s="16" t="s">
        <v>622</v>
      </c>
      <c r="AA97" s="36" t="s">
        <v>1217</v>
      </c>
      <c r="AB97" s="164">
        <v>202401099</v>
      </c>
      <c r="AC97" s="55" t="s">
        <v>17</v>
      </c>
    </row>
    <row r="98" spans="1:29">
      <c r="A98" s="14">
        <v>45932</v>
      </c>
      <c r="B98" s="13" t="str">
        <f t="shared" ref="B98:B129" si="9">IF(ISBLANK(A98), "Pendente", "Realizada")</f>
        <v>Realizada</v>
      </c>
      <c r="C98" s="14">
        <f t="shared" ref="C98:C105" si="10">IF(A98="", "", EDATE(A98, 3))</f>
        <v>46024</v>
      </c>
      <c r="D98" s="13" t="s">
        <v>611</v>
      </c>
      <c r="E98" s="14">
        <f t="shared" ref="E98:E123" si="11">IF(C98="", "", EDATE(C98, 3))</f>
        <v>46114</v>
      </c>
      <c r="F98" s="13" t="s">
        <v>611</v>
      </c>
      <c r="G98" s="40">
        <v>202401100</v>
      </c>
      <c r="H98" s="13" t="s">
        <v>1226</v>
      </c>
      <c r="I98" s="13" t="s">
        <v>1192</v>
      </c>
      <c r="J98" s="14">
        <v>45586</v>
      </c>
      <c r="K98" s="14">
        <v>45946</v>
      </c>
      <c r="L98" s="13" t="s">
        <v>1193</v>
      </c>
      <c r="M98" s="13" t="s">
        <v>1194</v>
      </c>
      <c r="N98" s="13" t="s">
        <v>1195</v>
      </c>
      <c r="O98" s="17" t="s">
        <v>1196</v>
      </c>
      <c r="P98" s="79" t="s">
        <v>150</v>
      </c>
      <c r="Q98" s="13" t="s">
        <v>618</v>
      </c>
      <c r="R98" s="13" t="str">
        <f>VLOOKUP(P98,'Dados das Regiões '!A:B,2,0)</f>
        <v>CAMPO MOURÃO</v>
      </c>
      <c r="S98" s="13" t="s">
        <v>1227</v>
      </c>
      <c r="T98" s="13"/>
      <c r="U98" s="79"/>
      <c r="V98" s="13" t="s">
        <v>1198</v>
      </c>
      <c r="W98" s="13" t="s">
        <v>1199</v>
      </c>
      <c r="X98" s="15">
        <v>0.58333333333333337</v>
      </c>
      <c r="Y98" s="16" t="s">
        <v>1200</v>
      </c>
      <c r="Z98" s="16" t="s">
        <v>622</v>
      </c>
      <c r="AA98" s="36"/>
      <c r="AB98" s="164">
        <v>202401100</v>
      </c>
      <c r="AC98" s="55" t="s">
        <v>3</v>
      </c>
    </row>
    <row r="99" spans="1:29">
      <c r="A99" s="14"/>
      <c r="B99" s="13" t="str">
        <f t="shared" si="9"/>
        <v>Pendente</v>
      </c>
      <c r="C99" s="14" t="str">
        <f t="shared" si="10"/>
        <v/>
      </c>
      <c r="D99" s="13" t="s">
        <v>611</v>
      </c>
      <c r="E99" s="14" t="str">
        <f t="shared" si="11"/>
        <v/>
      </c>
      <c r="F99" s="13" t="s">
        <v>611</v>
      </c>
      <c r="G99" s="40">
        <v>202401100</v>
      </c>
      <c r="H99" s="13" t="s">
        <v>1228</v>
      </c>
      <c r="I99" s="13" t="s">
        <v>1192</v>
      </c>
      <c r="J99" s="14">
        <v>45586</v>
      </c>
      <c r="K99" s="14">
        <v>45946</v>
      </c>
      <c r="L99" s="13" t="s">
        <v>1193</v>
      </c>
      <c r="M99" s="13" t="s">
        <v>1194</v>
      </c>
      <c r="N99" s="13" t="s">
        <v>1195</v>
      </c>
      <c r="O99" s="17" t="s">
        <v>1196</v>
      </c>
      <c r="P99" s="79" t="s">
        <v>150</v>
      </c>
      <c r="Q99" s="13" t="s">
        <v>618</v>
      </c>
      <c r="R99" s="13" t="str">
        <f>VLOOKUP(P99,'Dados das Regiões '!A:B,2,0)</f>
        <v>CAMPO MOURÃO</v>
      </c>
      <c r="S99" s="13" t="s">
        <v>1197</v>
      </c>
      <c r="T99" s="13"/>
      <c r="U99" s="79"/>
      <c r="V99" s="13" t="s">
        <v>1198</v>
      </c>
      <c r="W99" s="13" t="s">
        <v>1199</v>
      </c>
      <c r="X99" s="15">
        <v>0.58333333333333337</v>
      </c>
      <c r="Y99" s="16" t="s">
        <v>1200</v>
      </c>
      <c r="Z99" s="16" t="s">
        <v>622</v>
      </c>
      <c r="AA99" s="36"/>
      <c r="AB99" s="164">
        <v>202401100</v>
      </c>
      <c r="AC99" s="55" t="s">
        <v>3</v>
      </c>
    </row>
    <row r="100" spans="1:29">
      <c r="A100" s="14">
        <v>45932</v>
      </c>
      <c r="B100" s="13" t="str">
        <f t="shared" si="9"/>
        <v>Realizada</v>
      </c>
      <c r="C100" s="14">
        <f t="shared" si="10"/>
        <v>46024</v>
      </c>
      <c r="D100" s="13" t="s">
        <v>611</v>
      </c>
      <c r="E100" s="14">
        <f t="shared" si="11"/>
        <v>46114</v>
      </c>
      <c r="F100" s="13" t="s">
        <v>611</v>
      </c>
      <c r="G100" s="40">
        <v>202401100</v>
      </c>
      <c r="H100" s="13" t="s">
        <v>1229</v>
      </c>
      <c r="I100" s="13" t="s">
        <v>1192</v>
      </c>
      <c r="J100" s="14">
        <v>45586</v>
      </c>
      <c r="K100" s="14">
        <v>45946</v>
      </c>
      <c r="L100" s="13" t="s">
        <v>1193</v>
      </c>
      <c r="M100" s="13" t="s">
        <v>1194</v>
      </c>
      <c r="N100" s="13" t="s">
        <v>1195</v>
      </c>
      <c r="O100" s="17" t="s">
        <v>1196</v>
      </c>
      <c r="P100" s="79" t="s">
        <v>150</v>
      </c>
      <c r="Q100" s="13" t="s">
        <v>618</v>
      </c>
      <c r="R100" s="13" t="str">
        <f>VLOOKUP(P100,'Dados das Regiões '!A:B,2,0)</f>
        <v>CAMPO MOURÃO</v>
      </c>
      <c r="S100" s="13" t="s">
        <v>1197</v>
      </c>
      <c r="T100" s="13"/>
      <c r="U100" s="79"/>
      <c r="V100" s="13" t="s">
        <v>1198</v>
      </c>
      <c r="W100" s="13" t="s">
        <v>1199</v>
      </c>
      <c r="X100" s="15">
        <v>0.58333333333333337</v>
      </c>
      <c r="Y100" s="16" t="s">
        <v>1200</v>
      </c>
      <c r="Z100" s="16" t="s">
        <v>622</v>
      </c>
      <c r="AA100" s="36"/>
      <c r="AB100" s="164">
        <v>202401100</v>
      </c>
      <c r="AC100" s="55" t="s">
        <v>3</v>
      </c>
    </row>
    <row r="101" spans="1:29">
      <c r="A101" s="14">
        <v>45932</v>
      </c>
      <c r="B101" s="13" t="str">
        <f t="shared" si="9"/>
        <v>Realizada</v>
      </c>
      <c r="C101" s="14">
        <f t="shared" si="10"/>
        <v>46024</v>
      </c>
      <c r="D101" s="13" t="s">
        <v>611</v>
      </c>
      <c r="E101" s="14">
        <f t="shared" si="11"/>
        <v>46114</v>
      </c>
      <c r="F101" s="13" t="s">
        <v>611</v>
      </c>
      <c r="G101" s="40">
        <v>202401100</v>
      </c>
      <c r="H101" s="13" t="s">
        <v>1230</v>
      </c>
      <c r="I101" s="13" t="s">
        <v>1192</v>
      </c>
      <c r="J101" s="14">
        <v>45586</v>
      </c>
      <c r="K101" s="14">
        <v>45946</v>
      </c>
      <c r="L101" s="13" t="s">
        <v>1193</v>
      </c>
      <c r="M101" s="13" t="s">
        <v>1194</v>
      </c>
      <c r="N101" s="13" t="s">
        <v>1195</v>
      </c>
      <c r="O101" s="17" t="s">
        <v>1196</v>
      </c>
      <c r="P101" s="79" t="s">
        <v>150</v>
      </c>
      <c r="Q101" s="13" t="s">
        <v>618</v>
      </c>
      <c r="R101" s="13" t="str">
        <f>VLOOKUP(P101,'Dados das Regiões '!A:B,2,0)</f>
        <v>CAMPO MOURÃO</v>
      </c>
      <c r="S101" s="13" t="s">
        <v>1197</v>
      </c>
      <c r="T101" s="13"/>
      <c r="U101" s="79"/>
      <c r="V101" s="13" t="s">
        <v>1198</v>
      </c>
      <c r="W101" s="13" t="s">
        <v>1199</v>
      </c>
      <c r="X101" s="15">
        <v>0.58333333333333337</v>
      </c>
      <c r="Y101" s="16" t="s">
        <v>1200</v>
      </c>
      <c r="Z101" s="16" t="s">
        <v>622</v>
      </c>
      <c r="AA101" s="36"/>
      <c r="AB101" s="164">
        <v>202401100</v>
      </c>
      <c r="AC101" s="55" t="s">
        <v>3</v>
      </c>
    </row>
    <row r="102" spans="1:29">
      <c r="A102" s="14">
        <v>45932</v>
      </c>
      <c r="B102" s="13" t="str">
        <f t="shared" si="9"/>
        <v>Realizada</v>
      </c>
      <c r="C102" s="14">
        <f t="shared" si="10"/>
        <v>46024</v>
      </c>
      <c r="D102" s="13" t="s">
        <v>611</v>
      </c>
      <c r="E102" s="14">
        <f t="shared" si="11"/>
        <v>46114</v>
      </c>
      <c r="F102" s="13" t="s">
        <v>611</v>
      </c>
      <c r="G102" s="40">
        <v>202401100</v>
      </c>
      <c r="H102" s="13" t="s">
        <v>1231</v>
      </c>
      <c r="I102" s="13" t="s">
        <v>1192</v>
      </c>
      <c r="J102" s="14">
        <v>45586</v>
      </c>
      <c r="K102" s="14">
        <v>45946</v>
      </c>
      <c r="L102" s="13" t="s">
        <v>1193</v>
      </c>
      <c r="M102" s="13" t="s">
        <v>1194</v>
      </c>
      <c r="N102" s="13" t="s">
        <v>1195</v>
      </c>
      <c r="O102" s="17" t="s">
        <v>1196</v>
      </c>
      <c r="P102" s="79" t="s">
        <v>150</v>
      </c>
      <c r="Q102" s="13" t="s">
        <v>618</v>
      </c>
      <c r="R102" s="13" t="str">
        <f>VLOOKUP(P102,'Dados das Regiões '!A:B,2,0)</f>
        <v>CAMPO MOURÃO</v>
      </c>
      <c r="S102" s="13" t="s">
        <v>1197</v>
      </c>
      <c r="T102" s="13"/>
      <c r="U102" s="79"/>
      <c r="V102" s="13" t="s">
        <v>1198</v>
      </c>
      <c r="W102" s="13" t="s">
        <v>1199</v>
      </c>
      <c r="X102" s="15">
        <v>0.58333333333333337</v>
      </c>
      <c r="Y102" s="16" t="s">
        <v>1200</v>
      </c>
      <c r="Z102" s="16" t="s">
        <v>622</v>
      </c>
      <c r="AA102" s="36"/>
      <c r="AB102" s="164">
        <v>202401100</v>
      </c>
      <c r="AC102" s="55" t="s">
        <v>3</v>
      </c>
    </row>
    <row r="103" spans="1:29">
      <c r="A103" s="14"/>
      <c r="B103" s="13" t="str">
        <f t="shared" si="9"/>
        <v>Pendente</v>
      </c>
      <c r="C103" s="14" t="str">
        <f t="shared" si="10"/>
        <v/>
      </c>
      <c r="D103" s="13" t="s">
        <v>611</v>
      </c>
      <c r="E103" s="14" t="str">
        <f t="shared" si="11"/>
        <v/>
      </c>
      <c r="F103" s="13" t="s">
        <v>611</v>
      </c>
      <c r="G103" s="40">
        <v>202401099</v>
      </c>
      <c r="H103" s="13" t="s">
        <v>1232</v>
      </c>
      <c r="I103" s="13" t="s">
        <v>1176</v>
      </c>
      <c r="J103" s="14">
        <v>45586</v>
      </c>
      <c r="K103" s="14">
        <v>45946</v>
      </c>
      <c r="L103" s="13" t="s">
        <v>1185</v>
      </c>
      <c r="M103" s="13" t="s">
        <v>1233</v>
      </c>
      <c r="N103" s="13" t="s">
        <v>1234</v>
      </c>
      <c r="O103" s="17" t="s">
        <v>1235</v>
      </c>
      <c r="P103" s="79" t="s">
        <v>359</v>
      </c>
      <c r="Q103" s="13" t="s">
        <v>618</v>
      </c>
      <c r="R103" s="13" t="str">
        <f>VLOOKUP(P103,'Dados das Regiões '!A:B,2,0)</f>
        <v>MARECHAL CÂNDIDO RONDON</v>
      </c>
      <c r="S103" s="13" t="s">
        <v>1236</v>
      </c>
      <c r="T103" s="13"/>
      <c r="U103" s="79"/>
      <c r="V103" s="13" t="s">
        <v>1237</v>
      </c>
      <c r="W103" s="13" t="s">
        <v>1238</v>
      </c>
      <c r="X103" s="15">
        <v>0.54166666666666663</v>
      </c>
      <c r="Y103" s="16" t="s">
        <v>848</v>
      </c>
      <c r="Z103" s="16" t="s">
        <v>622</v>
      </c>
      <c r="AA103" s="36" t="s">
        <v>1217</v>
      </c>
      <c r="AB103" s="164">
        <v>202401099</v>
      </c>
      <c r="AC103" s="55" t="s">
        <v>17</v>
      </c>
    </row>
    <row r="104" spans="1:29">
      <c r="A104" s="14"/>
      <c r="B104" s="13" t="str">
        <f t="shared" si="9"/>
        <v>Pendente</v>
      </c>
      <c r="C104" s="14" t="str">
        <f t="shared" si="10"/>
        <v/>
      </c>
      <c r="D104" s="13" t="s">
        <v>611</v>
      </c>
      <c r="E104" s="14" t="str">
        <f t="shared" si="11"/>
        <v/>
      </c>
      <c r="F104" s="13" t="s">
        <v>611</v>
      </c>
      <c r="G104" s="40">
        <v>202401100</v>
      </c>
      <c r="H104" s="13" t="s">
        <v>1239</v>
      </c>
      <c r="I104" s="13" t="s">
        <v>1192</v>
      </c>
      <c r="J104" s="14">
        <v>45586</v>
      </c>
      <c r="K104" s="14">
        <v>45946</v>
      </c>
      <c r="L104" s="13" t="s">
        <v>1240</v>
      </c>
      <c r="M104" s="13" t="s">
        <v>1241</v>
      </c>
      <c r="N104" s="13" t="s">
        <v>1242</v>
      </c>
      <c r="O104" s="17" t="s">
        <v>1243</v>
      </c>
      <c r="P104" s="79" t="s">
        <v>494</v>
      </c>
      <c r="Q104" s="13" t="s">
        <v>618</v>
      </c>
      <c r="R104" s="13" t="str">
        <f>VLOOKUP(P104,'Dados das Regiões '!A:B,2,0)</f>
        <v>UMUARAMA</v>
      </c>
      <c r="S104" s="13" t="s">
        <v>1244</v>
      </c>
      <c r="T104" s="13"/>
      <c r="U104" s="79" t="s">
        <v>1245</v>
      </c>
      <c r="V104" s="13" t="s">
        <v>1246</v>
      </c>
      <c r="W104" s="13" t="s">
        <v>1247</v>
      </c>
      <c r="X104" s="15">
        <v>0.58333333333333337</v>
      </c>
      <c r="Y104" s="16" t="s">
        <v>1248</v>
      </c>
      <c r="Z104" s="16" t="s">
        <v>622</v>
      </c>
      <c r="AA104" s="36" t="s">
        <v>1217</v>
      </c>
      <c r="AB104" s="164">
        <v>202401100</v>
      </c>
      <c r="AC104" s="55" t="s">
        <v>3</v>
      </c>
    </row>
    <row r="105" spans="1:29">
      <c r="A105" s="14"/>
      <c r="B105" s="13" t="str">
        <f t="shared" si="9"/>
        <v>Pendente</v>
      </c>
      <c r="C105" s="14" t="str">
        <f t="shared" si="10"/>
        <v/>
      </c>
      <c r="D105" s="13" t="s">
        <v>611</v>
      </c>
      <c r="E105" s="14" t="str">
        <f t="shared" si="11"/>
        <v/>
      </c>
      <c r="F105" s="13" t="s">
        <v>611</v>
      </c>
      <c r="G105" s="40">
        <v>202401099</v>
      </c>
      <c r="H105" s="13" t="s">
        <v>1249</v>
      </c>
      <c r="I105" s="13" t="s">
        <v>1176</v>
      </c>
      <c r="J105" s="14">
        <v>45586</v>
      </c>
      <c r="K105" s="14">
        <v>45946</v>
      </c>
      <c r="L105" s="13" t="s">
        <v>1185</v>
      </c>
      <c r="M105" s="13" t="s">
        <v>1250</v>
      </c>
      <c r="N105" s="13" t="s">
        <v>1251</v>
      </c>
      <c r="O105" s="17" t="s">
        <v>1252</v>
      </c>
      <c r="P105" s="79" t="s">
        <v>220</v>
      </c>
      <c r="Q105" s="13" t="s">
        <v>618</v>
      </c>
      <c r="R105" s="13" t="str">
        <f>VLOOKUP(P105,'Dados das Regiões '!A:B,2,0)</f>
        <v>CORNÉLIO PROCÓPIO</v>
      </c>
      <c r="S105" s="13" t="s">
        <v>1253</v>
      </c>
      <c r="T105" s="13"/>
      <c r="U105" s="79"/>
      <c r="V105" s="13" t="s">
        <v>1254</v>
      </c>
      <c r="W105" s="13" t="s">
        <v>1255</v>
      </c>
      <c r="X105" s="15">
        <v>0.33333333333333331</v>
      </c>
      <c r="Y105" s="16" t="s">
        <v>648</v>
      </c>
      <c r="Z105" s="16" t="s">
        <v>622</v>
      </c>
      <c r="AA105" s="36" t="s">
        <v>1217</v>
      </c>
      <c r="AB105" s="164">
        <v>202401099</v>
      </c>
      <c r="AC105" s="55" t="s">
        <v>17</v>
      </c>
    </row>
    <row r="106" spans="1:29">
      <c r="A106" s="14">
        <v>45840</v>
      </c>
      <c r="B106" s="13" t="str">
        <f t="shared" si="9"/>
        <v>Realizada</v>
      </c>
      <c r="C106" s="14">
        <v>45944</v>
      </c>
      <c r="D106" s="13" t="s">
        <v>104</v>
      </c>
      <c r="E106" s="14">
        <f t="shared" si="11"/>
        <v>46036</v>
      </c>
      <c r="F106" s="13" t="s">
        <v>611</v>
      </c>
      <c r="G106" s="40">
        <v>202401099</v>
      </c>
      <c r="H106" s="13" t="s">
        <v>1256</v>
      </c>
      <c r="I106" s="13" t="s">
        <v>1176</v>
      </c>
      <c r="J106" s="14">
        <v>45586</v>
      </c>
      <c r="K106" s="14">
        <v>45946</v>
      </c>
      <c r="L106" s="13" t="s">
        <v>1185</v>
      </c>
      <c r="M106" s="13" t="s">
        <v>1257</v>
      </c>
      <c r="N106" s="13" t="s">
        <v>1258</v>
      </c>
      <c r="O106" s="17" t="s">
        <v>1259</v>
      </c>
      <c r="P106" s="79" t="s">
        <v>215</v>
      </c>
      <c r="Q106" s="13" t="s">
        <v>618</v>
      </c>
      <c r="R106" s="79" t="str">
        <f>VLOOKUP(P106,'Dados das Regiões '!A:B,2,0)</f>
        <v>CASTRO</v>
      </c>
      <c r="S106" s="13" t="s">
        <v>1260</v>
      </c>
      <c r="T106" s="246"/>
      <c r="U106" s="79"/>
      <c r="V106" s="246" t="s">
        <v>1261</v>
      </c>
      <c r="W106" s="13" t="s">
        <v>1262</v>
      </c>
      <c r="X106" s="15">
        <v>0.54166666666666663</v>
      </c>
      <c r="Y106" s="16" t="s">
        <v>1263</v>
      </c>
      <c r="Z106" s="16" t="s">
        <v>622</v>
      </c>
      <c r="AA106" s="56" t="s">
        <v>1264</v>
      </c>
      <c r="AB106" s="164">
        <v>202401099</v>
      </c>
      <c r="AC106" s="55" t="s">
        <v>17</v>
      </c>
    </row>
    <row r="107" spans="1:29">
      <c r="A107" s="14"/>
      <c r="B107" s="13" t="str">
        <f t="shared" si="9"/>
        <v>Pendente</v>
      </c>
      <c r="C107" s="14" t="str">
        <f t="shared" ref="C107:C124" si="12">IF(A107="", "", EDATE(A107, 3))</f>
        <v/>
      </c>
      <c r="D107" s="13" t="s">
        <v>611</v>
      </c>
      <c r="E107" s="14" t="str">
        <f t="shared" si="11"/>
        <v/>
      </c>
      <c r="F107" s="13" t="s">
        <v>611</v>
      </c>
      <c r="G107" s="40">
        <v>202401099</v>
      </c>
      <c r="H107" s="13" t="s">
        <v>1265</v>
      </c>
      <c r="I107" s="13" t="s">
        <v>1176</v>
      </c>
      <c r="J107" s="14">
        <v>45586</v>
      </c>
      <c r="K107" s="14">
        <v>45946</v>
      </c>
      <c r="L107" s="13" t="s">
        <v>1185</v>
      </c>
      <c r="M107" s="13" t="s">
        <v>1266</v>
      </c>
      <c r="N107" s="13" t="s">
        <v>1267</v>
      </c>
      <c r="O107" s="17" t="s">
        <v>1268</v>
      </c>
      <c r="P107" s="79" t="s">
        <v>282</v>
      </c>
      <c r="Q107" s="13" t="s">
        <v>618</v>
      </c>
      <c r="R107" s="13" t="str">
        <f>VLOOKUP(P107,'Dados das Regiões '!A:B,2,0)</f>
        <v>FRANCISCO BELTRÃO</v>
      </c>
      <c r="S107" s="13" t="s">
        <v>1269</v>
      </c>
      <c r="T107" s="13"/>
      <c r="U107" s="79" t="s">
        <v>1270</v>
      </c>
      <c r="V107" s="13" t="s">
        <v>1271</v>
      </c>
      <c r="W107" s="13" t="s">
        <v>1272</v>
      </c>
      <c r="X107" s="15">
        <v>0.54166666666666663</v>
      </c>
      <c r="Y107" s="16" t="s">
        <v>848</v>
      </c>
      <c r="Z107" s="16" t="s">
        <v>622</v>
      </c>
      <c r="AA107" s="36"/>
      <c r="AB107" s="164">
        <v>202401099</v>
      </c>
      <c r="AC107" s="55" t="s">
        <v>17</v>
      </c>
    </row>
    <row r="108" spans="1:29">
      <c r="A108" s="14"/>
      <c r="B108" s="13" t="str">
        <f t="shared" si="9"/>
        <v>Pendente</v>
      </c>
      <c r="C108" s="14" t="str">
        <f t="shared" si="12"/>
        <v/>
      </c>
      <c r="D108" s="13" t="s">
        <v>611</v>
      </c>
      <c r="E108" s="14" t="str">
        <f t="shared" si="11"/>
        <v/>
      </c>
      <c r="F108" s="13" t="s">
        <v>611</v>
      </c>
      <c r="G108" s="40">
        <v>202401100</v>
      </c>
      <c r="H108" s="13" t="s">
        <v>1273</v>
      </c>
      <c r="I108" s="13" t="s">
        <v>1192</v>
      </c>
      <c r="J108" s="14">
        <v>45586</v>
      </c>
      <c r="K108" s="14">
        <v>45946</v>
      </c>
      <c r="L108" s="13" t="s">
        <v>1240</v>
      </c>
      <c r="M108" s="13" t="s">
        <v>1241</v>
      </c>
      <c r="N108" s="13" t="s">
        <v>1242</v>
      </c>
      <c r="O108" s="17" t="s">
        <v>1243</v>
      </c>
      <c r="P108" s="79" t="s">
        <v>494</v>
      </c>
      <c r="Q108" s="13" t="s">
        <v>618</v>
      </c>
      <c r="R108" s="13" t="str">
        <f>VLOOKUP(P108,'Dados das Regiões '!A:B,2,0)</f>
        <v>UMUARAMA</v>
      </c>
      <c r="S108" s="13" t="s">
        <v>1274</v>
      </c>
      <c r="T108" s="13"/>
      <c r="U108" s="79" t="s">
        <v>1245</v>
      </c>
      <c r="V108" s="13" t="s">
        <v>1246</v>
      </c>
      <c r="W108" s="13" t="s">
        <v>1247</v>
      </c>
      <c r="X108" s="15">
        <v>0.58333333333333337</v>
      </c>
      <c r="Y108" s="16" t="s">
        <v>1248</v>
      </c>
      <c r="Z108" s="16" t="s">
        <v>622</v>
      </c>
      <c r="AA108" s="36" t="s">
        <v>1217</v>
      </c>
      <c r="AB108" s="164">
        <v>202401100</v>
      </c>
      <c r="AC108" s="55" t="s">
        <v>3</v>
      </c>
    </row>
    <row r="109" spans="1:29">
      <c r="A109" s="14">
        <v>45924</v>
      </c>
      <c r="B109" s="13" t="str">
        <f t="shared" si="9"/>
        <v>Realizada</v>
      </c>
      <c r="C109" s="14">
        <f t="shared" si="12"/>
        <v>46015</v>
      </c>
      <c r="D109" s="13" t="s">
        <v>611</v>
      </c>
      <c r="E109" s="14">
        <f t="shared" si="11"/>
        <v>46105</v>
      </c>
      <c r="F109" s="13" t="s">
        <v>611</v>
      </c>
      <c r="G109" s="40">
        <v>202401100</v>
      </c>
      <c r="H109" s="13" t="s">
        <v>1275</v>
      </c>
      <c r="I109" s="13" t="s">
        <v>1192</v>
      </c>
      <c r="J109" s="14">
        <v>45586</v>
      </c>
      <c r="K109" s="14">
        <v>45946</v>
      </c>
      <c r="L109" s="13" t="s">
        <v>1202</v>
      </c>
      <c r="M109" s="13" t="s">
        <v>1203</v>
      </c>
      <c r="N109" s="13" t="s">
        <v>1204</v>
      </c>
      <c r="O109" s="17" t="s">
        <v>1205</v>
      </c>
      <c r="P109" s="79" t="s">
        <v>453</v>
      </c>
      <c r="Q109" s="13" t="s">
        <v>618</v>
      </c>
      <c r="R109" s="13" t="str">
        <f>VLOOKUP(P109,'Dados das Regiões '!A:B,2,0)</f>
        <v>PRUDENTÓPOLIS</v>
      </c>
      <c r="S109" s="13" t="s">
        <v>1206</v>
      </c>
      <c r="T109" s="13"/>
      <c r="U109" s="79" t="s">
        <v>1208</v>
      </c>
      <c r="V109" s="13" t="s">
        <v>1208</v>
      </c>
      <c r="W109" s="13" t="s">
        <v>1209</v>
      </c>
      <c r="X109" s="15">
        <v>0.58333333333333337</v>
      </c>
      <c r="Y109" s="16" t="s">
        <v>1248</v>
      </c>
      <c r="Z109" s="16" t="s">
        <v>622</v>
      </c>
      <c r="AA109" s="36"/>
      <c r="AB109" s="164">
        <v>202401100</v>
      </c>
      <c r="AC109" s="55" t="s">
        <v>3</v>
      </c>
    </row>
    <row r="110" spans="1:29">
      <c r="A110" s="14"/>
      <c r="B110" s="13" t="str">
        <f t="shared" si="9"/>
        <v>Pendente</v>
      </c>
      <c r="C110" s="14" t="str">
        <f t="shared" si="12"/>
        <v/>
      </c>
      <c r="D110" s="13" t="s">
        <v>611</v>
      </c>
      <c r="E110" s="14" t="str">
        <f t="shared" si="11"/>
        <v/>
      </c>
      <c r="F110" s="13" t="s">
        <v>611</v>
      </c>
      <c r="G110" s="40">
        <v>202401100</v>
      </c>
      <c r="H110" s="13" t="s">
        <v>1276</v>
      </c>
      <c r="I110" s="13" t="s">
        <v>1192</v>
      </c>
      <c r="J110" s="14">
        <v>45586</v>
      </c>
      <c r="K110" s="14">
        <v>45946</v>
      </c>
      <c r="L110" s="13" t="s">
        <v>1240</v>
      </c>
      <c r="M110" s="13" t="s">
        <v>1241</v>
      </c>
      <c r="N110" s="13" t="s">
        <v>1242</v>
      </c>
      <c r="O110" s="17" t="s">
        <v>1243</v>
      </c>
      <c r="P110" s="79" t="s">
        <v>494</v>
      </c>
      <c r="Q110" s="13" t="s">
        <v>618</v>
      </c>
      <c r="R110" s="13" t="str">
        <f>VLOOKUP(P110,'Dados das Regiões '!A:B,2,0)</f>
        <v>UMUARAMA</v>
      </c>
      <c r="S110" s="13" t="s">
        <v>1274</v>
      </c>
      <c r="T110" s="13"/>
      <c r="U110" s="79" t="s">
        <v>1245</v>
      </c>
      <c r="V110" s="13" t="s">
        <v>1246</v>
      </c>
      <c r="W110" s="13" t="s">
        <v>1247</v>
      </c>
      <c r="X110" s="15">
        <v>0.58333333333333337</v>
      </c>
      <c r="Y110" s="16" t="s">
        <v>1248</v>
      </c>
      <c r="Z110" s="16" t="s">
        <v>622</v>
      </c>
      <c r="AA110" s="36" t="s">
        <v>1217</v>
      </c>
      <c r="AB110" s="164">
        <v>202401100</v>
      </c>
      <c r="AC110" s="55" t="s">
        <v>3</v>
      </c>
    </row>
    <row r="111" spans="1:29">
      <c r="A111" s="14">
        <v>45890</v>
      </c>
      <c r="B111" s="13" t="str">
        <f t="shared" si="9"/>
        <v>Realizada</v>
      </c>
      <c r="C111" s="14">
        <f t="shared" si="12"/>
        <v>45982</v>
      </c>
      <c r="D111" s="13" t="s">
        <v>611</v>
      </c>
      <c r="E111" s="14">
        <f t="shared" si="11"/>
        <v>46074</v>
      </c>
      <c r="F111" s="13" t="s">
        <v>611</v>
      </c>
      <c r="G111" s="40">
        <v>202401100</v>
      </c>
      <c r="H111" s="13" t="s">
        <v>1277</v>
      </c>
      <c r="I111" s="13" t="s">
        <v>1192</v>
      </c>
      <c r="J111" s="14">
        <v>45586</v>
      </c>
      <c r="K111" s="14">
        <v>45946</v>
      </c>
      <c r="L111" s="13" t="s">
        <v>1278</v>
      </c>
      <c r="M111" s="13" t="s">
        <v>1279</v>
      </c>
      <c r="N111" s="13" t="s">
        <v>1280</v>
      </c>
      <c r="O111" s="13" t="s">
        <v>1281</v>
      </c>
      <c r="P111" s="79" t="s">
        <v>411</v>
      </c>
      <c r="Q111" s="13" t="s">
        <v>618</v>
      </c>
      <c r="R111" s="13" t="str">
        <f>VLOOKUP(P111,'Dados das Regiões '!A:B,2,0)</f>
        <v>PARANAGUÁ</v>
      </c>
      <c r="S111" s="13" t="s">
        <v>1282</v>
      </c>
      <c r="T111" s="13"/>
      <c r="U111" s="79"/>
      <c r="V111" s="13" t="s">
        <v>1283</v>
      </c>
      <c r="W111" s="13" t="s">
        <v>1284</v>
      </c>
      <c r="X111" s="15">
        <v>0.66666666666666663</v>
      </c>
      <c r="Y111" s="16" t="s">
        <v>1285</v>
      </c>
      <c r="Z111" s="16" t="s">
        <v>622</v>
      </c>
      <c r="AA111" s="36" t="s">
        <v>1286</v>
      </c>
      <c r="AB111" s="164">
        <v>202401100</v>
      </c>
      <c r="AC111" s="55" t="s">
        <v>3</v>
      </c>
    </row>
    <row r="112" spans="1:29">
      <c r="A112" s="14">
        <v>45891</v>
      </c>
      <c r="B112" s="13" t="str">
        <f t="shared" si="9"/>
        <v>Realizada</v>
      </c>
      <c r="C112" s="14">
        <f t="shared" si="12"/>
        <v>45983</v>
      </c>
      <c r="D112" s="13" t="s">
        <v>611</v>
      </c>
      <c r="E112" s="14">
        <f t="shared" si="11"/>
        <v>46075</v>
      </c>
      <c r="F112" s="13" t="s">
        <v>611</v>
      </c>
      <c r="G112" s="40">
        <v>202401100</v>
      </c>
      <c r="H112" s="13" t="s">
        <v>1287</v>
      </c>
      <c r="I112" s="13" t="s">
        <v>1192</v>
      </c>
      <c r="J112" s="14">
        <v>45586</v>
      </c>
      <c r="K112" s="14">
        <v>45946</v>
      </c>
      <c r="L112" s="13" t="s">
        <v>1288</v>
      </c>
      <c r="M112" s="13" t="s">
        <v>1289</v>
      </c>
      <c r="N112" s="13" t="s">
        <v>1290</v>
      </c>
      <c r="O112" s="13" t="s">
        <v>1291</v>
      </c>
      <c r="P112" s="79" t="s">
        <v>385</v>
      </c>
      <c r="Q112" s="13" t="s">
        <v>618</v>
      </c>
      <c r="R112" s="13" t="str">
        <f>VLOOKUP(P112,'Dados das Regiões '!A:B,2,0)</f>
        <v>MATINHOS CAIOBÁ</v>
      </c>
      <c r="S112" s="13" t="s">
        <v>1292</v>
      </c>
      <c r="T112" s="13"/>
      <c r="U112" s="79"/>
      <c r="V112" s="13" t="s">
        <v>1293</v>
      </c>
      <c r="W112" s="13" t="s">
        <v>1294</v>
      </c>
      <c r="X112" s="15">
        <v>0.66666666666666663</v>
      </c>
      <c r="Y112" s="16" t="s">
        <v>1285</v>
      </c>
      <c r="Z112" s="16" t="s">
        <v>622</v>
      </c>
      <c r="AA112" s="36"/>
      <c r="AB112" s="164">
        <v>202401100</v>
      </c>
      <c r="AC112" s="55" t="s">
        <v>3</v>
      </c>
    </row>
    <row r="113" spans="1:29">
      <c r="A113" s="14">
        <v>45891</v>
      </c>
      <c r="B113" s="13" t="str">
        <f t="shared" si="9"/>
        <v>Realizada</v>
      </c>
      <c r="C113" s="14">
        <f t="shared" si="12"/>
        <v>45983</v>
      </c>
      <c r="D113" s="13" t="s">
        <v>611</v>
      </c>
      <c r="E113" s="14">
        <f t="shared" si="11"/>
        <v>46075</v>
      </c>
      <c r="F113" s="13" t="s">
        <v>611</v>
      </c>
      <c r="G113" s="40">
        <v>202401100</v>
      </c>
      <c r="H113" s="13" t="s">
        <v>1295</v>
      </c>
      <c r="I113" s="13" t="s">
        <v>1192</v>
      </c>
      <c r="J113" s="14">
        <v>45586</v>
      </c>
      <c r="K113" s="14">
        <v>45946</v>
      </c>
      <c r="L113" s="13" t="s">
        <v>1288</v>
      </c>
      <c r="M113" s="13" t="s">
        <v>1289</v>
      </c>
      <c r="N113" s="13" t="s">
        <v>1290</v>
      </c>
      <c r="O113" s="13" t="s">
        <v>1291</v>
      </c>
      <c r="P113" s="79" t="s">
        <v>385</v>
      </c>
      <c r="Q113" s="13" t="s">
        <v>618</v>
      </c>
      <c r="R113" s="13" t="str">
        <f>VLOOKUP(P113,'Dados das Regiões '!A:B,2,0)</f>
        <v>MATINHOS CAIOBÁ</v>
      </c>
      <c r="S113" s="13" t="s">
        <v>1292</v>
      </c>
      <c r="T113" s="13"/>
      <c r="U113" s="79"/>
      <c r="V113" s="13" t="s">
        <v>1293</v>
      </c>
      <c r="W113" s="13" t="s">
        <v>1294</v>
      </c>
      <c r="X113" s="15">
        <v>0.66666666666666663</v>
      </c>
      <c r="Y113" s="16" t="s">
        <v>1285</v>
      </c>
      <c r="Z113" s="16" t="s">
        <v>622</v>
      </c>
      <c r="AA113" s="36"/>
      <c r="AB113" s="164">
        <v>202401100</v>
      </c>
      <c r="AC113" s="55" t="s">
        <v>3</v>
      </c>
    </row>
    <row r="114" spans="1:29">
      <c r="A114" s="14"/>
      <c r="B114" s="13" t="str">
        <f t="shared" si="9"/>
        <v>Pendente</v>
      </c>
      <c r="C114" s="14" t="str">
        <f t="shared" si="12"/>
        <v/>
      </c>
      <c r="D114" s="13" t="s">
        <v>611</v>
      </c>
      <c r="E114" s="14" t="str">
        <f t="shared" si="11"/>
        <v/>
      </c>
      <c r="F114" s="13" t="s">
        <v>611</v>
      </c>
      <c r="G114" s="40">
        <v>202401099</v>
      </c>
      <c r="H114" s="13" t="s">
        <v>1296</v>
      </c>
      <c r="I114" s="13" t="s">
        <v>1176</v>
      </c>
      <c r="J114" s="14">
        <v>45586</v>
      </c>
      <c r="K114" s="14">
        <v>45946</v>
      </c>
      <c r="L114" s="13" t="s">
        <v>1185</v>
      </c>
      <c r="M114" s="13" t="s">
        <v>1297</v>
      </c>
      <c r="N114" s="13" t="s">
        <v>1298</v>
      </c>
      <c r="O114" s="17" t="s">
        <v>1299</v>
      </c>
      <c r="P114" s="79" t="s">
        <v>188</v>
      </c>
      <c r="Q114" s="13" t="s">
        <v>618</v>
      </c>
      <c r="R114" s="13" t="str">
        <f>VLOOKUP(P114,'Dados das Regiões '!A:B,2,0)</f>
        <v>CASCAVEL</v>
      </c>
      <c r="S114" s="13" t="s">
        <v>1300</v>
      </c>
      <c r="T114" s="13"/>
      <c r="U114" s="79" t="s">
        <v>1301</v>
      </c>
      <c r="V114" s="13" t="s">
        <v>1302</v>
      </c>
      <c r="W114" s="13" t="s">
        <v>1303</v>
      </c>
      <c r="X114" s="15">
        <v>0.54166666666666663</v>
      </c>
      <c r="Y114" s="16" t="s">
        <v>848</v>
      </c>
      <c r="Z114" s="16" t="s">
        <v>622</v>
      </c>
      <c r="AA114" s="36" t="s">
        <v>1217</v>
      </c>
      <c r="AB114" s="164">
        <v>202401099</v>
      </c>
      <c r="AC114" s="55" t="s">
        <v>17</v>
      </c>
    </row>
    <row r="115" spans="1:29">
      <c r="A115" s="14"/>
      <c r="B115" s="13" t="str">
        <f t="shared" si="9"/>
        <v>Pendente</v>
      </c>
      <c r="C115" s="14" t="str">
        <f t="shared" si="12"/>
        <v/>
      </c>
      <c r="D115" s="13" t="s">
        <v>611</v>
      </c>
      <c r="E115" s="14" t="str">
        <f t="shared" si="11"/>
        <v/>
      </c>
      <c r="F115" s="13" t="s">
        <v>611</v>
      </c>
      <c r="G115" s="40">
        <v>202401099</v>
      </c>
      <c r="H115" s="13" t="s">
        <v>1304</v>
      </c>
      <c r="I115" s="13" t="s">
        <v>1176</v>
      </c>
      <c r="J115" s="14">
        <v>45586</v>
      </c>
      <c r="K115" s="14">
        <v>45946</v>
      </c>
      <c r="L115" s="13" t="s">
        <v>1185</v>
      </c>
      <c r="M115" s="13" t="s">
        <v>1305</v>
      </c>
      <c r="N115" s="13" t="s">
        <v>1306</v>
      </c>
      <c r="O115" s="17" t="s">
        <v>1307</v>
      </c>
      <c r="P115" s="79" t="s">
        <v>202</v>
      </c>
      <c r="Q115" s="13" t="s">
        <v>618</v>
      </c>
      <c r="R115" s="13" t="str">
        <f>VLOOKUP(P115,'Dados das Regiões '!A:B,2,0)</f>
        <v>CASCAVEL</v>
      </c>
      <c r="S115" s="13" t="s">
        <v>1308</v>
      </c>
      <c r="T115" s="13"/>
      <c r="U115" s="79"/>
      <c r="V115" s="13" t="s">
        <v>1309</v>
      </c>
      <c r="W115" s="13" t="s">
        <v>1310</v>
      </c>
      <c r="X115" s="15">
        <v>0.54166666666666663</v>
      </c>
      <c r="Y115" s="16" t="s">
        <v>848</v>
      </c>
      <c r="Z115" s="16" t="s">
        <v>622</v>
      </c>
      <c r="AA115" s="36" t="s">
        <v>1217</v>
      </c>
      <c r="AB115" s="164">
        <v>202401099</v>
      </c>
      <c r="AC115" s="55" t="s">
        <v>17</v>
      </c>
    </row>
    <row r="116" spans="1:29">
      <c r="A116" s="14"/>
      <c r="B116" s="13" t="str">
        <f t="shared" si="9"/>
        <v>Pendente</v>
      </c>
      <c r="C116" s="14" t="str">
        <f t="shared" si="12"/>
        <v/>
      </c>
      <c r="D116" s="13" t="s">
        <v>611</v>
      </c>
      <c r="E116" s="14" t="str">
        <f t="shared" si="11"/>
        <v/>
      </c>
      <c r="F116" s="13" t="s">
        <v>611</v>
      </c>
      <c r="G116" s="40">
        <v>202401099</v>
      </c>
      <c r="H116" s="13" t="s">
        <v>1311</v>
      </c>
      <c r="I116" s="13" t="s">
        <v>1176</v>
      </c>
      <c r="J116" s="14">
        <v>45586</v>
      </c>
      <c r="K116" s="14">
        <v>45946</v>
      </c>
      <c r="L116" s="13" t="s">
        <v>1185</v>
      </c>
      <c r="M116" s="13" t="s">
        <v>1312</v>
      </c>
      <c r="N116" s="13" t="s">
        <v>1313</v>
      </c>
      <c r="O116" s="17" t="s">
        <v>1314</v>
      </c>
      <c r="P116" s="79" t="s">
        <v>218</v>
      </c>
      <c r="Q116" s="13" t="s">
        <v>618</v>
      </c>
      <c r="R116" s="13" t="str">
        <f>VLOOKUP(P116,'Dados das Regiões '!A:B,2,0)</f>
        <v>CORNÉLIO PROCÓPIO</v>
      </c>
      <c r="S116" s="13" t="s">
        <v>1315</v>
      </c>
      <c r="T116" s="13"/>
      <c r="U116" s="79"/>
      <c r="V116" s="13" t="s">
        <v>1316</v>
      </c>
      <c r="W116" s="13" t="s">
        <v>1317</v>
      </c>
      <c r="X116" s="15">
        <v>0.54166666666666663</v>
      </c>
      <c r="Y116" s="16" t="s">
        <v>848</v>
      </c>
      <c r="Z116" s="16" t="s">
        <v>622</v>
      </c>
      <c r="AA116" s="36" t="s">
        <v>1217</v>
      </c>
      <c r="AB116" s="164">
        <v>202401099</v>
      </c>
      <c r="AC116" s="55" t="s">
        <v>17</v>
      </c>
    </row>
    <row r="117" spans="1:29">
      <c r="A117" s="14"/>
      <c r="B117" s="13" t="str">
        <f t="shared" si="9"/>
        <v>Pendente</v>
      </c>
      <c r="C117" s="14" t="str">
        <f t="shared" si="12"/>
        <v/>
      </c>
      <c r="D117" s="13" t="s">
        <v>611</v>
      </c>
      <c r="E117" s="14" t="str">
        <f t="shared" si="11"/>
        <v/>
      </c>
      <c r="F117" s="13" t="s">
        <v>611</v>
      </c>
      <c r="G117" s="40">
        <v>202401100</v>
      </c>
      <c r="H117" s="13" t="s">
        <v>1318</v>
      </c>
      <c r="I117" s="13" t="s">
        <v>1192</v>
      </c>
      <c r="J117" s="14">
        <v>45586</v>
      </c>
      <c r="K117" s="14">
        <v>45946</v>
      </c>
      <c r="L117" s="13" t="s">
        <v>1319</v>
      </c>
      <c r="M117" s="13" t="s">
        <v>1320</v>
      </c>
      <c r="N117" s="13" t="s">
        <v>1321</v>
      </c>
      <c r="O117" s="17" t="s">
        <v>1322</v>
      </c>
      <c r="P117" s="79" t="s">
        <v>196</v>
      </c>
      <c r="Q117" s="13" t="s">
        <v>618</v>
      </c>
      <c r="R117" s="13" t="str">
        <f>VLOOKUP(P117,'Dados das Regiões '!A:B,2,0)</f>
        <v>CASCAVEL</v>
      </c>
      <c r="S117" s="13" t="s">
        <v>1323</v>
      </c>
      <c r="T117" s="13"/>
      <c r="U117" s="79"/>
      <c r="V117" s="13" t="s">
        <v>1324</v>
      </c>
      <c r="W117" s="13" t="s">
        <v>1325</v>
      </c>
      <c r="X117" s="15">
        <v>0.58333333333333337</v>
      </c>
      <c r="Y117" s="16" t="s">
        <v>1326</v>
      </c>
      <c r="Z117" s="16" t="s">
        <v>622</v>
      </c>
      <c r="AA117" s="36" t="s">
        <v>1217</v>
      </c>
      <c r="AB117" s="164">
        <v>202401100</v>
      </c>
      <c r="AC117" s="55" t="s">
        <v>3</v>
      </c>
    </row>
    <row r="118" spans="1:29">
      <c r="A118" s="14"/>
      <c r="B118" s="13" t="str">
        <f t="shared" si="9"/>
        <v>Pendente</v>
      </c>
      <c r="C118" s="14" t="str">
        <f t="shared" si="12"/>
        <v/>
      </c>
      <c r="D118" s="13" t="s">
        <v>611</v>
      </c>
      <c r="E118" s="14" t="str">
        <f t="shared" si="11"/>
        <v/>
      </c>
      <c r="F118" s="13" t="s">
        <v>611</v>
      </c>
      <c r="G118" s="40">
        <v>202401100</v>
      </c>
      <c r="H118" s="13" t="s">
        <v>1327</v>
      </c>
      <c r="I118" s="13" t="s">
        <v>1192</v>
      </c>
      <c r="J118" s="14">
        <v>45586</v>
      </c>
      <c r="K118" s="14">
        <v>45946</v>
      </c>
      <c r="L118" s="13" t="s">
        <v>1319</v>
      </c>
      <c r="M118" s="13" t="s">
        <v>1320</v>
      </c>
      <c r="N118" s="13" t="s">
        <v>1321</v>
      </c>
      <c r="O118" s="17" t="s">
        <v>1322</v>
      </c>
      <c r="P118" s="79" t="s">
        <v>196</v>
      </c>
      <c r="Q118" s="13" t="s">
        <v>618</v>
      </c>
      <c r="R118" s="13" t="str">
        <f>VLOOKUP(P118,'Dados das Regiões '!A:B,2,0)</f>
        <v>CASCAVEL</v>
      </c>
      <c r="S118" s="13" t="s">
        <v>1328</v>
      </c>
      <c r="T118" s="13"/>
      <c r="U118" s="79"/>
      <c r="V118" s="13" t="s">
        <v>1324</v>
      </c>
      <c r="W118" s="13" t="s">
        <v>1325</v>
      </c>
      <c r="X118" s="15">
        <v>0.33333333333333331</v>
      </c>
      <c r="Y118" s="16" t="s">
        <v>1329</v>
      </c>
      <c r="Z118" s="16" t="s">
        <v>622</v>
      </c>
      <c r="AA118" s="36" t="s">
        <v>1217</v>
      </c>
      <c r="AB118" s="164">
        <v>202401100</v>
      </c>
      <c r="AC118" s="55" t="s">
        <v>3</v>
      </c>
    </row>
    <row r="119" spans="1:29">
      <c r="A119" s="14"/>
      <c r="B119" s="13" t="str">
        <f t="shared" si="9"/>
        <v>Pendente</v>
      </c>
      <c r="C119" s="14" t="str">
        <f t="shared" si="12"/>
        <v/>
      </c>
      <c r="D119" s="13" t="s">
        <v>611</v>
      </c>
      <c r="E119" s="14" t="str">
        <f t="shared" si="11"/>
        <v/>
      </c>
      <c r="F119" s="13" t="s">
        <v>611</v>
      </c>
      <c r="G119" s="40">
        <v>202401100</v>
      </c>
      <c r="H119" s="13" t="s">
        <v>1330</v>
      </c>
      <c r="I119" s="13" t="s">
        <v>1192</v>
      </c>
      <c r="J119" s="14">
        <v>45586</v>
      </c>
      <c r="K119" s="14">
        <v>45946</v>
      </c>
      <c r="L119" s="13" t="s">
        <v>1319</v>
      </c>
      <c r="M119" s="13" t="s">
        <v>1320</v>
      </c>
      <c r="N119" s="13" t="s">
        <v>1321</v>
      </c>
      <c r="O119" s="17" t="s">
        <v>1322</v>
      </c>
      <c r="P119" s="79" t="s">
        <v>196</v>
      </c>
      <c r="Q119" s="13" t="s">
        <v>618</v>
      </c>
      <c r="R119" s="13" t="str">
        <f>VLOOKUP(P119,'Dados das Regiões '!A:B,2,0)</f>
        <v>CASCAVEL</v>
      </c>
      <c r="S119" s="13" t="s">
        <v>1328</v>
      </c>
      <c r="T119" s="13"/>
      <c r="U119" s="79"/>
      <c r="V119" s="13" t="s">
        <v>1324</v>
      </c>
      <c r="W119" s="13" t="s">
        <v>1325</v>
      </c>
      <c r="X119" s="15">
        <v>0.33333333333333331</v>
      </c>
      <c r="Y119" s="16" t="s">
        <v>1331</v>
      </c>
      <c r="Z119" s="16" t="s">
        <v>622</v>
      </c>
      <c r="AA119" s="36" t="s">
        <v>1217</v>
      </c>
      <c r="AB119" s="164">
        <v>202401100</v>
      </c>
      <c r="AC119" s="55" t="s">
        <v>3</v>
      </c>
    </row>
    <row r="120" spans="1:29">
      <c r="A120" s="14"/>
      <c r="B120" s="13" t="str">
        <f t="shared" si="9"/>
        <v>Pendente</v>
      </c>
      <c r="C120" s="14" t="str">
        <f t="shared" si="12"/>
        <v/>
      </c>
      <c r="D120" s="13" t="s">
        <v>611</v>
      </c>
      <c r="E120" s="14" t="str">
        <f t="shared" si="11"/>
        <v/>
      </c>
      <c r="F120" s="13" t="s">
        <v>611</v>
      </c>
      <c r="G120" s="40">
        <v>202401099</v>
      </c>
      <c r="H120" s="13" t="s">
        <v>1332</v>
      </c>
      <c r="I120" s="13" t="s">
        <v>1176</v>
      </c>
      <c r="J120" s="14">
        <v>45586</v>
      </c>
      <c r="K120" s="14">
        <v>45946</v>
      </c>
      <c r="L120" s="13" t="s">
        <v>1185</v>
      </c>
      <c r="M120" s="13" t="s">
        <v>1333</v>
      </c>
      <c r="N120" s="13" t="s">
        <v>1334</v>
      </c>
      <c r="O120" s="17" t="s">
        <v>1335</v>
      </c>
      <c r="P120" s="79" t="s">
        <v>482</v>
      </c>
      <c r="Q120" s="13" t="s">
        <v>618</v>
      </c>
      <c r="R120" s="13" t="str">
        <f>VLOOKUP(P120,'Dados das Regiões '!A:B,2,0)</f>
        <v>TOLEDO</v>
      </c>
      <c r="S120" s="13" t="s">
        <v>1336</v>
      </c>
      <c r="T120" s="13"/>
      <c r="U120" s="79"/>
      <c r="V120" s="13" t="s">
        <v>1337</v>
      </c>
      <c r="W120" s="13" t="s">
        <v>1338</v>
      </c>
      <c r="X120" s="15">
        <v>0.33333333333333331</v>
      </c>
      <c r="Y120" s="16" t="s">
        <v>648</v>
      </c>
      <c r="Z120" s="16" t="s">
        <v>622</v>
      </c>
      <c r="AA120" s="36" t="s">
        <v>1217</v>
      </c>
      <c r="AB120" s="164">
        <v>202401099</v>
      </c>
      <c r="AC120" s="55" t="s">
        <v>17</v>
      </c>
    </row>
    <row r="121" spans="1:29">
      <c r="A121" s="14"/>
      <c r="B121" s="13" t="str">
        <f t="shared" si="9"/>
        <v>Pendente</v>
      </c>
      <c r="C121" s="14" t="str">
        <f t="shared" si="12"/>
        <v/>
      </c>
      <c r="D121" s="13" t="s">
        <v>611</v>
      </c>
      <c r="E121" s="14" t="str">
        <f t="shared" si="11"/>
        <v/>
      </c>
      <c r="F121" s="13" t="s">
        <v>611</v>
      </c>
      <c r="G121" s="40">
        <v>202401099</v>
      </c>
      <c r="H121" s="13" t="s">
        <v>1339</v>
      </c>
      <c r="I121" s="13" t="s">
        <v>1176</v>
      </c>
      <c r="J121" s="14">
        <v>45586</v>
      </c>
      <c r="K121" s="14">
        <v>45946</v>
      </c>
      <c r="L121" s="13" t="s">
        <v>1185</v>
      </c>
      <c r="M121" s="13" t="s">
        <v>1340</v>
      </c>
      <c r="N121" s="13" t="s">
        <v>1341</v>
      </c>
      <c r="O121" s="17" t="s">
        <v>1342</v>
      </c>
      <c r="P121" s="79" t="s">
        <v>176</v>
      </c>
      <c r="Q121" s="13" t="s">
        <v>618</v>
      </c>
      <c r="R121" s="13" t="str">
        <f>VLOOKUP(P121,'Dados das Regiões '!A:B,2,0)</f>
        <v>CAMPO MOURÃO</v>
      </c>
      <c r="S121" s="13" t="s">
        <v>1343</v>
      </c>
      <c r="T121" s="13"/>
      <c r="U121" s="79"/>
      <c r="V121" s="13" t="s">
        <v>1344</v>
      </c>
      <c r="W121" s="13" t="s">
        <v>1345</v>
      </c>
      <c r="X121" s="15">
        <v>0.5625</v>
      </c>
      <c r="Y121" s="16" t="s">
        <v>1346</v>
      </c>
      <c r="Z121" s="16" t="s">
        <v>622</v>
      </c>
      <c r="AA121" s="36"/>
      <c r="AB121" s="164">
        <v>202401099</v>
      </c>
      <c r="AC121" s="55" t="s">
        <v>17</v>
      </c>
    </row>
    <row r="122" spans="1:29">
      <c r="A122" s="14">
        <v>45932</v>
      </c>
      <c r="B122" s="13" t="str">
        <f t="shared" si="9"/>
        <v>Realizada</v>
      </c>
      <c r="C122" s="14">
        <f t="shared" si="12"/>
        <v>46024</v>
      </c>
      <c r="D122" s="13" t="s">
        <v>611</v>
      </c>
      <c r="E122" s="14">
        <f t="shared" si="11"/>
        <v>46114</v>
      </c>
      <c r="F122" s="13" t="s">
        <v>611</v>
      </c>
      <c r="G122" s="40">
        <v>202401099</v>
      </c>
      <c r="H122" s="13" t="s">
        <v>1347</v>
      </c>
      <c r="I122" s="13" t="s">
        <v>1176</v>
      </c>
      <c r="J122" s="14">
        <v>45586</v>
      </c>
      <c r="K122" s="14">
        <v>45946</v>
      </c>
      <c r="L122" s="13" t="s">
        <v>1185</v>
      </c>
      <c r="M122" s="13" t="s">
        <v>1348</v>
      </c>
      <c r="N122" s="13" t="s">
        <v>1349</v>
      </c>
      <c r="O122" s="17" t="s">
        <v>1350</v>
      </c>
      <c r="P122" s="79" t="s">
        <v>298</v>
      </c>
      <c r="Q122" s="13" t="s">
        <v>618</v>
      </c>
      <c r="R122" s="13" t="str">
        <f>VLOOKUP(P122,'Dados das Regiões '!A:B,2,0)</f>
        <v>GUARAPUAVA</v>
      </c>
      <c r="S122" s="13" t="s">
        <v>1351</v>
      </c>
      <c r="T122" s="13"/>
      <c r="U122" s="79"/>
      <c r="V122" s="13" t="s">
        <v>1352</v>
      </c>
      <c r="W122" s="13" t="s">
        <v>1353</v>
      </c>
      <c r="X122" s="15">
        <v>0.58333333333333337</v>
      </c>
      <c r="Y122" s="16" t="s">
        <v>1326</v>
      </c>
      <c r="Z122" s="16" t="s">
        <v>622</v>
      </c>
      <c r="AA122" s="36"/>
      <c r="AB122" s="164">
        <v>202401099</v>
      </c>
      <c r="AC122" s="55" t="s">
        <v>17</v>
      </c>
    </row>
    <row r="123" spans="1:29">
      <c r="A123" s="14"/>
      <c r="B123" s="13" t="str">
        <f t="shared" si="9"/>
        <v>Pendente</v>
      </c>
      <c r="C123" s="14" t="str">
        <f t="shared" si="12"/>
        <v/>
      </c>
      <c r="D123" s="13" t="s">
        <v>611</v>
      </c>
      <c r="E123" s="14" t="str">
        <f t="shared" si="11"/>
        <v/>
      </c>
      <c r="F123" s="13" t="s">
        <v>611</v>
      </c>
      <c r="G123" s="40">
        <v>202401099</v>
      </c>
      <c r="H123" s="13" t="s">
        <v>1354</v>
      </c>
      <c r="I123" s="13" t="s">
        <v>1176</v>
      </c>
      <c r="J123" s="14">
        <v>45586</v>
      </c>
      <c r="K123" s="14">
        <v>45946</v>
      </c>
      <c r="L123" s="13" t="s">
        <v>1185</v>
      </c>
      <c r="M123" s="13" t="s">
        <v>1355</v>
      </c>
      <c r="N123" s="13" t="s">
        <v>1356</v>
      </c>
      <c r="O123" s="17" t="s">
        <v>1357</v>
      </c>
      <c r="P123" s="79" t="s">
        <v>117</v>
      </c>
      <c r="Q123" s="13" t="s">
        <v>618</v>
      </c>
      <c r="R123" s="13" t="str">
        <f>VLOOKUP(P123,'Dados das Regiões '!A:B,2,0)</f>
        <v>APUCARANA</v>
      </c>
      <c r="S123" s="13" t="s">
        <v>1358</v>
      </c>
      <c r="T123" s="13"/>
      <c r="U123" s="79"/>
      <c r="V123" s="13" t="s">
        <v>1359</v>
      </c>
      <c r="W123" s="13" t="s">
        <v>1360</v>
      </c>
      <c r="X123" s="15">
        <v>0.58333333333333337</v>
      </c>
      <c r="Y123" s="16" t="s">
        <v>1248</v>
      </c>
      <c r="Z123" s="16" t="s">
        <v>622</v>
      </c>
      <c r="AA123" s="36" t="s">
        <v>1217</v>
      </c>
      <c r="AB123" s="164">
        <v>202401099</v>
      </c>
      <c r="AC123" s="55" t="s">
        <v>17</v>
      </c>
    </row>
    <row r="124" spans="1:29">
      <c r="A124" s="180">
        <v>45814</v>
      </c>
      <c r="B124" s="181" t="str">
        <f t="shared" si="9"/>
        <v>Realizada</v>
      </c>
      <c r="C124" s="14">
        <f t="shared" si="12"/>
        <v>45906</v>
      </c>
      <c r="D124" s="181" t="s">
        <v>611</v>
      </c>
      <c r="E124" s="180" t="s">
        <v>1361</v>
      </c>
      <c r="F124" s="181" t="s">
        <v>611</v>
      </c>
      <c r="G124" s="45">
        <v>202401100</v>
      </c>
      <c r="H124" s="21" t="s">
        <v>526</v>
      </c>
      <c r="I124" s="496" t="s">
        <v>1192</v>
      </c>
      <c r="J124" s="24">
        <v>45586</v>
      </c>
      <c r="K124" s="180">
        <v>45946</v>
      </c>
      <c r="L124" s="21" t="s">
        <v>528</v>
      </c>
      <c r="M124" s="21" t="s">
        <v>1362</v>
      </c>
      <c r="N124" s="181" t="s">
        <v>529</v>
      </c>
      <c r="O124" s="17" t="s">
        <v>530</v>
      </c>
      <c r="P124" s="83" t="s">
        <v>531</v>
      </c>
      <c r="Q124" s="181" t="s">
        <v>618</v>
      </c>
      <c r="R124" s="181" t="e">
        <f>VLOOKUP(P124,'Dados das Regiões '!A:B,2,0)</f>
        <v>#N/A</v>
      </c>
      <c r="S124" s="21" t="s">
        <v>1363</v>
      </c>
      <c r="T124" s="21"/>
      <c r="U124" s="83">
        <v>30124691</v>
      </c>
      <c r="V124" s="21" t="s">
        <v>1364</v>
      </c>
      <c r="W124" s="21" t="s">
        <v>1365</v>
      </c>
      <c r="X124" s="25">
        <v>0.5625</v>
      </c>
      <c r="Y124" s="25">
        <v>0.64583333333333337</v>
      </c>
      <c r="Z124" s="182" t="s">
        <v>622</v>
      </c>
      <c r="AA124" s="183"/>
      <c r="AB124" s="169">
        <v>202401100</v>
      </c>
      <c r="AC124" s="55" t="s">
        <v>3</v>
      </c>
    </row>
    <row r="125" spans="1:29">
      <c r="A125" s="180" t="s">
        <v>1366</v>
      </c>
      <c r="B125" s="181" t="str">
        <f t="shared" si="9"/>
        <v>Realizada</v>
      </c>
      <c r="C125" s="180" t="s">
        <v>1367</v>
      </c>
      <c r="D125" s="181" t="s">
        <v>611</v>
      </c>
      <c r="E125" s="180" t="s">
        <v>1367</v>
      </c>
      <c r="F125" s="181" t="s">
        <v>611</v>
      </c>
      <c r="G125" s="45">
        <v>202401100</v>
      </c>
      <c r="H125" s="21" t="s">
        <v>535</v>
      </c>
      <c r="I125" s="496" t="s">
        <v>1192</v>
      </c>
      <c r="J125" s="24">
        <v>45586</v>
      </c>
      <c r="K125" s="180">
        <v>45946</v>
      </c>
      <c r="L125" s="21" t="s">
        <v>528</v>
      </c>
      <c r="M125" s="21" t="s">
        <v>1362</v>
      </c>
      <c r="N125" s="181" t="s">
        <v>529</v>
      </c>
      <c r="O125" s="17" t="s">
        <v>530</v>
      </c>
      <c r="P125" s="83" t="s">
        <v>531</v>
      </c>
      <c r="Q125" s="181" t="s">
        <v>618</v>
      </c>
      <c r="R125" s="181" t="e">
        <f>VLOOKUP(P125,'Dados das Regiões '!A:B,2,0)</f>
        <v>#N/A</v>
      </c>
      <c r="S125" s="21" t="s">
        <v>1363</v>
      </c>
      <c r="T125" s="21"/>
      <c r="U125" s="83">
        <v>30124691</v>
      </c>
      <c r="V125" s="21" t="s">
        <v>1364</v>
      </c>
      <c r="W125" s="21" t="s">
        <v>1365</v>
      </c>
      <c r="X125" s="26">
        <v>0.5625</v>
      </c>
      <c r="Y125" s="26">
        <v>0.64583333333333337</v>
      </c>
      <c r="Z125" s="182" t="s">
        <v>622</v>
      </c>
      <c r="AA125" s="183" t="s">
        <v>1368</v>
      </c>
      <c r="AB125" s="169">
        <v>202401100</v>
      </c>
      <c r="AC125" s="55" t="s">
        <v>3</v>
      </c>
    </row>
    <row r="126" spans="1:29">
      <c r="A126" s="180">
        <v>45814</v>
      </c>
      <c r="B126" s="181" t="str">
        <f t="shared" si="9"/>
        <v>Realizada</v>
      </c>
      <c r="C126" s="14">
        <f t="shared" ref="C126:C157" si="13">IF(A126="", "", EDATE(A126, 3))</f>
        <v>45906</v>
      </c>
      <c r="D126" s="181" t="s">
        <v>611</v>
      </c>
      <c r="E126" s="180" t="s">
        <v>1361</v>
      </c>
      <c r="F126" s="181" t="s">
        <v>611</v>
      </c>
      <c r="G126" s="45">
        <v>202401100</v>
      </c>
      <c r="H126" s="21" t="s">
        <v>537</v>
      </c>
      <c r="I126" s="496" t="s">
        <v>1192</v>
      </c>
      <c r="J126" s="24">
        <v>45586</v>
      </c>
      <c r="K126" s="180">
        <v>45946</v>
      </c>
      <c r="L126" s="21" t="s">
        <v>528</v>
      </c>
      <c r="M126" s="21" t="s">
        <v>1362</v>
      </c>
      <c r="N126" s="181" t="s">
        <v>529</v>
      </c>
      <c r="O126" s="17" t="s">
        <v>530</v>
      </c>
      <c r="P126" s="83" t="s">
        <v>531</v>
      </c>
      <c r="Q126" s="181" t="s">
        <v>618</v>
      </c>
      <c r="R126" s="181" t="e">
        <f>VLOOKUP(P126,'Dados das Regiões '!A:B,2,0)</f>
        <v>#N/A</v>
      </c>
      <c r="S126" s="21" t="s">
        <v>1363</v>
      </c>
      <c r="T126" s="21"/>
      <c r="U126" s="83">
        <v>30124691</v>
      </c>
      <c r="V126" s="21" t="s">
        <v>1364</v>
      </c>
      <c r="W126" s="21" t="s">
        <v>1365</v>
      </c>
      <c r="X126" s="26">
        <v>0.5625</v>
      </c>
      <c r="Y126" s="26">
        <v>0.64583333333333337</v>
      </c>
      <c r="Z126" s="182" t="s">
        <v>622</v>
      </c>
      <c r="AA126" s="183"/>
      <c r="AB126" s="169">
        <v>202401100</v>
      </c>
      <c r="AC126" s="55" t="s">
        <v>3</v>
      </c>
    </row>
    <row r="127" spans="1:29">
      <c r="A127" s="14">
        <v>45835</v>
      </c>
      <c r="B127" s="13" t="str">
        <f t="shared" si="9"/>
        <v>Realizada</v>
      </c>
      <c r="C127" s="14">
        <f t="shared" si="13"/>
        <v>45927</v>
      </c>
      <c r="D127" s="13" t="s">
        <v>104</v>
      </c>
      <c r="E127" s="14">
        <f t="shared" ref="E127:E158" si="14">IF(C127="", "", EDATE(C127, 3))</f>
        <v>46018</v>
      </c>
      <c r="F127" s="13" t="s">
        <v>611</v>
      </c>
      <c r="G127" s="243">
        <v>202401100</v>
      </c>
      <c r="H127" s="70" t="s">
        <v>1369</v>
      </c>
      <c r="I127" s="13" t="s">
        <v>1192</v>
      </c>
      <c r="J127" s="71">
        <v>45586</v>
      </c>
      <c r="K127" s="184">
        <v>45946</v>
      </c>
      <c r="L127" s="70" t="s">
        <v>528</v>
      </c>
      <c r="M127" s="70" t="s">
        <v>1370</v>
      </c>
      <c r="N127" s="13" t="s">
        <v>1371</v>
      </c>
      <c r="O127" s="17" t="s">
        <v>1372</v>
      </c>
      <c r="P127" s="79" t="s">
        <v>1373</v>
      </c>
      <c r="Q127" s="181" t="s">
        <v>618</v>
      </c>
      <c r="R127" s="181" t="str">
        <f>VLOOKUP(P127,'Dados das Regiões '!A:B,2,0)</f>
        <v>CURITIBA CENTRO</v>
      </c>
      <c r="S127" s="22" t="s">
        <v>1374</v>
      </c>
      <c r="T127" s="22" t="s">
        <v>1375</v>
      </c>
      <c r="U127" s="85">
        <v>30124691</v>
      </c>
      <c r="V127" s="70" t="s">
        <v>1376</v>
      </c>
      <c r="W127" s="70" t="s">
        <v>1377</v>
      </c>
      <c r="X127" s="72">
        <v>0.5625</v>
      </c>
      <c r="Y127" s="72">
        <v>0.64583333333333337</v>
      </c>
      <c r="Z127" s="182" t="s">
        <v>622</v>
      </c>
      <c r="AA127" s="36"/>
      <c r="AB127" s="295">
        <v>202401100</v>
      </c>
      <c r="AC127" s="55" t="s">
        <v>3</v>
      </c>
    </row>
    <row r="128" spans="1:29">
      <c r="A128" s="14">
        <v>45835</v>
      </c>
      <c r="B128" s="13" t="str">
        <f t="shared" si="9"/>
        <v>Realizada</v>
      </c>
      <c r="C128" s="14">
        <f t="shared" si="13"/>
        <v>45927</v>
      </c>
      <c r="D128" s="13" t="s">
        <v>104</v>
      </c>
      <c r="E128" s="14">
        <f t="shared" si="14"/>
        <v>46018</v>
      </c>
      <c r="F128" s="13" t="s">
        <v>611</v>
      </c>
      <c r="G128" s="243">
        <v>202401100</v>
      </c>
      <c r="H128" s="70" t="s">
        <v>1378</v>
      </c>
      <c r="I128" s="13" t="s">
        <v>1192</v>
      </c>
      <c r="J128" s="71">
        <v>45586</v>
      </c>
      <c r="K128" s="184">
        <v>45946</v>
      </c>
      <c r="L128" s="70" t="s">
        <v>528</v>
      </c>
      <c r="M128" s="70" t="s">
        <v>1370</v>
      </c>
      <c r="N128" s="13" t="s">
        <v>1371</v>
      </c>
      <c r="O128" s="17" t="s">
        <v>1372</v>
      </c>
      <c r="P128" s="500" t="s">
        <v>1373</v>
      </c>
      <c r="Q128" s="13" t="s">
        <v>618</v>
      </c>
      <c r="R128" s="13" t="str">
        <f>VLOOKUP(P128,'Dados das Regiões '!A:B,2,0)</f>
        <v>CURITIBA CENTRO</v>
      </c>
      <c r="S128" s="191" t="s">
        <v>1374</v>
      </c>
      <c r="T128" s="22" t="s">
        <v>1375</v>
      </c>
      <c r="U128" s="504">
        <v>30124691</v>
      </c>
      <c r="V128" s="12" t="s">
        <v>1376</v>
      </c>
      <c r="W128" s="12" t="s">
        <v>1377</v>
      </c>
      <c r="X128" s="72">
        <v>0.33333333333333331</v>
      </c>
      <c r="Y128" s="72">
        <v>0.5</v>
      </c>
      <c r="Z128" s="16" t="s">
        <v>622</v>
      </c>
      <c r="AA128" s="36" t="s">
        <v>1379</v>
      </c>
      <c r="AB128" s="295">
        <v>202401100</v>
      </c>
      <c r="AC128" s="55" t="s">
        <v>3</v>
      </c>
    </row>
    <row r="129" spans="1:29">
      <c r="A129" s="14">
        <v>45835</v>
      </c>
      <c r="B129" s="13" t="str">
        <f t="shared" si="9"/>
        <v>Realizada</v>
      </c>
      <c r="C129" s="14">
        <f t="shared" si="13"/>
        <v>45927</v>
      </c>
      <c r="D129" s="13" t="s">
        <v>104</v>
      </c>
      <c r="E129" s="14">
        <f t="shared" si="14"/>
        <v>46018</v>
      </c>
      <c r="F129" s="13" t="s">
        <v>611</v>
      </c>
      <c r="G129" s="243">
        <v>202401100</v>
      </c>
      <c r="H129" s="70" t="s">
        <v>1380</v>
      </c>
      <c r="I129" s="13" t="s">
        <v>1192</v>
      </c>
      <c r="J129" s="71">
        <v>45586</v>
      </c>
      <c r="K129" s="184">
        <v>45946</v>
      </c>
      <c r="L129" s="70" t="s">
        <v>528</v>
      </c>
      <c r="M129" s="70" t="s">
        <v>1370</v>
      </c>
      <c r="N129" s="13" t="s">
        <v>1371</v>
      </c>
      <c r="O129" s="17" t="s">
        <v>1372</v>
      </c>
      <c r="P129" s="500" t="s">
        <v>1373</v>
      </c>
      <c r="Q129" s="13" t="s">
        <v>618</v>
      </c>
      <c r="R129" s="13" t="str">
        <f>VLOOKUP(P129,'Dados das Regiões '!A:B,2,0)</f>
        <v>CURITIBA CENTRO</v>
      </c>
      <c r="S129" s="22" t="s">
        <v>1374</v>
      </c>
      <c r="T129" s="22" t="s">
        <v>1375</v>
      </c>
      <c r="U129" s="85">
        <v>30124691</v>
      </c>
      <c r="V129" s="70" t="s">
        <v>1376</v>
      </c>
      <c r="W129" s="70" t="s">
        <v>1377</v>
      </c>
      <c r="X129" s="72">
        <v>0.5625</v>
      </c>
      <c r="Y129" s="72">
        <v>0.64583333333333337</v>
      </c>
      <c r="Z129" s="16" t="s">
        <v>622</v>
      </c>
      <c r="AA129" s="36" t="s">
        <v>1381</v>
      </c>
      <c r="AB129" s="295">
        <v>202401100</v>
      </c>
      <c r="AC129" s="55" t="s">
        <v>3</v>
      </c>
    </row>
    <row r="130" spans="1:29">
      <c r="A130" s="14" t="s">
        <v>1382</v>
      </c>
      <c r="B130" s="495" t="s">
        <v>1383</v>
      </c>
      <c r="C130" s="14" t="e">
        <f t="shared" si="13"/>
        <v>#VALUE!</v>
      </c>
      <c r="D130" s="13" t="s">
        <v>104</v>
      </c>
      <c r="E130" s="14" t="e">
        <f t="shared" si="14"/>
        <v>#VALUE!</v>
      </c>
      <c r="F130" s="13" t="s">
        <v>611</v>
      </c>
      <c r="G130" s="243">
        <v>202401100</v>
      </c>
      <c r="H130" s="70" t="s">
        <v>1384</v>
      </c>
      <c r="I130" s="13" t="s">
        <v>1192</v>
      </c>
      <c r="J130" s="71">
        <v>45586</v>
      </c>
      <c r="K130" s="184">
        <v>45946</v>
      </c>
      <c r="L130" s="70" t="s">
        <v>528</v>
      </c>
      <c r="M130" s="70" t="s">
        <v>1370</v>
      </c>
      <c r="N130" s="13" t="s">
        <v>1371</v>
      </c>
      <c r="O130" s="17" t="s">
        <v>1372</v>
      </c>
      <c r="P130" s="500" t="s">
        <v>1373</v>
      </c>
      <c r="Q130" s="13" t="s">
        <v>618</v>
      </c>
      <c r="R130" s="13" t="str">
        <f>VLOOKUP(P130,'Dados das Regiões '!A:B,2,0)</f>
        <v>CURITIBA CENTRO</v>
      </c>
      <c r="S130" s="22" t="s">
        <v>1374</v>
      </c>
      <c r="T130" s="22" t="s">
        <v>1375</v>
      </c>
      <c r="U130" s="85">
        <v>30124691</v>
      </c>
      <c r="V130" s="70" t="s">
        <v>1376</v>
      </c>
      <c r="W130" s="70" t="s">
        <v>1377</v>
      </c>
      <c r="X130" s="72">
        <v>0.33333333333333331</v>
      </c>
      <c r="Y130" s="72">
        <v>0.41666666666666669</v>
      </c>
      <c r="Z130" s="16" t="s">
        <v>622</v>
      </c>
      <c r="AA130" s="36" t="s">
        <v>1385</v>
      </c>
      <c r="AB130" s="295">
        <v>202401100</v>
      </c>
      <c r="AC130" s="55" t="s">
        <v>3</v>
      </c>
    </row>
    <row r="131" spans="1:29">
      <c r="A131" s="14">
        <v>45924</v>
      </c>
      <c r="B131" s="13" t="str">
        <f t="shared" ref="B131:B162" si="15">IF(ISBLANK(A131), "Pendente", "Realizada")</f>
        <v>Realizada</v>
      </c>
      <c r="C131" s="14">
        <f t="shared" si="13"/>
        <v>46015</v>
      </c>
      <c r="D131" s="13" t="s">
        <v>611</v>
      </c>
      <c r="E131" s="14">
        <f t="shared" si="14"/>
        <v>46105</v>
      </c>
      <c r="F131" s="13" t="s">
        <v>611</v>
      </c>
      <c r="G131" s="40">
        <v>202401100</v>
      </c>
      <c r="H131" s="13" t="s">
        <v>1386</v>
      </c>
      <c r="I131" s="13" t="s">
        <v>1192</v>
      </c>
      <c r="J131" s="14">
        <v>45586</v>
      </c>
      <c r="K131" s="14">
        <v>45946</v>
      </c>
      <c r="L131" s="13" t="s">
        <v>1387</v>
      </c>
      <c r="M131" s="13" t="s">
        <v>1388</v>
      </c>
      <c r="N131" s="13" t="s">
        <v>1389</v>
      </c>
      <c r="O131" s="17" t="s">
        <v>1390</v>
      </c>
      <c r="P131" s="79" t="s">
        <v>453</v>
      </c>
      <c r="Q131" s="13" t="s">
        <v>618</v>
      </c>
      <c r="R131" s="13" t="str">
        <f>VLOOKUP(P131,'Dados das Regiões '!A:B,2,0)</f>
        <v>PRUDENTÓPOLIS</v>
      </c>
      <c r="S131" s="13" t="s">
        <v>1391</v>
      </c>
      <c r="T131" s="13"/>
      <c r="U131" s="79" t="s">
        <v>1392</v>
      </c>
      <c r="V131" s="13" t="s">
        <v>1393</v>
      </c>
      <c r="W131" s="13" t="s">
        <v>1394</v>
      </c>
      <c r="X131" s="15">
        <v>0.625</v>
      </c>
      <c r="Y131" s="16" t="s">
        <v>1395</v>
      </c>
      <c r="Z131" s="16" t="s">
        <v>622</v>
      </c>
      <c r="AA131" s="36" t="s">
        <v>1396</v>
      </c>
      <c r="AB131" s="507">
        <v>202500868</v>
      </c>
      <c r="AC131" s="55" t="s">
        <v>42</v>
      </c>
    </row>
    <row r="132" spans="1:29">
      <c r="A132" s="14"/>
      <c r="B132" s="13" t="str">
        <f t="shared" si="15"/>
        <v>Pendente</v>
      </c>
      <c r="C132" s="14" t="str">
        <f t="shared" si="13"/>
        <v/>
      </c>
      <c r="D132" s="13" t="s">
        <v>611</v>
      </c>
      <c r="E132" s="14" t="str">
        <f t="shared" si="14"/>
        <v/>
      </c>
      <c r="F132" s="13" t="s">
        <v>611</v>
      </c>
      <c r="G132" s="237">
        <v>202401100</v>
      </c>
      <c r="H132" s="22" t="s">
        <v>1397</v>
      </c>
      <c r="I132" s="22" t="s">
        <v>1192</v>
      </c>
      <c r="J132" s="87">
        <v>45586</v>
      </c>
      <c r="K132" s="87">
        <v>45946</v>
      </c>
      <c r="L132" s="231" t="s">
        <v>528</v>
      </c>
      <c r="M132" s="230" t="s">
        <v>1362</v>
      </c>
      <c r="N132" s="97" t="s">
        <v>529</v>
      </c>
      <c r="O132" s="186" t="s">
        <v>530</v>
      </c>
      <c r="P132" s="232" t="s">
        <v>531</v>
      </c>
      <c r="Q132" s="97" t="s">
        <v>618</v>
      </c>
      <c r="R132" s="13" t="e">
        <f>VLOOKUP(P132,'Dados das Regiões '!A:B,2,0)</f>
        <v>#N/A</v>
      </c>
      <c r="S132" s="230" t="s">
        <v>1363</v>
      </c>
      <c r="T132" s="13"/>
      <c r="U132" s="232">
        <v>4130124691</v>
      </c>
      <c r="V132" s="230" t="s">
        <v>1364</v>
      </c>
      <c r="W132" s="230" t="s">
        <v>1365</v>
      </c>
      <c r="X132" s="90">
        <v>0.5625</v>
      </c>
      <c r="Y132" s="72">
        <v>0.64583333333333337</v>
      </c>
      <c r="Z132" s="233" t="s">
        <v>622</v>
      </c>
      <c r="AA132" s="36"/>
      <c r="AB132" s="295">
        <v>202401100</v>
      </c>
      <c r="AC132" s="55" t="s">
        <v>3</v>
      </c>
    </row>
    <row r="133" spans="1:29">
      <c r="A133" s="14"/>
      <c r="B133" s="13" t="str">
        <f t="shared" si="15"/>
        <v>Pendente</v>
      </c>
      <c r="C133" s="14" t="str">
        <f t="shared" si="13"/>
        <v/>
      </c>
      <c r="D133" s="13" t="s">
        <v>611</v>
      </c>
      <c r="E133" s="14" t="str">
        <f t="shared" si="14"/>
        <v/>
      </c>
      <c r="F133" s="13" t="s">
        <v>611</v>
      </c>
      <c r="G133" s="40">
        <v>202400989</v>
      </c>
      <c r="H133" s="13" t="s">
        <v>1398</v>
      </c>
      <c r="I133" s="13" t="s">
        <v>613</v>
      </c>
      <c r="J133" s="14">
        <v>45551</v>
      </c>
      <c r="K133" s="14">
        <v>45911</v>
      </c>
      <c r="L133" s="13" t="s">
        <v>1399</v>
      </c>
      <c r="M133" s="13" t="s">
        <v>1400</v>
      </c>
      <c r="N133" s="13" t="s">
        <v>1401</v>
      </c>
      <c r="O133" s="17" t="s">
        <v>1402</v>
      </c>
      <c r="P133" s="79" t="s">
        <v>359</v>
      </c>
      <c r="Q133" s="13" t="s">
        <v>618</v>
      </c>
      <c r="R133" s="13" t="str">
        <f>VLOOKUP(P133,'Dados das Regiões '!A:B,2,0)</f>
        <v>MARECHAL CÂNDIDO RONDON</v>
      </c>
      <c r="S133" s="13" t="s">
        <v>1403</v>
      </c>
      <c r="T133" s="13"/>
      <c r="U133" s="79"/>
      <c r="V133" s="13" t="s">
        <v>1404</v>
      </c>
      <c r="W133" s="13" t="s">
        <v>1405</v>
      </c>
      <c r="X133" s="15">
        <v>0.33333333333333331</v>
      </c>
      <c r="Y133" s="16" t="s">
        <v>1406</v>
      </c>
      <c r="Z133" s="16" t="s">
        <v>622</v>
      </c>
      <c r="AA133" s="36"/>
      <c r="AB133" s="164">
        <v>202400989</v>
      </c>
      <c r="AC133" s="55" t="s">
        <v>15</v>
      </c>
    </row>
    <row r="134" spans="1:29">
      <c r="A134" s="14"/>
      <c r="B134" s="13" t="str">
        <f t="shared" si="15"/>
        <v>Pendente</v>
      </c>
      <c r="C134" s="14" t="str">
        <f t="shared" si="13"/>
        <v/>
      </c>
      <c r="D134" s="13" t="s">
        <v>611</v>
      </c>
      <c r="E134" s="14" t="str">
        <f t="shared" si="14"/>
        <v/>
      </c>
      <c r="F134" s="13" t="s">
        <v>611</v>
      </c>
      <c r="G134" s="40">
        <v>202400989</v>
      </c>
      <c r="H134" s="13" t="s">
        <v>1407</v>
      </c>
      <c r="I134" s="13" t="s">
        <v>613</v>
      </c>
      <c r="J134" s="14">
        <v>45551</v>
      </c>
      <c r="K134" s="14">
        <v>45911</v>
      </c>
      <c r="L134" s="13" t="s">
        <v>632</v>
      </c>
      <c r="M134" s="13" t="s">
        <v>1408</v>
      </c>
      <c r="N134" s="497" t="s">
        <v>1409</v>
      </c>
      <c r="O134" s="17" t="s">
        <v>1410</v>
      </c>
      <c r="P134" s="79" t="s">
        <v>230</v>
      </c>
      <c r="Q134" s="13" t="s">
        <v>618</v>
      </c>
      <c r="R134" s="13" t="str">
        <f>VLOOKUP(P134,'Dados das Regiões '!A:B,2,0)</f>
        <v>CORNÉLIO PROCÓPIO</v>
      </c>
      <c r="S134" s="13" t="s">
        <v>1411</v>
      </c>
      <c r="T134" s="13"/>
      <c r="U134" s="79" t="s">
        <v>1412</v>
      </c>
      <c r="V134" s="13" t="s">
        <v>1413</v>
      </c>
      <c r="W134" s="13" t="s">
        <v>1414</v>
      </c>
      <c r="X134" s="15">
        <v>0.5625</v>
      </c>
      <c r="Y134" s="16" t="s">
        <v>1415</v>
      </c>
      <c r="Z134" s="16" t="s">
        <v>622</v>
      </c>
      <c r="AA134" s="36"/>
      <c r="AB134" s="164">
        <v>202400989</v>
      </c>
      <c r="AC134" s="55" t="s">
        <v>15</v>
      </c>
    </row>
    <row r="135" spans="1:29">
      <c r="A135" s="14"/>
      <c r="B135" s="13" t="str">
        <f t="shared" si="15"/>
        <v>Pendente</v>
      </c>
      <c r="C135" s="14" t="str">
        <f t="shared" si="13"/>
        <v/>
      </c>
      <c r="D135" s="13" t="s">
        <v>611</v>
      </c>
      <c r="E135" s="14" t="str">
        <f t="shared" si="14"/>
        <v/>
      </c>
      <c r="F135" s="13" t="s">
        <v>611</v>
      </c>
      <c r="G135" s="40">
        <v>202400988</v>
      </c>
      <c r="H135" s="13" t="s">
        <v>1416</v>
      </c>
      <c r="I135" s="13" t="s">
        <v>613</v>
      </c>
      <c r="J135" s="14">
        <v>45551</v>
      </c>
      <c r="K135" s="14">
        <v>45911</v>
      </c>
      <c r="L135" s="13" t="s">
        <v>1417</v>
      </c>
      <c r="M135" s="13" t="s">
        <v>1418</v>
      </c>
      <c r="N135" s="18" t="s">
        <v>1419</v>
      </c>
      <c r="O135" s="18" t="s">
        <v>1420</v>
      </c>
      <c r="P135" s="79" t="s">
        <v>274</v>
      </c>
      <c r="Q135" s="13" t="s">
        <v>618</v>
      </c>
      <c r="R135" s="13" t="str">
        <f>VLOOKUP(P135,'Dados das Regiões '!A:B,2,0)</f>
        <v>FRANCISCO BELTRÃO</v>
      </c>
      <c r="S135" s="13" t="s">
        <v>1421</v>
      </c>
      <c r="T135" s="13"/>
      <c r="U135" s="79"/>
      <c r="V135" s="13" t="s">
        <v>1422</v>
      </c>
      <c r="W135" s="13" t="s">
        <v>1423</v>
      </c>
      <c r="X135" s="15">
        <v>0.5625</v>
      </c>
      <c r="Y135" s="16" t="s">
        <v>1415</v>
      </c>
      <c r="Z135" s="16" t="s">
        <v>622</v>
      </c>
      <c r="AA135" s="36"/>
      <c r="AB135" s="164">
        <v>202400988</v>
      </c>
      <c r="AC135" s="55" t="s">
        <v>16</v>
      </c>
    </row>
    <row r="136" spans="1:29">
      <c r="A136" s="14"/>
      <c r="B136" s="13" t="str">
        <f t="shared" si="15"/>
        <v>Pendente</v>
      </c>
      <c r="C136" s="14" t="str">
        <f t="shared" si="13"/>
        <v/>
      </c>
      <c r="D136" s="13" t="s">
        <v>611</v>
      </c>
      <c r="E136" s="14" t="str">
        <f t="shared" si="14"/>
        <v/>
      </c>
      <c r="F136" s="13" t="s">
        <v>611</v>
      </c>
      <c r="G136" s="40">
        <v>202400988</v>
      </c>
      <c r="H136" s="13" t="s">
        <v>1424</v>
      </c>
      <c r="I136" s="13" t="s">
        <v>613</v>
      </c>
      <c r="J136" s="14">
        <v>45551</v>
      </c>
      <c r="K136" s="14">
        <v>45911</v>
      </c>
      <c r="L136" s="13" t="s">
        <v>1417</v>
      </c>
      <c r="M136" s="13" t="s">
        <v>1425</v>
      </c>
      <c r="N136" s="13" t="s">
        <v>1426</v>
      </c>
      <c r="O136" s="17" t="s">
        <v>1427</v>
      </c>
      <c r="P136" s="79" t="s">
        <v>258</v>
      </c>
      <c r="Q136" s="13" t="s">
        <v>618</v>
      </c>
      <c r="R136" s="13" t="str">
        <f>VLOOKUP(P136,'Dados das Regiões '!A:B,2,0)</f>
        <v>FRANCISCO BELTRÃO</v>
      </c>
      <c r="S136" s="13" t="s">
        <v>1428</v>
      </c>
      <c r="T136" s="13"/>
      <c r="U136" s="79"/>
      <c r="V136" s="13" t="s">
        <v>1429</v>
      </c>
      <c r="W136" s="13" t="s">
        <v>1430</v>
      </c>
      <c r="X136" s="15">
        <v>0.5625</v>
      </c>
      <c r="Y136" s="16" t="s">
        <v>1415</v>
      </c>
      <c r="Z136" s="16" t="s">
        <v>622</v>
      </c>
      <c r="AA136" s="36"/>
      <c r="AB136" s="164">
        <v>202400988</v>
      </c>
      <c r="AC136" s="55" t="s">
        <v>16</v>
      </c>
    </row>
    <row r="137" spans="1:29">
      <c r="A137" s="14"/>
      <c r="B137" s="13" t="str">
        <f t="shared" si="15"/>
        <v>Pendente</v>
      </c>
      <c r="C137" s="14" t="str">
        <f t="shared" si="13"/>
        <v/>
      </c>
      <c r="D137" s="13" t="s">
        <v>611</v>
      </c>
      <c r="E137" s="14" t="str">
        <f t="shared" si="14"/>
        <v/>
      </c>
      <c r="F137" s="13" t="s">
        <v>611</v>
      </c>
      <c r="G137" s="40">
        <v>202400988</v>
      </c>
      <c r="H137" s="13" t="s">
        <v>1431</v>
      </c>
      <c r="I137" s="13" t="s">
        <v>613</v>
      </c>
      <c r="J137" s="14">
        <v>45551</v>
      </c>
      <c r="K137" s="14">
        <v>45911</v>
      </c>
      <c r="L137" s="13" t="s">
        <v>1417</v>
      </c>
      <c r="M137" s="13" t="s">
        <v>1432</v>
      </c>
      <c r="N137" s="13" t="s">
        <v>1433</v>
      </c>
      <c r="O137" s="17" t="s">
        <v>1434</v>
      </c>
      <c r="P137" s="79" t="s">
        <v>263</v>
      </c>
      <c r="Q137" s="13" t="s">
        <v>618</v>
      </c>
      <c r="R137" s="13" t="str">
        <f>VLOOKUP(P137,'Dados das Regiões '!A:B,2,0)</f>
        <v>FRANCISCO BELTRÃO</v>
      </c>
      <c r="S137" s="13" t="s">
        <v>1435</v>
      </c>
      <c r="T137" s="13"/>
      <c r="U137" s="79"/>
      <c r="V137" s="13" t="s">
        <v>1436</v>
      </c>
      <c r="W137" s="13" t="s">
        <v>1437</v>
      </c>
      <c r="X137" s="15">
        <v>0.33333333333333331</v>
      </c>
      <c r="Y137" s="16" t="s">
        <v>1438</v>
      </c>
      <c r="Z137" s="16" t="s">
        <v>622</v>
      </c>
      <c r="AA137" s="36"/>
      <c r="AB137" s="164">
        <v>202400988</v>
      </c>
      <c r="AC137" s="55" t="s">
        <v>16</v>
      </c>
    </row>
    <row r="138" spans="1:29">
      <c r="A138" s="14">
        <v>45911</v>
      </c>
      <c r="B138" s="13" t="str">
        <f t="shared" si="15"/>
        <v>Realizada</v>
      </c>
      <c r="C138" s="14">
        <f t="shared" si="13"/>
        <v>46002</v>
      </c>
      <c r="D138" s="13" t="s">
        <v>611</v>
      </c>
      <c r="E138" s="14">
        <f t="shared" si="14"/>
        <v>46092</v>
      </c>
      <c r="F138" s="13" t="s">
        <v>611</v>
      </c>
      <c r="G138" s="40">
        <v>202400988</v>
      </c>
      <c r="H138" s="13" t="s">
        <v>1439</v>
      </c>
      <c r="I138" s="13" t="s">
        <v>613</v>
      </c>
      <c r="J138" s="14">
        <v>45551</v>
      </c>
      <c r="K138" s="14">
        <v>45911</v>
      </c>
      <c r="L138" s="13" t="s">
        <v>672</v>
      </c>
      <c r="M138" t="s">
        <v>760</v>
      </c>
      <c r="N138" s="13" t="s">
        <v>761</v>
      </c>
      <c r="O138" s="13" t="s">
        <v>762</v>
      </c>
      <c r="P138" s="79" t="s">
        <v>166</v>
      </c>
      <c r="Q138" s="13" t="s">
        <v>618</v>
      </c>
      <c r="R138" s="13" t="str">
        <f>VLOOKUP(P138,'Dados das Regiões '!A:B,2,0)</f>
        <v>CAMPO MOURÃO</v>
      </c>
      <c r="S138" s="13" t="s">
        <v>727</v>
      </c>
      <c r="T138" s="13"/>
      <c r="U138" s="79" t="s">
        <v>728</v>
      </c>
      <c r="V138" s="13" t="s">
        <v>729</v>
      </c>
      <c r="W138" s="13" t="s">
        <v>730</v>
      </c>
      <c r="X138" s="15">
        <v>0.39583333333333331</v>
      </c>
      <c r="Y138" s="16" t="s">
        <v>1440</v>
      </c>
      <c r="Z138" s="16" t="s">
        <v>622</v>
      </c>
      <c r="AA138" s="36"/>
      <c r="AB138" s="164">
        <v>202400988</v>
      </c>
      <c r="AC138" s="55" t="s">
        <v>16</v>
      </c>
    </row>
    <row r="139" spans="1:29">
      <c r="A139" s="14">
        <v>45910</v>
      </c>
      <c r="B139" s="13" t="str">
        <f t="shared" si="15"/>
        <v>Realizada</v>
      </c>
      <c r="C139" s="14">
        <f t="shared" si="13"/>
        <v>46001</v>
      </c>
      <c r="D139" s="13" t="s">
        <v>611</v>
      </c>
      <c r="E139" s="14">
        <f t="shared" si="14"/>
        <v>46091</v>
      </c>
      <c r="F139" s="13" t="s">
        <v>611</v>
      </c>
      <c r="G139" s="40">
        <v>202400988</v>
      </c>
      <c r="H139" s="13" t="s">
        <v>1441</v>
      </c>
      <c r="I139" s="13" t="s">
        <v>613</v>
      </c>
      <c r="J139" s="14">
        <v>45551</v>
      </c>
      <c r="K139" s="14">
        <v>45911</v>
      </c>
      <c r="L139" s="13" t="s">
        <v>672</v>
      </c>
      <c r="M139" s="13" t="s">
        <v>1442</v>
      </c>
      <c r="N139" s="13" t="s">
        <v>1443</v>
      </c>
      <c r="O139" s="13" t="s">
        <v>1444</v>
      </c>
      <c r="P139" s="79" t="s">
        <v>157</v>
      </c>
      <c r="Q139" s="13" t="s">
        <v>618</v>
      </c>
      <c r="R139" s="13" t="str">
        <f>VLOOKUP(P139,'Dados das Regiões '!A:B,2,0)</f>
        <v>CAMPO MOURÃO</v>
      </c>
      <c r="S139" s="13" t="s">
        <v>1445</v>
      </c>
      <c r="T139" s="13"/>
      <c r="U139" s="79" t="s">
        <v>1446</v>
      </c>
      <c r="V139" s="13" t="s">
        <v>1447</v>
      </c>
      <c r="W139" s="13" t="s">
        <v>1448</v>
      </c>
      <c r="X139" s="15">
        <v>0.3125</v>
      </c>
      <c r="Y139" s="16" t="s">
        <v>1449</v>
      </c>
      <c r="Z139" s="16" t="s">
        <v>622</v>
      </c>
      <c r="AA139" s="36"/>
      <c r="AB139" s="164">
        <v>202400988</v>
      </c>
      <c r="AC139" s="55" t="s">
        <v>16</v>
      </c>
    </row>
    <row r="140" spans="1:29">
      <c r="A140" s="14">
        <v>45911</v>
      </c>
      <c r="B140" s="13" t="str">
        <f t="shared" si="15"/>
        <v>Realizada</v>
      </c>
      <c r="C140" s="14">
        <f t="shared" si="13"/>
        <v>46002</v>
      </c>
      <c r="D140" s="13" t="s">
        <v>611</v>
      </c>
      <c r="E140" s="14">
        <f t="shared" si="14"/>
        <v>46092</v>
      </c>
      <c r="F140" s="13" t="s">
        <v>611</v>
      </c>
      <c r="G140" s="40">
        <v>202400988</v>
      </c>
      <c r="H140" s="13" t="s">
        <v>1450</v>
      </c>
      <c r="I140" s="13" t="s">
        <v>613</v>
      </c>
      <c r="J140" s="14">
        <v>45551</v>
      </c>
      <c r="K140" s="14">
        <v>45911</v>
      </c>
      <c r="L140" s="13" t="s">
        <v>672</v>
      </c>
      <c r="M140" s="13" t="s">
        <v>777</v>
      </c>
      <c r="N140" s="13" t="s">
        <v>778</v>
      </c>
      <c r="O140" s="17" t="s">
        <v>779</v>
      </c>
      <c r="P140" s="79" t="s">
        <v>161</v>
      </c>
      <c r="Q140" s="13" t="s">
        <v>618</v>
      </c>
      <c r="R140" s="13" t="str">
        <f>VLOOKUP(P140,'Dados das Regiões '!A:B,2,0)</f>
        <v>CAMPO MOURÃO</v>
      </c>
      <c r="S140" s="13" t="s">
        <v>780</v>
      </c>
      <c r="T140" s="13"/>
      <c r="U140" s="79" t="s">
        <v>781</v>
      </c>
      <c r="V140" s="13" t="s">
        <v>782</v>
      </c>
      <c r="W140" s="13" t="s">
        <v>783</v>
      </c>
      <c r="X140" s="15">
        <v>0.64583333333333337</v>
      </c>
      <c r="Y140" s="16" t="s">
        <v>1451</v>
      </c>
      <c r="Z140" s="16" t="s">
        <v>622</v>
      </c>
      <c r="AA140" s="36"/>
      <c r="AB140" s="164">
        <v>202400988</v>
      </c>
      <c r="AC140" s="55" t="s">
        <v>16</v>
      </c>
    </row>
    <row r="141" spans="1:29">
      <c r="A141" s="14">
        <v>45911</v>
      </c>
      <c r="B141" s="13" t="str">
        <f t="shared" si="15"/>
        <v>Realizada</v>
      </c>
      <c r="C141" s="14">
        <f t="shared" si="13"/>
        <v>46002</v>
      </c>
      <c r="D141" s="13" t="s">
        <v>611</v>
      </c>
      <c r="E141" s="14">
        <f t="shared" si="14"/>
        <v>46092</v>
      </c>
      <c r="F141" s="13" t="s">
        <v>611</v>
      </c>
      <c r="G141" s="40">
        <v>202400988</v>
      </c>
      <c r="H141" s="13" t="s">
        <v>1452</v>
      </c>
      <c r="I141" s="13" t="s">
        <v>613</v>
      </c>
      <c r="J141" s="14">
        <v>45551</v>
      </c>
      <c r="K141" s="14">
        <v>45911</v>
      </c>
      <c r="L141" s="13" t="s">
        <v>672</v>
      </c>
      <c r="M141" s="13" t="s">
        <v>724</v>
      </c>
      <c r="N141" s="13" t="s">
        <v>725</v>
      </c>
      <c r="O141" s="17" t="s">
        <v>726</v>
      </c>
      <c r="P141" s="79" t="s">
        <v>166</v>
      </c>
      <c r="Q141" s="13" t="s">
        <v>618</v>
      </c>
      <c r="R141" s="13" t="str">
        <f>VLOOKUP(P141,'Dados das Regiões '!A:B,2,0)</f>
        <v>CAMPO MOURÃO</v>
      </c>
      <c r="S141" s="13" t="s">
        <v>727</v>
      </c>
      <c r="T141" s="13"/>
      <c r="U141" s="79" t="s">
        <v>728</v>
      </c>
      <c r="V141" s="13" t="s">
        <v>729</v>
      </c>
      <c r="W141" s="13" t="s">
        <v>730</v>
      </c>
      <c r="X141" s="15">
        <v>0.3125</v>
      </c>
      <c r="Y141" s="16" t="s">
        <v>1449</v>
      </c>
      <c r="Z141" s="16" t="s">
        <v>622</v>
      </c>
      <c r="AA141" s="36"/>
      <c r="AB141" s="164">
        <v>202400988</v>
      </c>
      <c r="AC141" s="55" t="s">
        <v>16</v>
      </c>
    </row>
    <row r="142" spans="1:29">
      <c r="A142" s="14"/>
      <c r="B142" s="13" t="str">
        <f t="shared" si="15"/>
        <v>Pendente</v>
      </c>
      <c r="C142" s="14" t="str">
        <f t="shared" si="13"/>
        <v/>
      </c>
      <c r="D142" s="13" t="s">
        <v>611</v>
      </c>
      <c r="E142" s="14" t="str">
        <f t="shared" si="14"/>
        <v/>
      </c>
      <c r="F142" s="13" t="s">
        <v>611</v>
      </c>
      <c r="G142" s="40">
        <v>202400988</v>
      </c>
      <c r="H142" s="13" t="s">
        <v>1453</v>
      </c>
      <c r="I142" s="13" t="s">
        <v>613</v>
      </c>
      <c r="J142" s="14">
        <v>45551</v>
      </c>
      <c r="K142" s="14">
        <v>45911</v>
      </c>
      <c r="L142" s="13" t="s">
        <v>672</v>
      </c>
      <c r="M142" s="13" t="s">
        <v>1454</v>
      </c>
      <c r="N142" s="13" t="s">
        <v>1455</v>
      </c>
      <c r="O142" s="13" t="s">
        <v>1456</v>
      </c>
      <c r="P142" s="79" t="s">
        <v>437</v>
      </c>
      <c r="Q142" s="13" t="s">
        <v>618</v>
      </c>
      <c r="R142" s="13" t="str">
        <f>VLOOKUP(P142,'Dados das Regiões '!A:B,2,0)</f>
        <v>PATO BRANCO</v>
      </c>
      <c r="S142" s="13" t="s">
        <v>1457</v>
      </c>
      <c r="T142" s="13"/>
      <c r="U142" s="79" t="s">
        <v>1458</v>
      </c>
      <c r="V142" s="13" t="s">
        <v>1459</v>
      </c>
      <c r="W142" s="13" t="s">
        <v>1460</v>
      </c>
      <c r="X142" s="15">
        <v>0.3125</v>
      </c>
      <c r="Y142" s="16" t="s">
        <v>1461</v>
      </c>
      <c r="Z142" s="16" t="s">
        <v>622</v>
      </c>
      <c r="AA142" s="36"/>
      <c r="AB142" s="164">
        <v>202400988</v>
      </c>
      <c r="AC142" s="55" t="s">
        <v>16</v>
      </c>
    </row>
    <row r="143" spans="1:29">
      <c r="A143" s="14"/>
      <c r="B143" s="13" t="str">
        <f t="shared" si="15"/>
        <v>Pendente</v>
      </c>
      <c r="C143" s="14" t="str">
        <f t="shared" si="13"/>
        <v/>
      </c>
      <c r="D143" s="13" t="s">
        <v>611</v>
      </c>
      <c r="E143" s="14" t="str">
        <f t="shared" si="14"/>
        <v/>
      </c>
      <c r="F143" s="13" t="s">
        <v>611</v>
      </c>
      <c r="G143" s="40">
        <v>202400988</v>
      </c>
      <c r="H143" s="13" t="s">
        <v>1462</v>
      </c>
      <c r="I143" s="13" t="s">
        <v>613</v>
      </c>
      <c r="J143" s="14">
        <v>45551</v>
      </c>
      <c r="K143" s="14">
        <v>45911</v>
      </c>
      <c r="L143" s="13" t="s">
        <v>672</v>
      </c>
      <c r="M143" s="13" t="s">
        <v>1463</v>
      </c>
      <c r="N143" s="13" t="s">
        <v>1464</v>
      </c>
      <c r="O143" s="17" t="s">
        <v>1465</v>
      </c>
      <c r="P143" s="79" t="s">
        <v>474</v>
      </c>
      <c r="Q143" s="13" t="s">
        <v>618</v>
      </c>
      <c r="R143" s="13" t="str">
        <f>VLOOKUP(P143,'Dados das Regiões '!A:B,2,0)</f>
        <v>TOLEDO</v>
      </c>
      <c r="S143" s="13" t="s">
        <v>1466</v>
      </c>
      <c r="T143" s="13"/>
      <c r="U143" s="79" t="s">
        <v>1467</v>
      </c>
      <c r="V143" s="13" t="s">
        <v>1468</v>
      </c>
      <c r="W143" s="13" t="s">
        <v>1469</v>
      </c>
      <c r="X143" s="15">
        <v>0.3125</v>
      </c>
      <c r="Y143" s="16" t="s">
        <v>1449</v>
      </c>
      <c r="Z143" s="16" t="s">
        <v>622</v>
      </c>
      <c r="AA143" s="36"/>
      <c r="AB143" s="164">
        <v>202400988</v>
      </c>
      <c r="AC143" s="55" t="s">
        <v>16</v>
      </c>
    </row>
    <row r="144" spans="1:29">
      <c r="A144" s="14"/>
      <c r="B144" s="13" t="str">
        <f t="shared" si="15"/>
        <v>Pendente</v>
      </c>
      <c r="C144" s="14" t="str">
        <f t="shared" si="13"/>
        <v/>
      </c>
      <c r="D144" s="13" t="s">
        <v>611</v>
      </c>
      <c r="E144" s="14" t="str">
        <f t="shared" si="14"/>
        <v/>
      </c>
      <c r="F144" s="13" t="s">
        <v>611</v>
      </c>
      <c r="G144" s="40">
        <v>202400988</v>
      </c>
      <c r="H144" s="13" t="s">
        <v>1470</v>
      </c>
      <c r="I144" s="13" t="s">
        <v>613</v>
      </c>
      <c r="J144" s="14">
        <v>45551</v>
      </c>
      <c r="K144" s="14">
        <v>45911</v>
      </c>
      <c r="L144" s="13" t="s">
        <v>672</v>
      </c>
      <c r="M144" s="13" t="s">
        <v>1471</v>
      </c>
      <c r="N144" s="13" t="s">
        <v>1472</v>
      </c>
      <c r="O144" s="17" t="s">
        <v>1473</v>
      </c>
      <c r="P144" s="79" t="s">
        <v>354</v>
      </c>
      <c r="Q144" s="13" t="s">
        <v>618</v>
      </c>
      <c r="R144" s="13" t="str">
        <f>VLOOKUP(P144,'Dados das Regiões '!A:B,2,0)</f>
        <v>MARECHAL CÂNDIDO RONDON</v>
      </c>
      <c r="S144" s="13" t="s">
        <v>1474</v>
      </c>
      <c r="T144" s="13"/>
      <c r="U144" s="79" t="s">
        <v>1475</v>
      </c>
      <c r="V144" s="13" t="s">
        <v>1476</v>
      </c>
      <c r="W144" s="13" t="s">
        <v>1477</v>
      </c>
      <c r="X144" s="15">
        <v>0.3125</v>
      </c>
      <c r="Y144" s="16" t="s">
        <v>1449</v>
      </c>
      <c r="Z144" s="16" t="s">
        <v>622</v>
      </c>
      <c r="AA144" s="36"/>
      <c r="AB144" s="164">
        <v>202400988</v>
      </c>
      <c r="AC144" s="55" t="s">
        <v>16</v>
      </c>
    </row>
    <row r="145" spans="1:29">
      <c r="A145" s="14"/>
      <c r="B145" s="13" t="str">
        <f t="shared" si="15"/>
        <v>Pendente</v>
      </c>
      <c r="C145" s="14" t="str">
        <f t="shared" si="13"/>
        <v/>
      </c>
      <c r="D145" s="13" t="s">
        <v>611</v>
      </c>
      <c r="E145" s="14" t="str">
        <f t="shared" si="14"/>
        <v/>
      </c>
      <c r="F145" s="13" t="s">
        <v>611</v>
      </c>
      <c r="G145" s="40">
        <v>202400988</v>
      </c>
      <c r="H145" s="13" t="s">
        <v>1478</v>
      </c>
      <c r="I145" s="13" t="s">
        <v>613</v>
      </c>
      <c r="J145" s="14">
        <v>45551</v>
      </c>
      <c r="K145" s="14">
        <v>45911</v>
      </c>
      <c r="L145" s="13" t="s">
        <v>672</v>
      </c>
      <c r="M145" s="13" t="s">
        <v>1471</v>
      </c>
      <c r="N145" s="13" t="s">
        <v>1472</v>
      </c>
      <c r="O145" s="17" t="s">
        <v>1473</v>
      </c>
      <c r="P145" s="79" t="s">
        <v>354</v>
      </c>
      <c r="Q145" s="13" t="s">
        <v>618</v>
      </c>
      <c r="R145" s="13" t="str">
        <f>VLOOKUP(P145,'Dados das Regiões '!A:B,2,0)</f>
        <v>MARECHAL CÂNDIDO RONDON</v>
      </c>
      <c r="S145" s="13" t="s">
        <v>1474</v>
      </c>
      <c r="T145" s="13"/>
      <c r="U145" s="79" t="s">
        <v>1475</v>
      </c>
      <c r="V145" s="13" t="s">
        <v>1476</v>
      </c>
      <c r="W145" s="13" t="s">
        <v>1477</v>
      </c>
      <c r="X145" s="15">
        <v>0.3125</v>
      </c>
      <c r="Y145" s="16" t="s">
        <v>1449</v>
      </c>
      <c r="Z145" s="16" t="s">
        <v>622</v>
      </c>
      <c r="AA145" s="36"/>
      <c r="AB145" s="164">
        <v>202400988</v>
      </c>
      <c r="AC145" s="55" t="s">
        <v>16</v>
      </c>
    </row>
    <row r="146" spans="1:29">
      <c r="A146" s="14"/>
      <c r="B146" s="13" t="str">
        <f t="shared" si="15"/>
        <v>Pendente</v>
      </c>
      <c r="C146" s="14" t="str">
        <f t="shared" si="13"/>
        <v/>
      </c>
      <c r="D146" s="13" t="s">
        <v>611</v>
      </c>
      <c r="E146" s="14" t="str">
        <f t="shared" si="14"/>
        <v/>
      </c>
      <c r="F146" s="13" t="s">
        <v>611</v>
      </c>
      <c r="G146" s="40">
        <v>202400988</v>
      </c>
      <c r="H146" s="13" t="s">
        <v>1479</v>
      </c>
      <c r="I146" s="13" t="s">
        <v>613</v>
      </c>
      <c r="J146" s="14">
        <v>45551</v>
      </c>
      <c r="K146" s="14">
        <v>45911</v>
      </c>
      <c r="L146" s="13" t="s">
        <v>672</v>
      </c>
      <c r="M146" s="13" t="s">
        <v>938</v>
      </c>
      <c r="N146" s="13" t="s">
        <v>939</v>
      </c>
      <c r="O146" s="17" t="s">
        <v>940</v>
      </c>
      <c r="P146" s="79" t="s">
        <v>311</v>
      </c>
      <c r="Q146" s="13" t="s">
        <v>618</v>
      </c>
      <c r="R146" s="13" t="str">
        <f>VLOOKUP(P146,'Dados das Regiões '!A:B,2,0)</f>
        <v>IVAIPORÃ</v>
      </c>
      <c r="S146" s="13" t="s">
        <v>941</v>
      </c>
      <c r="T146" s="13"/>
      <c r="U146" s="79" t="s">
        <v>942</v>
      </c>
      <c r="V146" s="13" t="s">
        <v>943</v>
      </c>
      <c r="W146" s="13" t="s">
        <v>944</v>
      </c>
      <c r="X146" s="15">
        <v>0.3125</v>
      </c>
      <c r="Y146" s="16" t="s">
        <v>1449</v>
      </c>
      <c r="Z146" s="16" t="s">
        <v>622</v>
      </c>
      <c r="AA146" s="36"/>
      <c r="AB146" s="164">
        <v>202400988</v>
      </c>
      <c r="AC146" s="55" t="s">
        <v>16</v>
      </c>
    </row>
    <row r="147" spans="1:29">
      <c r="A147" s="14"/>
      <c r="B147" s="13" t="str">
        <f t="shared" si="15"/>
        <v>Pendente</v>
      </c>
      <c r="C147" s="14" t="str">
        <f t="shared" si="13"/>
        <v/>
      </c>
      <c r="D147" s="13" t="s">
        <v>611</v>
      </c>
      <c r="E147" s="14" t="str">
        <f t="shared" si="14"/>
        <v/>
      </c>
      <c r="F147" s="13" t="s">
        <v>611</v>
      </c>
      <c r="G147" s="40">
        <v>202400988</v>
      </c>
      <c r="H147" s="13" t="s">
        <v>1480</v>
      </c>
      <c r="I147" s="13" t="s">
        <v>613</v>
      </c>
      <c r="J147" s="14">
        <v>45551</v>
      </c>
      <c r="K147" s="14">
        <v>45911</v>
      </c>
      <c r="L147" s="13" t="s">
        <v>672</v>
      </c>
      <c r="M147" s="13" t="s">
        <v>1011</v>
      </c>
      <c r="N147" s="13" t="s">
        <v>1012</v>
      </c>
      <c r="O147" s="17" t="s">
        <v>1013</v>
      </c>
      <c r="P147" s="79" t="s">
        <v>408</v>
      </c>
      <c r="Q147" s="13" t="s">
        <v>618</v>
      </c>
      <c r="R147" s="13" t="str">
        <f>VLOOKUP(P147,'Dados das Regiões '!A:B,2,0)</f>
        <v>PALMAS</v>
      </c>
      <c r="S147" s="13" t="s">
        <v>1481</v>
      </c>
      <c r="T147" s="13"/>
      <c r="U147" s="79"/>
      <c r="V147" s="13" t="s">
        <v>999</v>
      </c>
      <c r="W147" s="13" t="s">
        <v>1482</v>
      </c>
      <c r="X147" s="15">
        <v>0.5625</v>
      </c>
      <c r="Y147" s="16" t="s">
        <v>1415</v>
      </c>
      <c r="Z147" s="16" t="s">
        <v>622</v>
      </c>
      <c r="AA147" s="36"/>
      <c r="AB147" s="164">
        <v>202400988</v>
      </c>
      <c r="AC147" s="55" t="s">
        <v>16</v>
      </c>
    </row>
    <row r="148" spans="1:29">
      <c r="A148" s="14"/>
      <c r="B148" s="13" t="str">
        <f t="shared" si="15"/>
        <v>Pendente</v>
      </c>
      <c r="C148" s="14" t="str">
        <f t="shared" si="13"/>
        <v/>
      </c>
      <c r="D148" s="13" t="s">
        <v>611</v>
      </c>
      <c r="E148" s="14" t="str">
        <f t="shared" si="14"/>
        <v/>
      </c>
      <c r="F148" s="13" t="s">
        <v>611</v>
      </c>
      <c r="G148" s="40">
        <v>202400988</v>
      </c>
      <c r="H148" s="13" t="s">
        <v>1483</v>
      </c>
      <c r="I148" s="13" t="s">
        <v>613</v>
      </c>
      <c r="J148" s="14">
        <v>45551</v>
      </c>
      <c r="K148" s="14">
        <v>45911</v>
      </c>
      <c r="L148" s="13" t="s">
        <v>672</v>
      </c>
      <c r="M148" s="13" t="s">
        <v>1484</v>
      </c>
      <c r="N148" s="13" t="s">
        <v>1485</v>
      </c>
      <c r="O148" s="13" t="s">
        <v>1486</v>
      </c>
      <c r="P148" s="79" t="s">
        <v>169</v>
      </c>
      <c r="Q148" s="13" t="s">
        <v>618</v>
      </c>
      <c r="R148" s="13" t="str">
        <f>VLOOKUP(P148,'Dados das Regiões '!A:B,2,0)</f>
        <v>CAMPO MOURÃO</v>
      </c>
      <c r="S148" s="13" t="s">
        <v>1487</v>
      </c>
      <c r="T148" s="13"/>
      <c r="U148" s="79" t="s">
        <v>1488</v>
      </c>
      <c r="V148" s="13" t="s">
        <v>1489</v>
      </c>
      <c r="W148" s="13" t="s">
        <v>1490</v>
      </c>
      <c r="X148" s="15">
        <v>0.5625</v>
      </c>
      <c r="Y148" s="16" t="s">
        <v>1415</v>
      </c>
      <c r="Z148" s="16" t="s">
        <v>622</v>
      </c>
      <c r="AA148" s="36"/>
      <c r="AB148" s="164">
        <v>202400988</v>
      </c>
      <c r="AC148" s="55" t="s">
        <v>16</v>
      </c>
    </row>
    <row r="149" spans="1:29">
      <c r="A149" s="14"/>
      <c r="B149" s="13" t="str">
        <f t="shared" si="15"/>
        <v>Pendente</v>
      </c>
      <c r="C149" s="14" t="str">
        <f t="shared" si="13"/>
        <v/>
      </c>
      <c r="D149" s="13" t="s">
        <v>611</v>
      </c>
      <c r="E149" s="14" t="str">
        <f t="shared" si="14"/>
        <v/>
      </c>
      <c r="F149" s="13" t="s">
        <v>611</v>
      </c>
      <c r="G149" s="40">
        <v>202400988</v>
      </c>
      <c r="H149" s="13" t="s">
        <v>1491</v>
      </c>
      <c r="I149" s="13" t="s">
        <v>613</v>
      </c>
      <c r="J149" s="14">
        <v>45551</v>
      </c>
      <c r="K149" s="14">
        <v>45911</v>
      </c>
      <c r="L149" s="13" t="s">
        <v>672</v>
      </c>
      <c r="M149" s="13" t="s">
        <v>1492</v>
      </c>
      <c r="N149" s="13" t="s">
        <v>1493</v>
      </c>
      <c r="O149" s="17" t="s">
        <v>1494</v>
      </c>
      <c r="P149" s="79" t="s">
        <v>145</v>
      </c>
      <c r="Q149" s="13" t="s">
        <v>618</v>
      </c>
      <c r="R149" s="13" t="str">
        <f>VLOOKUP(P149,'Dados das Regiões '!A:B,2,0)</f>
        <v>CAMPO MOURÃO</v>
      </c>
      <c r="S149" s="13" t="s">
        <v>1495</v>
      </c>
      <c r="T149" s="13"/>
      <c r="U149" s="79" t="s">
        <v>1496</v>
      </c>
      <c r="V149" s="13" t="s">
        <v>1497</v>
      </c>
      <c r="W149" s="13" t="s">
        <v>1498</v>
      </c>
      <c r="X149" s="15">
        <v>0.39583333333333331</v>
      </c>
      <c r="Y149" s="16" t="s">
        <v>1440</v>
      </c>
      <c r="Z149" s="16" t="s">
        <v>622</v>
      </c>
      <c r="AA149" s="36"/>
      <c r="AB149" s="164">
        <v>202400988</v>
      </c>
      <c r="AC149" s="55" t="s">
        <v>16</v>
      </c>
    </row>
    <row r="150" spans="1:29">
      <c r="A150" s="14"/>
      <c r="B150" s="13" t="str">
        <f t="shared" si="15"/>
        <v>Pendente</v>
      </c>
      <c r="C150" s="14" t="str">
        <f t="shared" si="13"/>
        <v/>
      </c>
      <c r="D150" s="13" t="s">
        <v>611</v>
      </c>
      <c r="E150" s="14" t="str">
        <f t="shared" si="14"/>
        <v/>
      </c>
      <c r="F150" s="13" t="s">
        <v>611</v>
      </c>
      <c r="G150" s="40">
        <v>202400988</v>
      </c>
      <c r="H150" s="13" t="s">
        <v>1499</v>
      </c>
      <c r="I150" s="13" t="s">
        <v>613</v>
      </c>
      <c r="J150" s="14">
        <v>45551</v>
      </c>
      <c r="K150" s="14">
        <v>45911</v>
      </c>
      <c r="L150" s="13" t="s">
        <v>672</v>
      </c>
      <c r="M150" s="13" t="s">
        <v>1492</v>
      </c>
      <c r="N150" s="13" t="s">
        <v>1493</v>
      </c>
      <c r="O150" s="17" t="s">
        <v>1494</v>
      </c>
      <c r="P150" s="79" t="s">
        <v>145</v>
      </c>
      <c r="Q150" s="13" t="s">
        <v>618</v>
      </c>
      <c r="R150" s="13" t="str">
        <f>VLOOKUP(P150,'Dados das Regiões '!A:B,2,0)</f>
        <v>CAMPO MOURÃO</v>
      </c>
      <c r="S150" s="13" t="s">
        <v>1495</v>
      </c>
      <c r="T150" s="13"/>
      <c r="U150" s="79" t="s">
        <v>1496</v>
      </c>
      <c r="V150" s="13" t="s">
        <v>1497</v>
      </c>
      <c r="W150" s="13" t="s">
        <v>1498</v>
      </c>
      <c r="X150" s="15">
        <v>0.3125</v>
      </c>
      <c r="Y150" s="16" t="s">
        <v>1449</v>
      </c>
      <c r="Z150" s="16" t="s">
        <v>622</v>
      </c>
      <c r="AA150" s="36"/>
      <c r="AB150" s="164">
        <v>202400988</v>
      </c>
      <c r="AC150" s="55" t="s">
        <v>16</v>
      </c>
    </row>
    <row r="151" spans="1:29">
      <c r="A151" s="14"/>
      <c r="B151" s="13" t="str">
        <f t="shared" si="15"/>
        <v>Pendente</v>
      </c>
      <c r="C151" s="14" t="str">
        <f t="shared" si="13"/>
        <v/>
      </c>
      <c r="D151" s="13" t="s">
        <v>611</v>
      </c>
      <c r="E151" s="14" t="str">
        <f t="shared" si="14"/>
        <v/>
      </c>
      <c r="F151" s="13" t="s">
        <v>611</v>
      </c>
      <c r="G151" s="40">
        <v>202400988</v>
      </c>
      <c r="H151" s="13" t="s">
        <v>1500</v>
      </c>
      <c r="I151" s="13" t="s">
        <v>613</v>
      </c>
      <c r="J151" s="14">
        <v>45551</v>
      </c>
      <c r="K151" s="14">
        <v>45911</v>
      </c>
      <c r="L151" s="13" t="s">
        <v>672</v>
      </c>
      <c r="M151" s="13" t="s">
        <v>764</v>
      </c>
      <c r="N151" s="13" t="s">
        <v>1501</v>
      </c>
      <c r="O151" s="17" t="s">
        <v>1502</v>
      </c>
      <c r="P151" s="79" t="s">
        <v>158</v>
      </c>
      <c r="Q151" s="13" t="s">
        <v>618</v>
      </c>
      <c r="R151" s="13" t="str">
        <f>VLOOKUP(P151,'Dados das Regiões '!A:B,2,0)</f>
        <v>CAMPO MOURÃO</v>
      </c>
      <c r="S151" s="13" t="s">
        <v>767</v>
      </c>
      <c r="T151" s="13"/>
      <c r="U151" s="79"/>
      <c r="V151" s="13" t="s">
        <v>769</v>
      </c>
      <c r="W151" s="13" t="s">
        <v>770</v>
      </c>
      <c r="X151" s="15">
        <v>0.3125</v>
      </c>
      <c r="Y151" s="16" t="s">
        <v>1449</v>
      </c>
      <c r="Z151" s="16" t="s">
        <v>622</v>
      </c>
      <c r="AA151" s="36"/>
      <c r="AB151" s="164">
        <v>202400988</v>
      </c>
      <c r="AC151" s="55" t="s">
        <v>16</v>
      </c>
    </row>
    <row r="152" spans="1:29">
      <c r="A152" s="14"/>
      <c r="B152" s="13" t="str">
        <f t="shared" si="15"/>
        <v>Pendente</v>
      </c>
      <c r="C152" s="14" t="str">
        <f t="shared" si="13"/>
        <v/>
      </c>
      <c r="D152" s="13" t="s">
        <v>611</v>
      </c>
      <c r="E152" s="14" t="str">
        <f t="shared" si="14"/>
        <v/>
      </c>
      <c r="F152" s="13" t="s">
        <v>611</v>
      </c>
      <c r="G152" s="40">
        <v>202400988</v>
      </c>
      <c r="H152" s="13" t="s">
        <v>1503</v>
      </c>
      <c r="I152" s="13" t="s">
        <v>613</v>
      </c>
      <c r="J152" s="14">
        <v>45551</v>
      </c>
      <c r="K152" s="14">
        <v>45911</v>
      </c>
      <c r="L152" s="13" t="s">
        <v>672</v>
      </c>
      <c r="M152" s="13" t="s">
        <v>1504</v>
      </c>
      <c r="N152" s="13" t="s">
        <v>1505</v>
      </c>
      <c r="O152" s="17" t="s">
        <v>1506</v>
      </c>
      <c r="P152" s="79" t="s">
        <v>482</v>
      </c>
      <c r="Q152" s="13" t="s">
        <v>618</v>
      </c>
      <c r="R152" s="13" t="str">
        <f>VLOOKUP(P152,'Dados das Regiões '!A:B,2,0)</f>
        <v>TOLEDO</v>
      </c>
      <c r="S152" s="13" t="s">
        <v>1507</v>
      </c>
      <c r="T152" s="13"/>
      <c r="U152" s="79" t="s">
        <v>1508</v>
      </c>
      <c r="V152" s="13" t="s">
        <v>1509</v>
      </c>
      <c r="W152" s="13" t="s">
        <v>1510</v>
      </c>
      <c r="X152" s="15">
        <v>0.3125</v>
      </c>
      <c r="Y152" s="16" t="s">
        <v>1449</v>
      </c>
      <c r="Z152" s="16" t="s">
        <v>622</v>
      </c>
      <c r="AA152" s="36"/>
      <c r="AB152" s="164">
        <v>202400988</v>
      </c>
      <c r="AC152" s="55" t="s">
        <v>16</v>
      </c>
    </row>
    <row r="153" spans="1:29">
      <c r="A153" s="14"/>
      <c r="B153" s="13" t="str">
        <f t="shared" si="15"/>
        <v>Pendente</v>
      </c>
      <c r="C153" s="14" t="str">
        <f t="shared" si="13"/>
        <v/>
      </c>
      <c r="D153" s="13" t="s">
        <v>611</v>
      </c>
      <c r="E153" s="14" t="str">
        <f t="shared" si="14"/>
        <v/>
      </c>
      <c r="F153" s="13" t="s">
        <v>611</v>
      </c>
      <c r="G153" s="40">
        <v>202400988</v>
      </c>
      <c r="H153" s="13" t="s">
        <v>1511</v>
      </c>
      <c r="I153" s="13" t="s">
        <v>613</v>
      </c>
      <c r="J153" s="14">
        <v>45551</v>
      </c>
      <c r="K153" s="14">
        <v>45911</v>
      </c>
      <c r="L153" s="13" t="s">
        <v>672</v>
      </c>
      <c r="M153" s="13" t="s">
        <v>1512</v>
      </c>
      <c r="N153" s="13" t="s">
        <v>1513</v>
      </c>
      <c r="O153" s="17" t="s">
        <v>1514</v>
      </c>
      <c r="P153" s="79" t="s">
        <v>407</v>
      </c>
      <c r="Q153" s="13" t="s">
        <v>618</v>
      </c>
      <c r="R153" s="13" t="str">
        <f>VLOOKUP(P153,'Dados das Regiões '!A:B,2,0)</f>
        <v>PALMAS</v>
      </c>
      <c r="S153" s="13" t="s">
        <v>1515</v>
      </c>
      <c r="T153" s="13"/>
      <c r="U153" s="79" t="s">
        <v>1516</v>
      </c>
      <c r="V153" s="13" t="s">
        <v>1517</v>
      </c>
      <c r="W153" s="13" t="s">
        <v>1518</v>
      </c>
      <c r="X153" s="15">
        <v>0.5625</v>
      </c>
      <c r="Y153" s="16" t="s">
        <v>1415</v>
      </c>
      <c r="Z153" s="16" t="s">
        <v>622</v>
      </c>
      <c r="AA153" s="36"/>
      <c r="AB153" s="164">
        <v>202400988</v>
      </c>
      <c r="AC153" s="55" t="s">
        <v>16</v>
      </c>
    </row>
    <row r="154" spans="1:29">
      <c r="A154" s="14"/>
      <c r="B154" s="13" t="str">
        <f t="shared" si="15"/>
        <v>Pendente</v>
      </c>
      <c r="C154" s="14" t="str">
        <f t="shared" si="13"/>
        <v/>
      </c>
      <c r="D154" s="13" t="s">
        <v>611</v>
      </c>
      <c r="E154" s="14" t="str">
        <f t="shared" si="14"/>
        <v/>
      </c>
      <c r="F154" s="13" t="s">
        <v>611</v>
      </c>
      <c r="G154" s="40">
        <v>202400988</v>
      </c>
      <c r="H154" s="13" t="s">
        <v>1519</v>
      </c>
      <c r="I154" s="13" t="s">
        <v>613</v>
      </c>
      <c r="J154" s="14">
        <v>45551</v>
      </c>
      <c r="K154" s="14">
        <v>45911</v>
      </c>
      <c r="L154" s="13" t="s">
        <v>672</v>
      </c>
      <c r="M154" s="13" t="s">
        <v>1520</v>
      </c>
      <c r="N154" s="13" t="s">
        <v>1521</v>
      </c>
      <c r="O154" s="17" t="s">
        <v>1522</v>
      </c>
      <c r="P154" s="79" t="s">
        <v>178</v>
      </c>
      <c r="Q154" s="13" t="s">
        <v>618</v>
      </c>
      <c r="R154" s="13" t="str">
        <f>VLOOKUP(P154,'Dados das Regiões '!A:B,2,0)</f>
        <v>CASCAVEL</v>
      </c>
      <c r="S154" s="13" t="s">
        <v>1523</v>
      </c>
      <c r="T154" s="13"/>
      <c r="U154" s="79" t="s">
        <v>1524</v>
      </c>
      <c r="V154" s="13" t="s">
        <v>1525</v>
      </c>
      <c r="W154" s="13" t="s">
        <v>1526</v>
      </c>
      <c r="X154" s="15">
        <v>0.3125</v>
      </c>
      <c r="Y154" s="16" t="s">
        <v>1527</v>
      </c>
      <c r="Z154" s="16" t="s">
        <v>622</v>
      </c>
      <c r="AA154" s="36"/>
      <c r="AB154" s="164">
        <v>202400988</v>
      </c>
      <c r="AC154" s="55" t="s">
        <v>16</v>
      </c>
    </row>
    <row r="155" spans="1:29">
      <c r="A155" s="14">
        <v>45888</v>
      </c>
      <c r="B155" s="13" t="str">
        <f t="shared" si="15"/>
        <v>Realizada</v>
      </c>
      <c r="C155" s="14">
        <f t="shared" si="13"/>
        <v>45980</v>
      </c>
      <c r="D155" s="13" t="s">
        <v>611</v>
      </c>
      <c r="E155" s="14">
        <f t="shared" si="14"/>
        <v>46072</v>
      </c>
      <c r="F155" s="13" t="s">
        <v>611</v>
      </c>
      <c r="G155" s="40">
        <v>202400988</v>
      </c>
      <c r="H155" s="13" t="s">
        <v>1528</v>
      </c>
      <c r="I155" s="13" t="s">
        <v>613</v>
      </c>
      <c r="J155" s="14">
        <v>45551</v>
      </c>
      <c r="K155" s="14">
        <v>45911</v>
      </c>
      <c r="L155" s="13" t="s">
        <v>672</v>
      </c>
      <c r="M155" s="13" t="s">
        <v>1529</v>
      </c>
      <c r="N155" s="17" t="s">
        <v>1530</v>
      </c>
      <c r="O155" s="17" t="s">
        <v>1531</v>
      </c>
      <c r="P155" s="79" t="s">
        <v>287</v>
      </c>
      <c r="Q155" s="13" t="s">
        <v>618</v>
      </c>
      <c r="R155" s="13" t="str">
        <f>VLOOKUP(P155,'Dados das Regiões '!A:B,2,0)</f>
        <v>GUARAPUAVA</v>
      </c>
      <c r="S155" s="13" t="s">
        <v>1532</v>
      </c>
      <c r="T155" s="13"/>
      <c r="U155" s="79" t="s">
        <v>1533</v>
      </c>
      <c r="V155" s="13" t="s">
        <v>1533</v>
      </c>
      <c r="W155" s="13" t="s">
        <v>1534</v>
      </c>
      <c r="X155" s="15">
        <v>0.5625</v>
      </c>
      <c r="Y155" s="16" t="s">
        <v>1535</v>
      </c>
      <c r="Z155" s="16" t="s">
        <v>622</v>
      </c>
      <c r="AA155" s="36"/>
      <c r="AB155" s="164">
        <v>202400988</v>
      </c>
      <c r="AC155" s="55" t="s">
        <v>16</v>
      </c>
    </row>
    <row r="156" spans="1:29">
      <c r="A156" s="14">
        <v>45874</v>
      </c>
      <c r="B156" s="13" t="str">
        <f t="shared" si="15"/>
        <v>Realizada</v>
      </c>
      <c r="C156" s="14">
        <f t="shared" si="13"/>
        <v>45966</v>
      </c>
      <c r="D156" s="13" t="s">
        <v>611</v>
      </c>
      <c r="E156" s="14">
        <f t="shared" si="14"/>
        <v>46058</v>
      </c>
      <c r="F156" s="13" t="s">
        <v>611</v>
      </c>
      <c r="G156" s="40">
        <v>202400988</v>
      </c>
      <c r="H156" s="13" t="s">
        <v>1536</v>
      </c>
      <c r="I156" s="13" t="s">
        <v>613</v>
      </c>
      <c r="J156" s="14">
        <v>45551</v>
      </c>
      <c r="K156" s="14">
        <v>45911</v>
      </c>
      <c r="L156" s="13" t="s">
        <v>672</v>
      </c>
      <c r="M156" s="13" t="s">
        <v>1537</v>
      </c>
      <c r="N156" s="13" t="s">
        <v>1538</v>
      </c>
      <c r="O156" s="13" t="s">
        <v>1539</v>
      </c>
      <c r="P156" s="79" t="s">
        <v>284</v>
      </c>
      <c r="Q156" s="13" t="s">
        <v>618</v>
      </c>
      <c r="R156" s="13" t="str">
        <f>VLOOKUP(P156,'Dados das Regiões '!A:B,2,0)</f>
        <v>GUARAPUAVA</v>
      </c>
      <c r="S156" s="13" t="s">
        <v>1540</v>
      </c>
      <c r="T156" s="41"/>
      <c r="U156" s="79" t="s">
        <v>1541</v>
      </c>
      <c r="V156" s="13" t="s">
        <v>1542</v>
      </c>
      <c r="W156" s="13" t="s">
        <v>1543</v>
      </c>
      <c r="X156" s="15">
        <v>0.5625</v>
      </c>
      <c r="Y156" s="16" t="s">
        <v>1544</v>
      </c>
      <c r="Z156" s="16" t="s">
        <v>622</v>
      </c>
      <c r="AA156" s="36"/>
      <c r="AB156" s="164">
        <v>202400988</v>
      </c>
      <c r="AC156" s="55" t="s">
        <v>16</v>
      </c>
    </row>
    <row r="157" spans="1:29">
      <c r="A157" s="14"/>
      <c r="B157" s="13" t="str">
        <f t="shared" si="15"/>
        <v>Pendente</v>
      </c>
      <c r="C157" s="14" t="str">
        <f t="shared" si="13"/>
        <v/>
      </c>
      <c r="D157" s="13" t="s">
        <v>611</v>
      </c>
      <c r="E157" s="14" t="str">
        <f t="shared" si="14"/>
        <v/>
      </c>
      <c r="F157" s="13" t="s">
        <v>611</v>
      </c>
      <c r="G157" s="40">
        <v>202400988</v>
      </c>
      <c r="H157" s="13" t="s">
        <v>1545</v>
      </c>
      <c r="I157" s="13" t="s">
        <v>613</v>
      </c>
      <c r="J157" s="14">
        <v>45551</v>
      </c>
      <c r="K157" s="14">
        <v>45911</v>
      </c>
      <c r="L157" s="13" t="s">
        <v>1417</v>
      </c>
      <c r="M157" s="13" t="s">
        <v>1546</v>
      </c>
      <c r="N157" s="13" t="s">
        <v>1547</v>
      </c>
      <c r="O157" s="17" t="s">
        <v>1548</v>
      </c>
      <c r="P157" s="79" t="s">
        <v>263</v>
      </c>
      <c r="Q157" s="13" t="s">
        <v>618</v>
      </c>
      <c r="R157" s="13" t="str">
        <f>VLOOKUP(P157,'Dados das Regiões '!A:B,2,0)</f>
        <v>FRANCISCO BELTRÃO</v>
      </c>
      <c r="S157" s="36" t="s">
        <v>1435</v>
      </c>
      <c r="T157" s="13"/>
      <c r="U157" s="46"/>
      <c r="V157" t="s">
        <v>1436</v>
      </c>
      <c r="W157" t="s">
        <v>1437</v>
      </c>
      <c r="X157" s="15">
        <v>0.5625</v>
      </c>
      <c r="Y157" s="16" t="s">
        <v>1549</v>
      </c>
      <c r="Z157" s="16" t="s">
        <v>622</v>
      </c>
      <c r="AA157" s="36"/>
      <c r="AB157" s="164">
        <v>202400988</v>
      </c>
      <c r="AC157" s="55" t="s">
        <v>16</v>
      </c>
    </row>
    <row r="158" spans="1:29">
      <c r="A158" s="14"/>
      <c r="B158" s="13" t="str">
        <f t="shared" si="15"/>
        <v>Pendente</v>
      </c>
      <c r="C158" s="14" t="str">
        <f t="shared" ref="C158:C189" si="16">IF(A158="", "", EDATE(A158, 3))</f>
        <v/>
      </c>
      <c r="D158" s="13" t="s">
        <v>611</v>
      </c>
      <c r="E158" s="14" t="str">
        <f t="shared" si="14"/>
        <v/>
      </c>
      <c r="F158" s="13" t="s">
        <v>611</v>
      </c>
      <c r="G158" s="40">
        <v>202400988</v>
      </c>
      <c r="H158" s="13" t="s">
        <v>1550</v>
      </c>
      <c r="I158" s="13" t="s">
        <v>613</v>
      </c>
      <c r="J158" s="14">
        <v>45551</v>
      </c>
      <c r="K158" s="14">
        <v>45911</v>
      </c>
      <c r="L158" s="13" t="s">
        <v>1417</v>
      </c>
      <c r="M158" s="13" t="s">
        <v>1551</v>
      </c>
      <c r="N158" s="13" t="s">
        <v>1552</v>
      </c>
      <c r="O158" s="17" t="s">
        <v>1553</v>
      </c>
      <c r="P158" s="79" t="s">
        <v>281</v>
      </c>
      <c r="Q158" s="13" t="s">
        <v>618</v>
      </c>
      <c r="R158" s="13" t="str">
        <f>VLOOKUP(P158,'Dados das Regiões '!A:B,2,0)</f>
        <v>FRANCISCO BELTRÃO</v>
      </c>
      <c r="S158" s="13" t="s">
        <v>1554</v>
      </c>
      <c r="T158" s="34"/>
      <c r="U158" s="79" t="s">
        <v>1555</v>
      </c>
      <c r="V158" s="13" t="s">
        <v>1556</v>
      </c>
      <c r="W158" s="13" t="s">
        <v>1557</v>
      </c>
      <c r="X158" s="15">
        <v>0.5625</v>
      </c>
      <c r="Y158" s="16" t="s">
        <v>1535</v>
      </c>
      <c r="Z158" s="16" t="s">
        <v>622</v>
      </c>
      <c r="AA158" s="36"/>
      <c r="AB158" s="164">
        <v>202400988</v>
      </c>
      <c r="AC158" s="55" t="s">
        <v>16</v>
      </c>
    </row>
    <row r="159" spans="1:29">
      <c r="A159" s="14"/>
      <c r="B159" s="13" t="str">
        <f t="shared" si="15"/>
        <v>Pendente</v>
      </c>
      <c r="C159" s="14" t="str">
        <f t="shared" si="16"/>
        <v/>
      </c>
      <c r="D159" s="13" t="s">
        <v>611</v>
      </c>
      <c r="E159" s="14" t="str">
        <f t="shared" ref="E159:E190" si="17">IF(C159="", "", EDATE(C159, 3))</f>
        <v/>
      </c>
      <c r="F159" s="13" t="s">
        <v>611</v>
      </c>
      <c r="G159" s="40">
        <v>202400988</v>
      </c>
      <c r="H159" s="13" t="s">
        <v>1558</v>
      </c>
      <c r="I159" s="13" t="s">
        <v>613</v>
      </c>
      <c r="J159" s="14">
        <v>45551</v>
      </c>
      <c r="K159" s="14">
        <v>45911</v>
      </c>
      <c r="L159" s="13" t="s">
        <v>1417</v>
      </c>
      <c r="M159" s="13" t="s">
        <v>1559</v>
      </c>
      <c r="N159" s="13" t="s">
        <v>1560</v>
      </c>
      <c r="O159" s="17" t="s">
        <v>1561</v>
      </c>
      <c r="P159" s="79" t="s">
        <v>272</v>
      </c>
      <c r="Q159" s="13" t="s">
        <v>618</v>
      </c>
      <c r="R159" s="13" t="str">
        <f>VLOOKUP(P159,'Dados das Regiões '!A:B,2,0)</f>
        <v>FRANCISCO BELTRÃO</v>
      </c>
      <c r="S159" s="13" t="s">
        <v>1562</v>
      </c>
      <c r="T159" s="13"/>
      <c r="U159" s="79"/>
      <c r="V159" s="13" t="s">
        <v>1563</v>
      </c>
      <c r="W159" s="13" t="s">
        <v>1564</v>
      </c>
      <c r="X159" s="15">
        <v>0.5625</v>
      </c>
      <c r="Y159" s="16" t="s">
        <v>1565</v>
      </c>
      <c r="Z159" s="16" t="s">
        <v>622</v>
      </c>
      <c r="AA159" s="36"/>
      <c r="AB159" s="164">
        <v>202400988</v>
      </c>
      <c r="AC159" s="55" t="s">
        <v>16</v>
      </c>
    </row>
    <row r="160" spans="1:29">
      <c r="A160" s="14"/>
      <c r="B160" s="13" t="str">
        <f t="shared" si="15"/>
        <v>Pendente</v>
      </c>
      <c r="C160" s="14" t="str">
        <f t="shared" si="16"/>
        <v/>
      </c>
      <c r="D160" s="13" t="s">
        <v>611</v>
      </c>
      <c r="E160" s="14" t="str">
        <f t="shared" si="17"/>
        <v/>
      </c>
      <c r="F160" s="13" t="s">
        <v>611</v>
      </c>
      <c r="G160" s="40">
        <v>202400988</v>
      </c>
      <c r="H160" s="13" t="s">
        <v>1566</v>
      </c>
      <c r="I160" s="13" t="s">
        <v>613</v>
      </c>
      <c r="J160" s="14">
        <v>45551</v>
      </c>
      <c r="K160" s="14">
        <v>45911</v>
      </c>
      <c r="L160" s="13" t="s">
        <v>1417</v>
      </c>
      <c r="M160" s="13" t="s">
        <v>1567</v>
      </c>
      <c r="N160" s="13" t="s">
        <v>1568</v>
      </c>
      <c r="O160" s="17" t="s">
        <v>1569</v>
      </c>
      <c r="P160" s="79" t="s">
        <v>272</v>
      </c>
      <c r="Q160" s="13" t="s">
        <v>618</v>
      </c>
      <c r="R160" s="13" t="str">
        <f>VLOOKUP(P160,'Dados das Regiões '!A:B,2,0)</f>
        <v>FRANCISCO BELTRÃO</v>
      </c>
      <c r="S160" s="13" t="s">
        <v>1570</v>
      </c>
      <c r="T160" s="13"/>
      <c r="U160" s="79" t="s">
        <v>1555</v>
      </c>
      <c r="V160" s="13" t="s">
        <v>1571</v>
      </c>
      <c r="W160" s="13" t="s">
        <v>1572</v>
      </c>
      <c r="X160" s="15">
        <v>0.33333333333333331</v>
      </c>
      <c r="Y160" s="16" t="s">
        <v>1438</v>
      </c>
      <c r="Z160" s="16" t="s">
        <v>622</v>
      </c>
      <c r="AA160" s="36"/>
      <c r="AB160" s="164">
        <v>202400988</v>
      </c>
      <c r="AC160" s="55" t="s">
        <v>16</v>
      </c>
    </row>
    <row r="161" spans="1:29">
      <c r="A161" s="14"/>
      <c r="B161" s="13" t="str">
        <f t="shared" si="15"/>
        <v>Pendente</v>
      </c>
      <c r="C161" s="14" t="str">
        <f t="shared" si="16"/>
        <v/>
      </c>
      <c r="D161" s="13" t="s">
        <v>611</v>
      </c>
      <c r="E161" s="14" t="str">
        <f t="shared" si="17"/>
        <v/>
      </c>
      <c r="F161" s="13" t="s">
        <v>611</v>
      </c>
      <c r="G161" s="40">
        <v>202400988</v>
      </c>
      <c r="H161" s="13" t="s">
        <v>1573</v>
      </c>
      <c r="I161" s="13" t="s">
        <v>613</v>
      </c>
      <c r="J161" s="14">
        <v>45551</v>
      </c>
      <c r="K161" s="14">
        <v>45911</v>
      </c>
      <c r="L161" s="13" t="s">
        <v>657</v>
      </c>
      <c r="M161" s="13" t="s">
        <v>751</v>
      </c>
      <c r="N161" s="13" t="s">
        <v>752</v>
      </c>
      <c r="O161" s="17" t="s">
        <v>753</v>
      </c>
      <c r="P161" s="79" t="s">
        <v>282</v>
      </c>
      <c r="Q161" s="13" t="s">
        <v>618</v>
      </c>
      <c r="R161" s="13" t="str">
        <f>VLOOKUP(P161,'Dados das Regiões '!A:B,2,0)</f>
        <v>FRANCISCO BELTRÃO</v>
      </c>
      <c r="S161" s="13" t="s">
        <v>754</v>
      </c>
      <c r="T161" s="13"/>
      <c r="U161" s="79" t="s">
        <v>1574</v>
      </c>
      <c r="V161" s="13" t="s">
        <v>756</v>
      </c>
      <c r="W161" s="13" t="s">
        <v>757</v>
      </c>
      <c r="X161" s="15">
        <v>0.5625</v>
      </c>
      <c r="Y161" s="16" t="s">
        <v>1575</v>
      </c>
      <c r="Z161" s="16" t="s">
        <v>622</v>
      </c>
      <c r="AA161" s="36"/>
      <c r="AB161" s="164">
        <v>202400988</v>
      </c>
      <c r="AC161" s="55" t="s">
        <v>16</v>
      </c>
    </row>
    <row r="162" spans="1:29">
      <c r="A162" s="14">
        <v>45881</v>
      </c>
      <c r="B162" s="13" t="str">
        <f t="shared" si="15"/>
        <v>Realizada</v>
      </c>
      <c r="C162" s="14">
        <f t="shared" si="16"/>
        <v>45973</v>
      </c>
      <c r="D162" s="13" t="s">
        <v>611</v>
      </c>
      <c r="E162" s="14">
        <f t="shared" si="17"/>
        <v>46065</v>
      </c>
      <c r="F162" s="13" t="s">
        <v>611</v>
      </c>
      <c r="G162" s="40">
        <v>202400989</v>
      </c>
      <c r="H162" s="13" t="s">
        <v>1576</v>
      </c>
      <c r="I162" s="13" t="s">
        <v>613</v>
      </c>
      <c r="J162" s="14">
        <v>45551</v>
      </c>
      <c r="K162" s="14">
        <v>45911</v>
      </c>
      <c r="L162" s="13" t="s">
        <v>1577</v>
      </c>
      <c r="M162" s="13" t="s">
        <v>1578</v>
      </c>
      <c r="N162" s="13" t="s">
        <v>1579</v>
      </c>
      <c r="O162" s="17" t="s">
        <v>1580</v>
      </c>
      <c r="P162" s="79" t="s">
        <v>286</v>
      </c>
      <c r="Q162" s="13" t="s">
        <v>618</v>
      </c>
      <c r="R162" s="13" t="str">
        <f>VLOOKUP(P162,'Dados das Regiões '!A:B,2,0)</f>
        <v>GUARAPUAVA</v>
      </c>
      <c r="S162" s="13" t="s">
        <v>1581</v>
      </c>
      <c r="T162" s="13"/>
      <c r="U162" s="79"/>
      <c r="V162" s="13" t="s">
        <v>1582</v>
      </c>
      <c r="W162" s="13" t="s">
        <v>1583</v>
      </c>
      <c r="X162" s="15">
        <v>0.5625</v>
      </c>
      <c r="Y162" s="16" t="s">
        <v>1584</v>
      </c>
      <c r="Z162" s="16" t="s">
        <v>622</v>
      </c>
      <c r="AA162" s="36"/>
      <c r="AB162" s="164">
        <v>202400989</v>
      </c>
      <c r="AC162" s="55" t="s">
        <v>15</v>
      </c>
    </row>
    <row r="163" spans="1:29">
      <c r="A163" s="14"/>
      <c r="B163" s="13" t="str">
        <f t="shared" ref="B163:B194" si="18">IF(ISBLANK(A163), "Pendente", "Realizada")</f>
        <v>Pendente</v>
      </c>
      <c r="C163" s="14" t="str">
        <f t="shared" si="16"/>
        <v/>
      </c>
      <c r="D163" s="13" t="s">
        <v>611</v>
      </c>
      <c r="E163" s="14" t="str">
        <f t="shared" si="17"/>
        <v/>
      </c>
      <c r="F163" s="13" t="s">
        <v>611</v>
      </c>
      <c r="G163" s="40">
        <v>202400988</v>
      </c>
      <c r="H163" s="13" t="s">
        <v>1585</v>
      </c>
      <c r="I163" s="13" t="s">
        <v>613</v>
      </c>
      <c r="J163" s="14">
        <v>45551</v>
      </c>
      <c r="K163" s="14">
        <v>45911</v>
      </c>
      <c r="L163" s="13" t="s">
        <v>1586</v>
      </c>
      <c r="M163" s="13" t="s">
        <v>1587</v>
      </c>
      <c r="N163" s="13" t="s">
        <v>1588</v>
      </c>
      <c r="O163" s="17" t="s">
        <v>1589</v>
      </c>
      <c r="P163" s="79" t="s">
        <v>80</v>
      </c>
      <c r="Q163" s="13" t="s">
        <v>618</v>
      </c>
      <c r="R163" s="13" t="str">
        <f>VLOOKUP(P163,'Dados das Regiões '!A:B,2,0)</f>
        <v>FRANCISCO BELTRÃO</v>
      </c>
      <c r="S163" s="13" t="s">
        <v>1590</v>
      </c>
      <c r="T163" s="13"/>
      <c r="U163" s="79" t="s">
        <v>1591</v>
      </c>
      <c r="V163" s="13" t="s">
        <v>1592</v>
      </c>
      <c r="W163" s="13" t="s">
        <v>1593</v>
      </c>
      <c r="X163" s="15">
        <v>0.33333333333333331</v>
      </c>
      <c r="Y163" s="16" t="s">
        <v>1438</v>
      </c>
      <c r="Z163" s="16" t="s">
        <v>622</v>
      </c>
      <c r="AA163" s="36"/>
      <c r="AB163" s="164">
        <v>202400988</v>
      </c>
      <c r="AC163" s="55" t="s">
        <v>16</v>
      </c>
    </row>
    <row r="164" spans="1:29">
      <c r="A164" s="14"/>
      <c r="B164" s="13" t="str">
        <f t="shared" si="18"/>
        <v>Pendente</v>
      </c>
      <c r="C164" s="14" t="str">
        <f t="shared" si="16"/>
        <v/>
      </c>
      <c r="D164" s="13" t="s">
        <v>611</v>
      </c>
      <c r="E164" s="14" t="str">
        <f t="shared" si="17"/>
        <v/>
      </c>
      <c r="F164" s="13" t="s">
        <v>611</v>
      </c>
      <c r="G164" s="40">
        <v>202400989</v>
      </c>
      <c r="H164" s="13" t="s">
        <v>1594</v>
      </c>
      <c r="I164" s="13" t="s">
        <v>613</v>
      </c>
      <c r="J164" s="14">
        <v>45551</v>
      </c>
      <c r="K164" s="14">
        <v>45911</v>
      </c>
      <c r="L164" s="13" t="s">
        <v>682</v>
      </c>
      <c r="M164" s="13" t="s">
        <v>1595</v>
      </c>
      <c r="N164" s="13" t="s">
        <v>1596</v>
      </c>
      <c r="O164" s="17" t="s">
        <v>1597</v>
      </c>
      <c r="P164" s="79" t="s">
        <v>217</v>
      </c>
      <c r="Q164" s="13" t="s">
        <v>618</v>
      </c>
      <c r="R164" s="13" t="str">
        <f>VLOOKUP(P164,'Dados das Regiões '!A:B,2,0)</f>
        <v>CORNÉLIO PROCÓPIO</v>
      </c>
      <c r="S164" s="13" t="s">
        <v>1598</v>
      </c>
      <c r="T164" s="13"/>
      <c r="U164" s="79"/>
      <c r="V164" s="13" t="s">
        <v>1599</v>
      </c>
      <c r="W164" s="13" t="s">
        <v>1600</v>
      </c>
      <c r="X164" s="15">
        <v>0.5625</v>
      </c>
      <c r="Y164" s="16" t="s">
        <v>1415</v>
      </c>
      <c r="Z164" s="16" t="s">
        <v>622</v>
      </c>
      <c r="AA164" s="36"/>
      <c r="AB164" s="164">
        <v>202400989</v>
      </c>
      <c r="AC164" s="55" t="s">
        <v>15</v>
      </c>
    </row>
    <row r="165" spans="1:29">
      <c r="A165" s="14">
        <v>45911</v>
      </c>
      <c r="B165" s="13" t="str">
        <f t="shared" si="18"/>
        <v>Realizada</v>
      </c>
      <c r="C165" s="14">
        <f t="shared" si="16"/>
        <v>46002</v>
      </c>
      <c r="D165" s="13" t="s">
        <v>611</v>
      </c>
      <c r="E165" s="14">
        <f t="shared" si="17"/>
        <v>46092</v>
      </c>
      <c r="F165" s="13" t="s">
        <v>611</v>
      </c>
      <c r="G165" s="40">
        <v>202400989</v>
      </c>
      <c r="H165" s="13" t="s">
        <v>1601</v>
      </c>
      <c r="I165" s="13" t="s">
        <v>613</v>
      </c>
      <c r="J165" s="14">
        <v>45551</v>
      </c>
      <c r="K165" s="14">
        <v>45911</v>
      </c>
      <c r="L165" s="13" t="s">
        <v>1602</v>
      </c>
      <c r="M165" s="13" t="s">
        <v>1603</v>
      </c>
      <c r="N165" s="13" t="s">
        <v>1604</v>
      </c>
      <c r="O165" s="17" t="s">
        <v>1605</v>
      </c>
      <c r="P165" s="79" t="s">
        <v>161</v>
      </c>
      <c r="Q165" s="13" t="s">
        <v>618</v>
      </c>
      <c r="R165" s="13" t="str">
        <f>VLOOKUP(P165,'Dados das Regiões '!A:B,2,0)</f>
        <v>CAMPO MOURÃO</v>
      </c>
      <c r="S165" s="13" t="s">
        <v>1606</v>
      </c>
      <c r="T165" s="13"/>
      <c r="U165" s="79" t="s">
        <v>793</v>
      </c>
      <c r="V165" s="13" t="s">
        <v>1607</v>
      </c>
      <c r="W165" s="13" t="s">
        <v>1608</v>
      </c>
      <c r="X165" s="15">
        <v>0.3125</v>
      </c>
      <c r="Y165" s="16" t="s">
        <v>1609</v>
      </c>
      <c r="Z165" s="16" t="s">
        <v>622</v>
      </c>
      <c r="AA165" s="36"/>
      <c r="AB165" s="164">
        <v>202400989</v>
      </c>
      <c r="AC165" s="55" t="s">
        <v>15</v>
      </c>
    </row>
    <row r="166" spans="1:29">
      <c r="A166" s="14"/>
      <c r="B166" s="13" t="str">
        <f t="shared" si="18"/>
        <v>Pendente</v>
      </c>
      <c r="C166" s="14" t="str">
        <f t="shared" si="16"/>
        <v/>
      </c>
      <c r="D166" s="13" t="s">
        <v>611</v>
      </c>
      <c r="E166" s="14" t="str">
        <f t="shared" si="17"/>
        <v/>
      </c>
      <c r="F166" s="13" t="s">
        <v>611</v>
      </c>
      <c r="G166" s="40">
        <v>202400989</v>
      </c>
      <c r="H166" s="13" t="s">
        <v>1610</v>
      </c>
      <c r="I166" s="13" t="s">
        <v>613</v>
      </c>
      <c r="J166" s="14">
        <v>45551</v>
      </c>
      <c r="K166" s="14">
        <v>45911</v>
      </c>
      <c r="L166" s="13" t="s">
        <v>682</v>
      </c>
      <c r="M166" s="13" t="s">
        <v>1611</v>
      </c>
      <c r="N166" s="13" t="s">
        <v>1612</v>
      </c>
      <c r="O166" s="17" t="s">
        <v>1613</v>
      </c>
      <c r="P166" s="79" t="s">
        <v>217</v>
      </c>
      <c r="Q166" s="13" t="s">
        <v>618</v>
      </c>
      <c r="R166" s="13" t="str">
        <f>VLOOKUP(P166,'Dados das Regiões '!A:B,2,0)</f>
        <v>CORNÉLIO PROCÓPIO</v>
      </c>
      <c r="S166" s="13" t="s">
        <v>1614</v>
      </c>
      <c r="T166" s="13"/>
      <c r="U166" s="79"/>
      <c r="V166" s="13" t="s">
        <v>1615</v>
      </c>
      <c r="W166" s="13" t="s">
        <v>1616</v>
      </c>
      <c r="X166" s="15">
        <v>0.5625</v>
      </c>
      <c r="Y166" s="16" t="s">
        <v>1415</v>
      </c>
      <c r="Z166" s="16" t="s">
        <v>622</v>
      </c>
      <c r="AA166" s="36"/>
      <c r="AB166" s="164">
        <v>202400989</v>
      </c>
      <c r="AC166" s="55" t="s">
        <v>15</v>
      </c>
    </row>
    <row r="167" spans="1:29">
      <c r="A167" s="14"/>
      <c r="B167" s="13" t="str">
        <f t="shared" si="18"/>
        <v>Pendente</v>
      </c>
      <c r="C167" s="14" t="str">
        <f t="shared" si="16"/>
        <v/>
      </c>
      <c r="D167" s="13" t="s">
        <v>611</v>
      </c>
      <c r="E167" s="14" t="str">
        <f t="shared" si="17"/>
        <v/>
      </c>
      <c r="F167" s="13" t="s">
        <v>611</v>
      </c>
      <c r="G167" s="40">
        <v>202400988</v>
      </c>
      <c r="H167" s="13" t="s">
        <v>1617</v>
      </c>
      <c r="I167" s="13" t="s">
        <v>613</v>
      </c>
      <c r="J167" s="14">
        <v>45551</v>
      </c>
      <c r="K167" s="14">
        <v>45911</v>
      </c>
      <c r="L167" s="13" t="s">
        <v>657</v>
      </c>
      <c r="M167" s="13" t="s">
        <v>1618</v>
      </c>
      <c r="N167" s="13" t="s">
        <v>1619</v>
      </c>
      <c r="O167" s="17" t="s">
        <v>1620</v>
      </c>
      <c r="P167" s="79" t="s">
        <v>258</v>
      </c>
      <c r="Q167" s="13" t="s">
        <v>618</v>
      </c>
      <c r="R167" s="13" t="str">
        <f>VLOOKUP(P167,'Dados das Regiões '!A:B,2,0)</f>
        <v>FRANCISCO BELTRÃO</v>
      </c>
      <c r="S167" s="13" t="s">
        <v>1621</v>
      </c>
      <c r="T167" s="13"/>
      <c r="U167" s="79"/>
      <c r="V167" s="13" t="s">
        <v>1622</v>
      </c>
      <c r="W167" s="13" t="s">
        <v>1623</v>
      </c>
      <c r="X167" s="15">
        <v>0.5625</v>
      </c>
      <c r="Y167" s="16" t="s">
        <v>1415</v>
      </c>
      <c r="Z167" s="16" t="s">
        <v>622</v>
      </c>
      <c r="AA167" s="36"/>
      <c r="AB167" s="164">
        <v>202400988</v>
      </c>
      <c r="AC167" s="55" t="s">
        <v>16</v>
      </c>
    </row>
    <row r="168" spans="1:29">
      <c r="A168" s="14"/>
      <c r="B168" s="13" t="str">
        <f t="shared" si="18"/>
        <v>Pendente</v>
      </c>
      <c r="C168" s="14" t="str">
        <f t="shared" si="16"/>
        <v/>
      </c>
      <c r="D168" s="13" t="s">
        <v>611</v>
      </c>
      <c r="E168" s="14" t="str">
        <f t="shared" si="17"/>
        <v/>
      </c>
      <c r="F168" s="13" t="s">
        <v>611</v>
      </c>
      <c r="G168" s="40">
        <v>202400989</v>
      </c>
      <c r="H168" s="13" t="s">
        <v>1624</v>
      </c>
      <c r="I168" s="13" t="s">
        <v>613</v>
      </c>
      <c r="J168" s="14">
        <v>45551</v>
      </c>
      <c r="K168" s="14">
        <v>45911</v>
      </c>
      <c r="L168" s="13" t="s">
        <v>682</v>
      </c>
      <c r="M168" s="13" t="s">
        <v>1625</v>
      </c>
      <c r="N168" s="13" t="s">
        <v>1626</v>
      </c>
      <c r="O168" s="17" t="s">
        <v>1627</v>
      </c>
      <c r="P168" s="79" t="s">
        <v>341</v>
      </c>
      <c r="Q168" s="13" t="s">
        <v>618</v>
      </c>
      <c r="R168" s="13" t="str">
        <f>VLOOKUP(P168,'Dados das Regiões '!A:B,2,0)</f>
        <v>LONDRINA CENTRO</v>
      </c>
      <c r="S168" s="13" t="s">
        <v>1628</v>
      </c>
      <c r="T168" s="13"/>
      <c r="U168" s="79" t="s">
        <v>1629</v>
      </c>
      <c r="V168" s="13" t="s">
        <v>1630</v>
      </c>
      <c r="W168" s="13" t="s">
        <v>1631</v>
      </c>
      <c r="X168" s="15">
        <v>0.5625</v>
      </c>
      <c r="Y168" s="16" t="s">
        <v>1415</v>
      </c>
      <c r="Z168" s="16" t="s">
        <v>622</v>
      </c>
      <c r="AA168" s="36"/>
      <c r="AB168" s="164">
        <v>202400989</v>
      </c>
      <c r="AC168" s="55" t="s">
        <v>15</v>
      </c>
    </row>
    <row r="169" spans="1:29">
      <c r="A169" s="14"/>
      <c r="B169" s="13" t="str">
        <f t="shared" si="18"/>
        <v>Pendente</v>
      </c>
      <c r="C169" s="14" t="str">
        <f t="shared" si="16"/>
        <v/>
      </c>
      <c r="D169" s="13" t="s">
        <v>611</v>
      </c>
      <c r="E169" s="14" t="str">
        <f t="shared" si="17"/>
        <v/>
      </c>
      <c r="F169" s="13" t="s">
        <v>611</v>
      </c>
      <c r="G169" s="40">
        <v>202400988</v>
      </c>
      <c r="H169" s="13" t="s">
        <v>1632</v>
      </c>
      <c r="I169" s="13" t="s">
        <v>613</v>
      </c>
      <c r="J169" s="14">
        <v>45551</v>
      </c>
      <c r="K169" s="14">
        <v>45911</v>
      </c>
      <c r="L169" s="13" t="s">
        <v>657</v>
      </c>
      <c r="M169" s="13" t="s">
        <v>1633</v>
      </c>
      <c r="N169" s="13" t="s">
        <v>1634</v>
      </c>
      <c r="O169" s="17" t="s">
        <v>1635</v>
      </c>
      <c r="P169" s="79" t="s">
        <v>202</v>
      </c>
      <c r="Q169" s="13" t="s">
        <v>618</v>
      </c>
      <c r="R169" s="13" t="str">
        <f>VLOOKUP(P169,'Dados das Regiões '!A:B,2,0)</f>
        <v>CASCAVEL</v>
      </c>
      <c r="S169" s="13" t="s">
        <v>1636</v>
      </c>
      <c r="T169" s="13"/>
      <c r="U169" s="79" t="s">
        <v>1637</v>
      </c>
      <c r="V169" s="13" t="s">
        <v>1638</v>
      </c>
      <c r="W169" s="13" t="s">
        <v>1639</v>
      </c>
      <c r="X169" s="15">
        <v>0.33333333333333331</v>
      </c>
      <c r="Y169" s="16" t="s">
        <v>1438</v>
      </c>
      <c r="Z169" s="16" t="s">
        <v>622</v>
      </c>
      <c r="AA169" s="36"/>
      <c r="AB169" s="164">
        <v>202400988</v>
      </c>
      <c r="AC169" s="55" t="s">
        <v>16</v>
      </c>
    </row>
    <row r="170" spans="1:29">
      <c r="A170" s="14"/>
      <c r="B170" s="13" t="str">
        <f t="shared" si="18"/>
        <v>Pendente</v>
      </c>
      <c r="C170" s="14" t="str">
        <f t="shared" si="16"/>
        <v/>
      </c>
      <c r="D170" s="13" t="s">
        <v>611</v>
      </c>
      <c r="E170" s="14" t="str">
        <f t="shared" si="17"/>
        <v/>
      </c>
      <c r="F170" s="13" t="s">
        <v>611</v>
      </c>
      <c r="G170" s="40">
        <v>202400989</v>
      </c>
      <c r="H170" s="13" t="s">
        <v>1640</v>
      </c>
      <c r="I170" s="13" t="s">
        <v>613</v>
      </c>
      <c r="J170" s="14">
        <v>45551</v>
      </c>
      <c r="K170" s="14">
        <v>45911</v>
      </c>
      <c r="L170" s="13" t="s">
        <v>632</v>
      </c>
      <c r="M170" s="13" t="s">
        <v>1641</v>
      </c>
      <c r="N170" s="13" t="s">
        <v>1642</v>
      </c>
      <c r="O170" s="17" t="s">
        <v>1643</v>
      </c>
      <c r="P170" s="79" t="s">
        <v>378</v>
      </c>
      <c r="Q170" s="13" t="s">
        <v>618</v>
      </c>
      <c r="R170" s="13" t="str">
        <f>VLOOKUP(P170,'Dados das Regiões '!A:B,2,0)</f>
        <v>MARINGÁ</v>
      </c>
      <c r="S170" s="13" t="s">
        <v>1644</v>
      </c>
      <c r="T170" s="13"/>
      <c r="U170" s="79"/>
      <c r="V170" s="13" t="s">
        <v>1645</v>
      </c>
      <c r="W170" s="13" t="s">
        <v>1646</v>
      </c>
      <c r="X170" s="15">
        <v>0.33333333333333331</v>
      </c>
      <c r="Y170" s="16" t="s">
        <v>1438</v>
      </c>
      <c r="Z170" s="16" t="s">
        <v>622</v>
      </c>
      <c r="AA170" s="36"/>
      <c r="AB170" s="164">
        <v>202400989</v>
      </c>
      <c r="AC170" s="55" t="s">
        <v>15</v>
      </c>
    </row>
    <row r="171" spans="1:29">
      <c r="A171" s="14"/>
      <c r="B171" s="13" t="str">
        <f t="shared" si="18"/>
        <v>Pendente</v>
      </c>
      <c r="C171" s="14" t="str">
        <f t="shared" si="16"/>
        <v/>
      </c>
      <c r="D171" s="13" t="s">
        <v>611</v>
      </c>
      <c r="E171" s="14" t="str">
        <f t="shared" si="17"/>
        <v/>
      </c>
      <c r="F171" s="13" t="s">
        <v>611</v>
      </c>
      <c r="G171" s="40">
        <v>202400989</v>
      </c>
      <c r="H171" s="13" t="s">
        <v>1647</v>
      </c>
      <c r="I171" s="13" t="s">
        <v>613</v>
      </c>
      <c r="J171" s="14">
        <v>45551</v>
      </c>
      <c r="K171" s="14">
        <v>45911</v>
      </c>
      <c r="L171" s="13" t="s">
        <v>632</v>
      </c>
      <c r="M171" s="13" t="s">
        <v>1648</v>
      </c>
      <c r="N171" s="13" t="s">
        <v>1649</v>
      </c>
      <c r="O171" s="17" t="s">
        <v>1650</v>
      </c>
      <c r="P171" s="79" t="s">
        <v>340</v>
      </c>
      <c r="Q171" s="13" t="s">
        <v>618</v>
      </c>
      <c r="R171" s="13" t="str">
        <f>VLOOKUP(P171,'Dados das Regiões '!A:B,2,0)</f>
        <v>LONDRINA CENTRO</v>
      </c>
      <c r="S171" s="13" t="s">
        <v>1651</v>
      </c>
      <c r="T171" s="13"/>
      <c r="U171" s="79"/>
      <c r="V171" s="13" t="s">
        <v>1652</v>
      </c>
      <c r="W171" s="13" t="s">
        <v>1653</v>
      </c>
      <c r="X171" s="15">
        <v>0.33333333333333331</v>
      </c>
      <c r="Y171" s="16" t="s">
        <v>1438</v>
      </c>
      <c r="Z171" s="16" t="s">
        <v>622</v>
      </c>
      <c r="AA171" s="36"/>
      <c r="AB171" s="164">
        <v>202400989</v>
      </c>
      <c r="AC171" s="55" t="s">
        <v>15</v>
      </c>
    </row>
    <row r="172" spans="1:29">
      <c r="A172" s="14"/>
      <c r="B172" s="13" t="str">
        <f t="shared" si="18"/>
        <v>Pendente</v>
      </c>
      <c r="C172" s="14" t="str">
        <f t="shared" si="16"/>
        <v/>
      </c>
      <c r="D172" s="13" t="s">
        <v>611</v>
      </c>
      <c r="E172" s="14" t="str">
        <f t="shared" si="17"/>
        <v/>
      </c>
      <c r="F172" s="13" t="s">
        <v>611</v>
      </c>
      <c r="G172" s="40">
        <v>202400989</v>
      </c>
      <c r="H172" s="13" t="s">
        <v>1654</v>
      </c>
      <c r="I172" s="13" t="s">
        <v>613</v>
      </c>
      <c r="J172" s="14">
        <v>45551</v>
      </c>
      <c r="K172" s="14">
        <v>45911</v>
      </c>
      <c r="L172" s="13" t="s">
        <v>1399</v>
      </c>
      <c r="M172" s="13" t="s">
        <v>1400</v>
      </c>
      <c r="N172" s="13" t="s">
        <v>1401</v>
      </c>
      <c r="O172" s="17" t="s">
        <v>1402</v>
      </c>
      <c r="P172" s="79" t="s">
        <v>359</v>
      </c>
      <c r="Q172" s="13" t="s">
        <v>618</v>
      </c>
      <c r="R172" s="13" t="str">
        <f>VLOOKUP(P172,'Dados das Regiões '!A:B,2,0)</f>
        <v>MARECHAL CÂNDIDO RONDON</v>
      </c>
      <c r="S172" s="13" t="s">
        <v>1403</v>
      </c>
      <c r="T172" s="13"/>
      <c r="U172" s="79"/>
      <c r="V172" s="13" t="s">
        <v>1404</v>
      </c>
      <c r="W172" s="13" t="s">
        <v>1405</v>
      </c>
      <c r="X172" s="15">
        <v>0.5625</v>
      </c>
      <c r="Y172" s="16" t="s">
        <v>1655</v>
      </c>
      <c r="Z172" s="16" t="s">
        <v>622</v>
      </c>
      <c r="AA172" s="36"/>
      <c r="AB172" s="164">
        <v>202400989</v>
      </c>
      <c r="AC172" s="55" t="s">
        <v>15</v>
      </c>
    </row>
    <row r="173" spans="1:29">
      <c r="A173" s="14"/>
      <c r="B173" s="13" t="str">
        <f t="shared" si="18"/>
        <v>Pendente</v>
      </c>
      <c r="C173" s="14" t="str">
        <f t="shared" si="16"/>
        <v/>
      </c>
      <c r="D173" s="13" t="s">
        <v>611</v>
      </c>
      <c r="E173" s="14" t="str">
        <f t="shared" si="17"/>
        <v/>
      </c>
      <c r="F173" s="13" t="s">
        <v>611</v>
      </c>
      <c r="G173" s="40">
        <v>202400988</v>
      </c>
      <c r="H173" s="13" t="s">
        <v>1656</v>
      </c>
      <c r="I173" s="13" t="s">
        <v>613</v>
      </c>
      <c r="J173" s="14">
        <v>45551</v>
      </c>
      <c r="K173" s="14">
        <v>45911</v>
      </c>
      <c r="L173" s="13" t="s">
        <v>657</v>
      </c>
      <c r="M173" s="13" t="s">
        <v>1657</v>
      </c>
      <c r="N173" s="13" t="s">
        <v>1658</v>
      </c>
      <c r="O173" s="17" t="s">
        <v>1659</v>
      </c>
      <c r="P173" s="79" t="s">
        <v>438</v>
      </c>
      <c r="Q173" s="13" t="s">
        <v>618</v>
      </c>
      <c r="R173" s="13" t="str">
        <f>VLOOKUP(P173,'Dados das Regiões '!A:B,2,0)</f>
        <v>PATO BRANCO</v>
      </c>
      <c r="S173" s="13" t="s">
        <v>1660</v>
      </c>
      <c r="T173" s="13"/>
      <c r="U173" s="79" t="s">
        <v>1661</v>
      </c>
      <c r="V173" s="13" t="s">
        <v>1662</v>
      </c>
      <c r="W173" s="13" t="s">
        <v>1663</v>
      </c>
      <c r="X173" s="15">
        <v>0.64583333333333337</v>
      </c>
      <c r="Y173" s="16" t="s">
        <v>1451</v>
      </c>
      <c r="Z173" s="16" t="s">
        <v>622</v>
      </c>
      <c r="AA173" s="36"/>
      <c r="AB173" s="164">
        <v>202400988</v>
      </c>
      <c r="AC173" s="55" t="s">
        <v>16</v>
      </c>
    </row>
    <row r="174" spans="1:29">
      <c r="A174" s="14"/>
      <c r="B174" s="13" t="str">
        <f t="shared" si="18"/>
        <v>Pendente</v>
      </c>
      <c r="C174" s="14" t="str">
        <f t="shared" si="16"/>
        <v/>
      </c>
      <c r="D174" s="13" t="s">
        <v>611</v>
      </c>
      <c r="E174" s="14" t="str">
        <f t="shared" si="17"/>
        <v/>
      </c>
      <c r="F174" s="13" t="s">
        <v>611</v>
      </c>
      <c r="G174" s="40">
        <v>202400989</v>
      </c>
      <c r="H174" s="13" t="s">
        <v>1664</v>
      </c>
      <c r="I174" s="13" t="s">
        <v>613</v>
      </c>
      <c r="J174" s="14">
        <v>45551</v>
      </c>
      <c r="K174" s="14">
        <v>45911</v>
      </c>
      <c r="L174" s="13" t="s">
        <v>1399</v>
      </c>
      <c r="M174" s="13" t="s">
        <v>1665</v>
      </c>
      <c r="N174" s="13" t="s">
        <v>1666</v>
      </c>
      <c r="O174" s="17" t="s">
        <v>1667</v>
      </c>
      <c r="P174" s="79" t="s">
        <v>478</v>
      </c>
      <c r="Q174" s="13" t="s">
        <v>618</v>
      </c>
      <c r="R174" s="13" t="str">
        <f>VLOOKUP(P174,'Dados das Regiões '!A:B,2,0)</f>
        <v>TOLEDO</v>
      </c>
      <c r="S174" s="13" t="s">
        <v>1668</v>
      </c>
      <c r="T174" s="13"/>
      <c r="U174" s="79"/>
      <c r="V174" s="13" t="s">
        <v>1669</v>
      </c>
      <c r="W174" s="13" t="s">
        <v>1670</v>
      </c>
      <c r="X174" s="15">
        <v>0.5625</v>
      </c>
      <c r="Y174" s="16" t="s">
        <v>1655</v>
      </c>
      <c r="Z174" s="16" t="s">
        <v>622</v>
      </c>
      <c r="AA174" s="36"/>
      <c r="AB174" s="164">
        <v>202400989</v>
      </c>
      <c r="AC174" s="55" t="s">
        <v>15</v>
      </c>
    </row>
    <row r="175" spans="1:29">
      <c r="A175" s="14"/>
      <c r="B175" s="13" t="str">
        <f t="shared" si="18"/>
        <v>Pendente</v>
      </c>
      <c r="C175" s="14" t="str">
        <f t="shared" si="16"/>
        <v/>
      </c>
      <c r="D175" s="13" t="s">
        <v>611</v>
      </c>
      <c r="E175" s="14" t="str">
        <f t="shared" si="17"/>
        <v/>
      </c>
      <c r="F175" s="13" t="s">
        <v>611</v>
      </c>
      <c r="G175" s="40">
        <v>202400989</v>
      </c>
      <c r="H175" s="13" t="s">
        <v>1671</v>
      </c>
      <c r="I175" s="13" t="s">
        <v>613</v>
      </c>
      <c r="J175" s="14">
        <v>45551</v>
      </c>
      <c r="K175" s="14">
        <v>45911</v>
      </c>
      <c r="L175" s="13" t="s">
        <v>632</v>
      </c>
      <c r="M175" s="13" t="s">
        <v>1672</v>
      </c>
      <c r="N175" s="13" t="s">
        <v>1673</v>
      </c>
      <c r="O175" s="17" t="s">
        <v>1674</v>
      </c>
      <c r="P175" s="79" t="s">
        <v>360</v>
      </c>
      <c r="Q175" s="13" t="s">
        <v>618</v>
      </c>
      <c r="R175" s="13" t="str">
        <f>VLOOKUP(P175,'Dados das Regiões '!A:B,2,0)</f>
        <v>MARINGÁ</v>
      </c>
      <c r="S175" s="13" t="s">
        <v>1675</v>
      </c>
      <c r="T175" s="13"/>
      <c r="U175" s="79" t="s">
        <v>1676</v>
      </c>
      <c r="V175" s="13" t="s">
        <v>1677</v>
      </c>
      <c r="W175" s="13" t="s">
        <v>1678</v>
      </c>
      <c r="X175" s="15">
        <v>0.5625</v>
      </c>
      <c r="Y175" s="16" t="s">
        <v>1415</v>
      </c>
      <c r="Z175" s="16" t="s">
        <v>622</v>
      </c>
      <c r="AA175" s="36"/>
      <c r="AB175" s="164">
        <v>202400989</v>
      </c>
      <c r="AC175" s="55" t="s">
        <v>15</v>
      </c>
    </row>
    <row r="176" spans="1:29">
      <c r="A176" s="14"/>
      <c r="B176" s="13" t="str">
        <f t="shared" si="18"/>
        <v>Pendente</v>
      </c>
      <c r="C176" s="14" t="str">
        <f t="shared" si="16"/>
        <v/>
      </c>
      <c r="D176" s="13" t="s">
        <v>611</v>
      </c>
      <c r="E176" s="14" t="str">
        <f t="shared" si="17"/>
        <v/>
      </c>
      <c r="F176" s="13" t="s">
        <v>611</v>
      </c>
      <c r="G176" s="40">
        <v>202400989</v>
      </c>
      <c r="H176" s="13" t="s">
        <v>1679</v>
      </c>
      <c r="I176" s="13" t="s">
        <v>613</v>
      </c>
      <c r="J176" s="14">
        <v>45551</v>
      </c>
      <c r="K176" s="14">
        <v>45911</v>
      </c>
      <c r="L176" s="13" t="s">
        <v>1399</v>
      </c>
      <c r="M176" s="13" t="s">
        <v>1400</v>
      </c>
      <c r="N176" s="13" t="s">
        <v>1401</v>
      </c>
      <c r="O176" s="17" t="s">
        <v>1402</v>
      </c>
      <c r="P176" s="79" t="s">
        <v>359</v>
      </c>
      <c r="Q176" s="13" t="s">
        <v>618</v>
      </c>
      <c r="R176" s="13" t="str">
        <f>VLOOKUP(P176,'Dados das Regiões '!A:B,2,0)</f>
        <v>MARECHAL CÂNDIDO RONDON</v>
      </c>
      <c r="S176" s="13" t="s">
        <v>1403</v>
      </c>
      <c r="T176" s="13"/>
      <c r="U176" s="79"/>
      <c r="V176" s="13" t="s">
        <v>1404</v>
      </c>
      <c r="W176" s="13" t="s">
        <v>1405</v>
      </c>
      <c r="X176" s="15">
        <v>0.33333333333333331</v>
      </c>
      <c r="Y176" s="16" t="s">
        <v>1406</v>
      </c>
      <c r="Z176" s="16" t="s">
        <v>622</v>
      </c>
      <c r="AA176" s="36"/>
      <c r="AB176" s="164">
        <v>202400989</v>
      </c>
      <c r="AC176" s="55" t="s">
        <v>15</v>
      </c>
    </row>
    <row r="177" spans="1:29">
      <c r="A177" s="14"/>
      <c r="B177" s="13" t="str">
        <f t="shared" si="18"/>
        <v>Pendente</v>
      </c>
      <c r="C177" s="14" t="str">
        <f t="shared" si="16"/>
        <v/>
      </c>
      <c r="D177" s="13" t="s">
        <v>611</v>
      </c>
      <c r="E177" s="14" t="str">
        <f t="shared" si="17"/>
        <v/>
      </c>
      <c r="F177" s="13" t="s">
        <v>611</v>
      </c>
      <c r="G177" s="40">
        <v>202400989</v>
      </c>
      <c r="H177" s="13" t="s">
        <v>1680</v>
      </c>
      <c r="I177" s="13" t="s">
        <v>613</v>
      </c>
      <c r="J177" s="14">
        <v>45551</v>
      </c>
      <c r="K177" s="14">
        <v>45911</v>
      </c>
      <c r="L177" s="13" t="s">
        <v>632</v>
      </c>
      <c r="M177" s="13" t="s">
        <v>1681</v>
      </c>
      <c r="N177" s="13" t="s">
        <v>1682</v>
      </c>
      <c r="O177" s="17" t="s">
        <v>1683</v>
      </c>
      <c r="P177" s="79" t="s">
        <v>220</v>
      </c>
      <c r="Q177" s="13" t="s">
        <v>618</v>
      </c>
      <c r="R177" s="13" t="str">
        <f>VLOOKUP(P177,'Dados das Regiões '!A:B,2,0)</f>
        <v>CORNÉLIO PROCÓPIO</v>
      </c>
      <c r="S177" s="13" t="s">
        <v>1684</v>
      </c>
      <c r="T177" s="13"/>
      <c r="U177" s="79" t="s">
        <v>1685</v>
      </c>
      <c r="V177" s="13" t="s">
        <v>1685</v>
      </c>
      <c r="W177" s="13" t="s">
        <v>1686</v>
      </c>
      <c r="X177" s="15">
        <v>0.33333333333333331</v>
      </c>
      <c r="Y177" s="16" t="s">
        <v>1438</v>
      </c>
      <c r="Z177" s="16" t="s">
        <v>622</v>
      </c>
      <c r="AA177" s="36"/>
      <c r="AB177" s="164">
        <v>202400989</v>
      </c>
      <c r="AC177" s="55" t="s">
        <v>15</v>
      </c>
    </row>
    <row r="178" spans="1:29">
      <c r="A178" s="14"/>
      <c r="B178" s="13" t="str">
        <f t="shared" si="18"/>
        <v>Pendente</v>
      </c>
      <c r="C178" s="14" t="str">
        <f t="shared" si="16"/>
        <v/>
      </c>
      <c r="D178" s="13" t="s">
        <v>611</v>
      </c>
      <c r="E178" s="14" t="str">
        <f t="shared" si="17"/>
        <v/>
      </c>
      <c r="F178" s="13" t="s">
        <v>611</v>
      </c>
      <c r="G178" s="40">
        <v>202400989</v>
      </c>
      <c r="H178" s="13" t="s">
        <v>1687</v>
      </c>
      <c r="I178" s="13" t="s">
        <v>613</v>
      </c>
      <c r="J178" s="14">
        <v>45551</v>
      </c>
      <c r="K178" s="14">
        <v>45911</v>
      </c>
      <c r="L178" s="13" t="s">
        <v>1399</v>
      </c>
      <c r="M178" s="13" t="s">
        <v>1665</v>
      </c>
      <c r="N178" s="13" t="s">
        <v>1666</v>
      </c>
      <c r="O178" s="17" t="s">
        <v>1667</v>
      </c>
      <c r="P178" s="79" t="s">
        <v>478</v>
      </c>
      <c r="Q178" s="13" t="s">
        <v>618</v>
      </c>
      <c r="R178" s="13" t="str">
        <f>VLOOKUP(P178,'Dados das Regiões '!A:B,2,0)</f>
        <v>TOLEDO</v>
      </c>
      <c r="S178" s="13" t="s">
        <v>1668</v>
      </c>
      <c r="T178" s="13"/>
      <c r="U178" s="79"/>
      <c r="V178" s="13" t="s">
        <v>1669</v>
      </c>
      <c r="W178" s="13" t="s">
        <v>1670</v>
      </c>
      <c r="X178" s="15">
        <v>0.33333333333333331</v>
      </c>
      <c r="Y178" s="16" t="s">
        <v>1406</v>
      </c>
      <c r="Z178" s="16" t="s">
        <v>622</v>
      </c>
      <c r="AA178" s="36"/>
      <c r="AB178" s="164">
        <v>202400989</v>
      </c>
      <c r="AC178" s="55" t="s">
        <v>15</v>
      </c>
    </row>
    <row r="179" spans="1:29">
      <c r="A179" s="14"/>
      <c r="B179" s="13" t="str">
        <f t="shared" si="18"/>
        <v>Pendente</v>
      </c>
      <c r="C179" s="14" t="str">
        <f t="shared" si="16"/>
        <v/>
      </c>
      <c r="D179" s="13" t="s">
        <v>611</v>
      </c>
      <c r="E179" s="14" t="str">
        <f t="shared" si="17"/>
        <v/>
      </c>
      <c r="F179" s="13" t="s">
        <v>611</v>
      </c>
      <c r="G179" s="40">
        <v>202400989</v>
      </c>
      <c r="H179" s="13" t="s">
        <v>1688</v>
      </c>
      <c r="I179" s="13" t="s">
        <v>613</v>
      </c>
      <c r="J179" s="14">
        <v>45551</v>
      </c>
      <c r="K179" s="14">
        <v>45911</v>
      </c>
      <c r="L179" s="13" t="s">
        <v>1399</v>
      </c>
      <c r="M179" s="13" t="s">
        <v>1665</v>
      </c>
      <c r="N179" s="13" t="s">
        <v>1666</v>
      </c>
      <c r="O179" s="17" t="s">
        <v>1667</v>
      </c>
      <c r="P179" s="79" t="s">
        <v>478</v>
      </c>
      <c r="Q179" s="13" t="s">
        <v>618</v>
      </c>
      <c r="R179" s="13" t="str">
        <f>VLOOKUP(P179,'Dados das Regiões '!A:B,2,0)</f>
        <v>TOLEDO</v>
      </c>
      <c r="S179" s="13" t="s">
        <v>1668</v>
      </c>
      <c r="T179" s="13"/>
      <c r="U179" s="79"/>
      <c r="V179" s="13" t="s">
        <v>1669</v>
      </c>
      <c r="W179" s="13" t="s">
        <v>1670</v>
      </c>
      <c r="X179" s="15">
        <v>0.5625</v>
      </c>
      <c r="Y179" s="16" t="s">
        <v>1655</v>
      </c>
      <c r="Z179" s="16" t="s">
        <v>622</v>
      </c>
      <c r="AA179" s="36"/>
      <c r="AB179" s="164">
        <v>202400989</v>
      </c>
      <c r="AC179" s="55" t="s">
        <v>15</v>
      </c>
    </row>
    <row r="180" spans="1:29">
      <c r="A180" s="14"/>
      <c r="B180" s="13" t="str">
        <f t="shared" si="18"/>
        <v>Pendente</v>
      </c>
      <c r="C180" s="14" t="str">
        <f t="shared" si="16"/>
        <v/>
      </c>
      <c r="D180" s="13" t="s">
        <v>611</v>
      </c>
      <c r="E180" s="14" t="str">
        <f t="shared" si="17"/>
        <v/>
      </c>
      <c r="F180" s="13" t="s">
        <v>611</v>
      </c>
      <c r="G180" s="40">
        <v>202400988</v>
      </c>
      <c r="H180" s="13" t="s">
        <v>1689</v>
      </c>
      <c r="I180" s="13" t="s">
        <v>613</v>
      </c>
      <c r="J180" s="14">
        <v>45551</v>
      </c>
      <c r="K180" s="14">
        <v>45911</v>
      </c>
      <c r="L180" s="13" t="s">
        <v>657</v>
      </c>
      <c r="M180" s="13" t="s">
        <v>1690</v>
      </c>
      <c r="N180" s="13" t="s">
        <v>1691</v>
      </c>
      <c r="O180" s="17" t="s">
        <v>1692</v>
      </c>
      <c r="P180" s="79" t="s">
        <v>271</v>
      </c>
      <c r="Q180" s="13" t="s">
        <v>618</v>
      </c>
      <c r="R180" s="13" t="str">
        <f>VLOOKUP(P180,'Dados das Regiões '!A:B,2,0)</f>
        <v>FRANCISCO BELTRÃO</v>
      </c>
      <c r="S180" s="13" t="s">
        <v>1693</v>
      </c>
      <c r="T180" s="13"/>
      <c r="U180" s="79" t="s">
        <v>1637</v>
      </c>
      <c r="V180" s="13" t="s">
        <v>1694</v>
      </c>
      <c r="W180" s="13" t="s">
        <v>1695</v>
      </c>
      <c r="X180" s="15">
        <v>0.41666666666666669</v>
      </c>
      <c r="Y180" s="16" t="s">
        <v>1696</v>
      </c>
      <c r="Z180" s="16" t="s">
        <v>622</v>
      </c>
      <c r="AA180" s="36"/>
      <c r="AB180" s="164">
        <v>202400988</v>
      </c>
      <c r="AC180" s="55" t="s">
        <v>16</v>
      </c>
    </row>
    <row r="181" spans="1:29">
      <c r="A181" s="14"/>
      <c r="B181" s="13" t="str">
        <f t="shared" si="18"/>
        <v>Pendente</v>
      </c>
      <c r="C181" s="14" t="str">
        <f t="shared" si="16"/>
        <v/>
      </c>
      <c r="D181" s="13" t="s">
        <v>611</v>
      </c>
      <c r="E181" s="14" t="str">
        <f t="shared" si="17"/>
        <v/>
      </c>
      <c r="F181" s="13" t="s">
        <v>611</v>
      </c>
      <c r="G181" s="40">
        <v>202400989</v>
      </c>
      <c r="H181" s="13" t="s">
        <v>1697</v>
      </c>
      <c r="I181" s="13" t="s">
        <v>613</v>
      </c>
      <c r="J181" s="14">
        <v>45551</v>
      </c>
      <c r="K181" s="14">
        <v>45911</v>
      </c>
      <c r="L181" s="13" t="s">
        <v>1399</v>
      </c>
      <c r="M181" s="13" t="s">
        <v>1400</v>
      </c>
      <c r="N181" s="13" t="s">
        <v>1401</v>
      </c>
      <c r="O181" s="17" t="s">
        <v>1402</v>
      </c>
      <c r="P181" s="79" t="s">
        <v>359</v>
      </c>
      <c r="Q181" s="13" t="s">
        <v>618</v>
      </c>
      <c r="R181" s="13" t="str">
        <f>VLOOKUP(P181,'Dados das Regiões '!A:B,2,0)</f>
        <v>MARECHAL CÂNDIDO RONDON</v>
      </c>
      <c r="S181" s="13" t="s">
        <v>1403</v>
      </c>
      <c r="T181" s="13"/>
      <c r="U181" s="79"/>
      <c r="V181" s="13" t="s">
        <v>1404</v>
      </c>
      <c r="W181" s="13" t="s">
        <v>1405</v>
      </c>
      <c r="X181" s="15">
        <v>0.5625</v>
      </c>
      <c r="Y181" s="16" t="s">
        <v>1655</v>
      </c>
      <c r="Z181" s="16" t="s">
        <v>622</v>
      </c>
      <c r="AA181" s="36"/>
      <c r="AB181" s="164">
        <v>202400989</v>
      </c>
      <c r="AC181" s="55" t="s">
        <v>15</v>
      </c>
    </row>
    <row r="182" spans="1:29">
      <c r="A182" s="14"/>
      <c r="B182" s="13" t="str">
        <f t="shared" si="18"/>
        <v>Pendente</v>
      </c>
      <c r="C182" s="14" t="str">
        <f t="shared" si="16"/>
        <v/>
      </c>
      <c r="D182" s="13" t="s">
        <v>611</v>
      </c>
      <c r="E182" s="14" t="str">
        <f t="shared" si="17"/>
        <v/>
      </c>
      <c r="F182" s="13" t="s">
        <v>611</v>
      </c>
      <c r="G182" s="40">
        <v>202400989</v>
      </c>
      <c r="H182" s="13" t="s">
        <v>1698</v>
      </c>
      <c r="I182" s="13" t="s">
        <v>613</v>
      </c>
      <c r="J182" s="14">
        <v>45551</v>
      </c>
      <c r="K182" s="14">
        <v>45911</v>
      </c>
      <c r="L182" s="13" t="s">
        <v>632</v>
      </c>
      <c r="M182" s="13" t="s">
        <v>1699</v>
      </c>
      <c r="N182" s="13" t="s">
        <v>1700</v>
      </c>
      <c r="O182" s="17" t="s">
        <v>1701</v>
      </c>
      <c r="P182" s="79" t="s">
        <v>229</v>
      </c>
      <c r="Q182" s="13" t="s">
        <v>618</v>
      </c>
      <c r="R182" s="13" t="str">
        <f>VLOOKUP(P182,'Dados das Regiões '!A:B,2,0)</f>
        <v>CORNÉLIO PROCÓPIO</v>
      </c>
      <c r="S182" s="13" t="s">
        <v>1702</v>
      </c>
      <c r="T182" s="13"/>
      <c r="U182" s="79" t="s">
        <v>1703</v>
      </c>
      <c r="V182" s="13" t="s">
        <v>1704</v>
      </c>
      <c r="W182" s="13" t="s">
        <v>1705</v>
      </c>
      <c r="X182" s="15">
        <v>0.5625</v>
      </c>
      <c r="Y182" s="16" t="s">
        <v>1415</v>
      </c>
      <c r="Z182" s="16" t="s">
        <v>622</v>
      </c>
      <c r="AA182" s="36"/>
      <c r="AB182" s="164">
        <v>202400989</v>
      </c>
      <c r="AC182" s="55" t="s">
        <v>15</v>
      </c>
    </row>
    <row r="183" spans="1:29">
      <c r="A183" s="14"/>
      <c r="B183" s="13" t="str">
        <f t="shared" si="18"/>
        <v>Pendente</v>
      </c>
      <c r="C183" s="14" t="str">
        <f t="shared" si="16"/>
        <v/>
      </c>
      <c r="D183" s="13" t="s">
        <v>611</v>
      </c>
      <c r="E183" s="14" t="str">
        <f t="shared" si="17"/>
        <v/>
      </c>
      <c r="F183" s="13" t="s">
        <v>611</v>
      </c>
      <c r="G183" s="40">
        <v>202400989</v>
      </c>
      <c r="H183" s="13" t="s">
        <v>1706</v>
      </c>
      <c r="I183" s="13" t="s">
        <v>613</v>
      </c>
      <c r="J183" s="14">
        <v>45551</v>
      </c>
      <c r="K183" s="14">
        <v>45911</v>
      </c>
      <c r="L183" s="13" t="s">
        <v>632</v>
      </c>
      <c r="M183" s="13" t="s">
        <v>1707</v>
      </c>
      <c r="N183" s="13" t="s">
        <v>1708</v>
      </c>
      <c r="O183" s="17" t="s">
        <v>1709</v>
      </c>
      <c r="P183" s="79" t="s">
        <v>233</v>
      </c>
      <c r="Q183" s="13" t="s">
        <v>618</v>
      </c>
      <c r="R183" s="13" t="str">
        <f>VLOOKUP(P183,'Dados das Regiões '!A:B,2,0)</f>
        <v>CORNÉLIO PROCÓPIO</v>
      </c>
      <c r="S183" s="13" t="s">
        <v>1710</v>
      </c>
      <c r="T183" s="13"/>
      <c r="U183" s="79" t="s">
        <v>1711</v>
      </c>
      <c r="V183" s="13" t="s">
        <v>1712</v>
      </c>
      <c r="W183" s="13" t="s">
        <v>1713</v>
      </c>
      <c r="X183" s="15">
        <v>0.33333333333333331</v>
      </c>
      <c r="Y183" s="16" t="s">
        <v>1438</v>
      </c>
      <c r="Z183" s="16" t="s">
        <v>622</v>
      </c>
      <c r="AA183" s="36"/>
      <c r="AB183" s="164">
        <v>202400989</v>
      </c>
      <c r="AC183" s="55" t="s">
        <v>15</v>
      </c>
    </row>
    <row r="184" spans="1:29">
      <c r="A184" s="14"/>
      <c r="B184" s="13" t="str">
        <f t="shared" si="18"/>
        <v>Pendente</v>
      </c>
      <c r="C184" s="14" t="str">
        <f t="shared" si="16"/>
        <v/>
      </c>
      <c r="D184" s="13" t="s">
        <v>611</v>
      </c>
      <c r="E184" s="14" t="str">
        <f t="shared" si="17"/>
        <v/>
      </c>
      <c r="F184" s="13" t="s">
        <v>611</v>
      </c>
      <c r="G184" s="40">
        <v>202400988</v>
      </c>
      <c r="H184" s="13" t="s">
        <v>1714</v>
      </c>
      <c r="I184" s="13" t="s">
        <v>613</v>
      </c>
      <c r="J184" s="14">
        <v>45551</v>
      </c>
      <c r="K184" s="14">
        <v>45911</v>
      </c>
      <c r="L184" s="13" t="s">
        <v>1417</v>
      </c>
      <c r="M184" s="13" t="s">
        <v>1715</v>
      </c>
      <c r="N184" s="13" t="s">
        <v>1716</v>
      </c>
      <c r="O184" s="17" t="s">
        <v>1717</v>
      </c>
      <c r="P184" s="79" t="s">
        <v>260</v>
      </c>
      <c r="Q184" s="13" t="s">
        <v>618</v>
      </c>
      <c r="R184" s="13" t="str">
        <f>VLOOKUP(P184,'Dados das Regiões '!A:B,2,0)</f>
        <v>FRANCISCO BELTRÃO</v>
      </c>
      <c r="S184" s="13" t="s">
        <v>1718</v>
      </c>
      <c r="T184" s="13"/>
      <c r="U184" s="79" t="s">
        <v>1555</v>
      </c>
      <c r="V184" s="13" t="s">
        <v>1719</v>
      </c>
      <c r="W184" s="13" t="s">
        <v>1720</v>
      </c>
      <c r="X184" s="15">
        <v>0.33333333333333331</v>
      </c>
      <c r="Y184" s="16" t="s">
        <v>1438</v>
      </c>
      <c r="Z184" s="16" t="s">
        <v>622</v>
      </c>
      <c r="AA184" s="36"/>
      <c r="AB184" s="164">
        <v>202400988</v>
      </c>
      <c r="AC184" s="55" t="s">
        <v>16</v>
      </c>
    </row>
    <row r="185" spans="1:29">
      <c r="A185" s="14"/>
      <c r="B185" s="13" t="str">
        <f t="shared" si="18"/>
        <v>Pendente</v>
      </c>
      <c r="C185" s="14" t="str">
        <f t="shared" si="16"/>
        <v/>
      </c>
      <c r="D185" s="13" t="s">
        <v>611</v>
      </c>
      <c r="E185" s="14" t="str">
        <f t="shared" si="17"/>
        <v/>
      </c>
      <c r="F185" s="13" t="s">
        <v>611</v>
      </c>
      <c r="G185" s="40">
        <v>202400989</v>
      </c>
      <c r="H185" s="13" t="s">
        <v>1721</v>
      </c>
      <c r="I185" s="13" t="s">
        <v>613</v>
      </c>
      <c r="J185" s="14">
        <v>45551</v>
      </c>
      <c r="K185" s="14">
        <v>45911</v>
      </c>
      <c r="L185" s="13" t="s">
        <v>632</v>
      </c>
      <c r="M185" s="13" t="s">
        <v>1722</v>
      </c>
      <c r="N185" s="13" t="s">
        <v>1723</v>
      </c>
      <c r="O185" s="17" t="s">
        <v>1724</v>
      </c>
      <c r="P185" s="79" t="s">
        <v>405</v>
      </c>
      <c r="Q185" s="13" t="s">
        <v>618</v>
      </c>
      <c r="R185" s="13" t="str">
        <f>VLOOKUP(P185,'Dados das Regiões '!A:B,2,0)</f>
        <v>NOVA LONDRINA</v>
      </c>
      <c r="S185" s="13" t="s">
        <v>1725</v>
      </c>
      <c r="T185" s="13"/>
      <c r="U185" s="79"/>
      <c r="V185" s="13" t="s">
        <v>1726</v>
      </c>
      <c r="W185" s="13" t="s">
        <v>1727</v>
      </c>
      <c r="X185" s="15">
        <v>0.33333333333333331</v>
      </c>
      <c r="Y185" s="16" t="s">
        <v>1406</v>
      </c>
      <c r="Z185" s="16" t="s">
        <v>622</v>
      </c>
      <c r="AA185" s="36"/>
      <c r="AB185" s="164">
        <v>202400989</v>
      </c>
      <c r="AC185" s="55" t="s">
        <v>15</v>
      </c>
    </row>
    <row r="186" spans="1:29">
      <c r="A186" s="14"/>
      <c r="B186" s="13" t="str">
        <f t="shared" si="18"/>
        <v>Pendente</v>
      </c>
      <c r="C186" s="14" t="str">
        <f t="shared" si="16"/>
        <v/>
      </c>
      <c r="D186" s="13" t="s">
        <v>611</v>
      </c>
      <c r="E186" s="14" t="str">
        <f t="shared" si="17"/>
        <v/>
      </c>
      <c r="F186" s="13" t="s">
        <v>611</v>
      </c>
      <c r="G186" s="40">
        <v>202400989</v>
      </c>
      <c r="H186" s="13" t="s">
        <v>1728</v>
      </c>
      <c r="I186" s="13" t="s">
        <v>613</v>
      </c>
      <c r="J186" s="14">
        <v>45551</v>
      </c>
      <c r="K186" s="14">
        <v>45911</v>
      </c>
      <c r="L186" s="13" t="s">
        <v>632</v>
      </c>
      <c r="M186" s="13" t="s">
        <v>1729</v>
      </c>
      <c r="N186" s="32" t="s">
        <v>1730</v>
      </c>
      <c r="O186" s="32" t="s">
        <v>1730</v>
      </c>
      <c r="P186" s="79" t="s">
        <v>233</v>
      </c>
      <c r="Q186" s="13" t="s">
        <v>618</v>
      </c>
      <c r="R186" s="13" t="str">
        <f>VLOOKUP(P186,'Dados das Regiões '!A:B,2,0)</f>
        <v>CORNÉLIO PROCÓPIO</v>
      </c>
      <c r="S186" s="13" t="s">
        <v>1731</v>
      </c>
      <c r="T186" s="13"/>
      <c r="U186" s="79"/>
      <c r="V186" s="13" t="s">
        <v>1732</v>
      </c>
      <c r="W186" s="13" t="s">
        <v>1733</v>
      </c>
      <c r="X186" s="15">
        <v>0.5625</v>
      </c>
      <c r="Y186" s="16" t="s">
        <v>1415</v>
      </c>
      <c r="Z186" s="16" t="s">
        <v>622</v>
      </c>
      <c r="AA186" s="36"/>
      <c r="AB186" s="164">
        <v>202400989</v>
      </c>
      <c r="AC186" s="55" t="s">
        <v>15</v>
      </c>
    </row>
    <row r="187" spans="1:29">
      <c r="A187" s="14"/>
      <c r="B187" s="13" t="str">
        <f t="shared" si="18"/>
        <v>Pendente</v>
      </c>
      <c r="C187" s="14" t="str">
        <f t="shared" si="16"/>
        <v/>
      </c>
      <c r="D187" s="13" t="s">
        <v>611</v>
      </c>
      <c r="E187" s="14" t="str">
        <f t="shared" si="17"/>
        <v/>
      </c>
      <c r="F187" s="13" t="s">
        <v>611</v>
      </c>
      <c r="G187" s="40">
        <v>202400989</v>
      </c>
      <c r="H187" s="13" t="s">
        <v>1734</v>
      </c>
      <c r="I187" s="13" t="s">
        <v>613</v>
      </c>
      <c r="J187" s="14">
        <v>45551</v>
      </c>
      <c r="K187" s="14">
        <v>45911</v>
      </c>
      <c r="L187" s="13" t="s">
        <v>632</v>
      </c>
      <c r="M187" s="13" t="s">
        <v>1735</v>
      </c>
      <c r="N187" s="13" t="s">
        <v>1736</v>
      </c>
      <c r="O187" s="17" t="s">
        <v>1737</v>
      </c>
      <c r="P187" s="79" t="s">
        <v>347</v>
      </c>
      <c r="Q187" s="13" t="s">
        <v>618</v>
      </c>
      <c r="R187" s="13" t="str">
        <f>VLOOKUP(P187,'Dados das Regiões '!A:B,2,0)</f>
        <v>LONDRINA NORTE</v>
      </c>
      <c r="S187" s="13" t="s">
        <v>1738</v>
      </c>
      <c r="T187" s="13"/>
      <c r="U187" s="79"/>
      <c r="V187" s="13" t="s">
        <v>1739</v>
      </c>
      <c r="W187" s="13" t="s">
        <v>1740</v>
      </c>
      <c r="X187" s="15">
        <v>0.5625</v>
      </c>
      <c r="Y187" s="16" t="s">
        <v>1415</v>
      </c>
      <c r="Z187" s="16" t="s">
        <v>622</v>
      </c>
      <c r="AA187" s="36"/>
      <c r="AB187" s="164">
        <v>202400989</v>
      </c>
      <c r="AC187" s="55" t="s">
        <v>15</v>
      </c>
    </row>
    <row r="188" spans="1:29">
      <c r="A188" s="14"/>
      <c r="B188" s="13" t="str">
        <f t="shared" si="18"/>
        <v>Pendente</v>
      </c>
      <c r="C188" s="14" t="str">
        <f t="shared" si="16"/>
        <v/>
      </c>
      <c r="D188" s="13" t="s">
        <v>611</v>
      </c>
      <c r="E188" s="14" t="str">
        <f t="shared" si="17"/>
        <v/>
      </c>
      <c r="F188" s="13" t="s">
        <v>611</v>
      </c>
      <c r="G188" s="40">
        <v>202400988</v>
      </c>
      <c r="H188" s="13" t="s">
        <v>1741</v>
      </c>
      <c r="I188" s="13" t="s">
        <v>613</v>
      </c>
      <c r="J188" s="14">
        <v>45551</v>
      </c>
      <c r="K188" s="14">
        <v>45911</v>
      </c>
      <c r="L188" s="13" t="s">
        <v>657</v>
      </c>
      <c r="M188" s="13" t="s">
        <v>1742</v>
      </c>
      <c r="N188" s="13" t="s">
        <v>1743</v>
      </c>
      <c r="O188" s="17" t="s">
        <v>1744</v>
      </c>
      <c r="P188" s="79" t="s">
        <v>438</v>
      </c>
      <c r="Q188" s="13" t="s">
        <v>618</v>
      </c>
      <c r="R188" s="13" t="str">
        <f>VLOOKUP(P188,'Dados das Regiões '!A:B,2,0)</f>
        <v>PATO BRANCO</v>
      </c>
      <c r="S188" s="13" t="s">
        <v>1660</v>
      </c>
      <c r="T188" s="13"/>
      <c r="U188" s="79" t="s">
        <v>1661</v>
      </c>
      <c r="V188" s="13" t="s">
        <v>1662</v>
      </c>
      <c r="W188" s="13" t="s">
        <v>1663</v>
      </c>
      <c r="X188" s="15">
        <v>0.5625</v>
      </c>
      <c r="Y188" s="16" t="s">
        <v>1415</v>
      </c>
      <c r="Z188" s="16" t="s">
        <v>622</v>
      </c>
      <c r="AA188" s="36"/>
      <c r="AB188" s="164">
        <v>202400988</v>
      </c>
      <c r="AC188" s="55" t="s">
        <v>16</v>
      </c>
    </row>
    <row r="189" spans="1:29">
      <c r="A189" s="14"/>
      <c r="B189" s="13" t="str">
        <f t="shared" si="18"/>
        <v>Pendente</v>
      </c>
      <c r="C189" s="14" t="str">
        <f t="shared" si="16"/>
        <v/>
      </c>
      <c r="D189" s="13" t="s">
        <v>611</v>
      </c>
      <c r="E189" s="14" t="str">
        <f t="shared" si="17"/>
        <v/>
      </c>
      <c r="F189" s="13" t="s">
        <v>611</v>
      </c>
      <c r="G189" s="40">
        <v>202400989</v>
      </c>
      <c r="H189" s="13" t="s">
        <v>1745</v>
      </c>
      <c r="I189" s="13" t="s">
        <v>613</v>
      </c>
      <c r="J189" s="14">
        <v>45551</v>
      </c>
      <c r="K189" s="14">
        <v>45911</v>
      </c>
      <c r="L189" s="13" t="s">
        <v>632</v>
      </c>
      <c r="M189" s="13" t="s">
        <v>1746</v>
      </c>
      <c r="N189" s="13" t="s">
        <v>1747</v>
      </c>
      <c r="O189" s="17" t="s">
        <v>1748</v>
      </c>
      <c r="P189" s="79" t="s">
        <v>57</v>
      </c>
      <c r="Q189" s="13" t="s">
        <v>618</v>
      </c>
      <c r="R189" s="13" t="str">
        <f>VLOOKUP(P189,'Dados das Regiões '!A:B,2,0)</f>
        <v>BELA VISTA DO PARAÍSO</v>
      </c>
      <c r="S189" s="13" t="s">
        <v>1749</v>
      </c>
      <c r="T189" s="13"/>
      <c r="U189" s="79"/>
      <c r="V189" s="13" t="s">
        <v>1750</v>
      </c>
      <c r="W189" s="13" t="s">
        <v>1751</v>
      </c>
      <c r="X189" s="15">
        <v>0.33333333333333331</v>
      </c>
      <c r="Y189" s="16" t="s">
        <v>1438</v>
      </c>
      <c r="Z189" s="16" t="s">
        <v>622</v>
      </c>
      <c r="AA189" s="36"/>
      <c r="AB189" s="164">
        <v>202400989</v>
      </c>
      <c r="AC189" s="55" t="s">
        <v>15</v>
      </c>
    </row>
    <row r="190" spans="1:29">
      <c r="A190" s="14"/>
      <c r="B190" s="13" t="str">
        <f t="shared" si="18"/>
        <v>Pendente</v>
      </c>
      <c r="C190" s="14" t="str">
        <f t="shared" ref="C190:C214" si="19">IF(A190="", "", EDATE(A190, 3))</f>
        <v/>
      </c>
      <c r="D190" s="13" t="s">
        <v>611</v>
      </c>
      <c r="E190" s="14" t="str">
        <f t="shared" si="17"/>
        <v/>
      </c>
      <c r="F190" s="13" t="s">
        <v>611</v>
      </c>
      <c r="G190" s="40">
        <v>202400989</v>
      </c>
      <c r="H190" s="13" t="s">
        <v>1752</v>
      </c>
      <c r="I190" s="13" t="s">
        <v>613</v>
      </c>
      <c r="J190" s="14">
        <v>45551</v>
      </c>
      <c r="K190" s="14">
        <v>45911</v>
      </c>
      <c r="L190" s="13" t="s">
        <v>632</v>
      </c>
      <c r="M190" s="13" t="s">
        <v>1753</v>
      </c>
      <c r="N190" s="13" t="s">
        <v>1754</v>
      </c>
      <c r="O190" s="17" t="s">
        <v>1755</v>
      </c>
      <c r="P190" s="79" t="s">
        <v>343</v>
      </c>
      <c r="Q190" s="13" t="s">
        <v>618</v>
      </c>
      <c r="R190" s="13" t="str">
        <f>VLOOKUP(P190,'Dados das Regiões '!A:B,2,0)</f>
        <v>LONDRINA NORTE</v>
      </c>
      <c r="S190" s="13" t="s">
        <v>1756</v>
      </c>
      <c r="T190" s="13"/>
      <c r="U190" s="79" t="s">
        <v>1757</v>
      </c>
      <c r="V190" s="13" t="s">
        <v>1758</v>
      </c>
      <c r="W190" s="13" t="s">
        <v>1759</v>
      </c>
      <c r="X190" s="15">
        <v>0.35416666666666669</v>
      </c>
      <c r="Y190" s="16">
        <v>0.41666666666666669</v>
      </c>
      <c r="Z190" s="16" t="s">
        <v>622</v>
      </c>
      <c r="AA190" s="36"/>
      <c r="AB190" s="164">
        <v>202400989</v>
      </c>
      <c r="AC190" s="55" t="s">
        <v>15</v>
      </c>
    </row>
    <row r="191" spans="1:29">
      <c r="A191" s="14"/>
      <c r="B191" s="13" t="str">
        <f t="shared" si="18"/>
        <v>Pendente</v>
      </c>
      <c r="C191" s="14" t="str">
        <f t="shared" si="19"/>
        <v/>
      </c>
      <c r="D191" s="13" t="s">
        <v>611</v>
      </c>
      <c r="E191" s="14" t="str">
        <f t="shared" ref="E191:E214" si="20">IF(C191="", "", EDATE(C191, 3))</f>
        <v/>
      </c>
      <c r="F191" s="13" t="s">
        <v>611</v>
      </c>
      <c r="G191" s="40">
        <v>202400989</v>
      </c>
      <c r="H191" s="13" t="s">
        <v>1760</v>
      </c>
      <c r="I191" s="13" t="s">
        <v>613</v>
      </c>
      <c r="J191" s="14">
        <v>45551</v>
      </c>
      <c r="K191" s="14">
        <v>45911</v>
      </c>
      <c r="L191" s="13" t="s">
        <v>632</v>
      </c>
      <c r="M191" s="13" t="s">
        <v>1761</v>
      </c>
      <c r="N191" s="13" t="s">
        <v>1762</v>
      </c>
      <c r="O191" s="17" t="s">
        <v>1763</v>
      </c>
      <c r="P191" s="79" t="s">
        <v>363</v>
      </c>
      <c r="Q191" s="13" t="s">
        <v>618</v>
      </c>
      <c r="R191" s="13" t="str">
        <f>VLOOKUP(P191,'Dados das Regiões '!A:B,2,0)</f>
        <v>MARINGÁ</v>
      </c>
      <c r="S191" s="13" t="s">
        <v>1764</v>
      </c>
      <c r="T191" s="13"/>
      <c r="U191" s="79" t="s">
        <v>1765</v>
      </c>
      <c r="V191" s="13" t="s">
        <v>1766</v>
      </c>
      <c r="W191" s="13" t="s">
        <v>1767</v>
      </c>
      <c r="X191" s="15">
        <v>0.33333333333333331</v>
      </c>
      <c r="Y191" s="16" t="s">
        <v>1438</v>
      </c>
      <c r="Z191" s="16" t="s">
        <v>622</v>
      </c>
      <c r="AA191" s="36"/>
      <c r="AB191" s="164">
        <v>202400989</v>
      </c>
      <c r="AC191" s="55" t="s">
        <v>15</v>
      </c>
    </row>
    <row r="192" spans="1:29">
      <c r="A192" s="14"/>
      <c r="B192" s="13" t="str">
        <f t="shared" si="18"/>
        <v>Pendente</v>
      </c>
      <c r="C192" s="14" t="str">
        <f t="shared" si="19"/>
        <v/>
      </c>
      <c r="D192" s="13" t="s">
        <v>611</v>
      </c>
      <c r="E192" s="14" t="str">
        <f t="shared" si="20"/>
        <v/>
      </c>
      <c r="F192" s="13" t="s">
        <v>611</v>
      </c>
      <c r="G192" s="40">
        <v>202400989</v>
      </c>
      <c r="H192" s="13" t="s">
        <v>1768</v>
      </c>
      <c r="I192" s="13" t="s">
        <v>613</v>
      </c>
      <c r="J192" s="14">
        <v>45551</v>
      </c>
      <c r="K192" s="14">
        <v>45911</v>
      </c>
      <c r="L192" s="13" t="s">
        <v>632</v>
      </c>
      <c r="M192" s="13" t="s">
        <v>1769</v>
      </c>
      <c r="N192" s="13" t="s">
        <v>1770</v>
      </c>
      <c r="O192" s="17" t="s">
        <v>1771</v>
      </c>
      <c r="P192" s="79" t="s">
        <v>494</v>
      </c>
      <c r="Q192" s="13" t="s">
        <v>618</v>
      </c>
      <c r="R192" s="13" t="str">
        <f>VLOOKUP(P192,'Dados das Regiões '!A:B,2,0)</f>
        <v>UMUARAMA</v>
      </c>
      <c r="S192" s="13" t="s">
        <v>1772</v>
      </c>
      <c r="T192" s="13"/>
      <c r="U192" s="79" t="s">
        <v>1773</v>
      </c>
      <c r="V192" s="13" t="s">
        <v>1774</v>
      </c>
      <c r="W192" s="13" t="s">
        <v>1775</v>
      </c>
      <c r="X192" s="15">
        <v>0.33333333333333331</v>
      </c>
      <c r="Y192" s="16" t="s">
        <v>1438</v>
      </c>
      <c r="Z192" s="16" t="s">
        <v>622</v>
      </c>
      <c r="AA192" s="36"/>
      <c r="AB192" s="164">
        <v>202400989</v>
      </c>
      <c r="AC192" s="55" t="s">
        <v>15</v>
      </c>
    </row>
    <row r="193" spans="1:29">
      <c r="A193" s="14"/>
      <c r="B193" s="13" t="str">
        <f t="shared" si="18"/>
        <v>Pendente</v>
      </c>
      <c r="C193" s="14" t="str">
        <f t="shared" si="19"/>
        <v/>
      </c>
      <c r="D193" s="13" t="s">
        <v>611</v>
      </c>
      <c r="E193" s="14" t="str">
        <f t="shared" si="20"/>
        <v/>
      </c>
      <c r="F193" s="13" t="s">
        <v>611</v>
      </c>
      <c r="G193" s="40">
        <v>202400989</v>
      </c>
      <c r="H193" s="13" t="s">
        <v>1776</v>
      </c>
      <c r="I193" s="13" t="s">
        <v>613</v>
      </c>
      <c r="J193" s="14">
        <v>45551</v>
      </c>
      <c r="K193" s="14">
        <v>45911</v>
      </c>
      <c r="L193" s="13" t="s">
        <v>632</v>
      </c>
      <c r="M193" s="13" t="s">
        <v>1777</v>
      </c>
      <c r="N193" s="13" t="s">
        <v>1778</v>
      </c>
      <c r="O193" s="17" t="s">
        <v>1779</v>
      </c>
      <c r="P193" s="79" t="s">
        <v>370</v>
      </c>
      <c r="Q193" s="13" t="s">
        <v>618</v>
      </c>
      <c r="R193" s="13" t="str">
        <f>VLOOKUP(P193,'Dados das Regiões '!A:B,2,0)</f>
        <v>MARINGÁ</v>
      </c>
      <c r="S193" s="13" t="s">
        <v>1780</v>
      </c>
      <c r="T193" s="13"/>
      <c r="U193" s="79" t="s">
        <v>1781</v>
      </c>
      <c r="V193" s="13" t="s">
        <v>1782</v>
      </c>
      <c r="W193" s="13" t="s">
        <v>1783</v>
      </c>
      <c r="X193" s="15">
        <v>0.33333333333333331</v>
      </c>
      <c r="Y193" s="16" t="s">
        <v>1438</v>
      </c>
      <c r="Z193" s="16" t="s">
        <v>622</v>
      </c>
      <c r="AA193" s="36"/>
      <c r="AB193" s="164">
        <v>202400989</v>
      </c>
      <c r="AC193" s="55" t="s">
        <v>15</v>
      </c>
    </row>
    <row r="194" spans="1:29">
      <c r="A194" s="14"/>
      <c r="B194" s="13" t="str">
        <f t="shared" si="18"/>
        <v>Pendente</v>
      </c>
      <c r="C194" s="14" t="str">
        <f t="shared" si="19"/>
        <v/>
      </c>
      <c r="D194" s="13" t="s">
        <v>611</v>
      </c>
      <c r="E194" s="14" t="str">
        <f t="shared" si="20"/>
        <v/>
      </c>
      <c r="F194" s="13" t="s">
        <v>611</v>
      </c>
      <c r="G194" s="40">
        <v>202400989</v>
      </c>
      <c r="H194" s="13" t="s">
        <v>1784</v>
      </c>
      <c r="I194" s="13" t="s">
        <v>613</v>
      </c>
      <c r="J194" s="14">
        <v>45551</v>
      </c>
      <c r="K194" s="14">
        <v>45911</v>
      </c>
      <c r="L194" s="13" t="s">
        <v>632</v>
      </c>
      <c r="M194" s="13" t="s">
        <v>1785</v>
      </c>
      <c r="N194" s="13" t="s">
        <v>956</v>
      </c>
      <c r="O194" s="17" t="s">
        <v>957</v>
      </c>
      <c r="P194" s="79" t="s">
        <v>338</v>
      </c>
      <c r="Q194" s="13" t="s">
        <v>618</v>
      </c>
      <c r="R194" s="13" t="str">
        <f>VLOOKUP(P194,'Dados das Regiões '!A:B,2,0)</f>
        <v>LONDRINA CENTRO</v>
      </c>
      <c r="S194" s="13" t="s">
        <v>1786</v>
      </c>
      <c r="T194" s="13"/>
      <c r="U194" s="79" t="s">
        <v>1787</v>
      </c>
      <c r="V194" s="13" t="s">
        <v>1788</v>
      </c>
      <c r="W194" s="13" t="s">
        <v>1789</v>
      </c>
      <c r="X194" s="15">
        <v>0.5625</v>
      </c>
      <c r="Y194" s="16" t="s">
        <v>1415</v>
      </c>
      <c r="Z194" s="16" t="s">
        <v>622</v>
      </c>
      <c r="AA194" s="36"/>
      <c r="AB194" s="164">
        <v>202400989</v>
      </c>
      <c r="AC194" s="55" t="s">
        <v>15</v>
      </c>
    </row>
    <row r="195" spans="1:29">
      <c r="A195" s="14"/>
      <c r="B195" s="13" t="str">
        <f t="shared" ref="B195:B226" si="21">IF(ISBLANK(A195), "Pendente", "Realizada")</f>
        <v>Pendente</v>
      </c>
      <c r="C195" s="14" t="str">
        <f t="shared" si="19"/>
        <v/>
      </c>
      <c r="D195" s="13" t="s">
        <v>611</v>
      </c>
      <c r="E195" s="14" t="str">
        <f t="shared" si="20"/>
        <v/>
      </c>
      <c r="F195" s="13" t="s">
        <v>611</v>
      </c>
      <c r="G195" s="40">
        <v>202400989</v>
      </c>
      <c r="H195" s="13" t="s">
        <v>1790</v>
      </c>
      <c r="I195" s="13" t="s">
        <v>613</v>
      </c>
      <c r="J195" s="14">
        <v>45551</v>
      </c>
      <c r="K195" s="14">
        <v>45911</v>
      </c>
      <c r="L195" s="13" t="s">
        <v>632</v>
      </c>
      <c r="M195" s="13" t="s">
        <v>1785</v>
      </c>
      <c r="N195" s="13" t="s">
        <v>956</v>
      </c>
      <c r="O195" s="17" t="s">
        <v>957</v>
      </c>
      <c r="P195" s="79" t="s">
        <v>338</v>
      </c>
      <c r="Q195" s="13" t="s">
        <v>618</v>
      </c>
      <c r="R195" s="13" t="str">
        <f>VLOOKUP(P195,'Dados das Regiões '!A:B,2,0)</f>
        <v>LONDRINA CENTRO</v>
      </c>
      <c r="S195" s="13" t="s">
        <v>1786</v>
      </c>
      <c r="T195" s="13"/>
      <c r="U195" s="79" t="s">
        <v>1787</v>
      </c>
      <c r="V195" s="13" t="s">
        <v>1788</v>
      </c>
      <c r="W195" s="13" t="s">
        <v>1789</v>
      </c>
      <c r="X195" s="15">
        <v>0.33333333333333331</v>
      </c>
      <c r="Y195" s="16" t="s">
        <v>1438</v>
      </c>
      <c r="Z195" s="16" t="s">
        <v>622</v>
      </c>
      <c r="AA195" s="36"/>
      <c r="AB195" s="164">
        <v>202400989</v>
      </c>
      <c r="AC195" s="55" t="s">
        <v>15</v>
      </c>
    </row>
    <row r="196" spans="1:29">
      <c r="A196" s="14"/>
      <c r="B196" s="13" t="str">
        <f t="shared" si="21"/>
        <v>Pendente</v>
      </c>
      <c r="C196" s="14" t="str">
        <f t="shared" si="19"/>
        <v/>
      </c>
      <c r="D196" s="13" t="s">
        <v>611</v>
      </c>
      <c r="E196" s="14" t="str">
        <f t="shared" si="20"/>
        <v/>
      </c>
      <c r="F196" s="13" t="s">
        <v>611</v>
      </c>
      <c r="G196" s="40">
        <v>202400989</v>
      </c>
      <c r="H196" s="13" t="s">
        <v>1791</v>
      </c>
      <c r="I196" s="13" t="s">
        <v>613</v>
      </c>
      <c r="J196" s="14">
        <v>45551</v>
      </c>
      <c r="K196" s="14">
        <v>45911</v>
      </c>
      <c r="L196" s="13" t="s">
        <v>632</v>
      </c>
      <c r="M196" s="13" t="s">
        <v>1792</v>
      </c>
      <c r="N196" s="13" t="s">
        <v>1793</v>
      </c>
      <c r="O196" s="17" t="s">
        <v>1794</v>
      </c>
      <c r="P196" s="79" t="s">
        <v>381</v>
      </c>
      <c r="Q196" s="13" t="s">
        <v>618</v>
      </c>
      <c r="R196" s="13" t="str">
        <f>VLOOKUP(P196,'Dados das Regiões '!A:B,2,0)</f>
        <v>MARINGÁ</v>
      </c>
      <c r="S196" s="13" t="s">
        <v>1795</v>
      </c>
      <c r="T196" s="13"/>
      <c r="U196" s="79" t="s">
        <v>1796</v>
      </c>
      <c r="V196" s="13" t="s">
        <v>1797</v>
      </c>
      <c r="W196" s="13" t="s">
        <v>1798</v>
      </c>
      <c r="X196" s="15">
        <v>0.5625</v>
      </c>
      <c r="Y196" s="16" t="s">
        <v>1415</v>
      </c>
      <c r="Z196" s="16" t="s">
        <v>622</v>
      </c>
      <c r="AA196" s="36"/>
      <c r="AB196" s="164">
        <v>202400989</v>
      </c>
      <c r="AC196" s="55" t="s">
        <v>15</v>
      </c>
    </row>
    <row r="197" spans="1:29">
      <c r="A197" s="14"/>
      <c r="B197" s="13" t="str">
        <f t="shared" si="21"/>
        <v>Pendente</v>
      </c>
      <c r="C197" s="14" t="str">
        <f t="shared" si="19"/>
        <v/>
      </c>
      <c r="D197" s="13" t="s">
        <v>611</v>
      </c>
      <c r="E197" s="14" t="str">
        <f t="shared" si="20"/>
        <v/>
      </c>
      <c r="F197" s="13" t="s">
        <v>611</v>
      </c>
      <c r="G197" s="40">
        <v>202400988</v>
      </c>
      <c r="H197" s="13" t="s">
        <v>1799</v>
      </c>
      <c r="I197" s="13" t="s">
        <v>613</v>
      </c>
      <c r="J197" s="14">
        <v>45551</v>
      </c>
      <c r="K197" s="14">
        <v>45911</v>
      </c>
      <c r="L197" s="13" t="s">
        <v>1586</v>
      </c>
      <c r="M197" s="13" t="s">
        <v>1587</v>
      </c>
      <c r="N197" s="13" t="s">
        <v>1588</v>
      </c>
      <c r="O197" s="17" t="s">
        <v>1589</v>
      </c>
      <c r="P197" s="79" t="s">
        <v>80</v>
      </c>
      <c r="Q197" s="13" t="s">
        <v>618</v>
      </c>
      <c r="R197" s="13" t="str">
        <f>VLOOKUP(P197,'Dados das Regiões '!A:B,2,0)</f>
        <v>FRANCISCO BELTRÃO</v>
      </c>
      <c r="S197" s="13" t="s">
        <v>1590</v>
      </c>
      <c r="T197" s="13"/>
      <c r="U197" s="79" t="s">
        <v>1591</v>
      </c>
      <c r="V197" s="13" t="s">
        <v>1592</v>
      </c>
      <c r="W197" s="13" t="s">
        <v>1593</v>
      </c>
      <c r="X197" s="15">
        <v>0.5625</v>
      </c>
      <c r="Y197" s="16" t="s">
        <v>1415</v>
      </c>
      <c r="Z197" s="16" t="s">
        <v>622</v>
      </c>
      <c r="AA197" s="36"/>
      <c r="AB197" s="164">
        <v>202400988</v>
      </c>
      <c r="AC197" s="55" t="s">
        <v>16</v>
      </c>
    </row>
    <row r="198" spans="1:29">
      <c r="A198" s="14"/>
      <c r="B198" s="13" t="str">
        <f t="shared" si="21"/>
        <v>Pendente</v>
      </c>
      <c r="C198" s="14" t="str">
        <f t="shared" si="19"/>
        <v/>
      </c>
      <c r="D198" s="13" t="s">
        <v>611</v>
      </c>
      <c r="E198" s="14" t="str">
        <f t="shared" si="20"/>
        <v/>
      </c>
      <c r="F198" s="13" t="s">
        <v>611</v>
      </c>
      <c r="G198" s="40">
        <v>202400671</v>
      </c>
      <c r="H198" s="13" t="s">
        <v>1800</v>
      </c>
      <c r="I198" s="13" t="s">
        <v>613</v>
      </c>
      <c r="J198" s="14">
        <v>45509</v>
      </c>
      <c r="K198" s="14">
        <v>45870</v>
      </c>
      <c r="L198" s="13" t="s">
        <v>1801</v>
      </c>
      <c r="M198" s="13" t="s">
        <v>1802</v>
      </c>
      <c r="N198" s="13" t="s">
        <v>1803</v>
      </c>
      <c r="O198" s="17" t="s">
        <v>1804</v>
      </c>
      <c r="P198" s="13" t="s">
        <v>57</v>
      </c>
      <c r="Q198" s="13" t="s">
        <v>618</v>
      </c>
      <c r="R198" s="13" t="e">
        <f>VLOOKUP(P198,'Dados das Regiões '!#REF!,2,0)</f>
        <v>#REF!</v>
      </c>
      <c r="S198" s="13" t="s">
        <v>1805</v>
      </c>
      <c r="T198" s="13"/>
      <c r="U198" s="79"/>
      <c r="V198" s="13" t="s">
        <v>1806</v>
      </c>
      <c r="W198" s="13" t="s">
        <v>1807</v>
      </c>
      <c r="X198" s="15">
        <v>0.5625</v>
      </c>
      <c r="Y198" s="16" t="s">
        <v>1415</v>
      </c>
      <c r="Z198" s="16" t="s">
        <v>622</v>
      </c>
      <c r="AA198" s="36" t="s">
        <v>1808</v>
      </c>
      <c r="AB198" s="164">
        <v>202400671</v>
      </c>
      <c r="AC198" s="13" t="s">
        <v>6</v>
      </c>
    </row>
    <row r="199" spans="1:29">
      <c r="A199" s="14"/>
      <c r="B199" s="13" t="str">
        <f t="shared" si="21"/>
        <v>Pendente</v>
      </c>
      <c r="C199" s="14" t="str">
        <f t="shared" si="19"/>
        <v/>
      </c>
      <c r="D199" s="13" t="s">
        <v>611</v>
      </c>
      <c r="E199" s="14" t="str">
        <f t="shared" si="20"/>
        <v/>
      </c>
      <c r="F199" s="13" t="s">
        <v>611</v>
      </c>
      <c r="G199" s="40">
        <v>202400678</v>
      </c>
      <c r="H199" s="13" t="s">
        <v>1809</v>
      </c>
      <c r="I199" s="13" t="s">
        <v>613</v>
      </c>
      <c r="J199" s="14">
        <v>45509</v>
      </c>
      <c r="K199" s="14">
        <v>45870</v>
      </c>
      <c r="L199" s="13" t="s">
        <v>1810</v>
      </c>
      <c r="M199" s="13" t="s">
        <v>1811</v>
      </c>
      <c r="N199" s="13" t="s">
        <v>1812</v>
      </c>
      <c r="O199" s="17" t="s">
        <v>1813</v>
      </c>
      <c r="P199" s="13" t="s">
        <v>53</v>
      </c>
      <c r="Q199" s="13" t="s">
        <v>618</v>
      </c>
      <c r="R199" s="13" t="e">
        <f>VLOOKUP(P199,'Dados das Regiões '!#REF!,2,0)</f>
        <v>#REF!</v>
      </c>
      <c r="S199" s="13" t="s">
        <v>1814</v>
      </c>
      <c r="T199" s="13"/>
      <c r="U199" s="79"/>
      <c r="V199" s="13" t="s">
        <v>1815</v>
      </c>
      <c r="W199" s="13" t="s">
        <v>1816</v>
      </c>
      <c r="X199" s="15">
        <v>0.58333333333333337</v>
      </c>
      <c r="Y199" s="16" t="s">
        <v>1200</v>
      </c>
      <c r="Z199" s="16" t="s">
        <v>622</v>
      </c>
      <c r="AA199" s="36" t="s">
        <v>1808</v>
      </c>
      <c r="AB199" s="164">
        <v>202400678</v>
      </c>
      <c r="AC199" s="13" t="s">
        <v>6</v>
      </c>
    </row>
    <row r="200" spans="1:29">
      <c r="A200" s="14"/>
      <c r="B200" s="13" t="str">
        <f t="shared" si="21"/>
        <v>Pendente</v>
      </c>
      <c r="C200" s="14" t="str">
        <f t="shared" si="19"/>
        <v/>
      </c>
      <c r="D200" s="13" t="s">
        <v>611</v>
      </c>
      <c r="E200" s="14" t="str">
        <f t="shared" si="20"/>
        <v/>
      </c>
      <c r="F200" s="13" t="s">
        <v>611</v>
      </c>
      <c r="G200" s="40">
        <v>202400672</v>
      </c>
      <c r="H200" s="13" t="s">
        <v>1817</v>
      </c>
      <c r="I200" s="13" t="s">
        <v>1176</v>
      </c>
      <c r="J200" s="14">
        <v>45509</v>
      </c>
      <c r="K200" s="14">
        <v>45870</v>
      </c>
      <c r="L200" s="13" t="s">
        <v>1185</v>
      </c>
      <c r="M200" s="13" t="s">
        <v>1818</v>
      </c>
      <c r="N200" s="13" t="s">
        <v>1819</v>
      </c>
      <c r="O200" s="17" t="s">
        <v>1820</v>
      </c>
      <c r="P200" s="13" t="s">
        <v>57</v>
      </c>
      <c r="Q200" s="13" t="s">
        <v>618</v>
      </c>
      <c r="R200" s="13" t="e">
        <f>VLOOKUP(P200,'Dados das Regiões '!#REF!,2,0)</f>
        <v>#REF!</v>
      </c>
      <c r="S200" s="13" t="s">
        <v>1821</v>
      </c>
      <c r="T200" s="13"/>
      <c r="U200" s="79"/>
      <c r="V200" s="13" t="s">
        <v>1822</v>
      </c>
      <c r="W200" s="13" t="s">
        <v>1823</v>
      </c>
      <c r="X200" s="15">
        <v>0.54166666666666663</v>
      </c>
      <c r="Y200" s="16" t="s">
        <v>1824</v>
      </c>
      <c r="Z200" s="16" t="s">
        <v>622</v>
      </c>
      <c r="AA200" s="36" t="s">
        <v>1808</v>
      </c>
      <c r="AB200" s="164">
        <v>202400672</v>
      </c>
      <c r="AC200" s="13" t="s">
        <v>8</v>
      </c>
    </row>
    <row r="201" spans="1:29">
      <c r="A201" s="14"/>
      <c r="B201" s="13" t="str">
        <f t="shared" si="21"/>
        <v>Pendente</v>
      </c>
      <c r="C201" s="14" t="str">
        <f t="shared" si="19"/>
        <v/>
      </c>
      <c r="D201" s="13" t="s">
        <v>611</v>
      </c>
      <c r="E201" s="14" t="str">
        <f t="shared" si="20"/>
        <v/>
      </c>
      <c r="F201" s="13" t="s">
        <v>611</v>
      </c>
      <c r="G201" s="40">
        <v>202400679</v>
      </c>
      <c r="H201" s="13" t="s">
        <v>1825</v>
      </c>
      <c r="I201" s="13" t="s">
        <v>1176</v>
      </c>
      <c r="J201" s="14">
        <v>45509</v>
      </c>
      <c r="K201" s="14">
        <v>45870</v>
      </c>
      <c r="L201" s="13" t="s">
        <v>1185</v>
      </c>
      <c r="M201" s="13" t="s">
        <v>1826</v>
      </c>
      <c r="N201" s="13" t="s">
        <v>1827</v>
      </c>
      <c r="O201" s="17" t="s">
        <v>1828</v>
      </c>
      <c r="P201" s="13" t="s">
        <v>169</v>
      </c>
      <c r="Q201" s="13" t="s">
        <v>618</v>
      </c>
      <c r="R201" s="13" t="e">
        <f>VLOOKUP(P201,'Dados das Regiões '!#REF!,2,0)</f>
        <v>#REF!</v>
      </c>
      <c r="S201" s="13" t="s">
        <v>1829</v>
      </c>
      <c r="T201" s="13"/>
      <c r="U201" s="79"/>
      <c r="V201" s="13" t="s">
        <v>1830</v>
      </c>
      <c r="W201" s="13" t="s">
        <v>1831</v>
      </c>
      <c r="X201" s="15">
        <v>0.58333333333333337</v>
      </c>
      <c r="Y201" s="16" t="s">
        <v>1200</v>
      </c>
      <c r="Z201" s="16" t="s">
        <v>622</v>
      </c>
      <c r="AA201" s="36" t="s">
        <v>1808</v>
      </c>
      <c r="AB201" s="164">
        <v>202400679</v>
      </c>
      <c r="AC201" s="13" t="s">
        <v>9</v>
      </c>
    </row>
    <row r="202" spans="1:29">
      <c r="A202" s="14"/>
      <c r="B202" s="13" t="str">
        <f t="shared" si="21"/>
        <v>Pendente</v>
      </c>
      <c r="C202" s="14" t="str">
        <f t="shared" si="19"/>
        <v/>
      </c>
      <c r="D202" s="13" t="s">
        <v>611</v>
      </c>
      <c r="E202" s="14" t="str">
        <f t="shared" si="20"/>
        <v/>
      </c>
      <c r="F202" s="13" t="s">
        <v>611</v>
      </c>
      <c r="G202" s="40">
        <v>202400680</v>
      </c>
      <c r="H202" s="13" t="s">
        <v>1832</v>
      </c>
      <c r="I202" s="13" t="s">
        <v>1176</v>
      </c>
      <c r="J202" s="14">
        <v>45509</v>
      </c>
      <c r="K202" s="14">
        <v>45870</v>
      </c>
      <c r="L202" s="13" t="s">
        <v>1833</v>
      </c>
      <c r="M202" s="13" t="s">
        <v>1834</v>
      </c>
      <c r="N202" s="13" t="s">
        <v>1835</v>
      </c>
      <c r="O202" s="17" t="s">
        <v>1836</v>
      </c>
      <c r="P202" s="13" t="s">
        <v>324</v>
      </c>
      <c r="Q202" s="13" t="s">
        <v>618</v>
      </c>
      <c r="R202" s="13" t="e">
        <f>VLOOKUP(P202,'Dados das Regiões '!#REF!,2,0)</f>
        <v>#REF!</v>
      </c>
      <c r="S202" s="13" t="s">
        <v>1837</v>
      </c>
      <c r="T202" s="41"/>
      <c r="U202" s="79" t="s">
        <v>1838</v>
      </c>
      <c r="V202" s="13" t="s">
        <v>1839</v>
      </c>
      <c r="W202" s="13" t="s">
        <v>1840</v>
      </c>
      <c r="X202" s="15">
        <v>0.5</v>
      </c>
      <c r="Y202" s="16" t="s">
        <v>1841</v>
      </c>
      <c r="Z202" s="16" t="s">
        <v>622</v>
      </c>
      <c r="AA202" s="36" t="s">
        <v>1808</v>
      </c>
      <c r="AB202" s="164">
        <v>202400680</v>
      </c>
      <c r="AC202" s="13" t="s">
        <v>10</v>
      </c>
    </row>
    <row r="203" spans="1:29">
      <c r="A203" s="14"/>
      <c r="B203" s="13" t="str">
        <f t="shared" si="21"/>
        <v>Pendente</v>
      </c>
      <c r="C203" s="14" t="str">
        <f t="shared" si="19"/>
        <v/>
      </c>
      <c r="D203" s="13" t="s">
        <v>611</v>
      </c>
      <c r="E203" s="14" t="str">
        <f t="shared" si="20"/>
        <v/>
      </c>
      <c r="F203" s="13" t="s">
        <v>611</v>
      </c>
      <c r="G203" s="40">
        <v>202400671</v>
      </c>
      <c r="H203" s="13" t="s">
        <v>1842</v>
      </c>
      <c r="I203" s="13" t="s">
        <v>613</v>
      </c>
      <c r="J203" s="14">
        <v>45509</v>
      </c>
      <c r="K203" s="14">
        <v>45870</v>
      </c>
      <c r="L203" s="13" t="s">
        <v>1801</v>
      </c>
      <c r="M203" s="13" t="s">
        <v>1843</v>
      </c>
      <c r="N203" s="27" t="s">
        <v>1844</v>
      </c>
      <c r="O203" s="28" t="s">
        <v>1845</v>
      </c>
      <c r="P203" s="13" t="s">
        <v>119</v>
      </c>
      <c r="Q203" s="13" t="s">
        <v>618</v>
      </c>
      <c r="R203" s="13" t="e">
        <f>VLOOKUP(P203,'Dados das Regiões '!#REF!,2,0)</f>
        <v>#REF!</v>
      </c>
      <c r="S203" s="36" t="s">
        <v>1846</v>
      </c>
      <c r="T203" s="13"/>
      <c r="U203" s="46"/>
      <c r="V203" s="13" t="s">
        <v>1847</v>
      </c>
      <c r="W203" s="13" t="s">
        <v>1848</v>
      </c>
      <c r="X203" s="15">
        <v>0.5625</v>
      </c>
      <c r="Y203" s="16" t="s">
        <v>1575</v>
      </c>
      <c r="Z203" s="16" t="s">
        <v>622</v>
      </c>
      <c r="AA203" s="36" t="s">
        <v>1808</v>
      </c>
      <c r="AB203" s="164">
        <v>202400671</v>
      </c>
      <c r="AC203" s="13" t="s">
        <v>6</v>
      </c>
    </row>
    <row r="204" spans="1:29">
      <c r="A204" s="14"/>
      <c r="B204" s="13" t="str">
        <f t="shared" si="21"/>
        <v>Pendente</v>
      </c>
      <c r="C204" s="14" t="str">
        <f t="shared" si="19"/>
        <v/>
      </c>
      <c r="D204" s="13" t="s">
        <v>611</v>
      </c>
      <c r="E204" s="14" t="str">
        <f t="shared" si="20"/>
        <v/>
      </c>
      <c r="F204" s="13" t="s">
        <v>611</v>
      </c>
      <c r="G204" s="40">
        <v>202400681</v>
      </c>
      <c r="H204" s="13" t="s">
        <v>1849</v>
      </c>
      <c r="I204" s="13" t="s">
        <v>1192</v>
      </c>
      <c r="J204" s="14">
        <v>45509</v>
      </c>
      <c r="K204" s="14">
        <v>45870</v>
      </c>
      <c r="L204" s="13" t="s">
        <v>1850</v>
      </c>
      <c r="M204" s="13" t="s">
        <v>1851</v>
      </c>
      <c r="N204" s="13" t="s">
        <v>1852</v>
      </c>
      <c r="O204" s="17" t="s">
        <v>1853</v>
      </c>
      <c r="P204" s="13" t="s">
        <v>383</v>
      </c>
      <c r="Q204" s="13" t="s">
        <v>618</v>
      </c>
      <c r="R204" s="13" t="e">
        <f>VLOOKUP(P204,'Dados das Regiões '!#REF!,2,0)</f>
        <v>#REF!</v>
      </c>
      <c r="S204" s="13" t="s">
        <v>1854</v>
      </c>
      <c r="T204" s="34"/>
      <c r="U204" s="79" t="s">
        <v>1855</v>
      </c>
      <c r="V204" s="13" t="s">
        <v>1856</v>
      </c>
      <c r="W204" s="13" t="s">
        <v>1857</v>
      </c>
      <c r="X204" s="15">
        <v>0.58333333333333337</v>
      </c>
      <c r="Y204" s="16" t="s">
        <v>1200</v>
      </c>
      <c r="Z204" s="16" t="s">
        <v>622</v>
      </c>
      <c r="AA204" s="36" t="s">
        <v>1808</v>
      </c>
      <c r="AB204" s="164">
        <v>202400681</v>
      </c>
      <c r="AC204" s="13" t="s">
        <v>12</v>
      </c>
    </row>
    <row r="205" spans="1:29">
      <c r="A205" s="14"/>
      <c r="B205" s="13" t="str">
        <f t="shared" si="21"/>
        <v>Pendente</v>
      </c>
      <c r="C205" s="14" t="str">
        <f t="shared" si="19"/>
        <v/>
      </c>
      <c r="D205" s="13" t="s">
        <v>611</v>
      </c>
      <c r="E205" s="14" t="str">
        <f t="shared" si="20"/>
        <v/>
      </c>
      <c r="F205" s="13" t="s">
        <v>611</v>
      </c>
      <c r="G205" s="40">
        <v>202400681</v>
      </c>
      <c r="H205" s="13" t="s">
        <v>1858</v>
      </c>
      <c r="I205" s="13" t="s">
        <v>1192</v>
      </c>
      <c r="J205" s="14">
        <v>45509</v>
      </c>
      <c r="K205" s="14">
        <v>45870</v>
      </c>
      <c r="L205" s="13" t="s">
        <v>1850</v>
      </c>
      <c r="M205" s="13" t="s">
        <v>1859</v>
      </c>
      <c r="N205" s="13" t="s">
        <v>1860</v>
      </c>
      <c r="O205" s="17" t="s">
        <v>1861</v>
      </c>
      <c r="P205" s="13" t="s">
        <v>383</v>
      </c>
      <c r="Q205" s="13" t="s">
        <v>618</v>
      </c>
      <c r="R205" s="13" t="e">
        <f>VLOOKUP(P205,'Dados das Regiões '!#REF!,2,0)</f>
        <v>#REF!</v>
      </c>
      <c r="S205" s="13" t="s">
        <v>1862</v>
      </c>
      <c r="T205" s="13"/>
      <c r="U205" s="79"/>
      <c r="V205" s="13" t="s">
        <v>1856</v>
      </c>
      <c r="W205" s="13" t="s">
        <v>1857</v>
      </c>
      <c r="X205" s="15">
        <v>0.58333333333333337</v>
      </c>
      <c r="Y205" s="16" t="s">
        <v>1200</v>
      </c>
      <c r="Z205" s="16" t="s">
        <v>622</v>
      </c>
      <c r="AA205" s="36" t="s">
        <v>1808</v>
      </c>
      <c r="AB205" s="164">
        <v>202400681</v>
      </c>
      <c r="AC205" s="13" t="s">
        <v>12</v>
      </c>
    </row>
    <row r="206" spans="1:29">
      <c r="A206" s="14">
        <v>45757</v>
      </c>
      <c r="B206" s="13" t="str">
        <f t="shared" si="21"/>
        <v>Realizada</v>
      </c>
      <c r="C206" s="14">
        <f t="shared" si="19"/>
        <v>45848</v>
      </c>
      <c r="D206" s="13" t="s">
        <v>611</v>
      </c>
      <c r="E206" s="14">
        <f t="shared" si="20"/>
        <v>45940</v>
      </c>
      <c r="F206" s="13" t="s">
        <v>611</v>
      </c>
      <c r="G206" s="40">
        <v>202400680</v>
      </c>
      <c r="H206" s="13" t="s">
        <v>1863</v>
      </c>
      <c r="I206" s="13" t="s">
        <v>1176</v>
      </c>
      <c r="J206" s="14">
        <v>45509</v>
      </c>
      <c r="K206" s="14">
        <v>45870</v>
      </c>
      <c r="L206" s="13" t="s">
        <v>1864</v>
      </c>
      <c r="M206" s="13" t="s">
        <v>1865</v>
      </c>
      <c r="N206" s="13" t="s">
        <v>1866</v>
      </c>
      <c r="O206" s="17" t="s">
        <v>1867</v>
      </c>
      <c r="P206" s="13" t="s">
        <v>513</v>
      </c>
      <c r="Q206" s="13" t="s">
        <v>618</v>
      </c>
      <c r="R206" s="13" t="e">
        <f>VLOOKUP(P206,'Dados das Regiões '!#REF!,2,0)</f>
        <v>#REF!</v>
      </c>
      <c r="S206" s="13" t="s">
        <v>1868</v>
      </c>
      <c r="T206" s="13"/>
      <c r="U206" s="79"/>
      <c r="V206" s="13" t="s">
        <v>1869</v>
      </c>
      <c r="W206" s="13" t="s">
        <v>1870</v>
      </c>
      <c r="X206" s="15">
        <v>0.5625</v>
      </c>
      <c r="Y206" s="16" t="s">
        <v>1415</v>
      </c>
      <c r="Z206" s="16" t="s">
        <v>622</v>
      </c>
      <c r="AA206" s="36" t="s">
        <v>1808</v>
      </c>
      <c r="AB206" s="164">
        <v>202400680</v>
      </c>
      <c r="AC206" s="13" t="s">
        <v>10</v>
      </c>
    </row>
    <row r="207" spans="1:29">
      <c r="A207" s="14"/>
      <c r="B207" s="13" t="str">
        <f t="shared" si="21"/>
        <v>Pendente</v>
      </c>
      <c r="C207" s="14" t="str">
        <f t="shared" si="19"/>
        <v/>
      </c>
      <c r="D207" s="13" t="s">
        <v>611</v>
      </c>
      <c r="E207" s="14" t="str">
        <f t="shared" si="20"/>
        <v/>
      </c>
      <c r="F207" s="13" t="s">
        <v>611</v>
      </c>
      <c r="G207" s="40">
        <v>202400673</v>
      </c>
      <c r="H207" s="13" t="s">
        <v>1871</v>
      </c>
      <c r="I207" s="13" t="s">
        <v>1192</v>
      </c>
      <c r="J207" s="14">
        <v>45509</v>
      </c>
      <c r="K207" s="14">
        <v>45870</v>
      </c>
      <c r="L207" s="13" t="s">
        <v>1872</v>
      </c>
      <c r="M207" s="13" t="s">
        <v>1873</v>
      </c>
      <c r="N207" s="13" t="s">
        <v>1874</v>
      </c>
      <c r="O207" s="17" t="s">
        <v>1875</v>
      </c>
      <c r="P207" s="13" t="s">
        <v>307</v>
      </c>
      <c r="Q207" s="13" t="s">
        <v>618</v>
      </c>
      <c r="R207" s="13" t="e">
        <f>VLOOKUP(P207,'Dados das Regiões '!#REF!,2,0)</f>
        <v>#REF!</v>
      </c>
      <c r="S207" s="13" t="s">
        <v>1876</v>
      </c>
      <c r="T207" s="13"/>
      <c r="U207" s="79" t="s">
        <v>1877</v>
      </c>
      <c r="V207" s="13" t="s">
        <v>1877</v>
      </c>
      <c r="W207" s="13" t="s">
        <v>1878</v>
      </c>
      <c r="X207" s="15">
        <v>0.41666666666666669</v>
      </c>
      <c r="Y207" s="16" t="s">
        <v>1879</v>
      </c>
      <c r="Z207" s="16" t="s">
        <v>622</v>
      </c>
      <c r="AA207" s="36" t="s">
        <v>1808</v>
      </c>
      <c r="AB207" s="164">
        <v>202400673</v>
      </c>
      <c r="AC207" s="13" t="s">
        <v>13</v>
      </c>
    </row>
    <row r="208" spans="1:29">
      <c r="A208" s="14"/>
      <c r="B208" s="13" t="str">
        <f t="shared" si="21"/>
        <v>Pendente</v>
      </c>
      <c r="C208" s="14" t="str">
        <f t="shared" si="19"/>
        <v/>
      </c>
      <c r="D208" s="13" t="s">
        <v>611</v>
      </c>
      <c r="E208" s="14" t="str">
        <f t="shared" si="20"/>
        <v/>
      </c>
      <c r="F208" s="13" t="s">
        <v>611</v>
      </c>
      <c r="G208" s="40">
        <v>202400681</v>
      </c>
      <c r="H208" s="13" t="s">
        <v>1880</v>
      </c>
      <c r="I208" s="13" t="s">
        <v>1192</v>
      </c>
      <c r="J208" s="14">
        <v>45509</v>
      </c>
      <c r="K208" s="14">
        <v>45870</v>
      </c>
      <c r="L208" s="13" t="s">
        <v>1881</v>
      </c>
      <c r="M208" s="13" t="s">
        <v>1882</v>
      </c>
      <c r="N208" s="13" t="s">
        <v>1883</v>
      </c>
      <c r="O208" s="17" t="s">
        <v>1884</v>
      </c>
      <c r="P208" s="13" t="s">
        <v>124</v>
      </c>
      <c r="Q208" s="13" t="s">
        <v>618</v>
      </c>
      <c r="R208" s="13" t="e">
        <f>VLOOKUP(P208,'Dados das Regiões '!#REF!,2,0)</f>
        <v>#REF!</v>
      </c>
      <c r="S208" s="13" t="s">
        <v>1885</v>
      </c>
      <c r="T208" s="13"/>
      <c r="U208" s="79" t="s">
        <v>1886</v>
      </c>
      <c r="V208" s="13" t="s">
        <v>1886</v>
      </c>
      <c r="W208" s="13" t="s">
        <v>1887</v>
      </c>
      <c r="X208" s="15">
        <v>0.58333333333333337</v>
      </c>
      <c r="Y208" s="16" t="s">
        <v>1200</v>
      </c>
      <c r="Z208" s="16" t="s">
        <v>622</v>
      </c>
      <c r="AA208" s="36" t="s">
        <v>1808</v>
      </c>
      <c r="AB208" s="164">
        <v>202400681</v>
      </c>
      <c r="AC208" s="13" t="s">
        <v>12</v>
      </c>
    </row>
    <row r="209" spans="1:46">
      <c r="A209" s="14"/>
      <c r="B209" s="13" t="str">
        <f t="shared" si="21"/>
        <v>Pendente</v>
      </c>
      <c r="C209" s="14" t="str">
        <f t="shared" si="19"/>
        <v/>
      </c>
      <c r="D209" s="13" t="s">
        <v>611</v>
      </c>
      <c r="E209" s="14" t="str">
        <f t="shared" si="20"/>
        <v/>
      </c>
      <c r="F209" s="13" t="s">
        <v>611</v>
      </c>
      <c r="G209" s="40">
        <v>202400680</v>
      </c>
      <c r="H209" s="13" t="s">
        <v>1888</v>
      </c>
      <c r="I209" s="13" t="s">
        <v>1176</v>
      </c>
      <c r="J209" s="14">
        <v>45509</v>
      </c>
      <c r="K209" s="14">
        <v>45870</v>
      </c>
      <c r="L209" s="13" t="s">
        <v>1889</v>
      </c>
      <c r="M209" s="13" t="s">
        <v>1890</v>
      </c>
      <c r="N209" s="13" t="s">
        <v>1891</v>
      </c>
      <c r="O209" s="17" t="s">
        <v>1892</v>
      </c>
      <c r="P209" s="13" t="s">
        <v>208</v>
      </c>
      <c r="Q209" s="13" t="s">
        <v>618</v>
      </c>
      <c r="R209" s="13" t="e">
        <f>VLOOKUP(P209,'Dados das Regiões '!#REF!,2,0)</f>
        <v>#REF!</v>
      </c>
      <c r="S209" s="13" t="s">
        <v>1893</v>
      </c>
      <c r="T209" s="13"/>
      <c r="U209" s="79"/>
      <c r="V209" s="13" t="s">
        <v>1894</v>
      </c>
      <c r="W209" s="13" t="s">
        <v>1895</v>
      </c>
      <c r="X209" s="15">
        <v>0.375</v>
      </c>
      <c r="Y209" s="16" t="s">
        <v>1896</v>
      </c>
      <c r="Z209" s="16" t="s">
        <v>622</v>
      </c>
      <c r="AA209" s="36" t="s">
        <v>1808</v>
      </c>
      <c r="AB209" s="164">
        <v>202400680</v>
      </c>
      <c r="AC209" s="13" t="s">
        <v>10</v>
      </c>
    </row>
    <row r="210" spans="1:46">
      <c r="A210" s="14"/>
      <c r="B210" s="13" t="str">
        <f t="shared" si="21"/>
        <v>Pendente</v>
      </c>
      <c r="C210" s="14" t="str">
        <f t="shared" si="19"/>
        <v/>
      </c>
      <c r="D210" s="13" t="s">
        <v>611</v>
      </c>
      <c r="E210" s="14" t="str">
        <f t="shared" si="20"/>
        <v/>
      </c>
      <c r="F210" s="13" t="s">
        <v>611</v>
      </c>
      <c r="G210" s="40">
        <v>202400680</v>
      </c>
      <c r="H210" s="13" t="s">
        <v>1897</v>
      </c>
      <c r="I210" s="13" t="s">
        <v>1176</v>
      </c>
      <c r="J210" s="14">
        <v>45509</v>
      </c>
      <c r="K210" s="14">
        <v>45870</v>
      </c>
      <c r="L210" s="13" t="s">
        <v>1864</v>
      </c>
      <c r="M210" s="13" t="s">
        <v>1898</v>
      </c>
      <c r="N210" s="13" t="s">
        <v>1899</v>
      </c>
      <c r="O210" s="17" t="s">
        <v>1900</v>
      </c>
      <c r="P210" s="13" t="s">
        <v>291</v>
      </c>
      <c r="Q210" s="13" t="s">
        <v>618</v>
      </c>
      <c r="R210" s="13" t="e">
        <f>VLOOKUP(P210,'Dados das Regiões '!#REF!,2,0)</f>
        <v>#REF!</v>
      </c>
      <c r="S210" s="13" t="s">
        <v>1901</v>
      </c>
      <c r="T210" s="13"/>
      <c r="U210" s="79"/>
      <c r="V210" s="13" t="s">
        <v>1902</v>
      </c>
      <c r="W210" s="13" t="s">
        <v>1903</v>
      </c>
      <c r="X210" s="15">
        <v>0.5625</v>
      </c>
      <c r="Y210" s="16" t="s">
        <v>1415</v>
      </c>
      <c r="Z210" s="16" t="s">
        <v>622</v>
      </c>
      <c r="AA210" s="36" t="s">
        <v>1808</v>
      </c>
      <c r="AB210" s="164">
        <v>202400680</v>
      </c>
      <c r="AC210" s="13" t="s">
        <v>10</v>
      </c>
    </row>
    <row r="211" spans="1:46">
      <c r="A211" s="14"/>
      <c r="B211" s="13" t="str">
        <f t="shared" si="21"/>
        <v>Pendente</v>
      </c>
      <c r="C211" s="14" t="str">
        <f t="shared" si="19"/>
        <v/>
      </c>
      <c r="D211" s="13" t="s">
        <v>611</v>
      </c>
      <c r="E211" s="14" t="str">
        <f t="shared" si="20"/>
        <v/>
      </c>
      <c r="F211" s="13" t="s">
        <v>611</v>
      </c>
      <c r="G211" s="40">
        <v>202400681</v>
      </c>
      <c r="H211" s="13" t="s">
        <v>1904</v>
      </c>
      <c r="I211" s="13" t="s">
        <v>1192</v>
      </c>
      <c r="J211" s="14">
        <v>45509</v>
      </c>
      <c r="K211" s="14">
        <v>45870</v>
      </c>
      <c r="L211" s="13" t="s">
        <v>1881</v>
      </c>
      <c r="M211" s="13" t="s">
        <v>1905</v>
      </c>
      <c r="N211" s="13" t="s">
        <v>1906</v>
      </c>
      <c r="O211" s="17" t="s">
        <v>1907</v>
      </c>
      <c r="P211" s="13" t="s">
        <v>136</v>
      </c>
      <c r="Q211" s="13" t="s">
        <v>618</v>
      </c>
      <c r="R211" s="13" t="e">
        <f>VLOOKUP(P211,'Dados das Regiões '!#REF!,2,0)</f>
        <v>#REF!</v>
      </c>
      <c r="S211" s="13" t="s">
        <v>1908</v>
      </c>
      <c r="T211" s="13"/>
      <c r="U211" s="79" t="s">
        <v>1909</v>
      </c>
      <c r="V211" s="13" t="s">
        <v>1909</v>
      </c>
      <c r="W211" s="13" t="s">
        <v>1910</v>
      </c>
      <c r="X211" s="15">
        <v>0.64583333333333337</v>
      </c>
      <c r="Y211" s="16" t="s">
        <v>1451</v>
      </c>
      <c r="Z211" s="16" t="s">
        <v>622</v>
      </c>
      <c r="AA211" s="36" t="s">
        <v>1808</v>
      </c>
      <c r="AB211" s="164">
        <v>202400681</v>
      </c>
      <c r="AC211" s="13" t="s">
        <v>12</v>
      </c>
    </row>
    <row r="212" spans="1:46">
      <c r="A212" s="14"/>
      <c r="B212" s="13" t="str">
        <f t="shared" si="21"/>
        <v>Pendente</v>
      </c>
      <c r="C212" s="14" t="str">
        <f t="shared" si="19"/>
        <v/>
      </c>
      <c r="D212" s="13" t="s">
        <v>611</v>
      </c>
      <c r="E212" s="14" t="str">
        <f t="shared" si="20"/>
        <v/>
      </c>
      <c r="F212" s="13" t="s">
        <v>611</v>
      </c>
      <c r="G212" s="40">
        <v>202400673</v>
      </c>
      <c r="H212" s="13" t="s">
        <v>1911</v>
      </c>
      <c r="I212" s="13" t="s">
        <v>1192</v>
      </c>
      <c r="J212" s="14">
        <v>45509</v>
      </c>
      <c r="K212" s="14">
        <v>45870</v>
      </c>
      <c r="L212" s="13" t="s">
        <v>565</v>
      </c>
      <c r="M212" s="13" t="s">
        <v>1912</v>
      </c>
      <c r="N212" s="13" t="s">
        <v>1913</v>
      </c>
      <c r="O212" s="13" t="s">
        <v>1914</v>
      </c>
      <c r="P212" s="13" t="s">
        <v>254</v>
      </c>
      <c r="Q212" s="13" t="s">
        <v>618</v>
      </c>
      <c r="R212" s="13" t="e">
        <f>VLOOKUP(P212,'Dados das Regiões '!#REF!,2,0)</f>
        <v>#REF!</v>
      </c>
      <c r="S212" s="13" t="s">
        <v>1915</v>
      </c>
      <c r="T212" s="13"/>
      <c r="U212" s="79"/>
      <c r="V212" s="13" t="s">
        <v>1916</v>
      </c>
      <c r="W212" s="13" t="s">
        <v>1917</v>
      </c>
      <c r="X212" s="15">
        <v>0.33333333333333331</v>
      </c>
      <c r="Y212" s="16" t="s">
        <v>1438</v>
      </c>
      <c r="Z212" s="16" t="s">
        <v>622</v>
      </c>
      <c r="AA212" s="36" t="s">
        <v>1808</v>
      </c>
      <c r="AB212" s="164">
        <v>202400673</v>
      </c>
      <c r="AC212" s="13" t="s">
        <v>13</v>
      </c>
    </row>
    <row r="213" spans="1:46">
      <c r="A213" s="14"/>
      <c r="B213" s="13" t="str">
        <f t="shared" si="21"/>
        <v>Pendente</v>
      </c>
      <c r="C213" s="14" t="str">
        <f t="shared" si="19"/>
        <v/>
      </c>
      <c r="D213" s="13" t="s">
        <v>611</v>
      </c>
      <c r="E213" s="14" t="str">
        <f t="shared" si="20"/>
        <v/>
      </c>
      <c r="F213" s="13" t="s">
        <v>611</v>
      </c>
      <c r="G213" s="40">
        <v>202400673</v>
      </c>
      <c r="H213" s="13" t="s">
        <v>1918</v>
      </c>
      <c r="I213" s="13" t="s">
        <v>1192</v>
      </c>
      <c r="J213" s="14">
        <v>45509</v>
      </c>
      <c r="K213" s="14">
        <v>45870</v>
      </c>
      <c r="L213" s="13" t="s">
        <v>565</v>
      </c>
      <c r="M213" s="13" t="s">
        <v>1912</v>
      </c>
      <c r="N213" s="13" t="s">
        <v>1913</v>
      </c>
      <c r="O213" s="13" t="s">
        <v>1914</v>
      </c>
      <c r="P213" s="13" t="s">
        <v>254</v>
      </c>
      <c r="Q213" s="13" t="s">
        <v>618</v>
      </c>
      <c r="R213" s="13" t="e">
        <f>VLOOKUP(P213,'Dados das Regiões '!#REF!,2,0)</f>
        <v>#REF!</v>
      </c>
      <c r="S213" s="13" t="s">
        <v>1919</v>
      </c>
      <c r="T213" s="13"/>
      <c r="U213" s="79"/>
      <c r="V213" s="13" t="s">
        <v>1916</v>
      </c>
      <c r="W213" s="13" t="s">
        <v>1917</v>
      </c>
      <c r="X213" s="15">
        <v>0.33333333333333331</v>
      </c>
      <c r="Y213" s="16" t="s">
        <v>1438</v>
      </c>
      <c r="Z213" s="16" t="s">
        <v>622</v>
      </c>
      <c r="AA213" s="36" t="s">
        <v>1808</v>
      </c>
      <c r="AB213" s="164">
        <v>202400673</v>
      </c>
      <c r="AC213" s="13" t="s">
        <v>13</v>
      </c>
    </row>
    <row r="214" spans="1:46">
      <c r="A214" s="14"/>
      <c r="B214" s="13" t="str">
        <f t="shared" si="21"/>
        <v>Pendente</v>
      </c>
      <c r="C214" s="14" t="str">
        <f t="shared" si="19"/>
        <v/>
      </c>
      <c r="D214" s="13" t="s">
        <v>611</v>
      </c>
      <c r="E214" s="14" t="str">
        <f t="shared" si="20"/>
        <v/>
      </c>
      <c r="F214" s="13" t="s">
        <v>611</v>
      </c>
      <c r="G214" s="40">
        <v>202400673</v>
      </c>
      <c r="H214" s="13" t="s">
        <v>1920</v>
      </c>
      <c r="I214" s="13" t="s">
        <v>1192</v>
      </c>
      <c r="J214" s="14">
        <v>45509</v>
      </c>
      <c r="K214" s="14">
        <v>45870</v>
      </c>
      <c r="L214" s="13" t="s">
        <v>565</v>
      </c>
      <c r="M214" s="13" t="s">
        <v>1912</v>
      </c>
      <c r="N214" s="13" t="s">
        <v>1913</v>
      </c>
      <c r="O214" s="13" t="s">
        <v>1914</v>
      </c>
      <c r="P214" s="13" t="s">
        <v>254</v>
      </c>
      <c r="Q214" s="13" t="s">
        <v>618</v>
      </c>
      <c r="R214" s="13" t="e">
        <f>VLOOKUP(P214,'Dados das Regiões '!#REF!,2,0)</f>
        <v>#REF!</v>
      </c>
      <c r="S214" s="36" t="s">
        <v>1919</v>
      </c>
      <c r="T214" s="13"/>
      <c r="U214" s="46"/>
      <c r="V214" s="13" t="s">
        <v>1916</v>
      </c>
      <c r="W214" s="13" t="s">
        <v>1917</v>
      </c>
      <c r="X214" s="15">
        <v>0.33333333333333331</v>
      </c>
      <c r="Y214" s="16" t="s">
        <v>1438</v>
      </c>
      <c r="Z214" s="16" t="s">
        <v>622</v>
      </c>
      <c r="AA214" s="36" t="s">
        <v>1808</v>
      </c>
      <c r="AB214" s="164">
        <v>202400673</v>
      </c>
      <c r="AC214" s="13" t="s">
        <v>13</v>
      </c>
    </row>
    <row r="215" spans="1:46">
      <c r="A215" s="109" t="s">
        <v>1921</v>
      </c>
      <c r="B215" s="109" t="s">
        <v>1921</v>
      </c>
      <c r="C215" s="109" t="s">
        <v>1921</v>
      </c>
      <c r="D215" s="109" t="s">
        <v>1921</v>
      </c>
      <c r="E215" s="109" t="s">
        <v>1921</v>
      </c>
      <c r="F215" s="109" t="s">
        <v>1921</v>
      </c>
      <c r="G215" s="107">
        <v>202400673</v>
      </c>
      <c r="H215" s="101" t="s">
        <v>1922</v>
      </c>
      <c r="I215" s="101" t="s">
        <v>1192</v>
      </c>
      <c r="J215" s="100">
        <v>45509</v>
      </c>
      <c r="K215" s="100">
        <v>45870</v>
      </c>
      <c r="L215" s="101" t="s">
        <v>1923</v>
      </c>
      <c r="M215" s="101" t="s">
        <v>1924</v>
      </c>
      <c r="N215" s="101" t="s">
        <v>1925</v>
      </c>
      <c r="O215" s="102" t="s">
        <v>1926</v>
      </c>
      <c r="P215" s="101" t="s">
        <v>456</v>
      </c>
      <c r="Q215" s="101" t="s">
        <v>618</v>
      </c>
      <c r="R215" s="101" t="e">
        <f>VLOOKUP(P215,'Dados das Regiões '!#REF!,2,0)</f>
        <v>#REF!</v>
      </c>
      <c r="S215" s="101" t="s">
        <v>1927</v>
      </c>
      <c r="T215" s="101"/>
      <c r="U215" s="108"/>
      <c r="V215" s="101" t="s">
        <v>1928</v>
      </c>
      <c r="W215" s="101" t="s">
        <v>1929</v>
      </c>
      <c r="X215" s="103">
        <v>0.54166666666666663</v>
      </c>
      <c r="Y215" s="104" t="s">
        <v>1930</v>
      </c>
      <c r="Z215" s="104" t="s">
        <v>622</v>
      </c>
      <c r="AA215" s="36" t="s">
        <v>1808</v>
      </c>
      <c r="AB215" s="165">
        <v>202400673</v>
      </c>
      <c r="AC215" s="13" t="s">
        <v>13</v>
      </c>
      <c r="AE215" s="40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</row>
    <row r="216" spans="1:46">
      <c r="A216" s="14"/>
      <c r="B216" s="13" t="str">
        <f t="shared" ref="B216:B249" si="22">IF(ISBLANK(A216), "Pendente", "Realizada")</f>
        <v>Pendente</v>
      </c>
      <c r="C216" s="14" t="str">
        <f t="shared" ref="C216:C249" si="23">IF(A216="", "", EDATE(A216, 3))</f>
        <v/>
      </c>
      <c r="D216" s="13" t="s">
        <v>611</v>
      </c>
      <c r="E216" s="14" t="str">
        <f t="shared" ref="E216:E249" si="24">IF(C216="", "", EDATE(C216, 3))</f>
        <v/>
      </c>
      <c r="F216" s="13" t="s">
        <v>611</v>
      </c>
      <c r="G216" s="40">
        <v>202400673</v>
      </c>
      <c r="H216" s="13" t="s">
        <v>1931</v>
      </c>
      <c r="I216" s="13" t="s">
        <v>1192</v>
      </c>
      <c r="J216" s="14">
        <v>45509</v>
      </c>
      <c r="K216" s="14">
        <v>45870</v>
      </c>
      <c r="L216" s="13" t="s">
        <v>1932</v>
      </c>
      <c r="M216" s="13" t="s">
        <v>1933</v>
      </c>
      <c r="N216" s="13" t="s">
        <v>1934</v>
      </c>
      <c r="O216" s="13" t="s">
        <v>1935</v>
      </c>
      <c r="P216" s="13" t="s">
        <v>446</v>
      </c>
      <c r="Q216" s="13" t="s">
        <v>618</v>
      </c>
      <c r="R216" s="13" t="e">
        <f>VLOOKUP(P216,'Dados das Regiões '!#REF!,2,0)</f>
        <v>#REF!</v>
      </c>
      <c r="S216" s="13" t="s">
        <v>1936</v>
      </c>
      <c r="T216" s="13"/>
      <c r="U216" s="79" t="s">
        <v>1937</v>
      </c>
      <c r="V216" s="13" t="s">
        <v>1937</v>
      </c>
      <c r="W216" s="13" t="s">
        <v>1938</v>
      </c>
      <c r="X216" s="15">
        <v>0.58333333333333337</v>
      </c>
      <c r="Y216" s="16" t="s">
        <v>1939</v>
      </c>
      <c r="Z216" s="16" t="s">
        <v>622</v>
      </c>
      <c r="AA216" s="36"/>
      <c r="AB216" s="164">
        <v>202400673</v>
      </c>
      <c r="AC216" s="13" t="s">
        <v>13</v>
      </c>
      <c r="AE216" s="40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</row>
    <row r="217" spans="1:46">
      <c r="A217" s="14"/>
      <c r="B217" s="13" t="str">
        <f t="shared" si="22"/>
        <v>Pendente</v>
      </c>
      <c r="C217" s="14" t="str">
        <f t="shared" si="23"/>
        <v/>
      </c>
      <c r="D217" s="13" t="s">
        <v>611</v>
      </c>
      <c r="E217" s="14" t="str">
        <f t="shared" si="24"/>
        <v/>
      </c>
      <c r="F217" s="13" t="s">
        <v>611</v>
      </c>
      <c r="G217" s="40">
        <v>202400673</v>
      </c>
      <c r="H217" s="13" t="s">
        <v>1940</v>
      </c>
      <c r="I217" s="13" t="s">
        <v>1192</v>
      </c>
      <c r="J217" s="14">
        <v>45509</v>
      </c>
      <c r="K217" s="14">
        <v>45870</v>
      </c>
      <c r="L217" s="13" t="s">
        <v>1932</v>
      </c>
      <c r="M217" s="13" t="s">
        <v>1933</v>
      </c>
      <c r="N217" s="13" t="s">
        <v>1934</v>
      </c>
      <c r="O217" s="13" t="s">
        <v>1935</v>
      </c>
      <c r="P217" s="13" t="s">
        <v>446</v>
      </c>
      <c r="Q217" s="13" t="s">
        <v>618</v>
      </c>
      <c r="R217" s="13" t="e">
        <f>VLOOKUP(P217,'Dados das Regiões '!#REF!,2,0)</f>
        <v>#REF!</v>
      </c>
      <c r="S217" s="13" t="s">
        <v>1936</v>
      </c>
      <c r="T217" s="13"/>
      <c r="U217" s="79" t="s">
        <v>1937</v>
      </c>
      <c r="V217" s="13" t="s">
        <v>1937</v>
      </c>
      <c r="W217" s="13" t="s">
        <v>1938</v>
      </c>
      <c r="X217" s="15">
        <v>0.70833333333333337</v>
      </c>
      <c r="Y217" s="16" t="s">
        <v>1941</v>
      </c>
      <c r="Z217" s="16" t="s">
        <v>622</v>
      </c>
      <c r="AA217" s="36"/>
      <c r="AB217" s="164">
        <v>202400673</v>
      </c>
      <c r="AC217" s="13" t="s">
        <v>13</v>
      </c>
      <c r="AE217" s="40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</row>
    <row r="218" spans="1:46">
      <c r="A218" s="14"/>
      <c r="B218" s="13" t="str">
        <f t="shared" si="22"/>
        <v>Pendente</v>
      </c>
      <c r="C218" s="14" t="str">
        <f t="shared" si="23"/>
        <v/>
      </c>
      <c r="D218" s="13" t="s">
        <v>611</v>
      </c>
      <c r="E218" s="14" t="str">
        <f t="shared" si="24"/>
        <v/>
      </c>
      <c r="F218" s="13" t="s">
        <v>611</v>
      </c>
      <c r="G218" s="40">
        <v>202400673</v>
      </c>
      <c r="H218" s="13" t="s">
        <v>1942</v>
      </c>
      <c r="I218" s="13" t="s">
        <v>1192</v>
      </c>
      <c r="J218" s="14">
        <v>45509</v>
      </c>
      <c r="K218" s="14">
        <v>45870</v>
      </c>
      <c r="L218" s="13" t="s">
        <v>1932</v>
      </c>
      <c r="M218" s="13" t="s">
        <v>1933</v>
      </c>
      <c r="N218" s="13" t="s">
        <v>1934</v>
      </c>
      <c r="O218" s="13" t="s">
        <v>1935</v>
      </c>
      <c r="P218" s="13" t="s">
        <v>446</v>
      </c>
      <c r="Q218" s="13" t="s">
        <v>618</v>
      </c>
      <c r="R218" s="13" t="e">
        <f>VLOOKUP(P218,'Dados das Regiões '!#REF!,2,0)</f>
        <v>#REF!</v>
      </c>
      <c r="S218" s="13" t="s">
        <v>1936</v>
      </c>
      <c r="T218" s="13"/>
      <c r="U218" s="79" t="s">
        <v>1937</v>
      </c>
      <c r="V218" s="13" t="s">
        <v>1937</v>
      </c>
      <c r="W218" s="13" t="s">
        <v>1938</v>
      </c>
      <c r="X218" s="15">
        <v>0.54166666666666663</v>
      </c>
      <c r="Y218" s="16" t="s">
        <v>1943</v>
      </c>
      <c r="Z218" s="16" t="s">
        <v>622</v>
      </c>
      <c r="AA218" s="36"/>
      <c r="AB218" s="164">
        <v>202400673</v>
      </c>
      <c r="AC218" s="13" t="s">
        <v>13</v>
      </c>
      <c r="AE218" s="40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</row>
    <row r="219" spans="1:46">
      <c r="A219" s="14"/>
      <c r="B219" s="13" t="str">
        <f t="shared" si="22"/>
        <v>Pendente</v>
      </c>
      <c r="C219" s="14" t="str">
        <f t="shared" si="23"/>
        <v/>
      </c>
      <c r="D219" s="13" t="s">
        <v>611</v>
      </c>
      <c r="E219" s="14" t="str">
        <f t="shared" si="24"/>
        <v/>
      </c>
      <c r="F219" s="13" t="s">
        <v>611</v>
      </c>
      <c r="G219" s="40">
        <v>202400671</v>
      </c>
      <c r="H219" s="13" t="s">
        <v>1944</v>
      </c>
      <c r="I219" s="13" t="s">
        <v>613</v>
      </c>
      <c r="J219" s="14">
        <v>45509</v>
      </c>
      <c r="K219" s="14">
        <v>45870</v>
      </c>
      <c r="L219" s="13" t="s">
        <v>1945</v>
      </c>
      <c r="M219" s="13" t="s">
        <v>1946</v>
      </c>
      <c r="N219" s="13" t="s">
        <v>1947</v>
      </c>
      <c r="O219" s="17" t="s">
        <v>1948</v>
      </c>
      <c r="P219" s="13" t="s">
        <v>480</v>
      </c>
      <c r="Q219" s="13" t="s">
        <v>618</v>
      </c>
      <c r="R219" s="13" t="e">
        <f>VLOOKUP(P219,'Dados das Regiões '!#REF!,2,0)</f>
        <v>#REF!</v>
      </c>
      <c r="S219" s="13" t="s">
        <v>1949</v>
      </c>
      <c r="T219" s="13"/>
      <c r="U219" s="79"/>
      <c r="V219" s="13" t="s">
        <v>1950</v>
      </c>
      <c r="W219" s="13" t="s">
        <v>1951</v>
      </c>
      <c r="X219" s="15">
        <v>0.64583333333333337</v>
      </c>
      <c r="Y219" s="16" t="s">
        <v>1415</v>
      </c>
      <c r="Z219" s="16" t="s">
        <v>622</v>
      </c>
      <c r="AA219" s="36" t="s">
        <v>1808</v>
      </c>
      <c r="AB219" s="164">
        <v>202400671</v>
      </c>
      <c r="AC219" s="13" t="s">
        <v>6</v>
      </c>
      <c r="AE219" s="40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</row>
    <row r="220" spans="1:46">
      <c r="A220" s="14"/>
      <c r="B220" s="13" t="str">
        <f t="shared" si="22"/>
        <v>Pendente</v>
      </c>
      <c r="C220" s="14" t="str">
        <f t="shared" si="23"/>
        <v/>
      </c>
      <c r="D220" s="13" t="s">
        <v>611</v>
      </c>
      <c r="E220" s="14" t="str">
        <f t="shared" si="24"/>
        <v/>
      </c>
      <c r="F220" s="13" t="s">
        <v>611</v>
      </c>
      <c r="G220" s="40">
        <v>202400671</v>
      </c>
      <c r="H220" s="13" t="s">
        <v>1952</v>
      </c>
      <c r="I220" s="13" t="s">
        <v>613</v>
      </c>
      <c r="J220" s="14">
        <v>45509</v>
      </c>
      <c r="K220" s="14">
        <v>45870</v>
      </c>
      <c r="L220" s="13" t="s">
        <v>1945</v>
      </c>
      <c r="M220" s="13" t="s">
        <v>1953</v>
      </c>
      <c r="N220" s="13" t="s">
        <v>1954</v>
      </c>
      <c r="O220" s="17" t="s">
        <v>1955</v>
      </c>
      <c r="P220" s="13" t="s">
        <v>352</v>
      </c>
      <c r="Q220" s="13" t="s">
        <v>618</v>
      </c>
      <c r="R220" s="13" t="e">
        <f>VLOOKUP(P220,'Dados das Regiões '!#REF!,2,0)</f>
        <v>#REF!</v>
      </c>
      <c r="S220" s="13" t="s">
        <v>1956</v>
      </c>
      <c r="T220" s="13"/>
      <c r="U220" s="79" t="s">
        <v>1957</v>
      </c>
      <c r="V220" s="13" t="s">
        <v>1958</v>
      </c>
      <c r="W220" s="13" t="s">
        <v>1959</v>
      </c>
      <c r="X220" s="15">
        <v>0.5625</v>
      </c>
      <c r="Y220" s="16" t="s">
        <v>1415</v>
      </c>
      <c r="Z220" s="16" t="s">
        <v>622</v>
      </c>
      <c r="AA220" s="36" t="s">
        <v>1808</v>
      </c>
      <c r="AB220" s="164">
        <v>202400671</v>
      </c>
      <c r="AC220" s="13" t="s">
        <v>6</v>
      </c>
      <c r="AE220" s="40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</row>
    <row r="221" spans="1:46">
      <c r="A221" s="14"/>
      <c r="B221" s="13" t="str">
        <f t="shared" si="22"/>
        <v>Pendente</v>
      </c>
      <c r="C221" s="14" t="str">
        <f t="shared" si="23"/>
        <v/>
      </c>
      <c r="D221" s="13" t="s">
        <v>611</v>
      </c>
      <c r="E221" s="14" t="str">
        <f t="shared" si="24"/>
        <v/>
      </c>
      <c r="F221" s="13" t="s">
        <v>611</v>
      </c>
      <c r="G221" s="40">
        <v>202400673</v>
      </c>
      <c r="H221" s="13" t="s">
        <v>1960</v>
      </c>
      <c r="I221" s="13" t="s">
        <v>1192</v>
      </c>
      <c r="J221" s="14">
        <v>45509</v>
      </c>
      <c r="K221" s="14">
        <v>45870</v>
      </c>
      <c r="L221" s="13" t="s">
        <v>1932</v>
      </c>
      <c r="M221" s="13" t="s">
        <v>1933</v>
      </c>
      <c r="N221" s="13" t="s">
        <v>1934</v>
      </c>
      <c r="O221" s="13" t="s">
        <v>1935</v>
      </c>
      <c r="P221" s="13" t="s">
        <v>446</v>
      </c>
      <c r="Q221" s="13" t="s">
        <v>618</v>
      </c>
      <c r="R221" s="13" t="e">
        <f>VLOOKUP(P221,'Dados das Regiões '!#REF!,2,0)</f>
        <v>#REF!</v>
      </c>
      <c r="S221" s="13" t="s">
        <v>1936</v>
      </c>
      <c r="T221" s="13"/>
      <c r="U221" s="79" t="s">
        <v>1937</v>
      </c>
      <c r="V221" s="13" t="s">
        <v>1937</v>
      </c>
      <c r="W221" s="13" t="s">
        <v>1938</v>
      </c>
      <c r="X221" s="15">
        <v>0.54166666666666663</v>
      </c>
      <c r="Y221" s="16" t="s">
        <v>1824</v>
      </c>
      <c r="Z221" s="16" t="s">
        <v>622</v>
      </c>
      <c r="AA221" s="36"/>
      <c r="AB221" s="164">
        <v>202400673</v>
      </c>
      <c r="AC221" s="13" t="s">
        <v>13</v>
      </c>
      <c r="AE221" s="40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</row>
    <row r="222" spans="1:46">
      <c r="A222" s="14"/>
      <c r="B222" s="13" t="str">
        <f t="shared" si="22"/>
        <v>Pendente</v>
      </c>
      <c r="C222" s="14" t="str">
        <f t="shared" si="23"/>
        <v/>
      </c>
      <c r="D222" s="13" t="s">
        <v>611</v>
      </c>
      <c r="E222" s="14" t="str">
        <f t="shared" si="24"/>
        <v/>
      </c>
      <c r="F222" s="13" t="s">
        <v>611</v>
      </c>
      <c r="G222" s="40">
        <v>202400673</v>
      </c>
      <c r="H222" s="13" t="s">
        <v>1961</v>
      </c>
      <c r="I222" s="13" t="s">
        <v>1192</v>
      </c>
      <c r="J222" s="14">
        <v>45509</v>
      </c>
      <c r="K222" s="14">
        <v>45870</v>
      </c>
      <c r="L222" s="13" t="s">
        <v>1932</v>
      </c>
      <c r="M222" s="13" t="s">
        <v>1933</v>
      </c>
      <c r="N222" s="13" t="s">
        <v>1934</v>
      </c>
      <c r="O222" s="13" t="s">
        <v>1935</v>
      </c>
      <c r="P222" s="13" t="s">
        <v>446</v>
      </c>
      <c r="Q222" s="13" t="s">
        <v>618</v>
      </c>
      <c r="R222" s="13" t="e">
        <f>VLOOKUP(P222,'Dados das Regiões '!#REF!,2,0)</f>
        <v>#REF!</v>
      </c>
      <c r="S222" s="13" t="s">
        <v>1936</v>
      </c>
      <c r="T222" s="13"/>
      <c r="U222" s="79" t="s">
        <v>1937</v>
      </c>
      <c r="V222" s="13" t="s">
        <v>1937</v>
      </c>
      <c r="W222" s="13" t="s">
        <v>1938</v>
      </c>
      <c r="X222" s="15">
        <v>0.625</v>
      </c>
      <c r="Y222" s="16" t="s">
        <v>1962</v>
      </c>
      <c r="Z222" s="16" t="s">
        <v>622</v>
      </c>
      <c r="AA222" s="36"/>
      <c r="AB222" s="164">
        <v>202400673</v>
      </c>
      <c r="AC222" s="13" t="s">
        <v>13</v>
      </c>
      <c r="AT222" s="13"/>
    </row>
    <row r="223" spans="1:46">
      <c r="A223" s="14"/>
      <c r="B223" s="13" t="str">
        <f t="shared" si="22"/>
        <v>Pendente</v>
      </c>
      <c r="C223" s="14" t="str">
        <f t="shared" si="23"/>
        <v/>
      </c>
      <c r="D223" s="13" t="s">
        <v>611</v>
      </c>
      <c r="E223" s="14" t="str">
        <f t="shared" si="24"/>
        <v/>
      </c>
      <c r="F223" s="13" t="s">
        <v>611</v>
      </c>
      <c r="G223" s="40">
        <v>202400673</v>
      </c>
      <c r="H223" s="13" t="s">
        <v>1963</v>
      </c>
      <c r="I223" s="13" t="s">
        <v>1192</v>
      </c>
      <c r="J223" s="14">
        <v>45509</v>
      </c>
      <c r="K223" s="14">
        <v>45870</v>
      </c>
      <c r="L223" s="13" t="s">
        <v>1932</v>
      </c>
      <c r="M223" s="13" t="s">
        <v>1933</v>
      </c>
      <c r="N223" s="13" t="s">
        <v>1934</v>
      </c>
      <c r="O223" s="13" t="s">
        <v>1935</v>
      </c>
      <c r="P223" s="13" t="s">
        <v>446</v>
      </c>
      <c r="Q223" s="13" t="s">
        <v>618</v>
      </c>
      <c r="R223" s="13" t="e">
        <f>VLOOKUP(P223,'Dados das Regiões '!#REF!,2,0)</f>
        <v>#REF!</v>
      </c>
      <c r="S223" s="13" t="s">
        <v>1936</v>
      </c>
      <c r="T223" s="13"/>
      <c r="U223" s="79" t="s">
        <v>1937</v>
      </c>
      <c r="V223" s="13" t="s">
        <v>1937</v>
      </c>
      <c r="W223" s="13" t="s">
        <v>1938</v>
      </c>
      <c r="X223" s="15">
        <v>0.625</v>
      </c>
      <c r="Y223" s="16" t="s">
        <v>1964</v>
      </c>
      <c r="Z223" s="16" t="s">
        <v>622</v>
      </c>
      <c r="AA223" s="36"/>
      <c r="AB223" s="164">
        <v>202400673</v>
      </c>
      <c r="AC223" s="13" t="s">
        <v>13</v>
      </c>
      <c r="AE223" s="40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</row>
    <row r="224" spans="1:46">
      <c r="A224" s="14"/>
      <c r="B224" s="13" t="str">
        <f t="shared" si="22"/>
        <v>Pendente</v>
      </c>
      <c r="C224" s="14" t="str">
        <f t="shared" si="23"/>
        <v/>
      </c>
      <c r="D224" s="13" t="s">
        <v>611</v>
      </c>
      <c r="E224" s="14" t="str">
        <f t="shared" si="24"/>
        <v/>
      </c>
      <c r="F224" s="13" t="s">
        <v>611</v>
      </c>
      <c r="G224" s="40">
        <v>202400673</v>
      </c>
      <c r="H224" s="13" t="s">
        <v>1965</v>
      </c>
      <c r="I224" s="13" t="s">
        <v>1192</v>
      </c>
      <c r="J224" s="14">
        <v>45509</v>
      </c>
      <c r="K224" s="14">
        <v>45870</v>
      </c>
      <c r="L224" s="13" t="s">
        <v>1872</v>
      </c>
      <c r="M224" s="13" t="s">
        <v>1873</v>
      </c>
      <c r="N224" s="13" t="s">
        <v>1874</v>
      </c>
      <c r="O224" s="17" t="s">
        <v>1875</v>
      </c>
      <c r="P224" s="13" t="s">
        <v>307</v>
      </c>
      <c r="Q224" s="13" t="s">
        <v>618</v>
      </c>
      <c r="R224" s="13" t="e">
        <f>VLOOKUP(P224,'Dados das Regiões '!#REF!,2,0)</f>
        <v>#REF!</v>
      </c>
      <c r="S224" s="13" t="s">
        <v>1966</v>
      </c>
      <c r="T224" s="13"/>
      <c r="U224" s="79" t="s">
        <v>1877</v>
      </c>
      <c r="V224" s="13" t="s">
        <v>1877</v>
      </c>
      <c r="W224" s="13" t="s">
        <v>1878</v>
      </c>
      <c r="X224" s="15">
        <v>0.58333333333333337</v>
      </c>
      <c r="Y224" s="16" t="s">
        <v>1967</v>
      </c>
      <c r="Z224" s="16" t="s">
        <v>622</v>
      </c>
      <c r="AA224" s="36" t="s">
        <v>1808</v>
      </c>
      <c r="AB224" s="164">
        <v>202400673</v>
      </c>
      <c r="AC224" s="13" t="s">
        <v>13</v>
      </c>
      <c r="AE224" s="40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</row>
    <row r="225" spans="1:46">
      <c r="A225" s="14"/>
      <c r="B225" s="13" t="str">
        <f t="shared" si="22"/>
        <v>Pendente</v>
      </c>
      <c r="C225" s="14" t="str">
        <f t="shared" si="23"/>
        <v/>
      </c>
      <c r="D225" s="13" t="s">
        <v>611</v>
      </c>
      <c r="E225" s="14" t="str">
        <f t="shared" si="24"/>
        <v/>
      </c>
      <c r="F225" s="13" t="s">
        <v>611</v>
      </c>
      <c r="G225" s="40">
        <v>202400673</v>
      </c>
      <c r="H225" s="13" t="s">
        <v>1968</v>
      </c>
      <c r="I225" s="13" t="s">
        <v>1192</v>
      </c>
      <c r="J225" s="14">
        <v>45509</v>
      </c>
      <c r="K225" s="14">
        <v>45870</v>
      </c>
      <c r="L225" s="13" t="s">
        <v>1969</v>
      </c>
      <c r="M225" s="13" t="s">
        <v>1970</v>
      </c>
      <c r="N225" s="13" t="s">
        <v>1971</v>
      </c>
      <c r="O225" s="17" t="s">
        <v>1972</v>
      </c>
      <c r="P225" s="13" t="s">
        <v>136</v>
      </c>
      <c r="Q225" s="13" t="s">
        <v>618</v>
      </c>
      <c r="R225" s="13" t="e">
        <f>VLOOKUP(P225,'Dados das Regiões '!#REF!,2,0)</f>
        <v>#REF!</v>
      </c>
      <c r="S225" s="13" t="s">
        <v>1973</v>
      </c>
      <c r="T225" s="13"/>
      <c r="U225" s="79" t="s">
        <v>1974</v>
      </c>
      <c r="V225" s="13" t="s">
        <v>1975</v>
      </c>
      <c r="W225" s="13" t="s">
        <v>1976</v>
      </c>
      <c r="X225" s="15">
        <v>0.33333333333333331</v>
      </c>
      <c r="Y225" s="16" t="s">
        <v>1438</v>
      </c>
      <c r="Z225" s="16" t="s">
        <v>622</v>
      </c>
      <c r="AA225" s="36" t="s">
        <v>1808</v>
      </c>
      <c r="AB225" s="164">
        <v>202400673</v>
      </c>
      <c r="AC225" s="13" t="s">
        <v>13</v>
      </c>
      <c r="AE225" s="40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</row>
    <row r="226" spans="1:46">
      <c r="A226" s="14"/>
      <c r="B226" s="13" t="str">
        <f t="shared" si="22"/>
        <v>Pendente</v>
      </c>
      <c r="C226" s="14" t="str">
        <f t="shared" si="23"/>
        <v/>
      </c>
      <c r="D226" s="13" t="s">
        <v>611</v>
      </c>
      <c r="E226" s="14" t="str">
        <f t="shared" si="24"/>
        <v/>
      </c>
      <c r="F226" s="13" t="s">
        <v>611</v>
      </c>
      <c r="G226" s="40">
        <v>202400673</v>
      </c>
      <c r="H226" s="13" t="s">
        <v>1977</v>
      </c>
      <c r="I226" s="13" t="s">
        <v>1192</v>
      </c>
      <c r="J226" s="14">
        <v>45509</v>
      </c>
      <c r="K226" s="14">
        <v>45870</v>
      </c>
      <c r="L226" s="13" t="s">
        <v>1969</v>
      </c>
      <c r="M226" s="13" t="s">
        <v>1978</v>
      </c>
      <c r="N226" s="13" t="s">
        <v>1979</v>
      </c>
      <c r="O226" s="17" t="s">
        <v>1980</v>
      </c>
      <c r="P226" s="13" t="s">
        <v>136</v>
      </c>
      <c r="Q226" s="13" t="s">
        <v>618</v>
      </c>
      <c r="R226" s="13" t="e">
        <f>VLOOKUP(P226,'Dados das Regiões '!#REF!,2,0)</f>
        <v>#REF!</v>
      </c>
      <c r="S226" s="13" t="s">
        <v>1981</v>
      </c>
      <c r="T226" s="13"/>
      <c r="U226" s="79" t="s">
        <v>1982</v>
      </c>
      <c r="V226" s="13" t="s">
        <v>1983</v>
      </c>
      <c r="W226" s="13" t="s">
        <v>1984</v>
      </c>
      <c r="X226" s="15">
        <v>0.41666666666666669</v>
      </c>
      <c r="Y226" s="16" t="s">
        <v>1438</v>
      </c>
      <c r="Z226" s="16" t="s">
        <v>622</v>
      </c>
      <c r="AA226" s="36" t="s">
        <v>1808</v>
      </c>
      <c r="AB226" s="164">
        <v>202400673</v>
      </c>
      <c r="AC226" s="13" t="s">
        <v>13</v>
      </c>
      <c r="AE226" s="40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</row>
    <row r="227" spans="1:46">
      <c r="A227" s="14"/>
      <c r="B227" s="13" t="str">
        <f t="shared" si="22"/>
        <v>Pendente</v>
      </c>
      <c r="C227" s="14" t="str">
        <f t="shared" si="23"/>
        <v/>
      </c>
      <c r="D227" s="13" t="s">
        <v>611</v>
      </c>
      <c r="E227" s="14" t="str">
        <f t="shared" si="24"/>
        <v/>
      </c>
      <c r="F227" s="13" t="s">
        <v>611</v>
      </c>
      <c r="G227" s="40">
        <v>202400671</v>
      </c>
      <c r="H227" s="13" t="s">
        <v>1985</v>
      </c>
      <c r="I227" s="13" t="s">
        <v>613</v>
      </c>
      <c r="J227" s="14">
        <v>45509</v>
      </c>
      <c r="K227" s="14">
        <v>45870</v>
      </c>
      <c r="L227" s="13" t="s">
        <v>1945</v>
      </c>
      <c r="M227" s="13" t="s">
        <v>1986</v>
      </c>
      <c r="N227" s="13" t="s">
        <v>1987</v>
      </c>
      <c r="O227" s="17" t="s">
        <v>1988</v>
      </c>
      <c r="P227" s="13" t="s">
        <v>53</v>
      </c>
      <c r="Q227" s="13" t="s">
        <v>618</v>
      </c>
      <c r="R227" s="13" t="e">
        <f>VLOOKUP(P227,'Dados das Regiões '!#REF!,2,0)</f>
        <v>#REF!</v>
      </c>
      <c r="S227" s="13" t="s">
        <v>1989</v>
      </c>
      <c r="T227" s="13"/>
      <c r="U227" s="79" t="s">
        <v>1990</v>
      </c>
      <c r="V227" s="13" t="s">
        <v>1991</v>
      </c>
      <c r="W227" s="13" t="s">
        <v>1992</v>
      </c>
      <c r="X227" s="15">
        <v>0.33333333333333331</v>
      </c>
      <c r="Y227" s="16" t="s">
        <v>1438</v>
      </c>
      <c r="Z227" s="16" t="s">
        <v>622</v>
      </c>
      <c r="AA227" s="36" t="s">
        <v>1808</v>
      </c>
      <c r="AB227" s="164">
        <v>202400671</v>
      </c>
      <c r="AC227" s="13" t="s">
        <v>6</v>
      </c>
      <c r="AE227" s="40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</row>
    <row r="228" spans="1:46">
      <c r="A228" s="14"/>
      <c r="B228" s="13" t="str">
        <f t="shared" si="22"/>
        <v>Pendente</v>
      </c>
      <c r="C228" s="14" t="str">
        <f t="shared" si="23"/>
        <v/>
      </c>
      <c r="D228" s="13" t="s">
        <v>611</v>
      </c>
      <c r="E228" s="14" t="str">
        <f t="shared" si="24"/>
        <v/>
      </c>
      <c r="F228" s="13" t="s">
        <v>611</v>
      </c>
      <c r="G228" s="40">
        <v>202400673</v>
      </c>
      <c r="H228" s="13" t="s">
        <v>1993</v>
      </c>
      <c r="I228" s="13" t="s">
        <v>1192</v>
      </c>
      <c r="J228" s="14">
        <v>45509</v>
      </c>
      <c r="K228" s="14">
        <v>45870</v>
      </c>
      <c r="L228" s="13" t="s">
        <v>1969</v>
      </c>
      <c r="M228" s="13" t="s">
        <v>1994</v>
      </c>
      <c r="N228" s="13" t="s">
        <v>1995</v>
      </c>
      <c r="O228" s="17" t="s">
        <v>1996</v>
      </c>
      <c r="P228" s="13" t="s">
        <v>136</v>
      </c>
      <c r="Q228" s="13" t="s">
        <v>618</v>
      </c>
      <c r="R228" s="13" t="e">
        <f>VLOOKUP(P228,'Dados das Regiões '!#REF!,2,0)</f>
        <v>#REF!</v>
      </c>
      <c r="S228" s="13" t="s">
        <v>1997</v>
      </c>
      <c r="T228" s="13"/>
      <c r="U228" s="79" t="s">
        <v>1998</v>
      </c>
      <c r="V228" s="13" t="s">
        <v>1999</v>
      </c>
      <c r="W228" s="13" t="s">
        <v>2000</v>
      </c>
      <c r="X228" s="15">
        <v>0.33333333333333331</v>
      </c>
      <c r="Y228" s="16" t="s">
        <v>1438</v>
      </c>
      <c r="Z228" s="16" t="s">
        <v>622</v>
      </c>
      <c r="AA228" s="36" t="s">
        <v>1808</v>
      </c>
      <c r="AB228" s="164">
        <v>202400673</v>
      </c>
      <c r="AC228" s="13" t="s">
        <v>13</v>
      </c>
      <c r="AE228" s="40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</row>
    <row r="229" spans="1:46">
      <c r="A229" s="14"/>
      <c r="B229" s="13" t="str">
        <f t="shared" si="22"/>
        <v>Pendente</v>
      </c>
      <c r="C229" s="14" t="str">
        <f t="shared" si="23"/>
        <v/>
      </c>
      <c r="D229" s="13" t="s">
        <v>611</v>
      </c>
      <c r="E229" s="14" t="str">
        <f t="shared" si="24"/>
        <v/>
      </c>
      <c r="F229" s="13" t="s">
        <v>611</v>
      </c>
      <c r="G229" s="40">
        <v>202400673</v>
      </c>
      <c r="H229" s="13" t="s">
        <v>2001</v>
      </c>
      <c r="I229" s="13" t="s">
        <v>1192</v>
      </c>
      <c r="J229" s="14">
        <v>45509</v>
      </c>
      <c r="K229" s="14">
        <v>45870</v>
      </c>
      <c r="L229" s="13" t="s">
        <v>1969</v>
      </c>
      <c r="M229" s="13" t="s">
        <v>1994</v>
      </c>
      <c r="N229" s="13" t="s">
        <v>1995</v>
      </c>
      <c r="O229" s="17" t="s">
        <v>1996</v>
      </c>
      <c r="P229" s="13" t="s">
        <v>136</v>
      </c>
      <c r="Q229" s="13" t="s">
        <v>618</v>
      </c>
      <c r="R229" s="13" t="e">
        <f>VLOOKUP(P229,'Dados das Regiões '!#REF!,2,0)</f>
        <v>#REF!</v>
      </c>
      <c r="S229" s="13" t="s">
        <v>2002</v>
      </c>
      <c r="T229" s="13"/>
      <c r="U229" s="79" t="s">
        <v>1998</v>
      </c>
      <c r="V229" s="13" t="s">
        <v>1999</v>
      </c>
      <c r="W229" s="13" t="s">
        <v>2000</v>
      </c>
      <c r="X229" s="15">
        <v>0.58333333333333337</v>
      </c>
      <c r="Y229" s="16" t="s">
        <v>1200</v>
      </c>
      <c r="Z229" s="16" t="s">
        <v>622</v>
      </c>
      <c r="AA229" s="36" t="s">
        <v>1808</v>
      </c>
      <c r="AB229" s="164">
        <v>202400673</v>
      </c>
      <c r="AC229" s="13" t="s">
        <v>13</v>
      </c>
      <c r="AE229" s="40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</row>
    <row r="230" spans="1:46">
      <c r="A230" s="14"/>
      <c r="B230" s="13" t="str">
        <f t="shared" si="22"/>
        <v>Pendente</v>
      </c>
      <c r="C230" s="14" t="str">
        <f t="shared" si="23"/>
        <v/>
      </c>
      <c r="D230" s="13" t="s">
        <v>611</v>
      </c>
      <c r="E230" s="14" t="str">
        <f t="shared" si="24"/>
        <v/>
      </c>
      <c r="F230" s="13" t="s">
        <v>611</v>
      </c>
      <c r="G230" s="40">
        <v>202400673</v>
      </c>
      <c r="H230" s="13" t="s">
        <v>2003</v>
      </c>
      <c r="I230" s="13" t="s">
        <v>1192</v>
      </c>
      <c r="J230" s="14">
        <v>45509</v>
      </c>
      <c r="K230" s="14">
        <v>45870</v>
      </c>
      <c r="L230" s="13" t="s">
        <v>1969</v>
      </c>
      <c r="M230" s="13" t="s">
        <v>1994</v>
      </c>
      <c r="N230" s="13" t="s">
        <v>1995</v>
      </c>
      <c r="O230" s="17" t="s">
        <v>1996</v>
      </c>
      <c r="P230" s="13" t="s">
        <v>136</v>
      </c>
      <c r="Q230" s="13" t="s">
        <v>618</v>
      </c>
      <c r="R230" s="13" t="e">
        <f>VLOOKUP(P230,'Dados das Regiões '!#REF!,2,0)</f>
        <v>#REF!</v>
      </c>
      <c r="S230" s="13" t="s">
        <v>2002</v>
      </c>
      <c r="T230" s="13"/>
      <c r="U230" s="79" t="s">
        <v>1998</v>
      </c>
      <c r="V230" s="13" t="s">
        <v>1999</v>
      </c>
      <c r="W230" s="13" t="s">
        <v>2000</v>
      </c>
      <c r="X230" s="15">
        <v>0.58333333333333337</v>
      </c>
      <c r="Y230" s="16" t="s">
        <v>1200</v>
      </c>
      <c r="Z230" s="16" t="s">
        <v>622</v>
      </c>
      <c r="AA230" s="36" t="s">
        <v>1808</v>
      </c>
      <c r="AB230" s="164">
        <v>202400673</v>
      </c>
      <c r="AC230" s="13" t="s">
        <v>13</v>
      </c>
      <c r="AE230" s="40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</row>
    <row r="231" spans="1:46">
      <c r="A231" s="100"/>
      <c r="B231" s="101" t="str">
        <f t="shared" si="22"/>
        <v>Pendente</v>
      </c>
      <c r="C231" s="100" t="str">
        <f t="shared" si="23"/>
        <v/>
      </c>
      <c r="D231" s="101" t="s">
        <v>611</v>
      </c>
      <c r="E231" s="100" t="str">
        <f t="shared" si="24"/>
        <v/>
      </c>
      <c r="F231" s="101" t="s">
        <v>611</v>
      </c>
      <c r="G231" s="107">
        <v>202400671</v>
      </c>
      <c r="H231" s="101" t="s">
        <v>2004</v>
      </c>
      <c r="I231" s="101" t="s">
        <v>613</v>
      </c>
      <c r="J231" s="100">
        <v>45509</v>
      </c>
      <c r="K231" s="100">
        <v>45870</v>
      </c>
      <c r="L231" s="101" t="s">
        <v>2005</v>
      </c>
      <c r="M231" s="101" t="s">
        <v>2006</v>
      </c>
      <c r="N231" s="101" t="s">
        <v>2007</v>
      </c>
      <c r="O231" s="102" t="s">
        <v>2008</v>
      </c>
      <c r="P231" s="101" t="s">
        <v>294</v>
      </c>
      <c r="Q231" s="101" t="s">
        <v>618</v>
      </c>
      <c r="R231" s="101" t="e">
        <f>VLOOKUP(P231,'Dados das Regiões '!#REF!,2,0)</f>
        <v>#REF!</v>
      </c>
      <c r="S231" s="101" t="s">
        <v>2009</v>
      </c>
      <c r="T231" s="101"/>
      <c r="U231" s="108" t="s">
        <v>2010</v>
      </c>
      <c r="V231" s="101" t="s">
        <v>2011</v>
      </c>
      <c r="W231" s="101" t="s">
        <v>2012</v>
      </c>
      <c r="X231" s="103">
        <v>0.54166666666666663</v>
      </c>
      <c r="Y231" s="104" t="s">
        <v>2013</v>
      </c>
      <c r="Z231" s="104" t="s">
        <v>622</v>
      </c>
      <c r="AA231" s="105" t="s">
        <v>2014</v>
      </c>
      <c r="AB231" s="165">
        <v>202400671</v>
      </c>
      <c r="AC231" s="13" t="s">
        <v>6</v>
      </c>
      <c r="AE231" s="40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</row>
    <row r="232" spans="1:46">
      <c r="A232" s="14"/>
      <c r="B232" s="13" t="str">
        <f t="shared" si="22"/>
        <v>Pendente</v>
      </c>
      <c r="C232" s="14" t="str">
        <f t="shared" si="23"/>
        <v/>
      </c>
      <c r="D232" s="13" t="s">
        <v>611</v>
      </c>
      <c r="E232" s="14" t="str">
        <f t="shared" si="24"/>
        <v/>
      </c>
      <c r="F232" s="13" t="s">
        <v>611</v>
      </c>
      <c r="G232" s="40">
        <v>202400673</v>
      </c>
      <c r="H232" s="13" t="s">
        <v>2015</v>
      </c>
      <c r="I232" s="13" t="s">
        <v>1192</v>
      </c>
      <c r="J232" s="14">
        <v>45509</v>
      </c>
      <c r="K232" s="14">
        <v>45870</v>
      </c>
      <c r="L232" s="13" t="s">
        <v>2016</v>
      </c>
      <c r="M232" s="13" t="s">
        <v>2017</v>
      </c>
      <c r="N232" s="13" t="s">
        <v>2018</v>
      </c>
      <c r="O232" s="17" t="s">
        <v>2019</v>
      </c>
      <c r="P232" s="13" t="s">
        <v>468</v>
      </c>
      <c r="Q232" s="13" t="s">
        <v>618</v>
      </c>
      <c r="R232" s="13" t="e">
        <f>VLOOKUP(P232,'Dados das Regiões '!#REF!,2,0)</f>
        <v>#REF!</v>
      </c>
      <c r="S232" s="13" t="s">
        <v>2020</v>
      </c>
      <c r="T232" s="13"/>
      <c r="U232" s="79" t="s">
        <v>2021</v>
      </c>
      <c r="V232" s="13" t="s">
        <v>2022</v>
      </c>
      <c r="W232" s="13" t="s">
        <v>2023</v>
      </c>
      <c r="X232" s="15">
        <v>0.54166666666666663</v>
      </c>
      <c r="Y232" s="16" t="s">
        <v>1824</v>
      </c>
      <c r="Z232" s="16" t="s">
        <v>622</v>
      </c>
      <c r="AA232" s="36" t="s">
        <v>1808</v>
      </c>
      <c r="AB232" s="164">
        <v>202400673</v>
      </c>
      <c r="AC232" s="13" t="s">
        <v>13</v>
      </c>
      <c r="AE232" s="40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</row>
    <row r="233" spans="1:46">
      <c r="A233" s="14">
        <v>45854</v>
      </c>
      <c r="B233" s="13" t="str">
        <f t="shared" si="22"/>
        <v>Realizada</v>
      </c>
      <c r="C233" s="14">
        <f t="shared" si="23"/>
        <v>45946</v>
      </c>
      <c r="D233" s="13" t="s">
        <v>611</v>
      </c>
      <c r="E233" s="14">
        <f t="shared" si="24"/>
        <v>46038</v>
      </c>
      <c r="F233" s="13" t="s">
        <v>611</v>
      </c>
      <c r="G233" s="40">
        <v>202400671</v>
      </c>
      <c r="H233" s="13" t="s">
        <v>2024</v>
      </c>
      <c r="I233" s="13" t="s">
        <v>613</v>
      </c>
      <c r="J233" s="14">
        <v>45509</v>
      </c>
      <c r="K233" s="14">
        <v>45870</v>
      </c>
      <c r="L233" s="13" t="s">
        <v>2005</v>
      </c>
      <c r="M233" s="13" t="s">
        <v>2025</v>
      </c>
      <c r="N233" s="13" t="s">
        <v>2026</v>
      </c>
      <c r="O233" s="17" t="s">
        <v>2027</v>
      </c>
      <c r="P233" s="13" t="s">
        <v>294</v>
      </c>
      <c r="Q233" s="13" t="s">
        <v>618</v>
      </c>
      <c r="R233" s="13" t="e">
        <f>VLOOKUP(P233,'Dados das Regiões '!#REF!,2,0)</f>
        <v>#REF!</v>
      </c>
      <c r="S233" s="13" t="s">
        <v>2028</v>
      </c>
      <c r="T233" s="13"/>
      <c r="U233" s="79" t="s">
        <v>2010</v>
      </c>
      <c r="V233" s="13" t="s">
        <v>2011</v>
      </c>
      <c r="W233" s="13" t="s">
        <v>2012</v>
      </c>
      <c r="X233" s="15">
        <v>0.54166666666666663</v>
      </c>
      <c r="Y233" s="16" t="s">
        <v>1824</v>
      </c>
      <c r="Z233" s="16" t="s">
        <v>622</v>
      </c>
      <c r="AA233" s="36" t="s">
        <v>2029</v>
      </c>
      <c r="AB233" s="164">
        <v>202400671</v>
      </c>
      <c r="AC233" s="13" t="s">
        <v>6</v>
      </c>
      <c r="AE233" s="40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</row>
    <row r="234" spans="1:46">
      <c r="A234" s="14">
        <v>45855</v>
      </c>
      <c r="B234" s="13" t="str">
        <f t="shared" si="22"/>
        <v>Realizada</v>
      </c>
      <c r="C234" s="14">
        <f t="shared" si="23"/>
        <v>45947</v>
      </c>
      <c r="D234" s="13" t="s">
        <v>611</v>
      </c>
      <c r="E234" s="14">
        <f t="shared" si="24"/>
        <v>46039</v>
      </c>
      <c r="F234" s="13" t="s">
        <v>611</v>
      </c>
      <c r="G234" s="40">
        <v>202400673</v>
      </c>
      <c r="H234" s="13" t="s">
        <v>2030</v>
      </c>
      <c r="I234" s="13" t="s">
        <v>1192</v>
      </c>
      <c r="J234" s="14">
        <v>45509</v>
      </c>
      <c r="K234" s="14">
        <v>45870</v>
      </c>
      <c r="L234" s="13" t="s">
        <v>2031</v>
      </c>
      <c r="M234" s="13" t="s">
        <v>2032</v>
      </c>
      <c r="N234" s="13" t="s">
        <v>2033</v>
      </c>
      <c r="O234" s="17" t="s">
        <v>2034</v>
      </c>
      <c r="P234" s="13" t="s">
        <v>294</v>
      </c>
      <c r="Q234" s="13" t="s">
        <v>618</v>
      </c>
      <c r="R234" s="13" t="e">
        <f>VLOOKUP(P234,'Dados das Regiões '!#REF!,2,0)</f>
        <v>#REF!</v>
      </c>
      <c r="S234" s="13" t="s">
        <v>2035</v>
      </c>
      <c r="T234" s="13"/>
      <c r="U234" s="79" t="s">
        <v>2036</v>
      </c>
      <c r="V234" s="13" t="s">
        <v>2037</v>
      </c>
      <c r="W234" s="13" t="s">
        <v>2038</v>
      </c>
      <c r="X234" s="15">
        <v>0.375</v>
      </c>
      <c r="Y234" s="16" t="s">
        <v>2039</v>
      </c>
      <c r="Z234" s="16" t="s">
        <v>622</v>
      </c>
      <c r="AA234" s="36" t="s">
        <v>2029</v>
      </c>
      <c r="AB234" s="164">
        <v>202400673</v>
      </c>
      <c r="AC234" s="13" t="s">
        <v>13</v>
      </c>
      <c r="AE234" s="40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</row>
    <row r="235" spans="1:46">
      <c r="A235" s="14"/>
      <c r="B235" s="13" t="str">
        <f t="shared" si="22"/>
        <v>Pendente</v>
      </c>
      <c r="C235" s="14" t="str">
        <f t="shared" si="23"/>
        <v/>
      </c>
      <c r="D235" s="13" t="s">
        <v>611</v>
      </c>
      <c r="E235" s="14" t="str">
        <f t="shared" si="24"/>
        <v/>
      </c>
      <c r="F235" s="13" t="s">
        <v>611</v>
      </c>
      <c r="G235" s="40">
        <v>202400671</v>
      </c>
      <c r="H235" s="13" t="s">
        <v>2040</v>
      </c>
      <c r="I235" s="13" t="s">
        <v>613</v>
      </c>
      <c r="J235" s="14">
        <v>45509</v>
      </c>
      <c r="K235" s="14">
        <v>45870</v>
      </c>
      <c r="L235" s="13" t="s">
        <v>2041</v>
      </c>
      <c r="M235" s="13" t="s">
        <v>2042</v>
      </c>
      <c r="N235" s="13" t="s">
        <v>2043</v>
      </c>
      <c r="O235" s="13" t="s">
        <v>2044</v>
      </c>
      <c r="P235" s="13" t="s">
        <v>341</v>
      </c>
      <c r="Q235" s="13" t="s">
        <v>618</v>
      </c>
      <c r="R235" s="13" t="e">
        <f>VLOOKUP(P235,'Dados das Regiões '!#REF!,2,0)</f>
        <v>#REF!</v>
      </c>
      <c r="S235" s="13" t="s">
        <v>2045</v>
      </c>
      <c r="T235" s="13"/>
      <c r="U235" s="79"/>
      <c r="V235" s="13" t="s">
        <v>2046</v>
      </c>
      <c r="W235" s="13" t="s">
        <v>2047</v>
      </c>
      <c r="X235" s="15">
        <v>0.5625</v>
      </c>
      <c r="Y235" s="16" t="s">
        <v>1415</v>
      </c>
      <c r="Z235" s="16" t="s">
        <v>622</v>
      </c>
      <c r="AA235" s="36" t="s">
        <v>1808</v>
      </c>
      <c r="AB235" s="164">
        <v>202400671</v>
      </c>
      <c r="AC235" s="13" t="s">
        <v>6</v>
      </c>
      <c r="AE235" s="40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</row>
    <row r="236" spans="1:46">
      <c r="A236" s="14"/>
      <c r="B236" s="13" t="str">
        <f t="shared" si="22"/>
        <v>Pendente</v>
      </c>
      <c r="C236" s="14" t="str">
        <f t="shared" si="23"/>
        <v/>
      </c>
      <c r="D236" s="13" t="s">
        <v>611</v>
      </c>
      <c r="E236" s="14" t="str">
        <f t="shared" si="24"/>
        <v/>
      </c>
      <c r="F236" s="13" t="s">
        <v>611</v>
      </c>
      <c r="G236" s="40">
        <v>202400671</v>
      </c>
      <c r="H236" s="13" t="s">
        <v>2048</v>
      </c>
      <c r="I236" s="13" t="s">
        <v>613</v>
      </c>
      <c r="J236" s="14">
        <v>45509</v>
      </c>
      <c r="K236" s="14">
        <v>45870</v>
      </c>
      <c r="L236" s="13" t="s">
        <v>2049</v>
      </c>
      <c r="M236" s="13" t="s">
        <v>2050</v>
      </c>
      <c r="N236" s="13" t="s">
        <v>2051</v>
      </c>
      <c r="O236" s="17" t="s">
        <v>2052</v>
      </c>
      <c r="P236" s="13" t="s">
        <v>57</v>
      </c>
      <c r="Q236" s="13" t="s">
        <v>618</v>
      </c>
      <c r="R236" s="13" t="e">
        <f>VLOOKUP(P236,'Dados das Regiões '!#REF!,2,0)</f>
        <v>#REF!</v>
      </c>
      <c r="S236" s="13" t="s">
        <v>2053</v>
      </c>
      <c r="T236" s="13"/>
      <c r="U236" s="79"/>
      <c r="V236" s="13" t="s">
        <v>2054</v>
      </c>
      <c r="W236" s="13" t="s">
        <v>2055</v>
      </c>
      <c r="X236" s="15">
        <v>0.54166666666666663</v>
      </c>
      <c r="Y236" s="16" t="s">
        <v>1824</v>
      </c>
      <c r="Z236" s="16" t="s">
        <v>622</v>
      </c>
      <c r="AA236" s="36" t="s">
        <v>1808</v>
      </c>
      <c r="AB236" s="164">
        <v>202400671</v>
      </c>
      <c r="AC236" s="13" t="s">
        <v>6</v>
      </c>
      <c r="AE236" s="40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</row>
    <row r="237" spans="1:46">
      <c r="A237" s="14"/>
      <c r="B237" s="13" t="str">
        <f t="shared" si="22"/>
        <v>Pendente</v>
      </c>
      <c r="C237" s="14" t="str">
        <f t="shared" si="23"/>
        <v/>
      </c>
      <c r="D237" s="13" t="s">
        <v>611</v>
      </c>
      <c r="E237" s="14" t="str">
        <f t="shared" si="24"/>
        <v/>
      </c>
      <c r="F237" s="13" t="s">
        <v>611</v>
      </c>
      <c r="G237" s="40">
        <v>202400671</v>
      </c>
      <c r="H237" s="13" t="s">
        <v>2056</v>
      </c>
      <c r="I237" s="13" t="s">
        <v>613</v>
      </c>
      <c r="J237" s="14">
        <v>45509</v>
      </c>
      <c r="K237" s="14">
        <v>45870</v>
      </c>
      <c r="L237" s="13" t="s">
        <v>2049</v>
      </c>
      <c r="M237" s="13" t="s">
        <v>2057</v>
      </c>
      <c r="N237" s="13" t="s">
        <v>2058</v>
      </c>
      <c r="O237" s="17" t="s">
        <v>2059</v>
      </c>
      <c r="P237" s="13" t="s">
        <v>447</v>
      </c>
      <c r="Q237" s="13" t="s">
        <v>618</v>
      </c>
      <c r="R237" s="13" t="e">
        <f>VLOOKUP(P237,'Dados das Regiões '!#REF!,2,0)</f>
        <v>#REF!</v>
      </c>
      <c r="S237" s="13" t="s">
        <v>2060</v>
      </c>
      <c r="T237" s="13"/>
      <c r="U237" s="79"/>
      <c r="V237" s="13" t="s">
        <v>2061</v>
      </c>
      <c r="W237" s="13" t="s">
        <v>2062</v>
      </c>
      <c r="X237" s="15">
        <v>0.3125</v>
      </c>
      <c r="Y237" s="16" t="s">
        <v>1449</v>
      </c>
      <c r="Z237" s="16" t="s">
        <v>622</v>
      </c>
      <c r="AA237" s="36" t="s">
        <v>2063</v>
      </c>
      <c r="AB237" s="164">
        <v>202400671</v>
      </c>
      <c r="AC237" s="13" t="s">
        <v>6</v>
      </c>
      <c r="AE237" s="40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</row>
    <row r="238" spans="1:46">
      <c r="A238" s="14"/>
      <c r="B238" s="13" t="str">
        <f t="shared" si="22"/>
        <v>Pendente</v>
      </c>
      <c r="C238" s="14" t="str">
        <f t="shared" si="23"/>
        <v/>
      </c>
      <c r="D238" s="13" t="s">
        <v>611</v>
      </c>
      <c r="E238" s="14" t="str">
        <f t="shared" si="24"/>
        <v/>
      </c>
      <c r="F238" s="13" t="s">
        <v>611</v>
      </c>
      <c r="G238" s="40">
        <v>202400671</v>
      </c>
      <c r="H238" s="13" t="s">
        <v>2064</v>
      </c>
      <c r="I238" s="13" t="s">
        <v>613</v>
      </c>
      <c r="J238" s="14">
        <v>45509</v>
      </c>
      <c r="K238" s="14">
        <v>45870</v>
      </c>
      <c r="L238" s="13" t="s">
        <v>2049</v>
      </c>
      <c r="M238" s="13" t="s">
        <v>2065</v>
      </c>
      <c r="N238" s="13" t="s">
        <v>2066</v>
      </c>
      <c r="O238" s="17" t="s">
        <v>2067</v>
      </c>
      <c r="P238" s="13" t="s">
        <v>307</v>
      </c>
      <c r="Q238" s="13" t="s">
        <v>618</v>
      </c>
      <c r="R238" s="13" t="e">
        <f>VLOOKUP(P238,'Dados das Regiões '!#REF!,2,0)</f>
        <v>#REF!</v>
      </c>
      <c r="S238" s="13" t="s">
        <v>2060</v>
      </c>
      <c r="T238" s="13"/>
      <c r="U238" s="79"/>
      <c r="V238" s="13" t="s">
        <v>2061</v>
      </c>
      <c r="W238" s="13" t="s">
        <v>2062</v>
      </c>
      <c r="X238" s="15">
        <v>0.33333333333333331</v>
      </c>
      <c r="Y238" s="16" t="s">
        <v>1438</v>
      </c>
      <c r="Z238" s="16" t="s">
        <v>622</v>
      </c>
      <c r="AA238" s="36" t="s">
        <v>1808</v>
      </c>
      <c r="AB238" s="164">
        <v>202400671</v>
      </c>
      <c r="AC238" s="13" t="s">
        <v>6</v>
      </c>
      <c r="AE238" s="40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</row>
    <row r="239" spans="1:46">
      <c r="A239" s="14"/>
      <c r="B239" s="13" t="str">
        <f t="shared" si="22"/>
        <v>Pendente</v>
      </c>
      <c r="C239" s="14" t="str">
        <f t="shared" si="23"/>
        <v/>
      </c>
      <c r="D239" s="13" t="s">
        <v>611</v>
      </c>
      <c r="E239" s="14" t="str">
        <f t="shared" si="24"/>
        <v/>
      </c>
      <c r="F239" s="13" t="s">
        <v>611</v>
      </c>
      <c r="G239" s="40">
        <v>202400671</v>
      </c>
      <c r="H239" s="13" t="s">
        <v>2068</v>
      </c>
      <c r="I239" s="13" t="s">
        <v>613</v>
      </c>
      <c r="J239" s="14">
        <v>45509</v>
      </c>
      <c r="K239" s="14">
        <v>45870</v>
      </c>
      <c r="L239" s="13" t="s">
        <v>1801</v>
      </c>
      <c r="M239" s="13" t="s">
        <v>2069</v>
      </c>
      <c r="N239" s="13" t="s">
        <v>2070</v>
      </c>
      <c r="O239" s="17" t="s">
        <v>2071</v>
      </c>
      <c r="P239" s="13" t="s">
        <v>276</v>
      </c>
      <c r="Q239" s="13" t="s">
        <v>618</v>
      </c>
      <c r="R239" s="13" t="e">
        <f>VLOOKUP(P239,'Dados das Regiões '!#REF!,2,0)</f>
        <v>#REF!</v>
      </c>
      <c r="S239" s="13" t="s">
        <v>2072</v>
      </c>
      <c r="T239" s="13"/>
      <c r="U239" s="79"/>
      <c r="V239" s="13" t="s">
        <v>2073</v>
      </c>
      <c r="W239" s="13" t="s">
        <v>2074</v>
      </c>
      <c r="X239" s="15">
        <v>0.58333333333333337</v>
      </c>
      <c r="Y239" s="16" t="s">
        <v>1200</v>
      </c>
      <c r="Z239" s="16" t="s">
        <v>622</v>
      </c>
      <c r="AA239" s="36" t="s">
        <v>1808</v>
      </c>
      <c r="AB239" s="164">
        <v>202400671</v>
      </c>
      <c r="AC239" s="13" t="s">
        <v>6</v>
      </c>
      <c r="AE239" s="40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</row>
    <row r="240" spans="1:46">
      <c r="A240" s="14"/>
      <c r="B240" s="13" t="str">
        <f t="shared" si="22"/>
        <v>Pendente</v>
      </c>
      <c r="C240" s="14" t="str">
        <f t="shared" si="23"/>
        <v/>
      </c>
      <c r="D240" s="13" t="s">
        <v>611</v>
      </c>
      <c r="E240" s="14" t="str">
        <f t="shared" si="24"/>
        <v/>
      </c>
      <c r="F240" s="13" t="s">
        <v>611</v>
      </c>
      <c r="G240" s="40">
        <v>202400681</v>
      </c>
      <c r="H240" s="13" t="s">
        <v>2075</v>
      </c>
      <c r="I240" s="13" t="s">
        <v>1192</v>
      </c>
      <c r="J240" s="14">
        <v>45509</v>
      </c>
      <c r="K240" s="14">
        <v>45870</v>
      </c>
      <c r="L240" s="13" t="s">
        <v>1850</v>
      </c>
      <c r="M240" s="13" t="s">
        <v>1851</v>
      </c>
      <c r="N240" s="13" t="s">
        <v>1852</v>
      </c>
      <c r="O240" s="17" t="s">
        <v>1853</v>
      </c>
      <c r="P240" s="13" t="s">
        <v>383</v>
      </c>
      <c r="Q240" s="13" t="s">
        <v>618</v>
      </c>
      <c r="R240" s="13" t="e">
        <f>VLOOKUP(P240,'Dados das Regiões '!#REF!,2,0)</f>
        <v>#REF!</v>
      </c>
      <c r="S240" s="13" t="s">
        <v>1862</v>
      </c>
      <c r="T240" s="13"/>
      <c r="U240" s="79" t="s">
        <v>1855</v>
      </c>
      <c r="V240" s="13" t="s">
        <v>1856</v>
      </c>
      <c r="W240" s="13" t="s">
        <v>1857</v>
      </c>
      <c r="X240" s="15">
        <v>0.58333333333333337</v>
      </c>
      <c r="Y240" s="16" t="s">
        <v>1200</v>
      </c>
      <c r="Z240" s="16" t="s">
        <v>622</v>
      </c>
      <c r="AA240" s="36" t="s">
        <v>1808</v>
      </c>
      <c r="AB240" s="164">
        <v>202400681</v>
      </c>
      <c r="AC240" s="13" t="s">
        <v>12</v>
      </c>
      <c r="AE240" s="40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</row>
    <row r="241" spans="1:46">
      <c r="A241" s="14"/>
      <c r="B241" s="13" t="str">
        <f t="shared" si="22"/>
        <v>Pendente</v>
      </c>
      <c r="C241" s="14" t="str">
        <f t="shared" si="23"/>
        <v/>
      </c>
      <c r="D241" s="13" t="s">
        <v>611</v>
      </c>
      <c r="E241" s="14" t="str">
        <f t="shared" si="24"/>
        <v/>
      </c>
      <c r="F241" s="13" t="s">
        <v>611</v>
      </c>
      <c r="G241" s="40">
        <v>202400681</v>
      </c>
      <c r="H241" s="13" t="s">
        <v>2076</v>
      </c>
      <c r="I241" s="13" t="s">
        <v>1192</v>
      </c>
      <c r="J241" s="14">
        <v>45509</v>
      </c>
      <c r="K241" s="14">
        <v>45870</v>
      </c>
      <c r="L241" s="13" t="s">
        <v>1850</v>
      </c>
      <c r="M241" s="13" t="s">
        <v>1859</v>
      </c>
      <c r="N241" s="13" t="s">
        <v>1860</v>
      </c>
      <c r="O241" s="17" t="s">
        <v>1861</v>
      </c>
      <c r="P241" s="13" t="s">
        <v>383</v>
      </c>
      <c r="Q241" s="13" t="s">
        <v>618</v>
      </c>
      <c r="R241" s="13" t="e">
        <f>VLOOKUP(P241,'Dados das Regiões '!#REF!,2,0)</f>
        <v>#REF!</v>
      </c>
      <c r="S241" s="13" t="s">
        <v>1854</v>
      </c>
      <c r="T241" s="13"/>
      <c r="U241" s="79"/>
      <c r="V241" s="13" t="s">
        <v>1856</v>
      </c>
      <c r="W241" s="13" t="s">
        <v>1857</v>
      </c>
      <c r="X241" s="15">
        <v>0.58333333333333337</v>
      </c>
      <c r="Y241" s="16" t="s">
        <v>1200</v>
      </c>
      <c r="Z241" s="16" t="s">
        <v>622</v>
      </c>
      <c r="AA241" s="36" t="s">
        <v>1808</v>
      </c>
      <c r="AB241" s="164">
        <v>202400681</v>
      </c>
      <c r="AC241" s="13" t="s">
        <v>12</v>
      </c>
      <c r="AE241" s="40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</row>
    <row r="242" spans="1:46">
      <c r="A242" s="14"/>
      <c r="B242" s="13" t="str">
        <f t="shared" si="22"/>
        <v>Pendente</v>
      </c>
      <c r="C242" s="14" t="str">
        <f t="shared" si="23"/>
        <v/>
      </c>
      <c r="D242" s="13" t="s">
        <v>611</v>
      </c>
      <c r="E242" s="14" t="str">
        <f t="shared" si="24"/>
        <v/>
      </c>
      <c r="F242" s="13" t="s">
        <v>611</v>
      </c>
      <c r="G242" s="40">
        <v>202400671</v>
      </c>
      <c r="H242" s="13" t="s">
        <v>2077</v>
      </c>
      <c r="I242" s="13" t="s">
        <v>613</v>
      </c>
      <c r="J242" s="14">
        <v>45509</v>
      </c>
      <c r="K242" s="14">
        <v>45870</v>
      </c>
      <c r="L242" s="13" t="s">
        <v>1801</v>
      </c>
      <c r="M242" s="13" t="s">
        <v>2078</v>
      </c>
      <c r="N242" s="13" t="s">
        <v>2079</v>
      </c>
      <c r="O242" s="17" t="s">
        <v>2080</v>
      </c>
      <c r="P242" s="13" t="s">
        <v>334</v>
      </c>
      <c r="Q242" s="13" t="s">
        <v>618</v>
      </c>
      <c r="R242" s="13" t="e">
        <f>VLOOKUP(P242,'Dados das Regiões '!#REF!,2,0)</f>
        <v>#REF!</v>
      </c>
      <c r="S242" s="13" t="s">
        <v>2081</v>
      </c>
      <c r="T242" s="13"/>
      <c r="U242" s="79"/>
      <c r="V242" s="13" t="s">
        <v>2082</v>
      </c>
      <c r="W242" s="13" t="s">
        <v>2083</v>
      </c>
      <c r="X242" s="15">
        <v>0.5625</v>
      </c>
      <c r="Y242" s="16" t="s">
        <v>1415</v>
      </c>
      <c r="Z242" s="16" t="s">
        <v>622</v>
      </c>
      <c r="AA242" s="36" t="s">
        <v>1808</v>
      </c>
      <c r="AB242" s="164">
        <v>202400671</v>
      </c>
      <c r="AC242" s="13" t="s">
        <v>6</v>
      </c>
      <c r="AE242" s="40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</row>
    <row r="243" spans="1:46">
      <c r="A243" s="14"/>
      <c r="B243" s="13" t="str">
        <f t="shared" si="22"/>
        <v>Pendente</v>
      </c>
      <c r="C243" s="14" t="str">
        <f t="shared" si="23"/>
        <v/>
      </c>
      <c r="D243" s="13" t="s">
        <v>611</v>
      </c>
      <c r="E243" s="14" t="str">
        <f t="shared" si="24"/>
        <v/>
      </c>
      <c r="F243" s="13" t="s">
        <v>611</v>
      </c>
      <c r="G243" s="40">
        <v>202400671</v>
      </c>
      <c r="H243" s="13" t="s">
        <v>2084</v>
      </c>
      <c r="I243" s="13" t="s">
        <v>613</v>
      </c>
      <c r="J243" s="14">
        <v>45509</v>
      </c>
      <c r="K243" s="14">
        <v>45870</v>
      </c>
      <c r="L243" s="13" t="s">
        <v>1801</v>
      </c>
      <c r="M243" s="13" t="s">
        <v>2085</v>
      </c>
      <c r="N243" s="13" t="s">
        <v>2086</v>
      </c>
      <c r="O243" s="17" t="s">
        <v>2087</v>
      </c>
      <c r="P243" s="13" t="s">
        <v>418</v>
      </c>
      <c r="Q243" s="13" t="s">
        <v>618</v>
      </c>
      <c r="R243" s="13" t="e">
        <f>VLOOKUP(P243,'Dados das Regiões '!#REF!,2,0)</f>
        <v>#REF!</v>
      </c>
      <c r="S243" s="13" t="s">
        <v>2088</v>
      </c>
      <c r="T243" s="13"/>
      <c r="U243" s="79"/>
      <c r="V243" s="13" t="s">
        <v>2089</v>
      </c>
      <c r="W243" s="13" t="s">
        <v>2090</v>
      </c>
      <c r="X243" s="15">
        <v>0.58333333333333337</v>
      </c>
      <c r="Y243" s="16" t="s">
        <v>1967</v>
      </c>
      <c r="Z243" s="16" t="s">
        <v>622</v>
      </c>
      <c r="AA243" s="36" t="s">
        <v>1808</v>
      </c>
      <c r="AB243" s="164">
        <v>202400671</v>
      </c>
      <c r="AC243" s="13" t="s">
        <v>6</v>
      </c>
      <c r="AE243" s="40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</row>
    <row r="244" spans="1:46">
      <c r="A244" s="14"/>
      <c r="B244" s="13" t="str">
        <f t="shared" si="22"/>
        <v>Pendente</v>
      </c>
      <c r="C244" s="14" t="str">
        <f t="shared" si="23"/>
        <v/>
      </c>
      <c r="D244" s="13" t="s">
        <v>611</v>
      </c>
      <c r="E244" s="14" t="str">
        <f t="shared" si="24"/>
        <v/>
      </c>
      <c r="F244" s="13" t="s">
        <v>611</v>
      </c>
      <c r="G244" s="40">
        <v>202400681</v>
      </c>
      <c r="H244" s="13" t="s">
        <v>2091</v>
      </c>
      <c r="I244" s="13" t="s">
        <v>1192</v>
      </c>
      <c r="J244" s="14">
        <v>45509</v>
      </c>
      <c r="K244" s="14">
        <v>45870</v>
      </c>
      <c r="L244" s="13" t="s">
        <v>1881</v>
      </c>
      <c r="M244" s="13" t="s">
        <v>1882</v>
      </c>
      <c r="N244" s="13" t="s">
        <v>1883</v>
      </c>
      <c r="O244" s="17" t="s">
        <v>1884</v>
      </c>
      <c r="P244" s="13" t="s">
        <v>124</v>
      </c>
      <c r="Q244" s="13" t="s">
        <v>618</v>
      </c>
      <c r="R244" s="13" t="e">
        <f>VLOOKUP(P244,'Dados das Regiões '!#REF!,2,0)</f>
        <v>#REF!</v>
      </c>
      <c r="S244" s="13" t="s">
        <v>2092</v>
      </c>
      <c r="T244" s="13"/>
      <c r="U244" s="79" t="s">
        <v>1886</v>
      </c>
      <c r="V244" s="13" t="s">
        <v>1886</v>
      </c>
      <c r="W244" s="13" t="s">
        <v>1887</v>
      </c>
      <c r="X244" s="15">
        <v>0.58333333333333337</v>
      </c>
      <c r="Y244" s="16" t="s">
        <v>1200</v>
      </c>
      <c r="Z244" s="16" t="s">
        <v>622</v>
      </c>
      <c r="AA244" s="36" t="s">
        <v>1808</v>
      </c>
      <c r="AB244" s="164">
        <v>202400681</v>
      </c>
      <c r="AC244" s="13" t="s">
        <v>12</v>
      </c>
      <c r="AE244" s="40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</row>
    <row r="245" spans="1:46">
      <c r="A245" s="14"/>
      <c r="B245" s="13" t="str">
        <f t="shared" si="22"/>
        <v>Pendente</v>
      </c>
      <c r="C245" s="14" t="str">
        <f t="shared" si="23"/>
        <v/>
      </c>
      <c r="D245" s="13" t="s">
        <v>611</v>
      </c>
      <c r="E245" s="14" t="str">
        <f t="shared" si="24"/>
        <v/>
      </c>
      <c r="F245" s="13" t="s">
        <v>611</v>
      </c>
      <c r="G245" s="40">
        <v>202400671</v>
      </c>
      <c r="H245" s="13" t="s">
        <v>2093</v>
      </c>
      <c r="I245" s="13" t="s">
        <v>613</v>
      </c>
      <c r="J245" s="14">
        <v>45509</v>
      </c>
      <c r="K245" s="14">
        <v>45870</v>
      </c>
      <c r="L245" s="13" t="s">
        <v>1801</v>
      </c>
      <c r="M245" s="13" t="s">
        <v>2094</v>
      </c>
      <c r="N245" s="13" t="s">
        <v>2095</v>
      </c>
      <c r="O245" s="17" t="s">
        <v>2096</v>
      </c>
      <c r="P245" s="13" t="s">
        <v>340</v>
      </c>
      <c r="Q245" s="13" t="s">
        <v>618</v>
      </c>
      <c r="R245" s="13" t="e">
        <f>VLOOKUP(P245,'Dados das Regiões '!#REF!,2,0)</f>
        <v>#REF!</v>
      </c>
      <c r="S245" s="13" t="s">
        <v>2097</v>
      </c>
      <c r="T245" s="13"/>
      <c r="U245" s="79"/>
      <c r="V245" s="13" t="s">
        <v>2098</v>
      </c>
      <c r="W245" s="13" t="s">
        <v>2099</v>
      </c>
      <c r="X245" s="15">
        <v>0.58333333333333337</v>
      </c>
      <c r="Y245" s="16" t="s">
        <v>1967</v>
      </c>
      <c r="Z245" s="16" t="s">
        <v>622</v>
      </c>
      <c r="AA245" s="36" t="s">
        <v>1808</v>
      </c>
      <c r="AB245" s="164">
        <v>202400671</v>
      </c>
      <c r="AC245" s="13" t="s">
        <v>6</v>
      </c>
      <c r="AE245" s="40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</row>
    <row r="246" spans="1:46">
      <c r="A246" s="14"/>
      <c r="B246" s="13" t="str">
        <f t="shared" si="22"/>
        <v>Pendente</v>
      </c>
      <c r="C246" s="14" t="str">
        <f t="shared" si="23"/>
        <v/>
      </c>
      <c r="D246" s="13" t="s">
        <v>611</v>
      </c>
      <c r="E246" s="14" t="str">
        <f t="shared" si="24"/>
        <v/>
      </c>
      <c r="F246" s="13" t="s">
        <v>611</v>
      </c>
      <c r="G246" s="40">
        <v>202400681</v>
      </c>
      <c r="H246" s="13" t="s">
        <v>2100</v>
      </c>
      <c r="I246" s="13" t="s">
        <v>1192</v>
      </c>
      <c r="J246" s="14">
        <v>45509</v>
      </c>
      <c r="K246" s="14">
        <v>45870</v>
      </c>
      <c r="L246" s="13" t="s">
        <v>1881</v>
      </c>
      <c r="M246" s="13" t="s">
        <v>2101</v>
      </c>
      <c r="N246" s="13" t="s">
        <v>2102</v>
      </c>
      <c r="O246" s="17" t="s">
        <v>2103</v>
      </c>
      <c r="P246" s="13" t="s">
        <v>143</v>
      </c>
      <c r="Q246" s="13" t="s">
        <v>618</v>
      </c>
      <c r="R246" s="13" t="e">
        <f>VLOOKUP(P246,'Dados das Regiões '!#REF!,2,0)</f>
        <v>#REF!</v>
      </c>
      <c r="S246" s="13" t="s">
        <v>2104</v>
      </c>
      <c r="T246" s="13"/>
      <c r="U246" s="79" t="s">
        <v>2105</v>
      </c>
      <c r="V246" s="13" t="s">
        <v>2105</v>
      </c>
      <c r="W246" s="13" t="s">
        <v>2106</v>
      </c>
      <c r="X246" s="15">
        <v>0.5625</v>
      </c>
      <c r="Y246" s="16" t="s">
        <v>1415</v>
      </c>
      <c r="Z246" s="16" t="s">
        <v>622</v>
      </c>
      <c r="AA246" s="36" t="s">
        <v>1808</v>
      </c>
      <c r="AB246" s="164">
        <v>202400681</v>
      </c>
      <c r="AC246" s="13" t="s">
        <v>12</v>
      </c>
      <c r="AE246" s="107"/>
      <c r="AF246" s="101"/>
      <c r="AG246" s="101"/>
      <c r="AH246" s="101"/>
      <c r="AI246" s="101"/>
      <c r="AJ246" s="101"/>
      <c r="AK246" s="101"/>
      <c r="AL246" s="101"/>
      <c r="AM246" s="101"/>
      <c r="AN246" s="101"/>
      <c r="AO246" s="101"/>
      <c r="AP246" s="101"/>
      <c r="AQ246" s="101"/>
      <c r="AR246" s="101"/>
      <c r="AS246" s="101"/>
      <c r="AT246" s="101"/>
    </row>
    <row r="247" spans="1:46">
      <c r="A247" s="14"/>
      <c r="B247" s="13" t="str">
        <f t="shared" si="22"/>
        <v>Pendente</v>
      </c>
      <c r="C247" s="14" t="str">
        <f t="shared" si="23"/>
        <v/>
      </c>
      <c r="D247" s="13" t="s">
        <v>611</v>
      </c>
      <c r="E247" s="14" t="str">
        <f t="shared" si="24"/>
        <v/>
      </c>
      <c r="F247" s="13" t="s">
        <v>611</v>
      </c>
      <c r="G247" s="40">
        <v>202400681</v>
      </c>
      <c r="H247" s="13" t="s">
        <v>2107</v>
      </c>
      <c r="I247" s="13" t="s">
        <v>1192</v>
      </c>
      <c r="J247" s="14">
        <v>45509</v>
      </c>
      <c r="K247" s="14">
        <v>45870</v>
      </c>
      <c r="L247" s="13" t="s">
        <v>1881</v>
      </c>
      <c r="M247" s="13" t="s">
        <v>2101</v>
      </c>
      <c r="N247" s="13" t="s">
        <v>2102</v>
      </c>
      <c r="O247" s="17" t="s">
        <v>2103</v>
      </c>
      <c r="P247" s="13" t="s">
        <v>143</v>
      </c>
      <c r="Q247" s="13" t="s">
        <v>618</v>
      </c>
      <c r="R247" s="13" t="e">
        <f>VLOOKUP(P247,'Dados das Regiões '!#REF!,2,0)</f>
        <v>#REF!</v>
      </c>
      <c r="S247" s="13" t="s">
        <v>2108</v>
      </c>
      <c r="T247" s="13"/>
      <c r="U247" s="79" t="s">
        <v>2105</v>
      </c>
      <c r="V247" s="13" t="s">
        <v>2105</v>
      </c>
      <c r="W247" s="13" t="s">
        <v>2106</v>
      </c>
      <c r="X247" s="15">
        <v>0.5625</v>
      </c>
      <c r="Y247" s="16" t="s">
        <v>1415</v>
      </c>
      <c r="Z247" s="16" t="s">
        <v>622</v>
      </c>
      <c r="AA247" s="36" t="s">
        <v>1808</v>
      </c>
      <c r="AB247" s="164">
        <v>202400681</v>
      </c>
      <c r="AC247" s="13" t="s">
        <v>12</v>
      </c>
      <c r="AE247" s="40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</row>
    <row r="248" spans="1:46">
      <c r="A248" s="14"/>
      <c r="B248" s="13" t="str">
        <f t="shared" si="22"/>
        <v>Pendente</v>
      </c>
      <c r="C248" s="14" t="str">
        <f t="shared" si="23"/>
        <v/>
      </c>
      <c r="D248" s="13" t="s">
        <v>611</v>
      </c>
      <c r="E248" s="14" t="str">
        <f t="shared" si="24"/>
        <v/>
      </c>
      <c r="F248" s="13" t="s">
        <v>611</v>
      </c>
      <c r="G248" s="40">
        <v>202400681</v>
      </c>
      <c r="H248" s="13" t="s">
        <v>2109</v>
      </c>
      <c r="I248" s="13" t="s">
        <v>1192</v>
      </c>
      <c r="J248" s="14">
        <v>45509</v>
      </c>
      <c r="K248" s="14">
        <v>45870</v>
      </c>
      <c r="L248" s="13" t="s">
        <v>1881</v>
      </c>
      <c r="M248" s="13" t="s">
        <v>2101</v>
      </c>
      <c r="N248" s="13" t="s">
        <v>2102</v>
      </c>
      <c r="O248" s="17" t="s">
        <v>2103</v>
      </c>
      <c r="P248" s="13" t="s">
        <v>143</v>
      </c>
      <c r="Q248" s="13" t="s">
        <v>618</v>
      </c>
      <c r="R248" s="13" t="e">
        <f>VLOOKUP(P248,'Dados das Regiões '!#REF!,2,0)</f>
        <v>#REF!</v>
      </c>
      <c r="S248" s="13" t="s">
        <v>2108</v>
      </c>
      <c r="T248" s="13"/>
      <c r="U248" s="79" t="s">
        <v>2105</v>
      </c>
      <c r="V248" s="13" t="s">
        <v>2105</v>
      </c>
      <c r="W248" s="13" t="s">
        <v>2106</v>
      </c>
      <c r="X248" s="15">
        <v>0.33333333333333331</v>
      </c>
      <c r="Y248" s="16" t="s">
        <v>1438</v>
      </c>
      <c r="Z248" s="16" t="s">
        <v>622</v>
      </c>
      <c r="AA248" s="36" t="s">
        <v>1808</v>
      </c>
      <c r="AB248" s="164">
        <v>202400681</v>
      </c>
      <c r="AC248" s="13" t="s">
        <v>12</v>
      </c>
      <c r="AE248" s="40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</row>
    <row r="249" spans="1:46">
      <c r="A249" s="14"/>
      <c r="B249" s="13" t="str">
        <f t="shared" si="22"/>
        <v>Pendente</v>
      </c>
      <c r="C249" s="14" t="str">
        <f t="shared" si="23"/>
        <v/>
      </c>
      <c r="D249" s="13" t="s">
        <v>611</v>
      </c>
      <c r="E249" s="14" t="str">
        <f t="shared" si="24"/>
        <v/>
      </c>
      <c r="F249" s="13" t="s">
        <v>611</v>
      </c>
      <c r="G249" s="40">
        <v>202400671</v>
      </c>
      <c r="H249" s="13" t="s">
        <v>2110</v>
      </c>
      <c r="I249" s="13" t="s">
        <v>613</v>
      </c>
      <c r="J249" s="14">
        <v>45509</v>
      </c>
      <c r="K249" s="14">
        <v>45870</v>
      </c>
      <c r="L249" s="13" t="s">
        <v>1801</v>
      </c>
      <c r="M249" s="13" t="s">
        <v>2111</v>
      </c>
      <c r="N249" s="13" t="s">
        <v>2112</v>
      </c>
      <c r="O249" s="17" t="s">
        <v>2113</v>
      </c>
      <c r="P249" s="13" t="s">
        <v>504</v>
      </c>
      <c r="Q249" s="13" t="s">
        <v>618</v>
      </c>
      <c r="R249" s="13" t="e">
        <f>VLOOKUP(P249,'Dados das Regiões '!#REF!,2,0)</f>
        <v>#REF!</v>
      </c>
      <c r="S249" s="13" t="s">
        <v>2114</v>
      </c>
      <c r="T249" s="13"/>
      <c r="U249" s="79"/>
      <c r="V249" s="13" t="s">
        <v>2115</v>
      </c>
      <c r="W249" s="13" t="s">
        <v>2116</v>
      </c>
      <c r="X249" s="15">
        <v>0.5625</v>
      </c>
      <c r="Y249" s="16" t="s">
        <v>1415</v>
      </c>
      <c r="Z249" s="16" t="s">
        <v>622</v>
      </c>
      <c r="AA249" s="36" t="s">
        <v>1808</v>
      </c>
      <c r="AB249" s="164">
        <v>202400671</v>
      </c>
      <c r="AC249" s="13" t="s">
        <v>6</v>
      </c>
      <c r="AE249" s="40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</row>
    <row r="250" spans="1:46">
      <c r="A250" s="177" t="s">
        <v>1366</v>
      </c>
      <c r="B250" s="177" t="s">
        <v>1367</v>
      </c>
      <c r="C250" s="177" t="s">
        <v>1367</v>
      </c>
      <c r="D250" s="177" t="s">
        <v>1367</v>
      </c>
      <c r="E250" s="177" t="s">
        <v>1367</v>
      </c>
      <c r="F250" s="177" t="s">
        <v>1367</v>
      </c>
      <c r="G250" s="40">
        <v>202400671</v>
      </c>
      <c r="H250" s="106" t="s">
        <v>2117</v>
      </c>
      <c r="I250" s="13" t="s">
        <v>613</v>
      </c>
      <c r="J250" s="14">
        <v>45509</v>
      </c>
      <c r="K250" s="14">
        <v>45870</v>
      </c>
      <c r="L250" s="13" t="s">
        <v>1801</v>
      </c>
      <c r="M250" s="13" t="s">
        <v>2118</v>
      </c>
      <c r="N250" s="13" t="s">
        <v>2119</v>
      </c>
      <c r="O250" s="17" t="s">
        <v>2120</v>
      </c>
      <c r="P250" s="13" t="s">
        <v>294</v>
      </c>
      <c r="Q250" s="13" t="s">
        <v>618</v>
      </c>
      <c r="R250" s="13" t="e">
        <f>VLOOKUP(P250,'Dados das Regiões '!#REF!,2,0)</f>
        <v>#REF!</v>
      </c>
      <c r="S250" s="13" t="s">
        <v>2121</v>
      </c>
      <c r="T250" s="13"/>
      <c r="U250" s="79"/>
      <c r="V250" s="13" t="s">
        <v>2122</v>
      </c>
      <c r="W250" s="13" t="s">
        <v>2123</v>
      </c>
      <c r="X250" s="15">
        <v>0.33333333333333331</v>
      </c>
      <c r="Y250" s="16" t="s">
        <v>1438</v>
      </c>
      <c r="Z250" s="16" t="s">
        <v>622</v>
      </c>
      <c r="AA250" s="36" t="s">
        <v>2124</v>
      </c>
      <c r="AB250" s="164">
        <v>202400671</v>
      </c>
      <c r="AC250" s="13" t="s">
        <v>6</v>
      </c>
      <c r="AE250" s="40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</row>
    <row r="251" spans="1:46">
      <c r="A251" s="14"/>
      <c r="B251" s="13" t="str">
        <f t="shared" ref="B251:B314" si="25">IF(ISBLANK(A251), "Pendente", "Realizada")</f>
        <v>Pendente</v>
      </c>
      <c r="C251" s="14" t="str">
        <f t="shared" ref="C251:C314" si="26">IF(A251="", "", EDATE(A251, 3))</f>
        <v/>
      </c>
      <c r="D251" s="13" t="s">
        <v>611</v>
      </c>
      <c r="E251" s="14" t="str">
        <f t="shared" ref="E251:E314" si="27">IF(C251="", "", EDATE(C251, 3))</f>
        <v/>
      </c>
      <c r="F251" s="13" t="s">
        <v>611</v>
      </c>
      <c r="G251" s="40">
        <v>202400671</v>
      </c>
      <c r="H251" s="13" t="s">
        <v>2125</v>
      </c>
      <c r="I251" s="13" t="s">
        <v>613</v>
      </c>
      <c r="J251" s="14">
        <v>45509</v>
      </c>
      <c r="K251" s="14">
        <v>45870</v>
      </c>
      <c r="L251" s="13" t="s">
        <v>1801</v>
      </c>
      <c r="M251" s="13" t="s">
        <v>2126</v>
      </c>
      <c r="N251" s="13" t="s">
        <v>2127</v>
      </c>
      <c r="O251" s="17" t="s">
        <v>2128</v>
      </c>
      <c r="P251" s="13" t="s">
        <v>490</v>
      </c>
      <c r="Q251" s="13" t="s">
        <v>618</v>
      </c>
      <c r="R251" s="13" t="e">
        <f>VLOOKUP(P251,'Dados das Regiões '!#REF!,2,0)</f>
        <v>#REF!</v>
      </c>
      <c r="S251" s="13" t="s">
        <v>2129</v>
      </c>
      <c r="T251" s="13"/>
      <c r="U251" s="79"/>
      <c r="V251" s="13" t="s">
        <v>2130</v>
      </c>
      <c r="W251" s="13" t="s">
        <v>2131</v>
      </c>
      <c r="X251" s="15">
        <v>0.5625</v>
      </c>
      <c r="Y251" s="16" t="s">
        <v>1415</v>
      </c>
      <c r="Z251" s="16" t="s">
        <v>622</v>
      </c>
      <c r="AA251" s="36" t="s">
        <v>1808</v>
      </c>
      <c r="AB251" s="164">
        <v>202400671</v>
      </c>
      <c r="AC251" s="13" t="s">
        <v>6</v>
      </c>
      <c r="AE251" s="40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</row>
    <row r="252" spans="1:46">
      <c r="A252" s="14"/>
      <c r="B252" s="13" t="str">
        <f t="shared" si="25"/>
        <v>Pendente</v>
      </c>
      <c r="C252" s="14" t="str">
        <f t="shared" si="26"/>
        <v/>
      </c>
      <c r="D252" s="13" t="s">
        <v>611</v>
      </c>
      <c r="E252" s="14" t="str">
        <f t="shared" si="27"/>
        <v/>
      </c>
      <c r="F252" s="13" t="s">
        <v>611</v>
      </c>
      <c r="G252" s="40">
        <v>202400671</v>
      </c>
      <c r="H252" s="13" t="s">
        <v>2132</v>
      </c>
      <c r="I252" s="13" t="s">
        <v>613</v>
      </c>
      <c r="J252" s="14">
        <v>45509</v>
      </c>
      <c r="K252" s="14">
        <v>45870</v>
      </c>
      <c r="L252" s="13" t="s">
        <v>1801</v>
      </c>
      <c r="M252" s="13" t="s">
        <v>2133</v>
      </c>
      <c r="N252" s="13" t="s">
        <v>2134</v>
      </c>
      <c r="O252" s="17" t="s">
        <v>2135</v>
      </c>
      <c r="P252" s="13" t="s">
        <v>324</v>
      </c>
      <c r="Q252" s="13" t="s">
        <v>618</v>
      </c>
      <c r="R252" s="13" t="e">
        <f>VLOOKUP(P252,'Dados das Regiões '!#REF!,2,0)</f>
        <v>#REF!</v>
      </c>
      <c r="S252" s="13" t="s">
        <v>2136</v>
      </c>
      <c r="T252" s="13"/>
      <c r="U252" s="79"/>
      <c r="V252" s="13" t="s">
        <v>2137</v>
      </c>
      <c r="W252" s="13" t="s">
        <v>2138</v>
      </c>
      <c r="X252" s="15">
        <v>0.33333333333333331</v>
      </c>
      <c r="Y252" s="16" t="s">
        <v>1438</v>
      </c>
      <c r="Z252" s="16" t="s">
        <v>622</v>
      </c>
      <c r="AA252" s="36" t="s">
        <v>1808</v>
      </c>
      <c r="AB252" s="164">
        <v>202400671</v>
      </c>
      <c r="AC252" s="13" t="s">
        <v>6</v>
      </c>
      <c r="AE252" s="107"/>
      <c r="AF252" s="101"/>
      <c r="AG252" s="101"/>
      <c r="AH252" s="101"/>
      <c r="AI252" s="101"/>
      <c r="AJ252" s="101"/>
      <c r="AK252" s="101"/>
      <c r="AL252" s="101"/>
      <c r="AM252" s="101"/>
      <c r="AN252" s="101"/>
      <c r="AO252" s="101"/>
      <c r="AP252" s="101"/>
      <c r="AQ252" s="101"/>
      <c r="AR252" s="101"/>
      <c r="AS252" s="101"/>
      <c r="AT252" s="101"/>
    </row>
    <row r="253" spans="1:46">
      <c r="A253" s="14"/>
      <c r="B253" s="13" t="str">
        <f t="shared" si="25"/>
        <v>Pendente</v>
      </c>
      <c r="C253" s="14" t="str">
        <f t="shared" si="26"/>
        <v/>
      </c>
      <c r="D253" s="13" t="s">
        <v>611</v>
      </c>
      <c r="E253" s="14" t="str">
        <f t="shared" si="27"/>
        <v/>
      </c>
      <c r="F253" s="13" t="s">
        <v>611</v>
      </c>
      <c r="G253" s="40">
        <v>202400671</v>
      </c>
      <c r="H253" s="13" t="s">
        <v>2139</v>
      </c>
      <c r="I253" s="13" t="s">
        <v>613</v>
      </c>
      <c r="J253" s="14">
        <v>45509</v>
      </c>
      <c r="K253" s="14">
        <v>45870</v>
      </c>
      <c r="L253" s="13" t="s">
        <v>1801</v>
      </c>
      <c r="M253" s="13" t="s">
        <v>2140</v>
      </c>
      <c r="N253" s="13" t="s">
        <v>2141</v>
      </c>
      <c r="O253" s="17" t="s">
        <v>2142</v>
      </c>
      <c r="P253" s="13" t="s">
        <v>256</v>
      </c>
      <c r="Q253" s="13" t="s">
        <v>618</v>
      </c>
      <c r="R253" s="13" t="e">
        <f>VLOOKUP(P253,'Dados das Regiões '!#REF!,2,0)</f>
        <v>#REF!</v>
      </c>
      <c r="S253" s="13" t="s">
        <v>2143</v>
      </c>
      <c r="T253" s="13"/>
      <c r="U253" s="79"/>
      <c r="V253" s="13" t="s">
        <v>2144</v>
      </c>
      <c r="W253" s="13" t="s">
        <v>2145</v>
      </c>
      <c r="X253" s="15">
        <v>0.625</v>
      </c>
      <c r="Y253" s="16" t="s">
        <v>1824</v>
      </c>
      <c r="Z253" s="16" t="s">
        <v>622</v>
      </c>
      <c r="AA253" s="36" t="s">
        <v>1808</v>
      </c>
      <c r="AB253" s="164">
        <v>202400671</v>
      </c>
      <c r="AC253" s="13" t="s">
        <v>6</v>
      </c>
      <c r="AE253" s="40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</row>
    <row r="254" spans="1:46">
      <c r="A254" s="14"/>
      <c r="B254" s="13" t="str">
        <f t="shared" si="25"/>
        <v>Pendente</v>
      </c>
      <c r="C254" s="14" t="str">
        <f t="shared" si="26"/>
        <v/>
      </c>
      <c r="D254" s="13" t="s">
        <v>611</v>
      </c>
      <c r="E254" s="14" t="str">
        <f t="shared" si="27"/>
        <v/>
      </c>
      <c r="F254" s="13" t="s">
        <v>611</v>
      </c>
      <c r="G254" s="40">
        <v>202400672</v>
      </c>
      <c r="H254" s="13" t="s">
        <v>2146</v>
      </c>
      <c r="I254" s="13" t="s">
        <v>1176</v>
      </c>
      <c r="J254" s="14">
        <v>45509</v>
      </c>
      <c r="K254" s="14">
        <v>45870</v>
      </c>
      <c r="L254" s="13" t="s">
        <v>1185</v>
      </c>
      <c r="M254" s="13" t="s">
        <v>2147</v>
      </c>
      <c r="N254" s="13" t="s">
        <v>2148</v>
      </c>
      <c r="O254" s="17" t="s">
        <v>2149</v>
      </c>
      <c r="P254" s="13" t="s">
        <v>408</v>
      </c>
      <c r="Q254" s="13" t="s">
        <v>618</v>
      </c>
      <c r="R254" s="13" t="e">
        <f>VLOOKUP(P254,'Dados das Regiões '!#REF!,2,0)</f>
        <v>#REF!</v>
      </c>
      <c r="S254" s="13" t="s">
        <v>2150</v>
      </c>
      <c r="T254" s="13"/>
      <c r="U254" s="79" t="s">
        <v>2151</v>
      </c>
      <c r="V254" s="13" t="s">
        <v>2152</v>
      </c>
      <c r="W254" s="13" t="s">
        <v>2153</v>
      </c>
      <c r="X254" s="15">
        <v>0.54166666666666663</v>
      </c>
      <c r="Y254" s="16" t="s">
        <v>1824</v>
      </c>
      <c r="Z254" s="16" t="s">
        <v>622</v>
      </c>
      <c r="AA254" s="36" t="s">
        <v>1808</v>
      </c>
      <c r="AB254" s="164">
        <v>202400672</v>
      </c>
      <c r="AC254" s="13" t="s">
        <v>8</v>
      </c>
      <c r="AE254" s="40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</row>
    <row r="255" spans="1:46">
      <c r="A255" s="14"/>
      <c r="B255" s="13" t="str">
        <f t="shared" si="25"/>
        <v>Pendente</v>
      </c>
      <c r="C255" s="14" t="str">
        <f t="shared" si="26"/>
        <v/>
      </c>
      <c r="D255" s="13" t="s">
        <v>611</v>
      </c>
      <c r="E255" s="14" t="str">
        <f t="shared" si="27"/>
        <v/>
      </c>
      <c r="F255" s="13" t="s">
        <v>611</v>
      </c>
      <c r="G255" s="40">
        <v>202400681</v>
      </c>
      <c r="H255" s="13" t="s">
        <v>2154</v>
      </c>
      <c r="I255" s="13" t="s">
        <v>1192</v>
      </c>
      <c r="J255" s="14">
        <v>45509</v>
      </c>
      <c r="K255" s="14">
        <v>45870</v>
      </c>
      <c r="L255" s="13" t="s">
        <v>1881</v>
      </c>
      <c r="M255" s="13" t="s">
        <v>1905</v>
      </c>
      <c r="N255" s="13" t="s">
        <v>1906</v>
      </c>
      <c r="O255" s="17" t="s">
        <v>1907</v>
      </c>
      <c r="P255" s="13" t="s">
        <v>136</v>
      </c>
      <c r="Q255" s="13" t="s">
        <v>618</v>
      </c>
      <c r="R255" s="13" t="e">
        <f>VLOOKUP(P255,'Dados das Regiões '!#REF!,2,0)</f>
        <v>#REF!</v>
      </c>
      <c r="S255" s="13" t="s">
        <v>2155</v>
      </c>
      <c r="T255" s="13"/>
      <c r="U255" s="79" t="s">
        <v>1909</v>
      </c>
      <c r="V255" s="13" t="s">
        <v>1909</v>
      </c>
      <c r="W255" s="13" t="s">
        <v>1910</v>
      </c>
      <c r="X255" s="15">
        <v>0.64583333333333337</v>
      </c>
      <c r="Y255" s="16" t="s">
        <v>1451</v>
      </c>
      <c r="Z255" s="16" t="s">
        <v>622</v>
      </c>
      <c r="AA255" s="36" t="s">
        <v>1808</v>
      </c>
      <c r="AB255" s="164">
        <v>202400681</v>
      </c>
      <c r="AC255" s="13" t="s">
        <v>12</v>
      </c>
      <c r="AE255" s="40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</row>
    <row r="256" spans="1:46">
      <c r="A256" s="14"/>
      <c r="B256" s="13" t="str">
        <f t="shared" si="25"/>
        <v>Pendente</v>
      </c>
      <c r="C256" s="14" t="str">
        <f t="shared" si="26"/>
        <v/>
      </c>
      <c r="D256" s="13" t="s">
        <v>611</v>
      </c>
      <c r="E256" s="14" t="str">
        <f t="shared" si="27"/>
        <v/>
      </c>
      <c r="F256" s="13" t="s">
        <v>611</v>
      </c>
      <c r="G256" s="40">
        <v>202400681</v>
      </c>
      <c r="H256" s="13" t="s">
        <v>2156</v>
      </c>
      <c r="I256" s="13" t="s">
        <v>1192</v>
      </c>
      <c r="J256" s="14">
        <v>45509</v>
      </c>
      <c r="K256" s="14">
        <v>45870</v>
      </c>
      <c r="L256" s="13" t="s">
        <v>1881</v>
      </c>
      <c r="M256" s="13" t="s">
        <v>1905</v>
      </c>
      <c r="N256" s="13" t="s">
        <v>1906</v>
      </c>
      <c r="O256" s="17" t="s">
        <v>1907</v>
      </c>
      <c r="P256" s="13" t="s">
        <v>136</v>
      </c>
      <c r="Q256" s="13" t="s">
        <v>618</v>
      </c>
      <c r="R256" s="13" t="e">
        <f>VLOOKUP(P256,'Dados das Regiões '!#REF!,2,0)</f>
        <v>#REF!</v>
      </c>
      <c r="S256" s="13" t="s">
        <v>2155</v>
      </c>
      <c r="T256" s="13"/>
      <c r="U256" s="79" t="s">
        <v>1909</v>
      </c>
      <c r="V256" s="13" t="s">
        <v>1909</v>
      </c>
      <c r="W256" s="13" t="s">
        <v>1910</v>
      </c>
      <c r="X256" s="15">
        <v>0.64583333333333337</v>
      </c>
      <c r="Y256" s="16" t="s">
        <v>1451</v>
      </c>
      <c r="Z256" s="16" t="s">
        <v>622</v>
      </c>
      <c r="AA256" s="36" t="s">
        <v>1808</v>
      </c>
      <c r="AB256" s="164">
        <v>202400681</v>
      </c>
      <c r="AC256" s="13" t="s">
        <v>12</v>
      </c>
      <c r="AE256" s="40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</row>
    <row r="257" spans="1:46">
      <c r="A257" s="14"/>
      <c r="B257" s="13" t="str">
        <f t="shared" si="25"/>
        <v>Pendente</v>
      </c>
      <c r="C257" s="14" t="str">
        <f t="shared" si="26"/>
        <v/>
      </c>
      <c r="D257" s="13" t="s">
        <v>611</v>
      </c>
      <c r="E257" s="14" t="str">
        <f t="shared" si="27"/>
        <v/>
      </c>
      <c r="F257" s="13" t="s">
        <v>611</v>
      </c>
      <c r="G257" s="40">
        <v>202400681</v>
      </c>
      <c r="H257" s="13" t="s">
        <v>2157</v>
      </c>
      <c r="I257" s="13" t="s">
        <v>1192</v>
      </c>
      <c r="J257" s="14">
        <v>45509</v>
      </c>
      <c r="K257" s="14">
        <v>45870</v>
      </c>
      <c r="L257" s="13" t="s">
        <v>1881</v>
      </c>
      <c r="M257" s="13" t="s">
        <v>1905</v>
      </c>
      <c r="N257" s="13" t="s">
        <v>1906</v>
      </c>
      <c r="O257" s="17" t="s">
        <v>1907</v>
      </c>
      <c r="P257" s="13" t="s">
        <v>136</v>
      </c>
      <c r="Q257" s="13" t="s">
        <v>618</v>
      </c>
      <c r="R257" s="13" t="e">
        <f>VLOOKUP(P257,'Dados das Regiões '!#REF!,2,0)</f>
        <v>#REF!</v>
      </c>
      <c r="S257" s="13" t="s">
        <v>2155</v>
      </c>
      <c r="T257" s="13"/>
      <c r="U257" s="79" t="s">
        <v>1909</v>
      </c>
      <c r="V257" s="13" t="s">
        <v>1909</v>
      </c>
      <c r="W257" s="13" t="s">
        <v>1910</v>
      </c>
      <c r="X257" s="15">
        <v>0.5625</v>
      </c>
      <c r="Y257" s="16" t="s">
        <v>1415</v>
      </c>
      <c r="Z257" s="16" t="s">
        <v>622</v>
      </c>
      <c r="AA257" s="36" t="s">
        <v>1808</v>
      </c>
      <c r="AB257" s="164">
        <v>202400681</v>
      </c>
      <c r="AC257" s="13" t="s">
        <v>12</v>
      </c>
      <c r="AE257" s="40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</row>
    <row r="258" spans="1:46">
      <c r="A258" s="14"/>
      <c r="B258" s="13" t="str">
        <f t="shared" si="25"/>
        <v>Pendente</v>
      </c>
      <c r="C258" s="14" t="str">
        <f t="shared" si="26"/>
        <v/>
      </c>
      <c r="D258" s="13" t="s">
        <v>611</v>
      </c>
      <c r="E258" s="14" t="str">
        <f t="shared" si="27"/>
        <v/>
      </c>
      <c r="F258" s="13" t="s">
        <v>611</v>
      </c>
      <c r="G258" s="40">
        <v>202400681</v>
      </c>
      <c r="H258" s="13" t="s">
        <v>2158</v>
      </c>
      <c r="I258" s="13" t="s">
        <v>1192</v>
      </c>
      <c r="J258" s="14">
        <v>45509</v>
      </c>
      <c r="K258" s="14">
        <v>45870</v>
      </c>
      <c r="L258" s="13" t="s">
        <v>1881</v>
      </c>
      <c r="M258" s="13" t="s">
        <v>1905</v>
      </c>
      <c r="N258" s="13" t="s">
        <v>1906</v>
      </c>
      <c r="O258" s="17" t="s">
        <v>1907</v>
      </c>
      <c r="P258" s="13" t="s">
        <v>136</v>
      </c>
      <c r="Q258" s="13" t="s">
        <v>618</v>
      </c>
      <c r="R258" s="13" t="e">
        <f>VLOOKUP(P258,'Dados das Regiões '!#REF!,2,0)</f>
        <v>#REF!</v>
      </c>
      <c r="S258" s="13" t="s">
        <v>2155</v>
      </c>
      <c r="T258" s="13"/>
      <c r="U258" s="79" t="s">
        <v>1909</v>
      </c>
      <c r="V258" s="13" t="s">
        <v>1909</v>
      </c>
      <c r="W258" s="13" t="s">
        <v>1910</v>
      </c>
      <c r="X258" s="15">
        <v>0.5625</v>
      </c>
      <c r="Y258" s="16" t="s">
        <v>1415</v>
      </c>
      <c r="Z258" s="16" t="s">
        <v>622</v>
      </c>
      <c r="AA258" s="36" t="s">
        <v>1808</v>
      </c>
      <c r="AB258" s="164">
        <v>202400681</v>
      </c>
      <c r="AC258" s="13" t="s">
        <v>12</v>
      </c>
      <c r="AE258" s="40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</row>
    <row r="259" spans="1:46">
      <c r="A259" s="14">
        <v>45840</v>
      </c>
      <c r="B259" s="13" t="str">
        <f t="shared" si="25"/>
        <v>Realizada</v>
      </c>
      <c r="C259" s="14">
        <f t="shared" si="26"/>
        <v>45932</v>
      </c>
      <c r="D259" s="13" t="s">
        <v>611</v>
      </c>
      <c r="E259" s="14">
        <f t="shared" si="27"/>
        <v>46024</v>
      </c>
      <c r="F259" s="13" t="s">
        <v>611</v>
      </c>
      <c r="G259" s="40">
        <v>202400681</v>
      </c>
      <c r="H259" s="13" t="s">
        <v>2159</v>
      </c>
      <c r="I259" s="13" t="s">
        <v>1192</v>
      </c>
      <c r="J259" s="14">
        <v>45509</v>
      </c>
      <c r="K259" s="14">
        <v>45870</v>
      </c>
      <c r="L259" s="13" t="s">
        <v>1881</v>
      </c>
      <c r="M259" s="13" t="s">
        <v>2160</v>
      </c>
      <c r="N259" s="13" t="s">
        <v>2161</v>
      </c>
      <c r="O259" s="13" t="s">
        <v>2162</v>
      </c>
      <c r="P259" s="13" t="s">
        <v>215</v>
      </c>
      <c r="Q259" s="13" t="s">
        <v>618</v>
      </c>
      <c r="R259" s="13" t="e">
        <f>VLOOKUP(P259,'Dados das Regiões '!#REF!,2,0)</f>
        <v>#REF!</v>
      </c>
      <c r="S259" s="13" t="s">
        <v>2163</v>
      </c>
      <c r="T259" s="13"/>
      <c r="U259" s="79" t="s">
        <v>2164</v>
      </c>
      <c r="V259" s="13" t="s">
        <v>2164</v>
      </c>
      <c r="W259" s="13" t="s">
        <v>2165</v>
      </c>
      <c r="X259" s="15">
        <v>0.58333333333333337</v>
      </c>
      <c r="Y259" s="16" t="s">
        <v>1200</v>
      </c>
      <c r="Z259" s="16" t="s">
        <v>622</v>
      </c>
      <c r="AA259" s="36" t="s">
        <v>1808</v>
      </c>
      <c r="AB259" s="164">
        <v>202400681</v>
      </c>
      <c r="AC259" s="13" t="s">
        <v>12</v>
      </c>
      <c r="AE259" s="40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</row>
    <row r="260" spans="1:46">
      <c r="A260" s="14">
        <v>45840</v>
      </c>
      <c r="B260" s="13" t="str">
        <f t="shared" si="25"/>
        <v>Realizada</v>
      </c>
      <c r="C260" s="14">
        <f t="shared" si="26"/>
        <v>45932</v>
      </c>
      <c r="D260" s="13" t="s">
        <v>611</v>
      </c>
      <c r="E260" s="14">
        <f t="shared" si="27"/>
        <v>46024</v>
      </c>
      <c r="F260" s="13" t="s">
        <v>611</v>
      </c>
      <c r="G260" s="40">
        <v>202400681</v>
      </c>
      <c r="H260" s="13" t="s">
        <v>2166</v>
      </c>
      <c r="I260" s="13" t="s">
        <v>1192</v>
      </c>
      <c r="J260" s="14">
        <v>45509</v>
      </c>
      <c r="K260" s="14">
        <v>45870</v>
      </c>
      <c r="L260" s="13" t="s">
        <v>1881</v>
      </c>
      <c r="M260" s="13" t="s">
        <v>2160</v>
      </c>
      <c r="N260" s="13" t="s">
        <v>2161</v>
      </c>
      <c r="O260" s="13" t="s">
        <v>2162</v>
      </c>
      <c r="P260" s="13" t="s">
        <v>215</v>
      </c>
      <c r="Q260" s="13" t="s">
        <v>618</v>
      </c>
      <c r="R260" s="13" t="e">
        <f>VLOOKUP(P260,'Dados das Regiões '!#REF!,2,0)</f>
        <v>#REF!</v>
      </c>
      <c r="S260" s="13" t="s">
        <v>2163</v>
      </c>
      <c r="T260" s="13"/>
      <c r="U260" s="79" t="s">
        <v>2164</v>
      </c>
      <c r="V260" s="13" t="s">
        <v>2164</v>
      </c>
      <c r="W260" s="13" t="s">
        <v>2165</v>
      </c>
      <c r="X260" s="15">
        <v>0.58333333333333337</v>
      </c>
      <c r="Y260" s="16" t="s">
        <v>1200</v>
      </c>
      <c r="Z260" s="16" t="s">
        <v>622</v>
      </c>
      <c r="AA260" s="36" t="s">
        <v>1808</v>
      </c>
      <c r="AB260" s="164">
        <v>202400681</v>
      </c>
      <c r="AC260" s="13" t="s">
        <v>12</v>
      </c>
      <c r="AE260" s="40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</row>
    <row r="261" spans="1:46">
      <c r="A261" s="14"/>
      <c r="B261" s="13" t="str">
        <f t="shared" si="25"/>
        <v>Pendente</v>
      </c>
      <c r="C261" s="14" t="str">
        <f t="shared" si="26"/>
        <v/>
      </c>
      <c r="D261" s="13" t="s">
        <v>611</v>
      </c>
      <c r="E261" s="14" t="str">
        <f t="shared" si="27"/>
        <v/>
      </c>
      <c r="F261" s="13" t="s">
        <v>611</v>
      </c>
      <c r="G261" s="40">
        <v>202400681</v>
      </c>
      <c r="H261" s="13" t="s">
        <v>2167</v>
      </c>
      <c r="I261" s="13" t="s">
        <v>1192</v>
      </c>
      <c r="J261" s="14">
        <v>45509</v>
      </c>
      <c r="K261" s="14">
        <v>45870</v>
      </c>
      <c r="L261" s="13" t="s">
        <v>1387</v>
      </c>
      <c r="M261" s="13" t="s">
        <v>1388</v>
      </c>
      <c r="N261" s="13" t="s">
        <v>1389</v>
      </c>
      <c r="O261" s="17" t="s">
        <v>1390</v>
      </c>
      <c r="P261" s="13" t="s">
        <v>453</v>
      </c>
      <c r="Q261" s="13" t="s">
        <v>618</v>
      </c>
      <c r="R261" s="13" t="e">
        <f>VLOOKUP(P261,'Dados das Regiões '!#REF!,2,0)</f>
        <v>#REF!</v>
      </c>
      <c r="S261" s="13" t="s">
        <v>2168</v>
      </c>
      <c r="T261" s="13"/>
      <c r="U261" s="79" t="s">
        <v>1392</v>
      </c>
      <c r="V261" s="13" t="s">
        <v>2169</v>
      </c>
      <c r="W261" s="13" t="s">
        <v>1394</v>
      </c>
      <c r="X261" s="15">
        <v>0.33333333333333331</v>
      </c>
      <c r="Y261" s="16" t="s">
        <v>1438</v>
      </c>
      <c r="Z261" s="16" t="s">
        <v>622</v>
      </c>
      <c r="AA261" s="36" t="s">
        <v>1808</v>
      </c>
      <c r="AB261" s="164">
        <v>202400681</v>
      </c>
      <c r="AC261" s="13" t="s">
        <v>12</v>
      </c>
      <c r="AE261" s="40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</row>
    <row r="262" spans="1:46">
      <c r="A262" s="14"/>
      <c r="B262" s="13" t="str">
        <f t="shared" si="25"/>
        <v>Pendente</v>
      </c>
      <c r="C262" s="14" t="str">
        <f t="shared" si="26"/>
        <v/>
      </c>
      <c r="D262" s="13" t="s">
        <v>611</v>
      </c>
      <c r="E262" s="14" t="str">
        <f t="shared" si="27"/>
        <v/>
      </c>
      <c r="F262" s="13" t="s">
        <v>611</v>
      </c>
      <c r="G262" s="40">
        <v>202400681</v>
      </c>
      <c r="H262" s="13" t="s">
        <v>2170</v>
      </c>
      <c r="I262" s="13" t="s">
        <v>1192</v>
      </c>
      <c r="J262" s="14">
        <v>45509</v>
      </c>
      <c r="K262" s="14">
        <v>45870</v>
      </c>
      <c r="L262" s="13" t="s">
        <v>1387</v>
      </c>
      <c r="M262" s="13" t="s">
        <v>1388</v>
      </c>
      <c r="N262" s="13" t="s">
        <v>1389</v>
      </c>
      <c r="O262" s="17" t="s">
        <v>1390</v>
      </c>
      <c r="P262" s="13" t="s">
        <v>453</v>
      </c>
      <c r="Q262" s="13" t="s">
        <v>618</v>
      </c>
      <c r="R262" s="13" t="e">
        <f>VLOOKUP(P262,'Dados das Regiões '!#REF!,2,0)</f>
        <v>#REF!</v>
      </c>
      <c r="S262" s="13" t="s">
        <v>2171</v>
      </c>
      <c r="T262" s="13"/>
      <c r="U262" s="79" t="s">
        <v>1392</v>
      </c>
      <c r="V262" s="13" t="s">
        <v>2169</v>
      </c>
      <c r="W262" s="13" t="s">
        <v>1394</v>
      </c>
      <c r="X262" s="15">
        <v>0.625</v>
      </c>
      <c r="Y262" s="16" t="s">
        <v>2172</v>
      </c>
      <c r="Z262" s="16" t="s">
        <v>622</v>
      </c>
      <c r="AA262" s="36" t="s">
        <v>1808</v>
      </c>
      <c r="AB262" s="164">
        <v>202400681</v>
      </c>
      <c r="AC262" s="13" t="s">
        <v>12</v>
      </c>
      <c r="AE262" s="40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</row>
    <row r="263" spans="1:46">
      <c r="A263" s="14"/>
      <c r="B263" s="13" t="str">
        <f t="shared" si="25"/>
        <v>Pendente</v>
      </c>
      <c r="C263" s="14" t="str">
        <f t="shared" si="26"/>
        <v/>
      </c>
      <c r="D263" s="13" t="s">
        <v>611</v>
      </c>
      <c r="E263" s="14" t="str">
        <f t="shared" si="27"/>
        <v/>
      </c>
      <c r="F263" s="13" t="s">
        <v>611</v>
      </c>
      <c r="G263" s="40">
        <v>202400681</v>
      </c>
      <c r="H263" s="13" t="s">
        <v>2173</v>
      </c>
      <c r="I263" s="13" t="s">
        <v>1192</v>
      </c>
      <c r="J263" s="14">
        <v>45509</v>
      </c>
      <c r="K263" s="14">
        <v>45870</v>
      </c>
      <c r="L263" s="13" t="s">
        <v>1387</v>
      </c>
      <c r="M263" s="13" t="s">
        <v>1388</v>
      </c>
      <c r="N263" s="13" t="s">
        <v>1389</v>
      </c>
      <c r="O263" s="17" t="s">
        <v>1390</v>
      </c>
      <c r="P263" s="13" t="s">
        <v>453</v>
      </c>
      <c r="Q263" s="13" t="s">
        <v>618</v>
      </c>
      <c r="R263" s="13" t="e">
        <f>VLOOKUP(P263,'Dados das Regiões '!#REF!,2,0)</f>
        <v>#REF!</v>
      </c>
      <c r="S263" s="13" t="s">
        <v>2171</v>
      </c>
      <c r="T263" s="13"/>
      <c r="U263" s="79" t="s">
        <v>1392</v>
      </c>
      <c r="V263" s="13" t="s">
        <v>2169</v>
      </c>
      <c r="W263" s="13" t="s">
        <v>1394</v>
      </c>
      <c r="X263" s="15">
        <v>0.5625</v>
      </c>
      <c r="Y263" s="16" t="s">
        <v>2174</v>
      </c>
      <c r="Z263" s="16" t="s">
        <v>622</v>
      </c>
      <c r="AA263" s="36" t="s">
        <v>1808</v>
      </c>
      <c r="AB263" s="164">
        <v>202400681</v>
      </c>
      <c r="AC263" s="13" t="s">
        <v>12</v>
      </c>
      <c r="AE263" s="40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</row>
    <row r="264" spans="1:46">
      <c r="A264" s="14"/>
      <c r="B264" s="13" t="str">
        <f t="shared" si="25"/>
        <v>Pendente</v>
      </c>
      <c r="C264" s="14" t="str">
        <f t="shared" si="26"/>
        <v/>
      </c>
      <c r="D264" s="13" t="s">
        <v>611</v>
      </c>
      <c r="E264" s="14" t="str">
        <f t="shared" si="27"/>
        <v/>
      </c>
      <c r="F264" s="13" t="s">
        <v>611</v>
      </c>
      <c r="G264" s="40">
        <v>202400681</v>
      </c>
      <c r="H264" s="13" t="s">
        <v>2175</v>
      </c>
      <c r="I264" s="13" t="s">
        <v>1192</v>
      </c>
      <c r="J264" s="14">
        <v>45509</v>
      </c>
      <c r="K264" s="14">
        <v>45870</v>
      </c>
      <c r="L264" s="13" t="s">
        <v>2176</v>
      </c>
      <c r="M264" s="13" t="s">
        <v>2177</v>
      </c>
      <c r="N264" s="13" t="s">
        <v>2178</v>
      </c>
      <c r="O264" s="17" t="s">
        <v>2179</v>
      </c>
      <c r="P264" s="13" t="s">
        <v>196</v>
      </c>
      <c r="Q264" s="13" t="s">
        <v>618</v>
      </c>
      <c r="R264" s="13" t="e">
        <f>VLOOKUP(P264,'Dados das Regiões '!#REF!,2,0)</f>
        <v>#REF!</v>
      </c>
      <c r="S264" s="13" t="s">
        <v>2180</v>
      </c>
      <c r="T264" s="13"/>
      <c r="U264" s="79" t="s">
        <v>2181</v>
      </c>
      <c r="V264" s="13" t="s">
        <v>2182</v>
      </c>
      <c r="W264" s="13" t="s">
        <v>2183</v>
      </c>
      <c r="X264" s="15">
        <v>0.33333333333333331</v>
      </c>
      <c r="Y264" s="16" t="s">
        <v>1438</v>
      </c>
      <c r="Z264" s="16" t="s">
        <v>622</v>
      </c>
      <c r="AA264" s="36" t="s">
        <v>1808</v>
      </c>
      <c r="AB264" s="164">
        <v>202400681</v>
      </c>
      <c r="AC264" s="13" t="s">
        <v>12</v>
      </c>
      <c r="AE264" s="40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</row>
    <row r="265" spans="1:46">
      <c r="A265" s="14"/>
      <c r="B265" s="13" t="str">
        <f t="shared" si="25"/>
        <v>Pendente</v>
      </c>
      <c r="C265" s="14" t="str">
        <f t="shared" si="26"/>
        <v/>
      </c>
      <c r="D265" s="13" t="s">
        <v>611</v>
      </c>
      <c r="E265" s="14" t="str">
        <f t="shared" si="27"/>
        <v/>
      </c>
      <c r="F265" s="13" t="s">
        <v>611</v>
      </c>
      <c r="G265" s="40">
        <v>202400681</v>
      </c>
      <c r="H265" s="13" t="s">
        <v>2184</v>
      </c>
      <c r="I265" s="13" t="s">
        <v>1192</v>
      </c>
      <c r="J265" s="14">
        <v>45509</v>
      </c>
      <c r="K265" s="14">
        <v>45870</v>
      </c>
      <c r="L265" s="13" t="s">
        <v>2176</v>
      </c>
      <c r="M265" s="13" t="s">
        <v>2177</v>
      </c>
      <c r="N265" s="13" t="s">
        <v>2178</v>
      </c>
      <c r="O265" s="17" t="s">
        <v>2179</v>
      </c>
      <c r="P265" s="13" t="s">
        <v>196</v>
      </c>
      <c r="Q265" s="13" t="s">
        <v>618</v>
      </c>
      <c r="R265" s="13" t="e">
        <f>VLOOKUP(P265,'Dados das Regiões '!#REF!,2,0)</f>
        <v>#REF!</v>
      </c>
      <c r="S265" s="13" t="s">
        <v>2185</v>
      </c>
      <c r="T265" s="13"/>
      <c r="U265" s="79" t="s">
        <v>2181</v>
      </c>
      <c r="V265" s="13" t="s">
        <v>2182</v>
      </c>
      <c r="W265" s="13" t="s">
        <v>2183</v>
      </c>
      <c r="X265" s="15">
        <v>0.58333333333333337</v>
      </c>
      <c r="Y265" s="16" t="s">
        <v>1200</v>
      </c>
      <c r="Z265" s="16" t="s">
        <v>622</v>
      </c>
      <c r="AA265" s="36" t="s">
        <v>1808</v>
      </c>
      <c r="AB265" s="164">
        <v>202400681</v>
      </c>
      <c r="AC265" s="13" t="s">
        <v>12</v>
      </c>
      <c r="AE265" s="40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</row>
    <row r="266" spans="1:46">
      <c r="A266" s="14"/>
      <c r="B266" s="13" t="str">
        <f t="shared" si="25"/>
        <v>Pendente</v>
      </c>
      <c r="C266" s="14" t="str">
        <f t="shared" si="26"/>
        <v/>
      </c>
      <c r="D266" s="13" t="s">
        <v>611</v>
      </c>
      <c r="E266" s="14" t="str">
        <f t="shared" si="27"/>
        <v/>
      </c>
      <c r="F266" s="13" t="s">
        <v>611</v>
      </c>
      <c r="G266" s="40">
        <v>202400681</v>
      </c>
      <c r="H266" s="13" t="s">
        <v>2186</v>
      </c>
      <c r="I266" s="13" t="s">
        <v>1192</v>
      </c>
      <c r="J266" s="14">
        <v>45509</v>
      </c>
      <c r="K266" s="14">
        <v>45870</v>
      </c>
      <c r="L266" s="13" t="s">
        <v>2176</v>
      </c>
      <c r="M266" s="13" t="s">
        <v>2177</v>
      </c>
      <c r="N266" s="13" t="s">
        <v>2178</v>
      </c>
      <c r="O266" s="17" t="s">
        <v>2179</v>
      </c>
      <c r="P266" s="13" t="s">
        <v>196</v>
      </c>
      <c r="Q266" s="13" t="s">
        <v>618</v>
      </c>
      <c r="R266" s="13" t="e">
        <f>VLOOKUP(P266,'Dados das Regiões '!#REF!,2,0)</f>
        <v>#REF!</v>
      </c>
      <c r="S266" s="13" t="s">
        <v>2185</v>
      </c>
      <c r="T266" s="13"/>
      <c r="U266" s="79" t="s">
        <v>2181</v>
      </c>
      <c r="V266" s="13" t="s">
        <v>2182</v>
      </c>
      <c r="W266" s="13" t="s">
        <v>2183</v>
      </c>
      <c r="X266" s="15">
        <v>0.33333333333333331</v>
      </c>
      <c r="Y266" s="16" t="s">
        <v>1438</v>
      </c>
      <c r="Z266" s="16" t="s">
        <v>622</v>
      </c>
      <c r="AA266" s="36" t="s">
        <v>1808</v>
      </c>
      <c r="AB266" s="164">
        <v>202400681</v>
      </c>
      <c r="AC266" s="13" t="s">
        <v>12</v>
      </c>
      <c r="AE266" s="40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</row>
    <row r="267" spans="1:46">
      <c r="A267" s="14"/>
      <c r="B267" s="13" t="str">
        <f t="shared" si="25"/>
        <v>Pendente</v>
      </c>
      <c r="C267" s="14" t="str">
        <f t="shared" si="26"/>
        <v/>
      </c>
      <c r="D267" s="13" t="s">
        <v>611</v>
      </c>
      <c r="E267" s="14" t="str">
        <f t="shared" si="27"/>
        <v/>
      </c>
      <c r="F267" s="13" t="s">
        <v>611</v>
      </c>
      <c r="G267" s="40">
        <v>202400671</v>
      </c>
      <c r="H267" s="13" t="s">
        <v>2187</v>
      </c>
      <c r="I267" s="13" t="s">
        <v>613</v>
      </c>
      <c r="J267" s="14">
        <v>45509</v>
      </c>
      <c r="K267" s="14">
        <v>45870</v>
      </c>
      <c r="L267" s="13" t="s">
        <v>1801</v>
      </c>
      <c r="M267" s="13" t="s">
        <v>2188</v>
      </c>
      <c r="N267" s="13" t="s">
        <v>2189</v>
      </c>
      <c r="O267" s="17" t="s">
        <v>2190</v>
      </c>
      <c r="P267" s="13" t="s">
        <v>378</v>
      </c>
      <c r="Q267" s="13" t="s">
        <v>618</v>
      </c>
      <c r="R267" s="13" t="e">
        <f>VLOOKUP(P267,'Dados das Regiões '!#REF!,2,0)</f>
        <v>#REF!</v>
      </c>
      <c r="S267" s="13" t="s">
        <v>2191</v>
      </c>
      <c r="T267" s="13"/>
      <c r="U267" s="79"/>
      <c r="V267" s="13" t="s">
        <v>2192</v>
      </c>
      <c r="W267" s="13" t="s">
        <v>2193</v>
      </c>
      <c r="X267" s="15">
        <v>0.54166666666666663</v>
      </c>
      <c r="Y267" s="16" t="s">
        <v>1824</v>
      </c>
      <c r="Z267" s="16" t="s">
        <v>622</v>
      </c>
      <c r="AA267" s="36" t="s">
        <v>1808</v>
      </c>
      <c r="AB267" s="164">
        <v>202400671</v>
      </c>
      <c r="AC267" s="13" t="s">
        <v>6</v>
      </c>
      <c r="AE267" s="40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</row>
    <row r="268" spans="1:46">
      <c r="A268" s="14"/>
      <c r="B268" s="13" t="str">
        <f t="shared" si="25"/>
        <v>Pendente</v>
      </c>
      <c r="C268" s="14" t="str">
        <f t="shared" si="26"/>
        <v/>
      </c>
      <c r="D268" s="13" t="s">
        <v>611</v>
      </c>
      <c r="E268" s="14" t="str">
        <f t="shared" si="27"/>
        <v/>
      </c>
      <c r="F268" s="13" t="s">
        <v>611</v>
      </c>
      <c r="G268" s="40">
        <v>202400671</v>
      </c>
      <c r="H268" s="13" t="s">
        <v>2194</v>
      </c>
      <c r="I268" s="13" t="s">
        <v>613</v>
      </c>
      <c r="J268" s="14">
        <v>45509</v>
      </c>
      <c r="K268" s="14">
        <v>45870</v>
      </c>
      <c r="L268" s="13" t="s">
        <v>1801</v>
      </c>
      <c r="M268" s="13" t="s">
        <v>2195</v>
      </c>
      <c r="N268" s="13" t="s">
        <v>2196</v>
      </c>
      <c r="O268" s="17" t="s">
        <v>2197</v>
      </c>
      <c r="P268" s="13" t="s">
        <v>334</v>
      </c>
      <c r="Q268" s="13" t="s">
        <v>618</v>
      </c>
      <c r="R268" s="13" t="e">
        <f>VLOOKUP(P268,'Dados das Regiões '!#REF!,2,0)</f>
        <v>#REF!</v>
      </c>
      <c r="S268" s="13" t="s">
        <v>2198</v>
      </c>
      <c r="T268" s="13"/>
      <c r="U268" s="79"/>
      <c r="V268" s="13" t="s">
        <v>2199</v>
      </c>
      <c r="W268" s="13" t="s">
        <v>2200</v>
      </c>
      <c r="X268" s="15">
        <v>0.5625</v>
      </c>
      <c r="Y268" s="16" t="s">
        <v>1415</v>
      </c>
      <c r="Z268" s="16" t="s">
        <v>622</v>
      </c>
      <c r="AA268" s="36" t="s">
        <v>1808</v>
      </c>
      <c r="AB268" s="164">
        <v>202400671</v>
      </c>
      <c r="AC268" s="13" t="s">
        <v>6</v>
      </c>
      <c r="AE268" s="40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</row>
    <row r="269" spans="1:46">
      <c r="A269" s="14"/>
      <c r="B269" s="13" t="str">
        <f t="shared" si="25"/>
        <v>Pendente</v>
      </c>
      <c r="C269" s="14" t="str">
        <f t="shared" si="26"/>
        <v/>
      </c>
      <c r="D269" s="13" t="s">
        <v>611</v>
      </c>
      <c r="E269" s="14" t="str">
        <f t="shared" si="27"/>
        <v/>
      </c>
      <c r="F269" s="13" t="s">
        <v>611</v>
      </c>
      <c r="G269" s="40">
        <v>202400681</v>
      </c>
      <c r="H269" s="13" t="s">
        <v>2201</v>
      </c>
      <c r="I269" s="13" t="s">
        <v>1192</v>
      </c>
      <c r="J269" s="14">
        <v>45509</v>
      </c>
      <c r="K269" s="14">
        <v>45870</v>
      </c>
      <c r="L269" s="13" t="s">
        <v>2176</v>
      </c>
      <c r="M269" s="13" t="s">
        <v>2202</v>
      </c>
      <c r="N269" s="13" t="s">
        <v>2203</v>
      </c>
      <c r="O269" s="13" t="s">
        <v>2204</v>
      </c>
      <c r="P269" s="13" t="s">
        <v>295</v>
      </c>
      <c r="Q269" s="13" t="s">
        <v>618</v>
      </c>
      <c r="R269" s="13" t="e">
        <f>VLOOKUP(P269,'Dados das Regiões '!#REF!,2,0)</f>
        <v>#REF!</v>
      </c>
      <c r="S269" s="13" t="s">
        <v>2205</v>
      </c>
      <c r="T269" s="13"/>
      <c r="U269" s="79" t="s">
        <v>2206</v>
      </c>
      <c r="V269" s="13" t="s">
        <v>2207</v>
      </c>
      <c r="W269" s="13" t="s">
        <v>2208</v>
      </c>
      <c r="X269" s="15">
        <v>0.58333333333333337</v>
      </c>
      <c r="Y269" s="16" t="s">
        <v>1939</v>
      </c>
      <c r="Z269" s="16" t="s">
        <v>622</v>
      </c>
      <c r="AA269" s="36" t="s">
        <v>1808</v>
      </c>
      <c r="AB269" s="164">
        <v>202400681</v>
      </c>
      <c r="AC269" s="13" t="s">
        <v>12</v>
      </c>
      <c r="AE269" s="40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</row>
    <row r="270" spans="1:46">
      <c r="A270" s="14"/>
      <c r="B270" s="13" t="str">
        <f t="shared" si="25"/>
        <v>Pendente</v>
      </c>
      <c r="C270" s="14" t="str">
        <f t="shared" si="26"/>
        <v/>
      </c>
      <c r="D270" s="13" t="s">
        <v>611</v>
      </c>
      <c r="E270" s="14" t="str">
        <f t="shared" si="27"/>
        <v/>
      </c>
      <c r="F270" s="13" t="s">
        <v>611</v>
      </c>
      <c r="G270" s="40">
        <v>202400681</v>
      </c>
      <c r="H270" s="13" t="s">
        <v>2209</v>
      </c>
      <c r="I270" s="13" t="s">
        <v>1192</v>
      </c>
      <c r="J270" s="14">
        <v>45509</v>
      </c>
      <c r="K270" s="14">
        <v>45870</v>
      </c>
      <c r="L270" s="13" t="s">
        <v>2210</v>
      </c>
      <c r="M270" s="13" t="s">
        <v>2211</v>
      </c>
      <c r="N270" s="13" t="s">
        <v>2212</v>
      </c>
      <c r="O270" s="17" t="s">
        <v>2213</v>
      </c>
      <c r="P270" s="13" t="s">
        <v>317</v>
      </c>
      <c r="Q270" s="13" t="s">
        <v>618</v>
      </c>
      <c r="R270" s="13" t="e">
        <f>VLOOKUP(P270,'Dados das Regiões '!#REF!,2,0)</f>
        <v>#REF!</v>
      </c>
      <c r="S270" s="13" t="s">
        <v>2214</v>
      </c>
      <c r="T270" s="13"/>
      <c r="U270" s="79" t="s">
        <v>2215</v>
      </c>
      <c r="V270" s="13" t="s">
        <v>2216</v>
      </c>
      <c r="W270" s="13" t="s">
        <v>2217</v>
      </c>
      <c r="X270" s="15">
        <v>0.41666666666666669</v>
      </c>
      <c r="Y270" s="16" t="s">
        <v>1696</v>
      </c>
      <c r="Z270" s="16" t="s">
        <v>622</v>
      </c>
      <c r="AA270" s="36" t="s">
        <v>1808</v>
      </c>
      <c r="AB270" s="164">
        <v>202400681</v>
      </c>
      <c r="AC270" s="13" t="s">
        <v>12</v>
      </c>
      <c r="AE270" s="40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</row>
    <row r="271" spans="1:46">
      <c r="A271" s="100"/>
      <c r="B271" s="101" t="str">
        <f t="shared" si="25"/>
        <v>Pendente</v>
      </c>
      <c r="C271" s="100" t="str">
        <f t="shared" si="26"/>
        <v/>
      </c>
      <c r="D271" s="101" t="s">
        <v>611</v>
      </c>
      <c r="E271" s="100" t="str">
        <f t="shared" si="27"/>
        <v/>
      </c>
      <c r="F271" s="101" t="s">
        <v>611</v>
      </c>
      <c r="G271" s="107">
        <v>202400681</v>
      </c>
      <c r="H271" s="101" t="s">
        <v>2218</v>
      </c>
      <c r="I271" s="101" t="s">
        <v>1192</v>
      </c>
      <c r="J271" s="100">
        <v>45509</v>
      </c>
      <c r="K271" s="100">
        <v>45870</v>
      </c>
      <c r="L271" s="101" t="s">
        <v>2176</v>
      </c>
      <c r="M271" s="101" t="s">
        <v>2219</v>
      </c>
      <c r="N271" s="101" t="s">
        <v>2220</v>
      </c>
      <c r="O271" s="102" t="s">
        <v>2221</v>
      </c>
      <c r="P271" s="101" t="s">
        <v>294</v>
      </c>
      <c r="Q271" s="101" t="s">
        <v>618</v>
      </c>
      <c r="R271" s="101" t="e">
        <f>VLOOKUP(P271,'Dados das Regiões '!#REF!,2,0)</f>
        <v>#REF!</v>
      </c>
      <c r="S271" s="101" t="s">
        <v>2222</v>
      </c>
      <c r="T271" s="101"/>
      <c r="U271" s="108" t="s">
        <v>2223</v>
      </c>
      <c r="V271" s="101" t="s">
        <v>2224</v>
      </c>
      <c r="W271" s="101" t="s">
        <v>2225</v>
      </c>
      <c r="X271" s="103">
        <v>0.58333333333333337</v>
      </c>
      <c r="Y271" s="104" t="s">
        <v>1200</v>
      </c>
      <c r="Z271" s="104" t="s">
        <v>622</v>
      </c>
      <c r="AA271" s="105" t="s">
        <v>2226</v>
      </c>
      <c r="AB271" s="165">
        <v>202400681</v>
      </c>
      <c r="AC271" s="13" t="s">
        <v>12</v>
      </c>
      <c r="AE271" s="40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</row>
    <row r="272" spans="1:46">
      <c r="A272" s="14">
        <v>45854</v>
      </c>
      <c r="B272" s="13" t="str">
        <f t="shared" si="25"/>
        <v>Realizada</v>
      </c>
      <c r="C272" s="14">
        <f t="shared" si="26"/>
        <v>45946</v>
      </c>
      <c r="D272" s="13" t="s">
        <v>611</v>
      </c>
      <c r="E272" s="14">
        <f t="shared" si="27"/>
        <v>46038</v>
      </c>
      <c r="F272" s="13" t="s">
        <v>611</v>
      </c>
      <c r="G272" s="40">
        <v>202400681</v>
      </c>
      <c r="H272" s="13" t="s">
        <v>2227</v>
      </c>
      <c r="I272" s="13" t="s">
        <v>1192</v>
      </c>
      <c r="J272" s="14">
        <v>45509</v>
      </c>
      <c r="K272" s="14">
        <v>45870</v>
      </c>
      <c r="L272" s="13" t="s">
        <v>2176</v>
      </c>
      <c r="M272" s="13" t="s">
        <v>2219</v>
      </c>
      <c r="N272" s="13" t="s">
        <v>2220</v>
      </c>
      <c r="O272" s="17" t="s">
        <v>2221</v>
      </c>
      <c r="P272" s="13" t="s">
        <v>294</v>
      </c>
      <c r="Q272" s="13" t="s">
        <v>618</v>
      </c>
      <c r="R272" s="13" t="e">
        <f>VLOOKUP(P272,'Dados das Regiões '!#REF!,2,0)</f>
        <v>#REF!</v>
      </c>
      <c r="S272" s="13" t="s">
        <v>2228</v>
      </c>
      <c r="T272" s="13"/>
      <c r="U272" s="79" t="s">
        <v>2223</v>
      </c>
      <c r="V272" s="13" t="s">
        <v>2224</v>
      </c>
      <c r="W272" s="13" t="s">
        <v>2225</v>
      </c>
      <c r="X272" s="15">
        <v>0.58333333333333337</v>
      </c>
      <c r="Y272" s="16" t="s">
        <v>1200</v>
      </c>
      <c r="Z272" s="16" t="s">
        <v>622</v>
      </c>
      <c r="AA272" s="36" t="s">
        <v>2029</v>
      </c>
      <c r="AB272" s="164">
        <v>202400681</v>
      </c>
      <c r="AC272" s="13" t="s">
        <v>12</v>
      </c>
      <c r="AE272" s="40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</row>
    <row r="273" spans="1:46">
      <c r="A273" s="14">
        <v>45854</v>
      </c>
      <c r="B273" s="13" t="str">
        <f t="shared" si="25"/>
        <v>Realizada</v>
      </c>
      <c r="C273" s="14">
        <f t="shared" si="26"/>
        <v>45946</v>
      </c>
      <c r="D273" s="13" t="s">
        <v>611</v>
      </c>
      <c r="E273" s="14">
        <f t="shared" si="27"/>
        <v>46038</v>
      </c>
      <c r="F273" s="13" t="s">
        <v>611</v>
      </c>
      <c r="G273" s="40">
        <v>202400681</v>
      </c>
      <c r="H273" s="13" t="s">
        <v>2229</v>
      </c>
      <c r="I273" s="13" t="s">
        <v>1192</v>
      </c>
      <c r="J273" s="14">
        <v>45509</v>
      </c>
      <c r="K273" s="14">
        <v>45870</v>
      </c>
      <c r="L273" s="13" t="s">
        <v>2176</v>
      </c>
      <c r="M273" s="13" t="s">
        <v>2219</v>
      </c>
      <c r="N273" s="13" t="s">
        <v>2220</v>
      </c>
      <c r="O273" s="17" t="s">
        <v>2221</v>
      </c>
      <c r="P273" s="13" t="s">
        <v>294</v>
      </c>
      <c r="Q273" s="13" t="s">
        <v>618</v>
      </c>
      <c r="R273" s="13" t="e">
        <f>VLOOKUP(P273,'Dados das Regiões '!#REF!,2,0)</f>
        <v>#REF!</v>
      </c>
      <c r="S273" s="13" t="s">
        <v>2228</v>
      </c>
      <c r="T273" s="13"/>
      <c r="U273" s="79" t="s">
        <v>2223</v>
      </c>
      <c r="V273" s="13" t="s">
        <v>2224</v>
      </c>
      <c r="W273" s="13" t="s">
        <v>2225</v>
      </c>
      <c r="X273" s="15">
        <v>0.58333333333333337</v>
      </c>
      <c r="Y273" s="16" t="s">
        <v>1200</v>
      </c>
      <c r="Z273" s="16" t="s">
        <v>622</v>
      </c>
      <c r="AA273" s="36" t="s">
        <v>2029</v>
      </c>
      <c r="AB273" s="164">
        <v>202400681</v>
      </c>
      <c r="AC273" s="13" t="s">
        <v>12</v>
      </c>
      <c r="AE273" s="40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</row>
    <row r="274" spans="1:46">
      <c r="A274" s="14"/>
      <c r="B274" s="13" t="str">
        <f t="shared" si="25"/>
        <v>Pendente</v>
      </c>
      <c r="C274" s="14" t="str">
        <f t="shared" si="26"/>
        <v/>
      </c>
      <c r="D274" s="13" t="s">
        <v>611</v>
      </c>
      <c r="E274" s="14" t="str">
        <f t="shared" si="27"/>
        <v/>
      </c>
      <c r="F274" s="13" t="s">
        <v>611</v>
      </c>
      <c r="G274" s="40">
        <v>202400682</v>
      </c>
      <c r="H274" s="13" t="s">
        <v>2230</v>
      </c>
      <c r="I274" s="13" t="s">
        <v>1192</v>
      </c>
      <c r="J274" s="14">
        <v>45509</v>
      </c>
      <c r="K274" s="14">
        <v>45870</v>
      </c>
      <c r="L274" s="13" t="s">
        <v>1278</v>
      </c>
      <c r="M274" s="13" t="s">
        <v>1279</v>
      </c>
      <c r="N274" s="13" t="s">
        <v>1280</v>
      </c>
      <c r="O274" s="13" t="s">
        <v>1281</v>
      </c>
      <c r="P274" s="13" t="s">
        <v>411</v>
      </c>
      <c r="Q274" s="13" t="s">
        <v>618</v>
      </c>
      <c r="R274" s="13" t="e">
        <f>VLOOKUP(P274,'Dados das Regiões '!#REF!,2,0)</f>
        <v>#REF!</v>
      </c>
      <c r="S274" s="13" t="s">
        <v>2231</v>
      </c>
      <c r="T274" s="13"/>
      <c r="U274" s="79" t="s">
        <v>1283</v>
      </c>
      <c r="V274" s="13" t="s">
        <v>1283</v>
      </c>
      <c r="W274" s="13" t="s">
        <v>1284</v>
      </c>
      <c r="X274" s="15">
        <v>0.66666666666666663</v>
      </c>
      <c r="Y274" s="16" t="s">
        <v>1967</v>
      </c>
      <c r="Z274" s="16" t="s">
        <v>622</v>
      </c>
      <c r="AA274" s="36" t="s">
        <v>1808</v>
      </c>
      <c r="AB274" s="164">
        <v>202400682</v>
      </c>
      <c r="AC274" s="13" t="s">
        <v>14</v>
      </c>
      <c r="AT274" s="13"/>
    </row>
    <row r="275" spans="1:46">
      <c r="A275" s="14"/>
      <c r="B275" s="13" t="str">
        <f t="shared" si="25"/>
        <v>Pendente</v>
      </c>
      <c r="C275" s="14" t="str">
        <f t="shared" si="26"/>
        <v/>
      </c>
      <c r="D275" s="13" t="s">
        <v>611</v>
      </c>
      <c r="E275" s="14" t="str">
        <f t="shared" si="27"/>
        <v/>
      </c>
      <c r="F275" s="13" t="s">
        <v>611</v>
      </c>
      <c r="G275" s="40">
        <v>202400682</v>
      </c>
      <c r="H275" s="13" t="s">
        <v>2232</v>
      </c>
      <c r="I275" s="13" t="s">
        <v>1192</v>
      </c>
      <c r="J275" s="14">
        <v>45509</v>
      </c>
      <c r="K275" s="14">
        <v>45870</v>
      </c>
      <c r="L275" s="13" t="s">
        <v>1278</v>
      </c>
      <c r="M275" s="13" t="s">
        <v>1279</v>
      </c>
      <c r="N275" s="13" t="s">
        <v>1280</v>
      </c>
      <c r="O275" s="13" t="s">
        <v>1281</v>
      </c>
      <c r="P275" s="13" t="s">
        <v>411</v>
      </c>
      <c r="Q275" s="13" t="s">
        <v>618</v>
      </c>
      <c r="R275" s="13" t="e">
        <f>VLOOKUP(P275,'Dados das Regiões '!#REF!,2,0)</f>
        <v>#REF!</v>
      </c>
      <c r="S275" s="13" t="s">
        <v>2233</v>
      </c>
      <c r="T275" s="13"/>
      <c r="U275" s="79" t="s">
        <v>1283</v>
      </c>
      <c r="V275" s="13" t="s">
        <v>1283</v>
      </c>
      <c r="W275" s="13" t="s">
        <v>1284</v>
      </c>
      <c r="X275" s="15">
        <v>0.66666666666666663</v>
      </c>
      <c r="Y275" s="16" t="s">
        <v>1967</v>
      </c>
      <c r="Z275" s="16" t="s">
        <v>622</v>
      </c>
      <c r="AA275" s="36" t="s">
        <v>1808</v>
      </c>
      <c r="AB275" s="164">
        <v>202400682</v>
      </c>
      <c r="AC275" s="13" t="s">
        <v>14</v>
      </c>
      <c r="AT275" s="13"/>
    </row>
    <row r="276" spans="1:46">
      <c r="A276" s="14"/>
      <c r="B276" s="13" t="str">
        <f t="shared" si="25"/>
        <v>Pendente</v>
      </c>
      <c r="C276" s="14" t="str">
        <f t="shared" si="26"/>
        <v/>
      </c>
      <c r="D276" s="13" t="s">
        <v>611</v>
      </c>
      <c r="E276" s="14" t="str">
        <f t="shared" si="27"/>
        <v/>
      </c>
      <c r="F276" s="13" t="s">
        <v>611</v>
      </c>
      <c r="G276" s="40">
        <v>202400671</v>
      </c>
      <c r="H276" s="13" t="s">
        <v>2234</v>
      </c>
      <c r="I276" s="13" t="s">
        <v>613</v>
      </c>
      <c r="J276" s="14">
        <v>45509</v>
      </c>
      <c r="K276" s="14">
        <v>45870</v>
      </c>
      <c r="L276" s="13" t="s">
        <v>1801</v>
      </c>
      <c r="M276" s="13" t="s">
        <v>2235</v>
      </c>
      <c r="N276" s="13" t="s">
        <v>2236</v>
      </c>
      <c r="O276" s="17" t="s">
        <v>2237</v>
      </c>
      <c r="P276" s="13" t="s">
        <v>474</v>
      </c>
      <c r="Q276" s="13" t="s">
        <v>618</v>
      </c>
      <c r="R276" s="13" t="e">
        <f>VLOOKUP(P276,'Dados das Regiões '!#REF!,2,0)</f>
        <v>#REF!</v>
      </c>
      <c r="S276" s="13" t="s">
        <v>2238</v>
      </c>
      <c r="T276" s="13"/>
      <c r="U276" s="79"/>
      <c r="V276" s="13" t="s">
        <v>2239</v>
      </c>
      <c r="W276" s="13" t="s">
        <v>2240</v>
      </c>
      <c r="X276" s="15">
        <v>0.625</v>
      </c>
      <c r="Y276" s="16" t="s">
        <v>1824</v>
      </c>
      <c r="Z276" s="16" t="s">
        <v>622</v>
      </c>
      <c r="AA276" s="36" t="s">
        <v>1808</v>
      </c>
      <c r="AB276" s="164">
        <v>202400671</v>
      </c>
      <c r="AC276" s="13" t="s">
        <v>6</v>
      </c>
      <c r="AE276" s="40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</row>
    <row r="277" spans="1:46">
      <c r="A277" s="14"/>
      <c r="B277" s="13" t="str">
        <f t="shared" si="25"/>
        <v>Pendente</v>
      </c>
      <c r="C277" s="14" t="str">
        <f t="shared" si="26"/>
        <v/>
      </c>
      <c r="D277" s="13" t="s">
        <v>611</v>
      </c>
      <c r="E277" s="14" t="str">
        <f t="shared" si="27"/>
        <v/>
      </c>
      <c r="F277" s="13" t="s">
        <v>611</v>
      </c>
      <c r="G277" s="40">
        <v>202400682</v>
      </c>
      <c r="H277" s="13" t="s">
        <v>2241</v>
      </c>
      <c r="I277" s="13" t="s">
        <v>1192</v>
      </c>
      <c r="J277" s="14">
        <v>45509</v>
      </c>
      <c r="K277" s="14">
        <v>45870</v>
      </c>
      <c r="L277" s="13" t="s">
        <v>1288</v>
      </c>
      <c r="M277" s="13" t="s">
        <v>1289</v>
      </c>
      <c r="N277" s="13" t="s">
        <v>1290</v>
      </c>
      <c r="O277" s="13" t="s">
        <v>1291</v>
      </c>
      <c r="P277" s="13" t="s">
        <v>385</v>
      </c>
      <c r="Q277" s="13" t="s">
        <v>618</v>
      </c>
      <c r="R277" s="13" t="e">
        <f>VLOOKUP(P277,'Dados das Regiões '!#REF!,2,0)</f>
        <v>#REF!</v>
      </c>
      <c r="S277" s="13" t="s">
        <v>2242</v>
      </c>
      <c r="T277" s="13"/>
      <c r="U277" s="79" t="s">
        <v>1293</v>
      </c>
      <c r="V277" s="13" t="s">
        <v>1293</v>
      </c>
      <c r="W277" s="13" t="s">
        <v>1294</v>
      </c>
      <c r="X277" s="15">
        <v>0.33333333333333331</v>
      </c>
      <c r="Y277" s="16" t="s">
        <v>1438</v>
      </c>
      <c r="Z277" s="16" t="s">
        <v>622</v>
      </c>
      <c r="AA277" s="36" t="s">
        <v>1808</v>
      </c>
      <c r="AB277" s="164">
        <v>202400682</v>
      </c>
      <c r="AC277" s="13" t="s">
        <v>14</v>
      </c>
      <c r="AE277" s="40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</row>
    <row r="278" spans="1:46">
      <c r="A278" s="14">
        <v>45819</v>
      </c>
      <c r="B278" s="13" t="str">
        <f t="shared" si="25"/>
        <v>Realizada</v>
      </c>
      <c r="C278" s="14">
        <f t="shared" si="26"/>
        <v>45911</v>
      </c>
      <c r="D278" s="13" t="s">
        <v>611</v>
      </c>
      <c r="E278" s="14">
        <f t="shared" si="27"/>
        <v>46002</v>
      </c>
      <c r="F278" s="13" t="s">
        <v>611</v>
      </c>
      <c r="G278" s="40">
        <v>202400671</v>
      </c>
      <c r="H278" s="13" t="s">
        <v>2243</v>
      </c>
      <c r="I278" s="13" t="s">
        <v>613</v>
      </c>
      <c r="J278" s="14">
        <v>45509</v>
      </c>
      <c r="K278" s="14">
        <v>45870</v>
      </c>
      <c r="L278" s="13" t="s">
        <v>1801</v>
      </c>
      <c r="M278" s="13" t="s">
        <v>2244</v>
      </c>
      <c r="N278" s="13" t="s">
        <v>2245</v>
      </c>
      <c r="O278" s="17" t="s">
        <v>2246</v>
      </c>
      <c r="P278" s="13" t="s">
        <v>457</v>
      </c>
      <c r="Q278" s="13" t="s">
        <v>618</v>
      </c>
      <c r="R278" s="13" t="e">
        <f>VLOOKUP(P278,'Dados das Regiões '!#REF!,2,0)</f>
        <v>#REF!</v>
      </c>
      <c r="S278" s="13" t="s">
        <v>2247</v>
      </c>
      <c r="T278" s="13"/>
      <c r="U278" s="79"/>
      <c r="V278" s="13" t="s">
        <v>2248</v>
      </c>
      <c r="W278" s="13" t="s">
        <v>2249</v>
      </c>
      <c r="X278" s="15">
        <v>0.54166666666666663</v>
      </c>
      <c r="Y278" s="16" t="s">
        <v>1824</v>
      </c>
      <c r="Z278" s="16" t="s">
        <v>622</v>
      </c>
      <c r="AA278" s="36" t="s">
        <v>1808</v>
      </c>
      <c r="AB278" s="164">
        <v>202400671</v>
      </c>
      <c r="AC278" s="13" t="s">
        <v>6</v>
      </c>
      <c r="AE278" s="40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</row>
    <row r="279" spans="1:46">
      <c r="A279" s="14"/>
      <c r="B279" s="13" t="str">
        <f t="shared" si="25"/>
        <v>Pendente</v>
      </c>
      <c r="C279" s="14" t="str">
        <f t="shared" si="26"/>
        <v/>
      </c>
      <c r="D279" s="13" t="s">
        <v>611</v>
      </c>
      <c r="E279" s="14" t="str">
        <f t="shared" si="27"/>
        <v/>
      </c>
      <c r="F279" s="13" t="s">
        <v>611</v>
      </c>
      <c r="G279" s="40">
        <v>202400682</v>
      </c>
      <c r="H279" s="13" t="s">
        <v>2250</v>
      </c>
      <c r="I279" s="13" t="s">
        <v>1192</v>
      </c>
      <c r="J279" s="14">
        <v>45509</v>
      </c>
      <c r="K279" s="14">
        <v>45870</v>
      </c>
      <c r="L279" s="13" t="s">
        <v>1288</v>
      </c>
      <c r="M279" s="13" t="s">
        <v>1289</v>
      </c>
      <c r="N279" s="13" t="s">
        <v>1290</v>
      </c>
      <c r="O279" s="13" t="s">
        <v>1291</v>
      </c>
      <c r="P279" s="13" t="s">
        <v>385</v>
      </c>
      <c r="Q279" s="13" t="s">
        <v>618</v>
      </c>
      <c r="R279" s="13" t="e">
        <f>VLOOKUP(P279,'Dados das Regiões '!#REF!,2,0)</f>
        <v>#REF!</v>
      </c>
      <c r="S279" s="13" t="s">
        <v>2251</v>
      </c>
      <c r="T279" s="13"/>
      <c r="U279" s="79" t="s">
        <v>1293</v>
      </c>
      <c r="V279" s="13" t="s">
        <v>1293</v>
      </c>
      <c r="W279" s="13" t="s">
        <v>1294</v>
      </c>
      <c r="X279" s="15">
        <v>0.33333333333333331</v>
      </c>
      <c r="Y279" s="16" t="s">
        <v>1438</v>
      </c>
      <c r="Z279" s="16" t="s">
        <v>622</v>
      </c>
      <c r="AA279" s="36" t="s">
        <v>1808</v>
      </c>
      <c r="AB279" s="164">
        <v>202400682</v>
      </c>
      <c r="AC279" s="13" t="s">
        <v>14</v>
      </c>
      <c r="AE279" s="40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</row>
    <row r="280" spans="1:46">
      <c r="A280" s="14"/>
      <c r="B280" s="13" t="str">
        <f t="shared" si="25"/>
        <v>Pendente</v>
      </c>
      <c r="C280" s="14" t="str">
        <f t="shared" si="26"/>
        <v/>
      </c>
      <c r="D280" s="13" t="s">
        <v>611</v>
      </c>
      <c r="E280" s="14" t="str">
        <f t="shared" si="27"/>
        <v/>
      </c>
      <c r="F280" s="13" t="s">
        <v>611</v>
      </c>
      <c r="G280" s="40">
        <v>202400682</v>
      </c>
      <c r="H280" s="13" t="s">
        <v>2252</v>
      </c>
      <c r="I280" s="13" t="s">
        <v>1192</v>
      </c>
      <c r="J280" s="14">
        <v>45509</v>
      </c>
      <c r="K280" s="14">
        <v>45870</v>
      </c>
      <c r="L280" s="13" t="s">
        <v>2253</v>
      </c>
      <c r="M280" s="13" t="s">
        <v>2254</v>
      </c>
      <c r="N280" s="13" t="s">
        <v>2255</v>
      </c>
      <c r="O280" s="17" t="s">
        <v>2256</v>
      </c>
      <c r="P280" s="13" t="s">
        <v>258</v>
      </c>
      <c r="Q280" s="13" t="s">
        <v>618</v>
      </c>
      <c r="R280" s="13" t="e">
        <f>VLOOKUP(P280,'Dados das Regiões '!#REF!,2,0)</f>
        <v>#REF!</v>
      </c>
      <c r="S280" s="13" t="s">
        <v>2257</v>
      </c>
      <c r="T280" s="13"/>
      <c r="U280" s="79"/>
      <c r="V280" s="13" t="s">
        <v>2258</v>
      </c>
      <c r="W280" s="13" t="s">
        <v>2259</v>
      </c>
      <c r="X280" s="15">
        <v>0.33333333333333331</v>
      </c>
      <c r="Y280" s="16" t="s">
        <v>1438</v>
      </c>
      <c r="Z280" s="16" t="s">
        <v>622</v>
      </c>
      <c r="AA280" s="36" t="s">
        <v>1808</v>
      </c>
      <c r="AB280" s="164">
        <v>202400682</v>
      </c>
      <c r="AC280" s="13" t="s">
        <v>14</v>
      </c>
      <c r="AE280" s="40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</row>
    <row r="281" spans="1:46">
      <c r="A281" s="14"/>
      <c r="B281" s="13" t="str">
        <f t="shared" si="25"/>
        <v>Pendente</v>
      </c>
      <c r="C281" s="14" t="str">
        <f t="shared" si="26"/>
        <v/>
      </c>
      <c r="D281" s="13" t="s">
        <v>611</v>
      </c>
      <c r="E281" s="14" t="str">
        <f t="shared" si="27"/>
        <v/>
      </c>
      <c r="F281" s="13" t="s">
        <v>611</v>
      </c>
      <c r="G281" s="40">
        <v>202400682</v>
      </c>
      <c r="H281" s="13" t="s">
        <v>2260</v>
      </c>
      <c r="I281" s="13" t="s">
        <v>1192</v>
      </c>
      <c r="J281" s="14">
        <v>45509</v>
      </c>
      <c r="K281" s="14">
        <v>45870</v>
      </c>
      <c r="L281" s="13" t="s">
        <v>2261</v>
      </c>
      <c r="M281" s="13" t="s">
        <v>2262</v>
      </c>
      <c r="N281" s="13" t="s">
        <v>2263</v>
      </c>
      <c r="O281" s="17" t="s">
        <v>2264</v>
      </c>
      <c r="P281" s="13" t="s">
        <v>145</v>
      </c>
      <c r="Q281" s="13" t="s">
        <v>618</v>
      </c>
      <c r="R281" s="13" t="e">
        <f>VLOOKUP(P281,'Dados das Regiões '!#REF!,2,0)</f>
        <v>#REF!</v>
      </c>
      <c r="S281" s="13" t="s">
        <v>2265</v>
      </c>
      <c r="T281" s="13"/>
      <c r="U281" s="79" t="s">
        <v>2266</v>
      </c>
      <c r="V281" s="13" t="s">
        <v>2267</v>
      </c>
      <c r="W281" s="13" t="s">
        <v>2268</v>
      </c>
      <c r="X281" s="15">
        <v>0.33333333333333331</v>
      </c>
      <c r="Y281" s="16" t="s">
        <v>1438</v>
      </c>
      <c r="Z281" s="16" t="s">
        <v>622</v>
      </c>
      <c r="AA281" s="36" t="s">
        <v>1808</v>
      </c>
      <c r="AB281" s="164">
        <v>202400682</v>
      </c>
      <c r="AC281" s="13" t="s">
        <v>14</v>
      </c>
      <c r="AE281" s="40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</row>
    <row r="282" spans="1:46">
      <c r="A282" s="14"/>
      <c r="B282" s="13" t="str">
        <f t="shared" si="25"/>
        <v>Pendente</v>
      </c>
      <c r="C282" s="14" t="str">
        <f t="shared" si="26"/>
        <v/>
      </c>
      <c r="D282" s="13" t="s">
        <v>611</v>
      </c>
      <c r="E282" s="14" t="str">
        <f t="shared" si="27"/>
        <v/>
      </c>
      <c r="F282" s="13" t="s">
        <v>611</v>
      </c>
      <c r="G282" s="40">
        <v>202400671</v>
      </c>
      <c r="H282" s="13" t="s">
        <v>2269</v>
      </c>
      <c r="I282" s="13" t="s">
        <v>613</v>
      </c>
      <c r="J282" s="14">
        <v>45509</v>
      </c>
      <c r="K282" s="14">
        <v>45870</v>
      </c>
      <c r="L282" s="13" t="s">
        <v>1801</v>
      </c>
      <c r="M282" s="13" t="s">
        <v>2270</v>
      </c>
      <c r="N282" s="13" t="s">
        <v>2271</v>
      </c>
      <c r="O282" s="17" t="s">
        <v>2272</v>
      </c>
      <c r="P282" s="13" t="s">
        <v>334</v>
      </c>
      <c r="Q282" s="13" t="s">
        <v>618</v>
      </c>
      <c r="R282" s="13" t="e">
        <f>VLOOKUP(P282,'Dados das Regiões '!#REF!,2,0)</f>
        <v>#REF!</v>
      </c>
      <c r="S282" s="13" t="s">
        <v>2273</v>
      </c>
      <c r="T282" s="13"/>
      <c r="U282" s="79"/>
      <c r="V282" s="13" t="s">
        <v>2274</v>
      </c>
      <c r="W282" s="13" t="s">
        <v>2275</v>
      </c>
      <c r="X282" s="15">
        <v>0.5625</v>
      </c>
      <c r="Y282" s="16" t="s">
        <v>1415</v>
      </c>
      <c r="Z282" s="16" t="s">
        <v>622</v>
      </c>
      <c r="AA282" s="36" t="s">
        <v>1808</v>
      </c>
      <c r="AB282" s="164">
        <v>202400671</v>
      </c>
      <c r="AC282" s="13" t="s">
        <v>6</v>
      </c>
      <c r="AE282" s="40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</row>
    <row r="283" spans="1:46">
      <c r="A283" s="14"/>
      <c r="B283" s="13" t="str">
        <f t="shared" si="25"/>
        <v>Pendente</v>
      </c>
      <c r="C283" s="14" t="str">
        <f t="shared" si="26"/>
        <v/>
      </c>
      <c r="D283" s="13" t="s">
        <v>611</v>
      </c>
      <c r="E283" s="14" t="str">
        <f t="shared" si="27"/>
        <v/>
      </c>
      <c r="F283" s="13" t="s">
        <v>611</v>
      </c>
      <c r="G283" s="40">
        <v>202400682</v>
      </c>
      <c r="H283" s="13" t="s">
        <v>2276</v>
      </c>
      <c r="I283" s="13" t="s">
        <v>1192</v>
      </c>
      <c r="J283" s="14">
        <v>45509</v>
      </c>
      <c r="K283" s="14">
        <v>45870</v>
      </c>
      <c r="L283" s="13" t="s">
        <v>2261</v>
      </c>
      <c r="M283" s="13" t="s">
        <v>2262</v>
      </c>
      <c r="N283" s="13" t="s">
        <v>2263</v>
      </c>
      <c r="O283" s="17" t="s">
        <v>2264</v>
      </c>
      <c r="P283" s="13" t="s">
        <v>145</v>
      </c>
      <c r="Q283" s="13" t="s">
        <v>618</v>
      </c>
      <c r="R283" s="13" t="e">
        <f>VLOOKUP(P283,'Dados das Regiões '!#REF!,2,0)</f>
        <v>#REF!</v>
      </c>
      <c r="S283" s="13" t="s">
        <v>2265</v>
      </c>
      <c r="T283" s="13"/>
      <c r="U283" s="79" t="s">
        <v>2266</v>
      </c>
      <c r="V283" s="13" t="s">
        <v>2267</v>
      </c>
      <c r="W283" s="13" t="s">
        <v>2268</v>
      </c>
      <c r="X283" s="15">
        <v>0.5625</v>
      </c>
      <c r="Y283" s="16" t="s">
        <v>1415</v>
      </c>
      <c r="Z283" s="16" t="s">
        <v>622</v>
      </c>
      <c r="AA283" s="36" t="s">
        <v>1808</v>
      </c>
      <c r="AB283" s="164">
        <v>202400682</v>
      </c>
      <c r="AC283" s="13" t="s">
        <v>14</v>
      </c>
      <c r="AE283" s="40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</row>
    <row r="284" spans="1:46">
      <c r="A284" s="29">
        <v>45757</v>
      </c>
      <c r="B284" s="18" t="str">
        <f t="shared" si="25"/>
        <v>Realizada</v>
      </c>
      <c r="C284" s="29">
        <f t="shared" si="26"/>
        <v>45848</v>
      </c>
      <c r="D284" s="18" t="s">
        <v>611</v>
      </c>
      <c r="E284" s="29">
        <f t="shared" si="27"/>
        <v>45940</v>
      </c>
      <c r="F284" s="18" t="s">
        <v>611</v>
      </c>
      <c r="G284" s="44">
        <v>202400682</v>
      </c>
      <c r="H284" s="18" t="s">
        <v>2277</v>
      </c>
      <c r="I284" s="18" t="s">
        <v>1192</v>
      </c>
      <c r="J284" s="29">
        <v>45509</v>
      </c>
      <c r="K284" s="29">
        <v>45870</v>
      </c>
      <c r="L284" s="18" t="s">
        <v>2278</v>
      </c>
      <c r="M284" s="18" t="s">
        <v>2279</v>
      </c>
      <c r="N284" s="18" t="s">
        <v>2280</v>
      </c>
      <c r="O284" s="18" t="s">
        <v>2280</v>
      </c>
      <c r="P284" s="18" t="s">
        <v>513</v>
      </c>
      <c r="Q284" s="18" t="s">
        <v>618</v>
      </c>
      <c r="R284" s="18" t="e">
        <f>VLOOKUP(P284,'Dados das Regiões '!#REF!,2,0)</f>
        <v>#REF!</v>
      </c>
      <c r="S284" s="18" t="s">
        <v>2281</v>
      </c>
      <c r="T284" s="18"/>
      <c r="U284" s="82" t="s">
        <v>2282</v>
      </c>
      <c r="V284" s="18" t="s">
        <v>2283</v>
      </c>
      <c r="W284" s="18" t="s">
        <v>2284</v>
      </c>
      <c r="X284" s="30">
        <v>0.33333333333333331</v>
      </c>
      <c r="Y284" s="31" t="s">
        <v>1438</v>
      </c>
      <c r="Z284" s="31" t="s">
        <v>622</v>
      </c>
      <c r="AA284" s="36" t="s">
        <v>1808</v>
      </c>
      <c r="AB284" s="166">
        <v>202400682</v>
      </c>
      <c r="AC284" s="13" t="s">
        <v>14</v>
      </c>
      <c r="AE284" s="40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</row>
    <row r="285" spans="1:46">
      <c r="A285" s="14"/>
      <c r="B285" s="13" t="str">
        <f t="shared" si="25"/>
        <v>Pendente</v>
      </c>
      <c r="C285" s="14" t="str">
        <f t="shared" si="26"/>
        <v/>
      </c>
      <c r="D285" s="13" t="s">
        <v>611</v>
      </c>
      <c r="E285" s="14" t="str">
        <f t="shared" si="27"/>
        <v/>
      </c>
      <c r="F285" s="13" t="s">
        <v>611</v>
      </c>
      <c r="G285" s="40">
        <v>202400671</v>
      </c>
      <c r="H285" s="13" t="s">
        <v>2285</v>
      </c>
      <c r="I285" s="13" t="s">
        <v>613</v>
      </c>
      <c r="J285" s="14">
        <v>45509</v>
      </c>
      <c r="K285" s="14">
        <v>45870</v>
      </c>
      <c r="L285" s="13" t="s">
        <v>2286</v>
      </c>
      <c r="M285" s="13" t="s">
        <v>2287</v>
      </c>
      <c r="N285" s="13" t="s">
        <v>2288</v>
      </c>
      <c r="O285" s="17" t="s">
        <v>2289</v>
      </c>
      <c r="P285" s="13" t="s">
        <v>373</v>
      </c>
      <c r="Q285" s="13" t="s">
        <v>618</v>
      </c>
      <c r="R285" s="13" t="e">
        <f>VLOOKUP(P285,'Dados das Regiões '!#REF!,2,0)</f>
        <v>#REF!</v>
      </c>
      <c r="S285" s="13" t="s">
        <v>2290</v>
      </c>
      <c r="T285" s="13"/>
      <c r="U285" s="79"/>
      <c r="V285" s="13" t="s">
        <v>2291</v>
      </c>
      <c r="W285" s="13" t="s">
        <v>2292</v>
      </c>
      <c r="X285" s="15">
        <v>0.58333333333333337</v>
      </c>
      <c r="Y285" s="16" t="s">
        <v>1200</v>
      </c>
      <c r="Z285" s="16" t="s">
        <v>622</v>
      </c>
      <c r="AA285" s="36" t="s">
        <v>1808</v>
      </c>
      <c r="AB285" s="164">
        <v>202400671</v>
      </c>
      <c r="AC285" s="13" t="s">
        <v>6</v>
      </c>
      <c r="AE285" s="40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</row>
    <row r="286" spans="1:46">
      <c r="A286" s="14"/>
      <c r="B286" s="13" t="str">
        <f t="shared" si="25"/>
        <v>Pendente</v>
      </c>
      <c r="C286" s="14" t="str">
        <f t="shared" si="26"/>
        <v/>
      </c>
      <c r="D286" s="13" t="s">
        <v>611</v>
      </c>
      <c r="E286" s="14" t="str">
        <f t="shared" si="27"/>
        <v/>
      </c>
      <c r="F286" s="13" t="s">
        <v>611</v>
      </c>
      <c r="G286" s="40">
        <v>202400671</v>
      </c>
      <c r="H286" s="13" t="s">
        <v>2293</v>
      </c>
      <c r="I286" s="13" t="s">
        <v>613</v>
      </c>
      <c r="J286" s="14">
        <v>45509</v>
      </c>
      <c r="K286" s="14">
        <v>45870</v>
      </c>
      <c r="L286" s="13" t="s">
        <v>2294</v>
      </c>
      <c r="M286" s="13" t="s">
        <v>2295</v>
      </c>
      <c r="N286" s="13" t="s">
        <v>2296</v>
      </c>
      <c r="O286" s="17" t="s">
        <v>2297</v>
      </c>
      <c r="P286" s="13" t="s">
        <v>233</v>
      </c>
      <c r="Q286" s="13" t="s">
        <v>618</v>
      </c>
      <c r="R286" s="13" t="e">
        <f>VLOOKUP(P286,'Dados das Regiões '!#REF!,2,0)</f>
        <v>#REF!</v>
      </c>
      <c r="S286" s="13" t="s">
        <v>2298</v>
      </c>
      <c r="T286" s="13"/>
      <c r="U286" s="79"/>
      <c r="V286" s="13" t="s">
        <v>2299</v>
      </c>
      <c r="W286" s="13" t="s">
        <v>2300</v>
      </c>
      <c r="X286" s="15">
        <v>0.5625</v>
      </c>
      <c r="Y286" s="16" t="s">
        <v>1415</v>
      </c>
      <c r="Z286" s="16" t="s">
        <v>622</v>
      </c>
      <c r="AA286" s="36" t="s">
        <v>1808</v>
      </c>
      <c r="AB286" s="164">
        <v>202400671</v>
      </c>
      <c r="AC286" s="13" t="s">
        <v>6</v>
      </c>
      <c r="AE286" s="40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</row>
    <row r="287" spans="1:46">
      <c r="A287" s="14"/>
      <c r="B287" s="13" t="str">
        <f t="shared" si="25"/>
        <v>Pendente</v>
      </c>
      <c r="C287" s="14" t="str">
        <f t="shared" si="26"/>
        <v/>
      </c>
      <c r="D287" s="13" t="s">
        <v>611</v>
      </c>
      <c r="E287" s="14" t="str">
        <f t="shared" si="27"/>
        <v/>
      </c>
      <c r="F287" s="13" t="s">
        <v>611</v>
      </c>
      <c r="G287" s="40">
        <v>202400671</v>
      </c>
      <c r="H287" s="13" t="s">
        <v>2301</v>
      </c>
      <c r="I287" s="13" t="s">
        <v>613</v>
      </c>
      <c r="J287" s="14">
        <v>45509</v>
      </c>
      <c r="K287" s="14">
        <v>45870</v>
      </c>
      <c r="L287" s="13" t="s">
        <v>2302</v>
      </c>
      <c r="M287" s="13" t="s">
        <v>2303</v>
      </c>
      <c r="N287" s="13" t="s">
        <v>2296</v>
      </c>
      <c r="O287" s="17" t="s">
        <v>2304</v>
      </c>
      <c r="P287" s="13" t="s">
        <v>337</v>
      </c>
      <c r="Q287" s="13" t="s">
        <v>618</v>
      </c>
      <c r="R287" s="13" t="e">
        <f>VLOOKUP(P287,'Dados das Regiões '!#REF!,2,0)</f>
        <v>#REF!</v>
      </c>
      <c r="S287" s="13" t="s">
        <v>2305</v>
      </c>
      <c r="T287" s="13"/>
      <c r="U287" s="79"/>
      <c r="V287" s="13" t="s">
        <v>2306</v>
      </c>
      <c r="W287" s="13" t="s">
        <v>2307</v>
      </c>
      <c r="X287" s="15">
        <v>0.64583333333333337</v>
      </c>
      <c r="Y287" s="16" t="s">
        <v>1415</v>
      </c>
      <c r="Z287" s="16" t="s">
        <v>622</v>
      </c>
      <c r="AA287" s="36" t="s">
        <v>1808</v>
      </c>
      <c r="AB287" s="164">
        <v>202400671</v>
      </c>
      <c r="AC287" s="13" t="s">
        <v>6</v>
      </c>
      <c r="AE287" s="40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</row>
    <row r="288" spans="1:46">
      <c r="A288" s="14">
        <v>45854</v>
      </c>
      <c r="B288" s="13" t="str">
        <f t="shared" si="25"/>
        <v>Realizada</v>
      </c>
      <c r="C288" s="14">
        <f t="shared" si="26"/>
        <v>45946</v>
      </c>
      <c r="D288" s="13" t="s">
        <v>611</v>
      </c>
      <c r="E288" s="14">
        <f t="shared" si="27"/>
        <v>46038</v>
      </c>
      <c r="F288" s="13" t="s">
        <v>611</v>
      </c>
      <c r="G288" s="40">
        <v>202400681</v>
      </c>
      <c r="H288" s="13" t="s">
        <v>2308</v>
      </c>
      <c r="I288" s="13" t="s">
        <v>1192</v>
      </c>
      <c r="J288" s="14">
        <v>45509</v>
      </c>
      <c r="K288" s="14">
        <v>45870</v>
      </c>
      <c r="L288" s="13" t="s">
        <v>2176</v>
      </c>
      <c r="M288" s="13" t="s">
        <v>2309</v>
      </c>
      <c r="N288" s="13" t="s">
        <v>2310</v>
      </c>
      <c r="O288" s="17" t="s">
        <v>2311</v>
      </c>
      <c r="P288" s="13" t="s">
        <v>294</v>
      </c>
      <c r="Q288" s="13" t="s">
        <v>618</v>
      </c>
      <c r="R288" s="13" t="e">
        <f>VLOOKUP(P288,'Dados das Regiões '!#REF!,2,0)</f>
        <v>#REF!</v>
      </c>
      <c r="S288" s="13" t="s">
        <v>2228</v>
      </c>
      <c r="T288" s="13"/>
      <c r="U288" s="79" t="s">
        <v>2223</v>
      </c>
      <c r="V288" s="13" t="s">
        <v>2224</v>
      </c>
      <c r="W288" s="13" t="s">
        <v>2225</v>
      </c>
      <c r="X288" s="15">
        <v>0.58333333333333337</v>
      </c>
      <c r="Y288" s="16" t="s">
        <v>1200</v>
      </c>
      <c r="Z288" s="16" t="s">
        <v>622</v>
      </c>
      <c r="AA288" s="36" t="s">
        <v>2029</v>
      </c>
      <c r="AB288" s="164">
        <v>202400681</v>
      </c>
      <c r="AC288" s="13" t="s">
        <v>12</v>
      </c>
      <c r="AE288" s="40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</row>
    <row r="289" spans="1:46">
      <c r="A289" s="111"/>
      <c r="B289" s="112" t="str">
        <f t="shared" si="25"/>
        <v>Pendente</v>
      </c>
      <c r="C289" s="111" t="str">
        <f t="shared" si="26"/>
        <v/>
      </c>
      <c r="D289" s="112" t="s">
        <v>611</v>
      </c>
      <c r="E289" s="111" t="str">
        <f t="shared" si="27"/>
        <v/>
      </c>
      <c r="F289" s="112" t="s">
        <v>611</v>
      </c>
      <c r="G289" s="113">
        <v>202400681</v>
      </c>
      <c r="H289" s="114" t="s">
        <v>2312</v>
      </c>
      <c r="I289" s="112" t="s">
        <v>1192</v>
      </c>
      <c r="J289" s="111">
        <v>45509</v>
      </c>
      <c r="K289" s="111">
        <v>45870</v>
      </c>
      <c r="L289" s="112" t="s">
        <v>2176</v>
      </c>
      <c r="M289" s="112" t="s">
        <v>2309</v>
      </c>
      <c r="N289" s="112" t="s">
        <v>2310</v>
      </c>
      <c r="O289" s="115" t="s">
        <v>2311</v>
      </c>
      <c r="P289" s="112" t="s">
        <v>294</v>
      </c>
      <c r="Q289" s="112" t="s">
        <v>618</v>
      </c>
      <c r="R289" s="112" t="e">
        <f>VLOOKUP(P289,'Dados das Regiões '!#REF!,2,0)</f>
        <v>#REF!</v>
      </c>
      <c r="S289" s="112" t="s">
        <v>2228</v>
      </c>
      <c r="T289" s="112"/>
      <c r="U289" s="116" t="s">
        <v>2223</v>
      </c>
      <c r="V289" s="112" t="s">
        <v>2224</v>
      </c>
      <c r="W289" s="112" t="s">
        <v>2225</v>
      </c>
      <c r="X289" s="117">
        <v>0.58333333333333337</v>
      </c>
      <c r="Y289" s="118" t="s">
        <v>1200</v>
      </c>
      <c r="Z289" s="118" t="s">
        <v>622</v>
      </c>
      <c r="AA289" s="119" t="s">
        <v>2226</v>
      </c>
      <c r="AB289" s="167">
        <v>202400681</v>
      </c>
      <c r="AC289" s="13" t="s">
        <v>12</v>
      </c>
      <c r="AE289" s="40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</row>
    <row r="290" spans="1:46">
      <c r="A290" s="14"/>
      <c r="B290" s="13" t="str">
        <f t="shared" si="25"/>
        <v>Pendente</v>
      </c>
      <c r="C290" s="14" t="str">
        <f t="shared" si="26"/>
        <v/>
      </c>
      <c r="D290" s="13" t="s">
        <v>611</v>
      </c>
      <c r="E290" s="14" t="str">
        <f t="shared" si="27"/>
        <v/>
      </c>
      <c r="F290" s="13" t="s">
        <v>611</v>
      </c>
      <c r="G290" s="40">
        <v>202400681</v>
      </c>
      <c r="H290" s="13" t="s">
        <v>2313</v>
      </c>
      <c r="I290" s="13" t="s">
        <v>1192</v>
      </c>
      <c r="J290" s="14">
        <v>45509</v>
      </c>
      <c r="K290" s="14">
        <v>45870</v>
      </c>
      <c r="L290" s="13" t="s">
        <v>2176</v>
      </c>
      <c r="M290" s="13" t="s">
        <v>2314</v>
      </c>
      <c r="N290" s="13" t="s">
        <v>2315</v>
      </c>
      <c r="O290" s="17" t="s">
        <v>2316</v>
      </c>
      <c r="P290" s="13" t="s">
        <v>203</v>
      </c>
      <c r="Q290" s="13" t="s">
        <v>618</v>
      </c>
      <c r="R290" s="13" t="e">
        <f>VLOOKUP(P290,'Dados das Regiões '!#REF!,2,0)</f>
        <v>#REF!</v>
      </c>
      <c r="S290" s="13" t="s">
        <v>2317</v>
      </c>
      <c r="T290" s="13"/>
      <c r="U290" s="79" t="s">
        <v>2318</v>
      </c>
      <c r="V290" s="13" t="s">
        <v>2319</v>
      </c>
      <c r="W290" s="13" t="s">
        <v>2320</v>
      </c>
      <c r="X290" s="15">
        <v>0.58333333333333337</v>
      </c>
      <c r="Y290" s="16" t="s">
        <v>2321</v>
      </c>
      <c r="Z290" s="16" t="s">
        <v>622</v>
      </c>
      <c r="AA290" s="36" t="s">
        <v>1808</v>
      </c>
      <c r="AB290" s="164">
        <v>202400681</v>
      </c>
      <c r="AC290" s="13" t="s">
        <v>12</v>
      </c>
      <c r="AE290" s="40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</row>
    <row r="291" spans="1:46">
      <c r="A291" s="14"/>
      <c r="B291" s="13" t="str">
        <f t="shared" si="25"/>
        <v>Pendente</v>
      </c>
      <c r="C291" s="14" t="str">
        <f t="shared" si="26"/>
        <v/>
      </c>
      <c r="D291" s="13" t="s">
        <v>611</v>
      </c>
      <c r="E291" s="14" t="str">
        <f t="shared" si="27"/>
        <v/>
      </c>
      <c r="F291" s="13" t="s">
        <v>611</v>
      </c>
      <c r="G291" s="40">
        <v>202400681</v>
      </c>
      <c r="H291" s="13" t="s">
        <v>2322</v>
      </c>
      <c r="I291" s="13" t="s">
        <v>1192</v>
      </c>
      <c r="J291" s="14">
        <v>45509</v>
      </c>
      <c r="K291" s="14">
        <v>45870</v>
      </c>
      <c r="L291" s="13" t="s">
        <v>2176</v>
      </c>
      <c r="M291" s="13" t="s">
        <v>2323</v>
      </c>
      <c r="N291" s="13" t="s">
        <v>2324</v>
      </c>
      <c r="O291" s="17" t="s">
        <v>2325</v>
      </c>
      <c r="P291" s="13" t="s">
        <v>436</v>
      </c>
      <c r="Q291" s="13" t="s">
        <v>618</v>
      </c>
      <c r="R291" s="13" t="e">
        <f>VLOOKUP(P291,'Dados das Regiões '!#REF!,2,0)</f>
        <v>#REF!</v>
      </c>
      <c r="S291" s="13" t="s">
        <v>2326</v>
      </c>
      <c r="T291" s="13"/>
      <c r="U291" s="79" t="s">
        <v>2327</v>
      </c>
      <c r="V291" s="13" t="s">
        <v>2328</v>
      </c>
      <c r="W291" s="13" t="s">
        <v>2329</v>
      </c>
      <c r="X291" s="15">
        <v>0.54166666666666663</v>
      </c>
      <c r="Y291" s="16" t="s">
        <v>1824</v>
      </c>
      <c r="Z291" s="16" t="s">
        <v>622</v>
      </c>
      <c r="AA291" s="36" t="s">
        <v>1808</v>
      </c>
      <c r="AB291" s="164">
        <v>202400681</v>
      </c>
      <c r="AC291" s="13" t="s">
        <v>12</v>
      </c>
      <c r="AT291" s="13"/>
    </row>
    <row r="292" spans="1:46">
      <c r="A292" s="29">
        <v>45757</v>
      </c>
      <c r="B292" s="18" t="str">
        <f t="shared" si="25"/>
        <v>Realizada</v>
      </c>
      <c r="C292" s="29">
        <f t="shared" si="26"/>
        <v>45848</v>
      </c>
      <c r="D292" s="18" t="s">
        <v>611</v>
      </c>
      <c r="E292" s="29">
        <f t="shared" si="27"/>
        <v>45940</v>
      </c>
      <c r="F292" s="18" t="s">
        <v>611</v>
      </c>
      <c r="G292" s="44">
        <v>202400682</v>
      </c>
      <c r="H292" s="18" t="s">
        <v>2330</v>
      </c>
      <c r="I292" s="18" t="s">
        <v>1192</v>
      </c>
      <c r="J292" s="29">
        <v>45509</v>
      </c>
      <c r="K292" s="29">
        <v>45870</v>
      </c>
      <c r="L292" s="18" t="s">
        <v>2278</v>
      </c>
      <c r="M292" s="18" t="s">
        <v>2331</v>
      </c>
      <c r="N292" s="18" t="s">
        <v>2280</v>
      </c>
      <c r="O292" s="18" t="s">
        <v>2280</v>
      </c>
      <c r="P292" s="18" t="s">
        <v>513</v>
      </c>
      <c r="Q292" s="18" t="s">
        <v>618</v>
      </c>
      <c r="R292" s="18" t="e">
        <f>VLOOKUP(P292,'Dados das Regiões '!#REF!,2,0)</f>
        <v>#REF!</v>
      </c>
      <c r="S292" s="18" t="s">
        <v>2332</v>
      </c>
      <c r="T292" s="18"/>
      <c r="U292" s="82" t="s">
        <v>2282</v>
      </c>
      <c r="V292" s="18" t="s">
        <v>2283</v>
      </c>
      <c r="W292" s="18" t="s">
        <v>2284</v>
      </c>
      <c r="X292" s="30">
        <v>0.58333333333333337</v>
      </c>
      <c r="Y292" s="31" t="s">
        <v>1200</v>
      </c>
      <c r="Z292" s="31" t="s">
        <v>622</v>
      </c>
      <c r="AA292" s="36" t="s">
        <v>1808</v>
      </c>
      <c r="AB292" s="166">
        <v>202400682</v>
      </c>
      <c r="AC292" s="13" t="s">
        <v>14</v>
      </c>
      <c r="AE292" s="40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</row>
    <row r="293" spans="1:46">
      <c r="A293" s="29">
        <v>45757</v>
      </c>
      <c r="B293" s="18" t="str">
        <f t="shared" si="25"/>
        <v>Realizada</v>
      </c>
      <c r="C293" s="29">
        <f t="shared" si="26"/>
        <v>45848</v>
      </c>
      <c r="D293" s="18" t="s">
        <v>611</v>
      </c>
      <c r="E293" s="29">
        <f t="shared" si="27"/>
        <v>45940</v>
      </c>
      <c r="F293" s="18" t="s">
        <v>611</v>
      </c>
      <c r="G293" s="44">
        <v>202400682</v>
      </c>
      <c r="H293" s="18" t="s">
        <v>2333</v>
      </c>
      <c r="I293" s="18" t="s">
        <v>1192</v>
      </c>
      <c r="J293" s="29">
        <v>45509</v>
      </c>
      <c r="K293" s="29">
        <v>45870</v>
      </c>
      <c r="L293" s="18" t="s">
        <v>2278</v>
      </c>
      <c r="M293" s="18" t="s">
        <v>2331</v>
      </c>
      <c r="N293" s="18" t="s">
        <v>2280</v>
      </c>
      <c r="O293" s="18" t="s">
        <v>2280</v>
      </c>
      <c r="P293" s="18" t="s">
        <v>513</v>
      </c>
      <c r="Q293" s="18" t="s">
        <v>618</v>
      </c>
      <c r="R293" s="18" t="e">
        <f>VLOOKUP(P293,'Dados das Regiões '!#REF!,2,0)</f>
        <v>#REF!</v>
      </c>
      <c r="S293" s="18" t="s">
        <v>2332</v>
      </c>
      <c r="T293" s="18"/>
      <c r="U293" s="82" t="s">
        <v>2282</v>
      </c>
      <c r="V293" s="18" t="s">
        <v>2283</v>
      </c>
      <c r="W293" s="18" t="s">
        <v>2284</v>
      </c>
      <c r="X293" s="30">
        <v>0.58333333333333337</v>
      </c>
      <c r="Y293" s="31" t="s">
        <v>1200</v>
      </c>
      <c r="Z293" s="31" t="s">
        <v>622</v>
      </c>
      <c r="AA293" s="36" t="s">
        <v>1808</v>
      </c>
      <c r="AB293" s="166">
        <v>202400682</v>
      </c>
      <c r="AC293" s="13" t="s">
        <v>14</v>
      </c>
      <c r="AE293" s="40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</row>
    <row r="294" spans="1:46">
      <c r="A294" s="29">
        <v>45757</v>
      </c>
      <c r="B294" s="18" t="str">
        <f t="shared" si="25"/>
        <v>Realizada</v>
      </c>
      <c r="C294" s="29">
        <f t="shared" si="26"/>
        <v>45848</v>
      </c>
      <c r="D294" s="18" t="s">
        <v>611</v>
      </c>
      <c r="E294" s="29">
        <f t="shared" si="27"/>
        <v>45940</v>
      </c>
      <c r="F294" s="18" t="s">
        <v>611</v>
      </c>
      <c r="G294" s="44">
        <v>202400682</v>
      </c>
      <c r="H294" s="18" t="s">
        <v>2334</v>
      </c>
      <c r="I294" s="18" t="s">
        <v>1192</v>
      </c>
      <c r="J294" s="29">
        <v>45509</v>
      </c>
      <c r="K294" s="29">
        <v>45870</v>
      </c>
      <c r="L294" s="18" t="s">
        <v>2278</v>
      </c>
      <c r="M294" s="18" t="s">
        <v>2331</v>
      </c>
      <c r="N294" s="18" t="s">
        <v>2280</v>
      </c>
      <c r="O294" s="18" t="s">
        <v>2280</v>
      </c>
      <c r="P294" s="18" t="s">
        <v>513</v>
      </c>
      <c r="Q294" s="18" t="s">
        <v>618</v>
      </c>
      <c r="R294" s="18" t="e">
        <f>VLOOKUP(P294,'Dados das Regiões '!#REF!,2,0)</f>
        <v>#REF!</v>
      </c>
      <c r="S294" s="18" t="s">
        <v>2332</v>
      </c>
      <c r="T294" s="18"/>
      <c r="U294" s="82" t="s">
        <v>2282</v>
      </c>
      <c r="V294" s="18" t="s">
        <v>2283</v>
      </c>
      <c r="W294" s="18" t="s">
        <v>2284</v>
      </c>
      <c r="X294" s="30">
        <v>0.58333333333333337</v>
      </c>
      <c r="Y294" s="31" t="s">
        <v>1200</v>
      </c>
      <c r="Z294" s="31" t="s">
        <v>622</v>
      </c>
      <c r="AA294" s="36" t="s">
        <v>1808</v>
      </c>
      <c r="AB294" s="166">
        <v>202400682</v>
      </c>
      <c r="AC294" s="13" t="s">
        <v>14</v>
      </c>
      <c r="AE294" s="40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</row>
    <row r="295" spans="1:46">
      <c r="A295" s="29">
        <v>45757</v>
      </c>
      <c r="B295" s="18" t="str">
        <f t="shared" si="25"/>
        <v>Realizada</v>
      </c>
      <c r="C295" s="29">
        <f t="shared" si="26"/>
        <v>45848</v>
      </c>
      <c r="D295" s="18" t="s">
        <v>611</v>
      </c>
      <c r="E295" s="29">
        <f t="shared" si="27"/>
        <v>45940</v>
      </c>
      <c r="F295" s="18" t="s">
        <v>611</v>
      </c>
      <c r="G295" s="44">
        <v>202400682</v>
      </c>
      <c r="H295" s="18" t="s">
        <v>2335</v>
      </c>
      <c r="I295" s="18" t="s">
        <v>1192</v>
      </c>
      <c r="J295" s="29">
        <v>45509</v>
      </c>
      <c r="K295" s="29">
        <v>45870</v>
      </c>
      <c r="L295" s="18" t="s">
        <v>2278</v>
      </c>
      <c r="M295" s="18" t="s">
        <v>2336</v>
      </c>
      <c r="N295" s="18" t="s">
        <v>2280</v>
      </c>
      <c r="O295" s="18" t="s">
        <v>2280</v>
      </c>
      <c r="P295" s="18" t="s">
        <v>513</v>
      </c>
      <c r="Q295" s="18" t="s">
        <v>618</v>
      </c>
      <c r="R295" s="18" t="e">
        <f>VLOOKUP(P295,'Dados das Regiões '!#REF!,2,0)</f>
        <v>#REF!</v>
      </c>
      <c r="S295" s="18" t="s">
        <v>2281</v>
      </c>
      <c r="T295" s="18"/>
      <c r="U295" s="82" t="s">
        <v>2282</v>
      </c>
      <c r="V295" s="18" t="s">
        <v>2283</v>
      </c>
      <c r="W295" s="18" t="s">
        <v>2284</v>
      </c>
      <c r="X295" s="30">
        <v>0.33333333333333331</v>
      </c>
      <c r="Y295" s="31" t="s">
        <v>1438</v>
      </c>
      <c r="Z295" s="31" t="s">
        <v>622</v>
      </c>
      <c r="AA295" s="36" t="s">
        <v>1808</v>
      </c>
      <c r="AB295" s="166">
        <v>202400682</v>
      </c>
      <c r="AC295" s="13" t="s">
        <v>14</v>
      </c>
      <c r="AE295" s="40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</row>
    <row r="296" spans="1:46">
      <c r="A296" s="29">
        <v>45757</v>
      </c>
      <c r="B296" s="18" t="str">
        <f t="shared" si="25"/>
        <v>Realizada</v>
      </c>
      <c r="C296" s="29">
        <f t="shared" si="26"/>
        <v>45848</v>
      </c>
      <c r="D296" s="18" t="s">
        <v>611</v>
      </c>
      <c r="E296" s="29">
        <f t="shared" si="27"/>
        <v>45940</v>
      </c>
      <c r="F296" s="18" t="s">
        <v>611</v>
      </c>
      <c r="G296" s="44">
        <v>202400682</v>
      </c>
      <c r="H296" s="18" t="s">
        <v>2337</v>
      </c>
      <c r="I296" s="18" t="s">
        <v>1192</v>
      </c>
      <c r="J296" s="29">
        <v>45509</v>
      </c>
      <c r="K296" s="29">
        <v>45870</v>
      </c>
      <c r="L296" s="18" t="s">
        <v>2278</v>
      </c>
      <c r="M296" s="18" t="s">
        <v>2336</v>
      </c>
      <c r="N296" s="18" t="s">
        <v>2280</v>
      </c>
      <c r="O296" s="18" t="s">
        <v>2280</v>
      </c>
      <c r="P296" s="18" t="s">
        <v>513</v>
      </c>
      <c r="Q296" s="18" t="s">
        <v>618</v>
      </c>
      <c r="R296" s="18" t="e">
        <f>VLOOKUP(P296,'Dados das Regiões '!#REF!,2,0)</f>
        <v>#REF!</v>
      </c>
      <c r="S296" s="18" t="s">
        <v>2332</v>
      </c>
      <c r="T296" s="18"/>
      <c r="U296" s="82" t="s">
        <v>2282</v>
      </c>
      <c r="V296" s="18" t="s">
        <v>2283</v>
      </c>
      <c r="W296" s="18" t="s">
        <v>2284</v>
      </c>
      <c r="X296" s="30">
        <v>0.58333333333333337</v>
      </c>
      <c r="Y296" s="31" t="s">
        <v>1200</v>
      </c>
      <c r="Z296" s="31" t="s">
        <v>622</v>
      </c>
      <c r="AA296" s="36" t="s">
        <v>1808</v>
      </c>
      <c r="AB296" s="166">
        <v>202400682</v>
      </c>
      <c r="AC296" s="13" t="s">
        <v>14</v>
      </c>
      <c r="AE296" s="40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</row>
    <row r="297" spans="1:46">
      <c r="A297" s="14"/>
      <c r="B297" s="13" t="str">
        <f t="shared" si="25"/>
        <v>Pendente</v>
      </c>
      <c r="C297" s="14" t="str">
        <f t="shared" si="26"/>
        <v/>
      </c>
      <c r="D297" s="13" t="s">
        <v>611</v>
      </c>
      <c r="E297" s="14" t="str">
        <f t="shared" si="27"/>
        <v/>
      </c>
      <c r="F297" s="13" t="s">
        <v>611</v>
      </c>
      <c r="G297" s="40">
        <v>202400682</v>
      </c>
      <c r="H297" s="13" t="s">
        <v>2338</v>
      </c>
      <c r="I297" s="13" t="s">
        <v>1192</v>
      </c>
      <c r="J297" s="14">
        <v>45509</v>
      </c>
      <c r="K297" s="14">
        <v>45870</v>
      </c>
      <c r="L297" s="13" t="s">
        <v>2339</v>
      </c>
      <c r="M297" s="13" t="s">
        <v>2340</v>
      </c>
      <c r="N297" s="13" t="s">
        <v>2341</v>
      </c>
      <c r="O297" s="17" t="s">
        <v>2342</v>
      </c>
      <c r="P297" s="13" t="s">
        <v>295</v>
      </c>
      <c r="Q297" s="13" t="s">
        <v>618</v>
      </c>
      <c r="R297" s="13" t="e">
        <f>VLOOKUP(P297,'Dados das Regiões '!#REF!,2,0)</f>
        <v>#REF!</v>
      </c>
      <c r="S297" s="13" t="s">
        <v>2343</v>
      </c>
      <c r="T297" s="13"/>
      <c r="U297" s="79" t="s">
        <v>2344</v>
      </c>
      <c r="V297" s="13" t="s">
        <v>2344</v>
      </c>
      <c r="W297" s="13" t="s">
        <v>2345</v>
      </c>
      <c r="X297" s="15">
        <v>0.58333333333333337</v>
      </c>
      <c r="Y297" s="16" t="s">
        <v>2321</v>
      </c>
      <c r="Z297" s="16" t="s">
        <v>622</v>
      </c>
      <c r="AA297" s="36" t="s">
        <v>1808</v>
      </c>
      <c r="AB297" s="164">
        <v>202400682</v>
      </c>
      <c r="AC297" s="13" t="s">
        <v>14</v>
      </c>
      <c r="AS297" s="110"/>
      <c r="AT297" s="18"/>
    </row>
    <row r="298" spans="1:46">
      <c r="A298" s="14"/>
      <c r="B298" s="13" t="str">
        <f t="shared" si="25"/>
        <v>Pendente</v>
      </c>
      <c r="C298" s="14" t="str">
        <f t="shared" si="26"/>
        <v/>
      </c>
      <c r="D298" s="13" t="s">
        <v>611</v>
      </c>
      <c r="E298" s="14" t="str">
        <f t="shared" si="27"/>
        <v/>
      </c>
      <c r="F298" s="13" t="s">
        <v>611</v>
      </c>
      <c r="G298" s="40">
        <v>202400682</v>
      </c>
      <c r="H298" s="13" t="s">
        <v>2346</v>
      </c>
      <c r="I298" s="13" t="s">
        <v>1192</v>
      </c>
      <c r="J298" s="14">
        <v>45509</v>
      </c>
      <c r="K298" s="14">
        <v>45870</v>
      </c>
      <c r="L298" s="13" t="s">
        <v>2347</v>
      </c>
      <c r="M298" s="13" t="s">
        <v>2348</v>
      </c>
      <c r="N298" s="13" t="s">
        <v>2349</v>
      </c>
      <c r="O298" s="13" t="s">
        <v>2350</v>
      </c>
      <c r="P298" s="13" t="s">
        <v>378</v>
      </c>
      <c r="Q298" s="13" t="s">
        <v>618</v>
      </c>
      <c r="R298" s="13" t="e">
        <f>VLOOKUP(P298,'Dados das Regiões '!#REF!,2,0)</f>
        <v>#REF!</v>
      </c>
      <c r="S298" s="13" t="s">
        <v>2351</v>
      </c>
      <c r="T298" s="13"/>
      <c r="U298" s="79" t="s">
        <v>2352</v>
      </c>
      <c r="V298" s="13" t="s">
        <v>2353</v>
      </c>
      <c r="W298" s="13" t="s">
        <v>2354</v>
      </c>
      <c r="X298" s="15">
        <v>0.58333333333333337</v>
      </c>
      <c r="Y298" s="16" t="s">
        <v>1200</v>
      </c>
      <c r="Z298" s="16" t="s">
        <v>622</v>
      </c>
      <c r="AA298" s="36" t="s">
        <v>1808</v>
      </c>
      <c r="AB298" s="164">
        <v>202400682</v>
      </c>
      <c r="AC298" s="13" t="s">
        <v>14</v>
      </c>
      <c r="AE298" s="40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</row>
    <row r="299" spans="1:46">
      <c r="A299" s="14"/>
      <c r="B299" s="13" t="str">
        <f t="shared" si="25"/>
        <v>Pendente</v>
      </c>
      <c r="C299" s="14" t="str">
        <f t="shared" si="26"/>
        <v/>
      </c>
      <c r="D299" s="13" t="s">
        <v>611</v>
      </c>
      <c r="E299" s="14" t="str">
        <f t="shared" si="27"/>
        <v/>
      </c>
      <c r="F299" s="13" t="s">
        <v>611</v>
      </c>
      <c r="G299" s="40">
        <v>202400682</v>
      </c>
      <c r="H299" s="13" t="s">
        <v>2355</v>
      </c>
      <c r="I299" s="13" t="s">
        <v>1192</v>
      </c>
      <c r="J299" s="14">
        <v>45509</v>
      </c>
      <c r="K299" s="14">
        <v>45870</v>
      </c>
      <c r="L299" s="13" t="s">
        <v>2356</v>
      </c>
      <c r="M299" s="13" t="s">
        <v>2357</v>
      </c>
      <c r="N299" s="13" t="s">
        <v>2358</v>
      </c>
      <c r="O299" s="17" t="s">
        <v>2359</v>
      </c>
      <c r="P299" s="13" t="s">
        <v>435</v>
      </c>
      <c r="Q299" s="13" t="s">
        <v>618</v>
      </c>
      <c r="R299" s="13" t="e">
        <f>VLOOKUP(P299,'Dados das Regiões '!#REF!,2,0)</f>
        <v>#REF!</v>
      </c>
      <c r="S299" s="13" t="s">
        <v>2360</v>
      </c>
      <c r="T299" s="13"/>
      <c r="U299" s="79" t="s">
        <v>2361</v>
      </c>
      <c r="V299" s="13" t="s">
        <v>2362</v>
      </c>
      <c r="W299" s="13" t="s">
        <v>2363</v>
      </c>
      <c r="X299" s="15">
        <v>0.33333333333333331</v>
      </c>
      <c r="Y299" s="16" t="s">
        <v>2364</v>
      </c>
      <c r="Z299" s="16" t="s">
        <v>622</v>
      </c>
      <c r="AA299" s="36" t="s">
        <v>1808</v>
      </c>
      <c r="AB299" s="164">
        <v>202400682</v>
      </c>
      <c r="AC299" s="13" t="s">
        <v>14</v>
      </c>
      <c r="AE299" s="40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</row>
    <row r="300" spans="1:46">
      <c r="A300" s="14"/>
      <c r="B300" s="13" t="str">
        <f t="shared" si="25"/>
        <v>Pendente</v>
      </c>
      <c r="C300" s="14" t="str">
        <f t="shared" si="26"/>
        <v/>
      </c>
      <c r="D300" s="13" t="s">
        <v>611</v>
      </c>
      <c r="E300" s="14" t="str">
        <f t="shared" si="27"/>
        <v/>
      </c>
      <c r="F300" s="13" t="s">
        <v>611</v>
      </c>
      <c r="G300" s="40">
        <v>202400679</v>
      </c>
      <c r="H300" s="13" t="s">
        <v>2365</v>
      </c>
      <c r="I300" s="13" t="s">
        <v>1176</v>
      </c>
      <c r="J300" s="14">
        <v>45509</v>
      </c>
      <c r="K300" s="14">
        <v>45870</v>
      </c>
      <c r="L300" s="13" t="s">
        <v>1185</v>
      </c>
      <c r="M300" s="13" t="s">
        <v>2366</v>
      </c>
      <c r="N300" s="13" t="s">
        <v>2367</v>
      </c>
      <c r="O300" s="17" t="s">
        <v>2368</v>
      </c>
      <c r="P300" s="13" t="s">
        <v>276</v>
      </c>
      <c r="Q300" s="13" t="s">
        <v>618</v>
      </c>
      <c r="R300" s="13" t="e">
        <f>VLOOKUP(P300,'Dados das Regiões '!#REF!,2,0)</f>
        <v>#REF!</v>
      </c>
      <c r="S300" s="13" t="s">
        <v>2369</v>
      </c>
      <c r="T300" s="13"/>
      <c r="U300" s="79" t="s">
        <v>2370</v>
      </c>
      <c r="V300" s="13" t="s">
        <v>2371</v>
      </c>
      <c r="W300" s="13" t="s">
        <v>2372</v>
      </c>
      <c r="X300" s="15">
        <v>0.5625</v>
      </c>
      <c r="Y300" s="16" t="s">
        <v>1415</v>
      </c>
      <c r="Z300" s="16" t="s">
        <v>622</v>
      </c>
      <c r="AA300" s="36" t="s">
        <v>1808</v>
      </c>
      <c r="AB300" s="164">
        <v>202400679</v>
      </c>
      <c r="AC300" s="13" t="s">
        <v>9</v>
      </c>
      <c r="AE300" s="40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</row>
    <row r="301" spans="1:46">
      <c r="A301" s="14"/>
      <c r="B301" s="13" t="str">
        <f t="shared" si="25"/>
        <v>Pendente</v>
      </c>
      <c r="C301" s="14" t="str">
        <f t="shared" si="26"/>
        <v/>
      </c>
      <c r="D301" s="13" t="s">
        <v>611</v>
      </c>
      <c r="E301" s="14" t="str">
        <f t="shared" si="27"/>
        <v/>
      </c>
      <c r="F301" s="13" t="s">
        <v>611</v>
      </c>
      <c r="G301" s="40">
        <v>202400682</v>
      </c>
      <c r="H301" s="13" t="s">
        <v>2373</v>
      </c>
      <c r="I301" s="13" t="s">
        <v>1192</v>
      </c>
      <c r="J301" s="14">
        <v>45509</v>
      </c>
      <c r="K301" s="14">
        <v>45870</v>
      </c>
      <c r="L301" s="13" t="s">
        <v>2374</v>
      </c>
      <c r="M301" s="13" t="s">
        <v>2375</v>
      </c>
      <c r="N301" s="13" t="s">
        <v>2376</v>
      </c>
      <c r="O301" s="17" t="s">
        <v>2377</v>
      </c>
      <c r="P301" s="13" t="s">
        <v>154</v>
      </c>
      <c r="Q301" s="13" t="s">
        <v>618</v>
      </c>
      <c r="R301" s="13" t="e">
        <f>VLOOKUP(P301,'Dados das Regiões '!#REF!,2,0)</f>
        <v>#REF!</v>
      </c>
      <c r="S301" s="13" t="s">
        <v>2378</v>
      </c>
      <c r="T301" s="13"/>
      <c r="U301" s="79" t="s">
        <v>2379</v>
      </c>
      <c r="V301" s="13" t="s">
        <v>2379</v>
      </c>
      <c r="W301" s="13" t="s">
        <v>2380</v>
      </c>
      <c r="X301" s="15">
        <v>0.41666666666666669</v>
      </c>
      <c r="Y301" s="16" t="s">
        <v>1696</v>
      </c>
      <c r="Z301" s="16" t="s">
        <v>622</v>
      </c>
      <c r="AA301" s="36" t="s">
        <v>1808</v>
      </c>
      <c r="AB301" s="164">
        <v>202400682</v>
      </c>
      <c r="AC301" s="13" t="s">
        <v>14</v>
      </c>
      <c r="AE301" s="40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</row>
    <row r="302" spans="1:46">
      <c r="A302" s="14"/>
      <c r="B302" s="13" t="str">
        <f t="shared" si="25"/>
        <v>Pendente</v>
      </c>
      <c r="C302" s="14" t="str">
        <f t="shared" si="26"/>
        <v/>
      </c>
      <c r="D302" s="13" t="s">
        <v>611</v>
      </c>
      <c r="E302" s="14" t="str">
        <f t="shared" si="27"/>
        <v/>
      </c>
      <c r="F302" s="13" t="s">
        <v>611</v>
      </c>
      <c r="G302" s="40">
        <v>202400682</v>
      </c>
      <c r="H302" s="13" t="s">
        <v>2381</v>
      </c>
      <c r="I302" s="13" t="s">
        <v>1192</v>
      </c>
      <c r="J302" s="14">
        <v>45509</v>
      </c>
      <c r="K302" s="14">
        <v>45870</v>
      </c>
      <c r="L302" s="13" t="s">
        <v>2374</v>
      </c>
      <c r="M302" s="13" t="s">
        <v>2375</v>
      </c>
      <c r="N302" s="13" t="s">
        <v>2376</v>
      </c>
      <c r="O302" s="17" t="s">
        <v>2377</v>
      </c>
      <c r="P302" s="13" t="s">
        <v>154</v>
      </c>
      <c r="Q302" s="13" t="s">
        <v>618</v>
      </c>
      <c r="R302" s="13" t="e">
        <f>VLOOKUP(P302,'Dados das Regiões '!#REF!,2,0)</f>
        <v>#REF!</v>
      </c>
      <c r="S302" s="13" t="s">
        <v>2378</v>
      </c>
      <c r="T302" s="13"/>
      <c r="U302" s="79" t="s">
        <v>2379</v>
      </c>
      <c r="V302" s="13" t="s">
        <v>2379</v>
      </c>
      <c r="W302" s="13" t="s">
        <v>2380</v>
      </c>
      <c r="X302" s="15">
        <v>0.33333333333333331</v>
      </c>
      <c r="Y302" s="16" t="s">
        <v>1438</v>
      </c>
      <c r="Z302" s="16" t="s">
        <v>622</v>
      </c>
      <c r="AA302" s="36" t="s">
        <v>1808</v>
      </c>
      <c r="AB302" s="164">
        <v>202400682</v>
      </c>
      <c r="AC302" s="13" t="s">
        <v>14</v>
      </c>
      <c r="AE302" s="40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</row>
    <row r="303" spans="1:46">
      <c r="A303" s="14"/>
      <c r="B303" s="13" t="str">
        <f t="shared" si="25"/>
        <v>Pendente</v>
      </c>
      <c r="C303" s="14" t="str">
        <f t="shared" si="26"/>
        <v/>
      </c>
      <c r="D303" s="13" t="s">
        <v>611</v>
      </c>
      <c r="E303" s="14" t="str">
        <f t="shared" si="27"/>
        <v/>
      </c>
      <c r="F303" s="13" t="s">
        <v>611</v>
      </c>
      <c r="G303" s="40">
        <v>202400682</v>
      </c>
      <c r="H303" s="13" t="s">
        <v>2382</v>
      </c>
      <c r="I303" s="13" t="s">
        <v>1192</v>
      </c>
      <c r="J303" s="14">
        <v>45509</v>
      </c>
      <c r="K303" s="14">
        <v>45870</v>
      </c>
      <c r="L303" s="13" t="s">
        <v>2374</v>
      </c>
      <c r="M303" s="13" t="s">
        <v>2383</v>
      </c>
      <c r="N303" s="13" t="s">
        <v>2384</v>
      </c>
      <c r="O303" s="17" t="s">
        <v>2385</v>
      </c>
      <c r="P303" s="13" t="s">
        <v>154</v>
      </c>
      <c r="Q303" s="13" t="s">
        <v>618</v>
      </c>
      <c r="R303" s="13" t="e">
        <f>VLOOKUP(P303,'Dados das Regiões '!#REF!,2,0)</f>
        <v>#REF!</v>
      </c>
      <c r="S303" s="13" t="s">
        <v>2386</v>
      </c>
      <c r="T303" s="13"/>
      <c r="U303" s="79"/>
      <c r="V303" s="13" t="s">
        <v>2379</v>
      </c>
      <c r="W303" s="13" t="s">
        <v>2380</v>
      </c>
      <c r="X303" s="15">
        <v>0.5625</v>
      </c>
      <c r="Y303" s="16" t="s">
        <v>1415</v>
      </c>
      <c r="Z303" s="16" t="s">
        <v>622</v>
      </c>
      <c r="AA303" s="36" t="s">
        <v>1808</v>
      </c>
      <c r="AB303" s="164">
        <v>202400682</v>
      </c>
      <c r="AC303" s="13" t="s">
        <v>14</v>
      </c>
      <c r="AE303" s="40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</row>
    <row r="304" spans="1:46">
      <c r="A304" s="14"/>
      <c r="B304" s="13" t="str">
        <f t="shared" si="25"/>
        <v>Pendente</v>
      </c>
      <c r="C304" s="14" t="str">
        <f t="shared" si="26"/>
        <v/>
      </c>
      <c r="D304" s="13" t="s">
        <v>611</v>
      </c>
      <c r="E304" s="14" t="str">
        <f t="shared" si="27"/>
        <v/>
      </c>
      <c r="F304" s="13" t="s">
        <v>611</v>
      </c>
      <c r="G304" s="40">
        <v>202400682</v>
      </c>
      <c r="H304" s="13" t="s">
        <v>2387</v>
      </c>
      <c r="I304" s="13" t="s">
        <v>1192</v>
      </c>
      <c r="J304" s="14">
        <v>45509</v>
      </c>
      <c r="K304" s="14">
        <v>45870</v>
      </c>
      <c r="L304" s="13" t="s">
        <v>2374</v>
      </c>
      <c r="M304" s="13" t="s">
        <v>2383</v>
      </c>
      <c r="N304" s="13" t="s">
        <v>2384</v>
      </c>
      <c r="O304" s="17" t="s">
        <v>2385</v>
      </c>
      <c r="P304" s="13" t="s">
        <v>154</v>
      </c>
      <c r="Q304" s="13" t="s">
        <v>618</v>
      </c>
      <c r="R304" s="13" t="e">
        <f>VLOOKUP(P304,'Dados das Regiões '!#REF!,2,0)</f>
        <v>#REF!</v>
      </c>
      <c r="S304" s="13" t="s">
        <v>2378</v>
      </c>
      <c r="T304" s="13"/>
      <c r="U304" s="79"/>
      <c r="V304" s="13" t="s">
        <v>2379</v>
      </c>
      <c r="W304" s="13" t="s">
        <v>2380</v>
      </c>
      <c r="X304" s="15">
        <v>0.64583333333333337</v>
      </c>
      <c r="Y304" s="16" t="s">
        <v>1451</v>
      </c>
      <c r="Z304" s="16" t="s">
        <v>622</v>
      </c>
      <c r="AA304" s="36" t="s">
        <v>1808</v>
      </c>
      <c r="AB304" s="164">
        <v>202400682</v>
      </c>
      <c r="AC304" s="13" t="s">
        <v>14</v>
      </c>
      <c r="AS304" s="110"/>
      <c r="AT304" s="18"/>
    </row>
    <row r="305" spans="1:46">
      <c r="A305" s="14"/>
      <c r="B305" s="13" t="str">
        <f t="shared" si="25"/>
        <v>Pendente</v>
      </c>
      <c r="C305" s="14" t="str">
        <f t="shared" si="26"/>
        <v/>
      </c>
      <c r="D305" s="13" t="s">
        <v>611</v>
      </c>
      <c r="E305" s="14" t="str">
        <f t="shared" si="27"/>
        <v/>
      </c>
      <c r="F305" s="13" t="s">
        <v>611</v>
      </c>
      <c r="G305" s="40">
        <v>202400682</v>
      </c>
      <c r="H305" s="13" t="s">
        <v>2388</v>
      </c>
      <c r="I305" s="13" t="s">
        <v>1192</v>
      </c>
      <c r="J305" s="14">
        <v>45509</v>
      </c>
      <c r="K305" s="14">
        <v>45870</v>
      </c>
      <c r="L305" s="13" t="s">
        <v>2374</v>
      </c>
      <c r="M305" s="13" t="s">
        <v>2389</v>
      </c>
      <c r="N305" s="13" t="s">
        <v>2390</v>
      </c>
      <c r="O305" s="17" t="s">
        <v>2391</v>
      </c>
      <c r="P305" s="13" t="s">
        <v>169</v>
      </c>
      <c r="Q305" s="13" t="s">
        <v>618</v>
      </c>
      <c r="R305" s="13" t="e">
        <f>VLOOKUP(P305,'Dados das Regiões '!#REF!,2,0)</f>
        <v>#REF!</v>
      </c>
      <c r="S305" s="13" t="s">
        <v>2386</v>
      </c>
      <c r="T305" s="13"/>
      <c r="U305" s="79"/>
      <c r="V305" s="13" t="s">
        <v>2379</v>
      </c>
      <c r="W305" s="13" t="s">
        <v>2380</v>
      </c>
      <c r="X305" s="15">
        <v>0.5625</v>
      </c>
      <c r="Y305" s="16" t="s">
        <v>1415</v>
      </c>
      <c r="Z305" s="16" t="s">
        <v>622</v>
      </c>
      <c r="AA305" s="36" t="s">
        <v>1808</v>
      </c>
      <c r="AB305" s="164">
        <v>202400682</v>
      </c>
      <c r="AC305" s="13" t="s">
        <v>14</v>
      </c>
      <c r="AS305" s="110"/>
      <c r="AT305" s="18"/>
    </row>
    <row r="306" spans="1:46">
      <c r="A306" s="14"/>
      <c r="B306" s="13" t="str">
        <f t="shared" si="25"/>
        <v>Pendente</v>
      </c>
      <c r="C306" s="14" t="str">
        <f t="shared" si="26"/>
        <v/>
      </c>
      <c r="D306" s="13" t="s">
        <v>611</v>
      </c>
      <c r="E306" s="14" t="str">
        <f t="shared" si="27"/>
        <v/>
      </c>
      <c r="F306" s="13" t="s">
        <v>611</v>
      </c>
      <c r="G306" s="40">
        <v>202400680</v>
      </c>
      <c r="H306" s="13" t="s">
        <v>2392</v>
      </c>
      <c r="I306" s="13" t="s">
        <v>1176</v>
      </c>
      <c r="J306" s="14">
        <v>45509</v>
      </c>
      <c r="K306" s="14">
        <v>45870</v>
      </c>
      <c r="L306" s="13" t="s">
        <v>1864</v>
      </c>
      <c r="M306" s="13" t="s">
        <v>2393</v>
      </c>
      <c r="N306" s="13" t="s">
        <v>2394</v>
      </c>
      <c r="O306" s="17" t="s">
        <v>2395</v>
      </c>
      <c r="P306" s="13" t="s">
        <v>136</v>
      </c>
      <c r="Q306" s="13" t="s">
        <v>618</v>
      </c>
      <c r="R306" s="13" t="e">
        <f>VLOOKUP(P306,'Dados das Regiões '!#REF!,2,0)</f>
        <v>#REF!</v>
      </c>
      <c r="S306" s="13" t="s">
        <v>2396</v>
      </c>
      <c r="T306" s="13"/>
      <c r="U306" s="79" t="s">
        <v>2397</v>
      </c>
      <c r="V306" s="13" t="s">
        <v>2398</v>
      </c>
      <c r="W306" s="13" t="s">
        <v>2399</v>
      </c>
      <c r="X306" s="15">
        <v>0.5625</v>
      </c>
      <c r="Y306" s="16" t="s">
        <v>1415</v>
      </c>
      <c r="Z306" s="16" t="s">
        <v>622</v>
      </c>
      <c r="AA306" s="36" t="s">
        <v>1808</v>
      </c>
      <c r="AB306" s="164">
        <v>202400680</v>
      </c>
      <c r="AC306" s="13" t="s">
        <v>10</v>
      </c>
      <c r="AS306" s="110"/>
      <c r="AT306" s="18"/>
    </row>
    <row r="307" spans="1:46">
      <c r="A307" s="14"/>
      <c r="B307" s="13" t="str">
        <f t="shared" si="25"/>
        <v>Pendente</v>
      </c>
      <c r="C307" s="14" t="str">
        <f t="shared" si="26"/>
        <v/>
      </c>
      <c r="D307" s="13" t="s">
        <v>611</v>
      </c>
      <c r="E307" s="14" t="str">
        <f t="shared" si="27"/>
        <v/>
      </c>
      <c r="F307" s="13" t="s">
        <v>611</v>
      </c>
      <c r="G307" s="40">
        <v>202400682</v>
      </c>
      <c r="H307" s="13" t="s">
        <v>2400</v>
      </c>
      <c r="I307" s="13" t="s">
        <v>1192</v>
      </c>
      <c r="J307" s="14">
        <v>45509</v>
      </c>
      <c r="K307" s="14">
        <v>45870</v>
      </c>
      <c r="L307" s="13" t="s">
        <v>2374</v>
      </c>
      <c r="M307" s="13" t="s">
        <v>2389</v>
      </c>
      <c r="N307" s="13" t="s">
        <v>2390</v>
      </c>
      <c r="O307" s="17" t="s">
        <v>2391</v>
      </c>
      <c r="P307" s="13" t="s">
        <v>169</v>
      </c>
      <c r="Q307" s="13" t="s">
        <v>618</v>
      </c>
      <c r="R307" s="13" t="e">
        <f>VLOOKUP(P307,'Dados das Regiões '!#REF!,2,0)</f>
        <v>#REF!</v>
      </c>
      <c r="S307" s="13" t="s">
        <v>2378</v>
      </c>
      <c r="T307" s="13"/>
      <c r="U307" s="79"/>
      <c r="V307" s="13" t="s">
        <v>2379</v>
      </c>
      <c r="W307" s="13" t="s">
        <v>2380</v>
      </c>
      <c r="X307" s="15">
        <v>0.41666666666666669</v>
      </c>
      <c r="Y307" s="16" t="s">
        <v>1696</v>
      </c>
      <c r="Z307" s="16" t="s">
        <v>622</v>
      </c>
      <c r="AA307" s="36" t="s">
        <v>1808</v>
      </c>
      <c r="AB307" s="164">
        <v>202400682</v>
      </c>
      <c r="AC307" s="13" t="s">
        <v>14</v>
      </c>
      <c r="AS307" s="110"/>
      <c r="AT307" s="18"/>
    </row>
    <row r="308" spans="1:46">
      <c r="A308" s="14"/>
      <c r="B308" s="13" t="str">
        <f t="shared" si="25"/>
        <v>Pendente</v>
      </c>
      <c r="C308" s="14" t="str">
        <f t="shared" si="26"/>
        <v/>
      </c>
      <c r="D308" s="13" t="s">
        <v>611</v>
      </c>
      <c r="E308" s="14" t="str">
        <f t="shared" si="27"/>
        <v/>
      </c>
      <c r="F308" s="13" t="s">
        <v>611</v>
      </c>
      <c r="G308" s="40">
        <v>202400682</v>
      </c>
      <c r="H308" s="13" t="s">
        <v>2401</v>
      </c>
      <c r="I308" s="13" t="s">
        <v>1192</v>
      </c>
      <c r="J308" s="14">
        <v>45509</v>
      </c>
      <c r="K308" s="14">
        <v>45870</v>
      </c>
      <c r="L308" s="13" t="s">
        <v>2374</v>
      </c>
      <c r="M308" s="13" t="s">
        <v>2402</v>
      </c>
      <c r="N308" s="13" t="s">
        <v>2403</v>
      </c>
      <c r="O308" s="13" t="s">
        <v>2404</v>
      </c>
      <c r="P308" s="13" t="s">
        <v>145</v>
      </c>
      <c r="Q308" s="13" t="s">
        <v>618</v>
      </c>
      <c r="R308" s="13" t="e">
        <f>VLOOKUP(P308,'Dados das Regiões '!#REF!,2,0)</f>
        <v>#REF!</v>
      </c>
      <c r="S308" s="13" t="s">
        <v>2386</v>
      </c>
      <c r="T308" s="13"/>
      <c r="U308" s="79"/>
      <c r="V308" s="13" t="s">
        <v>2379</v>
      </c>
      <c r="W308" s="13" t="s">
        <v>2380</v>
      </c>
      <c r="X308" s="15">
        <v>0.64583333333333337</v>
      </c>
      <c r="Y308" s="16" t="s">
        <v>1451</v>
      </c>
      <c r="Z308" s="16" t="s">
        <v>622</v>
      </c>
      <c r="AA308" s="36" t="s">
        <v>1808</v>
      </c>
      <c r="AB308" s="164">
        <v>202400682</v>
      </c>
      <c r="AC308" s="13" t="s">
        <v>14</v>
      </c>
      <c r="AS308" s="110"/>
      <c r="AT308" s="18"/>
    </row>
    <row r="309" spans="1:46">
      <c r="A309" s="14"/>
      <c r="B309" s="13" t="str">
        <f t="shared" si="25"/>
        <v>Pendente</v>
      </c>
      <c r="C309" s="14" t="str">
        <f t="shared" si="26"/>
        <v/>
      </c>
      <c r="D309" s="13" t="s">
        <v>611</v>
      </c>
      <c r="E309" s="14" t="str">
        <f t="shared" si="27"/>
        <v/>
      </c>
      <c r="F309" s="13" t="s">
        <v>611</v>
      </c>
      <c r="G309" s="40">
        <v>202400672</v>
      </c>
      <c r="H309" s="13" t="s">
        <v>2405</v>
      </c>
      <c r="I309" s="13" t="s">
        <v>1176</v>
      </c>
      <c r="J309" s="14">
        <v>45509</v>
      </c>
      <c r="K309" s="14">
        <v>45870</v>
      </c>
      <c r="L309" s="13" t="s">
        <v>1185</v>
      </c>
      <c r="M309" s="13" t="s">
        <v>2406</v>
      </c>
      <c r="N309" s="13" t="s">
        <v>2407</v>
      </c>
      <c r="O309" s="17" t="s">
        <v>2408</v>
      </c>
      <c r="P309" s="13" t="s">
        <v>495</v>
      </c>
      <c r="Q309" s="13" t="s">
        <v>618</v>
      </c>
      <c r="R309" s="13" t="e">
        <f>VLOOKUP(P309,'Dados das Regiões '!#REF!,2,0)</f>
        <v>#REF!</v>
      </c>
      <c r="S309" s="13" t="s">
        <v>2409</v>
      </c>
      <c r="T309" s="13"/>
      <c r="U309" s="79" t="s">
        <v>2410</v>
      </c>
      <c r="V309" s="13" t="s">
        <v>2411</v>
      </c>
      <c r="W309" s="13" t="s">
        <v>2412</v>
      </c>
      <c r="X309" s="15">
        <v>0.54166666666666663</v>
      </c>
      <c r="Y309" s="16" t="s">
        <v>2413</v>
      </c>
      <c r="Z309" s="16" t="s">
        <v>622</v>
      </c>
      <c r="AA309" s="36" t="s">
        <v>1808</v>
      </c>
      <c r="AB309" s="164">
        <v>202400672</v>
      </c>
      <c r="AC309" s="13" t="s">
        <v>8</v>
      </c>
      <c r="AE309" s="40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</row>
    <row r="310" spans="1:46">
      <c r="A310" s="14"/>
      <c r="B310" s="13" t="str">
        <f t="shared" si="25"/>
        <v>Pendente</v>
      </c>
      <c r="C310" s="14" t="str">
        <f t="shared" si="26"/>
        <v/>
      </c>
      <c r="D310" s="13" t="s">
        <v>611</v>
      </c>
      <c r="E310" s="14" t="str">
        <f t="shared" si="27"/>
        <v/>
      </c>
      <c r="F310" s="13" t="s">
        <v>611</v>
      </c>
      <c r="G310" s="40">
        <v>202400672</v>
      </c>
      <c r="H310" s="13" t="s">
        <v>2414</v>
      </c>
      <c r="I310" s="13" t="s">
        <v>1176</v>
      </c>
      <c r="J310" s="14">
        <v>45509</v>
      </c>
      <c r="K310" s="14">
        <v>45870</v>
      </c>
      <c r="L310" s="13" t="s">
        <v>1185</v>
      </c>
      <c r="M310" s="13" t="s">
        <v>2415</v>
      </c>
      <c r="N310" s="13" t="s">
        <v>2416</v>
      </c>
      <c r="O310" s="17" t="s">
        <v>2417</v>
      </c>
      <c r="P310" s="13" t="s">
        <v>499</v>
      </c>
      <c r="Q310" s="13" t="s">
        <v>618</v>
      </c>
      <c r="R310" s="13" t="e">
        <f>VLOOKUP(P310,'Dados das Regiões '!#REF!,2,0)</f>
        <v>#REF!</v>
      </c>
      <c r="S310" s="13" t="s">
        <v>2418</v>
      </c>
      <c r="T310" s="13"/>
      <c r="U310" s="79"/>
      <c r="V310" s="13" t="s">
        <v>2419</v>
      </c>
      <c r="W310" s="13" t="s">
        <v>2420</v>
      </c>
      <c r="X310" s="15">
        <v>0.58333333333333337</v>
      </c>
      <c r="Y310" s="16" t="s">
        <v>2321</v>
      </c>
      <c r="Z310" s="16" t="s">
        <v>622</v>
      </c>
      <c r="AA310" s="36" t="s">
        <v>1808</v>
      </c>
      <c r="AB310" s="164">
        <v>202400672</v>
      </c>
      <c r="AC310" s="13" t="s">
        <v>8</v>
      </c>
      <c r="AE310" s="40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</row>
    <row r="311" spans="1:46">
      <c r="A311" s="14"/>
      <c r="B311" s="13" t="str">
        <f t="shared" si="25"/>
        <v>Pendente</v>
      </c>
      <c r="C311" s="14" t="str">
        <f t="shared" si="26"/>
        <v/>
      </c>
      <c r="D311" s="13" t="s">
        <v>611</v>
      </c>
      <c r="E311" s="14" t="str">
        <f t="shared" si="27"/>
        <v/>
      </c>
      <c r="F311" s="13" t="s">
        <v>611</v>
      </c>
      <c r="G311" s="40">
        <v>202400672</v>
      </c>
      <c r="H311" s="13" t="s">
        <v>2421</v>
      </c>
      <c r="I311" s="13" t="s">
        <v>1176</v>
      </c>
      <c r="J311" s="14">
        <v>45509</v>
      </c>
      <c r="K311" s="14">
        <v>45870</v>
      </c>
      <c r="L311" s="13" t="s">
        <v>1185</v>
      </c>
      <c r="M311" s="13" t="s">
        <v>2422</v>
      </c>
      <c r="N311" s="13" t="s">
        <v>2423</v>
      </c>
      <c r="O311" s="17" t="s">
        <v>2424</v>
      </c>
      <c r="P311" s="13" t="s">
        <v>435</v>
      </c>
      <c r="Q311" s="13" t="s">
        <v>618</v>
      </c>
      <c r="R311" s="13" t="e">
        <f>VLOOKUP(P311,'Dados das Regiões '!#REF!,2,0)</f>
        <v>#REF!</v>
      </c>
      <c r="S311" s="13" t="s">
        <v>2425</v>
      </c>
      <c r="T311" s="13"/>
      <c r="U311" s="79" t="s">
        <v>2426</v>
      </c>
      <c r="V311" s="13" t="s">
        <v>2427</v>
      </c>
      <c r="W311" s="13" t="s">
        <v>2428</v>
      </c>
      <c r="X311" s="15">
        <v>0.5625</v>
      </c>
      <c r="Y311" s="16" t="s">
        <v>1535</v>
      </c>
      <c r="Z311" s="16" t="s">
        <v>622</v>
      </c>
      <c r="AA311" s="36" t="s">
        <v>1808</v>
      </c>
      <c r="AB311" s="164">
        <v>202400672</v>
      </c>
      <c r="AC311" s="13" t="s">
        <v>8</v>
      </c>
      <c r="AE311" s="40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</row>
    <row r="312" spans="1:46">
      <c r="A312" s="14"/>
      <c r="B312" s="13" t="str">
        <f t="shared" si="25"/>
        <v>Pendente</v>
      </c>
      <c r="C312" s="14" t="str">
        <f t="shared" si="26"/>
        <v/>
      </c>
      <c r="D312" s="13" t="s">
        <v>611</v>
      </c>
      <c r="E312" s="14" t="str">
        <f t="shared" si="27"/>
        <v/>
      </c>
      <c r="F312" s="13" t="s">
        <v>611</v>
      </c>
      <c r="G312" s="40">
        <v>202400672</v>
      </c>
      <c r="H312" s="13" t="s">
        <v>2429</v>
      </c>
      <c r="I312" s="13" t="s">
        <v>1176</v>
      </c>
      <c r="J312" s="14">
        <v>45509</v>
      </c>
      <c r="K312" s="14">
        <v>45870</v>
      </c>
      <c r="L312" s="13" t="s">
        <v>1185</v>
      </c>
      <c r="M312" s="13" t="s">
        <v>2430</v>
      </c>
      <c r="N312" s="13" t="s">
        <v>2431</v>
      </c>
      <c r="O312" s="17" t="s">
        <v>2432</v>
      </c>
      <c r="P312" s="13" t="s">
        <v>286</v>
      </c>
      <c r="Q312" s="13" t="s">
        <v>618</v>
      </c>
      <c r="R312" s="13" t="e">
        <f>VLOOKUP(P312,'Dados das Regiões '!#REF!,2,0)</f>
        <v>#REF!</v>
      </c>
      <c r="S312" s="13" t="s">
        <v>2433</v>
      </c>
      <c r="T312" s="13"/>
      <c r="U312" s="79" t="s">
        <v>2434</v>
      </c>
      <c r="V312" s="13" t="s">
        <v>2435</v>
      </c>
      <c r="W312" s="13" t="s">
        <v>2436</v>
      </c>
      <c r="X312" s="15">
        <v>0.54166666666666663</v>
      </c>
      <c r="Y312" s="16" t="s">
        <v>2437</v>
      </c>
      <c r="Z312" s="16" t="s">
        <v>622</v>
      </c>
      <c r="AA312" s="36" t="s">
        <v>1808</v>
      </c>
      <c r="AB312" s="164">
        <v>202400672</v>
      </c>
      <c r="AC312" s="13" t="s">
        <v>8</v>
      </c>
      <c r="AE312" s="40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</row>
    <row r="313" spans="1:46">
      <c r="A313" s="14">
        <v>45840</v>
      </c>
      <c r="B313" s="13" t="str">
        <f t="shared" si="25"/>
        <v>Realizada</v>
      </c>
      <c r="C313" s="14">
        <f t="shared" si="26"/>
        <v>45932</v>
      </c>
      <c r="D313" s="13" t="s">
        <v>611</v>
      </c>
      <c r="E313" s="14">
        <f t="shared" si="27"/>
        <v>46024</v>
      </c>
      <c r="F313" s="13" t="s">
        <v>611</v>
      </c>
      <c r="G313" s="40">
        <v>202400672</v>
      </c>
      <c r="H313" s="13" t="s">
        <v>2438</v>
      </c>
      <c r="I313" s="13" t="s">
        <v>1176</v>
      </c>
      <c r="J313" s="14">
        <v>45509</v>
      </c>
      <c r="K313" s="14">
        <v>45870</v>
      </c>
      <c r="L313" s="13" t="s">
        <v>1185</v>
      </c>
      <c r="M313" s="13" t="s">
        <v>2439</v>
      </c>
      <c r="N313" s="13" t="s">
        <v>2440</v>
      </c>
      <c r="O313" s="17" t="s">
        <v>2441</v>
      </c>
      <c r="P313" s="13" t="s">
        <v>208</v>
      </c>
      <c r="Q313" s="13" t="s">
        <v>618</v>
      </c>
      <c r="R313" s="13" t="e">
        <f>VLOOKUP(P313,'Dados das Regiões '!#REF!,2,0)</f>
        <v>#REF!</v>
      </c>
      <c r="S313" s="13" t="s">
        <v>2442</v>
      </c>
      <c r="T313" s="13"/>
      <c r="U313" s="79" t="s">
        <v>2443</v>
      </c>
      <c r="V313" s="13" t="s">
        <v>2444</v>
      </c>
      <c r="W313" s="13" t="s">
        <v>2445</v>
      </c>
      <c r="X313" s="15">
        <v>0.54166666666666663</v>
      </c>
      <c r="Y313" s="16" t="s">
        <v>1941</v>
      </c>
      <c r="Z313" s="16" t="s">
        <v>622</v>
      </c>
      <c r="AA313" s="36" t="s">
        <v>1808</v>
      </c>
      <c r="AB313" s="164">
        <v>202400672</v>
      </c>
      <c r="AC313" s="13" t="s">
        <v>8</v>
      </c>
      <c r="AE313" s="40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</row>
    <row r="314" spans="1:46">
      <c r="A314" s="14"/>
      <c r="B314" s="13" t="str">
        <f t="shared" si="25"/>
        <v>Pendente</v>
      </c>
      <c r="C314" s="14" t="str">
        <f t="shared" si="26"/>
        <v/>
      </c>
      <c r="D314" s="13" t="s">
        <v>611</v>
      </c>
      <c r="E314" s="14" t="str">
        <f t="shared" si="27"/>
        <v/>
      </c>
      <c r="F314" s="13" t="s">
        <v>611</v>
      </c>
      <c r="G314" s="40">
        <v>202400672</v>
      </c>
      <c r="H314" s="13" t="s">
        <v>2446</v>
      </c>
      <c r="I314" s="13" t="s">
        <v>1176</v>
      </c>
      <c r="J314" s="14">
        <v>45509</v>
      </c>
      <c r="K314" s="14">
        <v>45870</v>
      </c>
      <c r="L314" s="13" t="s">
        <v>1185</v>
      </c>
      <c r="M314" s="13" t="s">
        <v>2447</v>
      </c>
      <c r="N314" s="13" t="s">
        <v>2448</v>
      </c>
      <c r="O314" s="17" t="s">
        <v>2449</v>
      </c>
      <c r="P314" s="13" t="s">
        <v>287</v>
      </c>
      <c r="Q314" s="13" t="s">
        <v>618</v>
      </c>
      <c r="R314" s="13" t="e">
        <f>VLOOKUP(P314,'Dados das Regiões '!#REF!,2,0)</f>
        <v>#REF!</v>
      </c>
      <c r="S314" s="13" t="s">
        <v>2450</v>
      </c>
      <c r="T314" s="13"/>
      <c r="U314" s="79" t="s">
        <v>2451</v>
      </c>
      <c r="V314" s="13" t="s">
        <v>2452</v>
      </c>
      <c r="W314" s="13" t="s">
        <v>2453</v>
      </c>
      <c r="X314" s="15">
        <v>0.5625</v>
      </c>
      <c r="Y314" s="16" t="s">
        <v>1535</v>
      </c>
      <c r="Z314" s="16" t="s">
        <v>622</v>
      </c>
      <c r="AA314" s="36" t="s">
        <v>1808</v>
      </c>
      <c r="AB314" s="164">
        <v>202400672</v>
      </c>
      <c r="AC314" s="13" t="s">
        <v>8</v>
      </c>
      <c r="AE314" s="40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</row>
    <row r="315" spans="1:46">
      <c r="A315" s="14"/>
      <c r="B315" s="13" t="str">
        <f t="shared" ref="B315:B378" si="28">IF(ISBLANK(A315), "Pendente", "Realizada")</f>
        <v>Pendente</v>
      </c>
      <c r="C315" s="14" t="str">
        <f t="shared" ref="C315:C378" si="29">IF(A315="", "", EDATE(A315, 3))</f>
        <v/>
      </c>
      <c r="D315" s="13" t="s">
        <v>611</v>
      </c>
      <c r="E315" s="14" t="str">
        <f t="shared" ref="E315:E378" si="30">IF(C315="", "", EDATE(C315, 3))</f>
        <v/>
      </c>
      <c r="F315" s="13" t="s">
        <v>611</v>
      </c>
      <c r="G315" s="40">
        <v>202400672</v>
      </c>
      <c r="H315" s="13" t="s">
        <v>2454</v>
      </c>
      <c r="I315" s="13" t="s">
        <v>1176</v>
      </c>
      <c r="J315" s="14">
        <v>45509</v>
      </c>
      <c r="K315" s="14">
        <v>45870</v>
      </c>
      <c r="L315" s="13" t="s">
        <v>1185</v>
      </c>
      <c r="M315" s="13" t="s">
        <v>2455</v>
      </c>
      <c r="N315" s="13" t="s">
        <v>2456</v>
      </c>
      <c r="O315" s="17" t="s">
        <v>2457</v>
      </c>
      <c r="P315" s="13" t="s">
        <v>388</v>
      </c>
      <c r="Q315" s="13" t="s">
        <v>618</v>
      </c>
      <c r="R315" s="13" t="e">
        <f>VLOOKUP(P315,'Dados das Regiões '!#REF!,2,0)</f>
        <v>#REF!</v>
      </c>
      <c r="S315" s="13" t="s">
        <v>2458</v>
      </c>
      <c r="T315" s="13"/>
      <c r="U315" s="79" t="s">
        <v>2459</v>
      </c>
      <c r="V315" s="13" t="s">
        <v>2460</v>
      </c>
      <c r="W315" s="13" t="s">
        <v>2461</v>
      </c>
      <c r="X315" s="15">
        <v>0.33333333333333331</v>
      </c>
      <c r="Y315" s="16" t="s">
        <v>1438</v>
      </c>
      <c r="Z315" s="16" t="s">
        <v>622</v>
      </c>
      <c r="AA315" s="36" t="s">
        <v>1808</v>
      </c>
      <c r="AB315" s="164">
        <v>202400672</v>
      </c>
      <c r="AC315" s="13" t="s">
        <v>8</v>
      </c>
      <c r="AE315" s="40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</row>
    <row r="316" spans="1:46">
      <c r="A316" s="14"/>
      <c r="B316" s="13" t="str">
        <f t="shared" si="28"/>
        <v>Pendente</v>
      </c>
      <c r="C316" s="14" t="str">
        <f t="shared" si="29"/>
        <v/>
      </c>
      <c r="D316" s="13" t="s">
        <v>611</v>
      </c>
      <c r="E316" s="14" t="str">
        <f t="shared" si="30"/>
        <v/>
      </c>
      <c r="F316" s="13" t="s">
        <v>611</v>
      </c>
      <c r="G316" s="40">
        <v>202400672</v>
      </c>
      <c r="H316" s="13" t="s">
        <v>2462</v>
      </c>
      <c r="I316" s="13" t="s">
        <v>1176</v>
      </c>
      <c r="J316" s="14">
        <v>45509</v>
      </c>
      <c r="K316" s="14">
        <v>45870</v>
      </c>
      <c r="L316" s="13" t="s">
        <v>1185</v>
      </c>
      <c r="M316" s="13" t="s">
        <v>2463</v>
      </c>
      <c r="N316" s="13" t="s">
        <v>2464</v>
      </c>
      <c r="O316" s="17" t="s">
        <v>2465</v>
      </c>
      <c r="P316" s="13" t="s">
        <v>185</v>
      </c>
      <c r="Q316" s="13" t="s">
        <v>618</v>
      </c>
      <c r="R316" s="13" t="e">
        <f>VLOOKUP(P316,'Dados das Regiões '!#REF!,2,0)</f>
        <v>#REF!</v>
      </c>
      <c r="S316" s="13" t="s">
        <v>2466</v>
      </c>
      <c r="T316" s="13"/>
      <c r="U316" s="79" t="s">
        <v>2467</v>
      </c>
      <c r="V316" s="13" t="s">
        <v>2468</v>
      </c>
      <c r="W316" s="13" t="s">
        <v>2469</v>
      </c>
      <c r="X316" s="15">
        <v>0.5625</v>
      </c>
      <c r="Y316" s="16" t="s">
        <v>1415</v>
      </c>
      <c r="Z316" s="16" t="s">
        <v>622</v>
      </c>
      <c r="AA316" s="36" t="s">
        <v>1808</v>
      </c>
      <c r="AB316" s="164">
        <v>202400672</v>
      </c>
      <c r="AC316" s="13" t="s">
        <v>8</v>
      </c>
      <c r="AE316" s="40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</row>
    <row r="317" spans="1:46">
      <c r="A317" s="14"/>
      <c r="B317" s="13" t="str">
        <f t="shared" si="28"/>
        <v>Pendente</v>
      </c>
      <c r="C317" s="14" t="str">
        <f t="shared" si="29"/>
        <v/>
      </c>
      <c r="D317" s="13" t="s">
        <v>611</v>
      </c>
      <c r="E317" s="14" t="str">
        <f t="shared" si="30"/>
        <v/>
      </c>
      <c r="F317" s="13" t="s">
        <v>611</v>
      </c>
      <c r="G317" s="40">
        <v>202400672</v>
      </c>
      <c r="H317" s="13" t="s">
        <v>2470</v>
      </c>
      <c r="I317" s="13" t="s">
        <v>1176</v>
      </c>
      <c r="J317" s="14">
        <v>45509</v>
      </c>
      <c r="K317" s="14">
        <v>45870</v>
      </c>
      <c r="L317" s="13" t="s">
        <v>1185</v>
      </c>
      <c r="M317" s="13" t="s">
        <v>2471</v>
      </c>
      <c r="N317" s="13" t="s">
        <v>2472</v>
      </c>
      <c r="O317" s="17" t="s">
        <v>2473</v>
      </c>
      <c r="P317" s="13" t="s">
        <v>111</v>
      </c>
      <c r="Q317" s="13" t="s">
        <v>618</v>
      </c>
      <c r="R317" s="13" t="e">
        <f>VLOOKUP(P317,'Dados das Regiões '!#REF!,2,0)</f>
        <v>#REF!</v>
      </c>
      <c r="S317" s="13" t="s">
        <v>2474</v>
      </c>
      <c r="T317" s="13"/>
      <c r="U317" s="79"/>
      <c r="V317" s="13" t="s">
        <v>2475</v>
      </c>
      <c r="W317" s="13" t="s">
        <v>2476</v>
      </c>
      <c r="X317" s="15">
        <v>0.33333333333333331</v>
      </c>
      <c r="Y317" s="16" t="s">
        <v>1438</v>
      </c>
      <c r="Z317" s="16" t="s">
        <v>622</v>
      </c>
      <c r="AA317" s="36" t="s">
        <v>1808</v>
      </c>
      <c r="AB317" s="164">
        <v>202400672</v>
      </c>
      <c r="AC317" s="13" t="s">
        <v>8</v>
      </c>
      <c r="AE317" s="40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</row>
    <row r="318" spans="1:46">
      <c r="A318" s="14"/>
      <c r="B318" s="13" t="str">
        <f t="shared" si="28"/>
        <v>Pendente</v>
      </c>
      <c r="C318" s="14" t="str">
        <f t="shared" si="29"/>
        <v/>
      </c>
      <c r="D318" s="13" t="s">
        <v>611</v>
      </c>
      <c r="E318" s="14" t="str">
        <f t="shared" si="30"/>
        <v/>
      </c>
      <c r="F318" s="13" t="s">
        <v>611</v>
      </c>
      <c r="G318" s="40">
        <v>202400672</v>
      </c>
      <c r="H318" s="13" t="s">
        <v>2477</v>
      </c>
      <c r="I318" s="13" t="s">
        <v>1176</v>
      </c>
      <c r="J318" s="14">
        <v>45509</v>
      </c>
      <c r="K318" s="14">
        <v>45870</v>
      </c>
      <c r="L318" s="13" t="s">
        <v>1185</v>
      </c>
      <c r="M318" s="13" t="s">
        <v>2478</v>
      </c>
      <c r="N318" s="13" t="s">
        <v>2479</v>
      </c>
      <c r="O318" s="17" t="s">
        <v>2480</v>
      </c>
      <c r="P318" s="13" t="s">
        <v>436</v>
      </c>
      <c r="Q318" s="13" t="s">
        <v>618</v>
      </c>
      <c r="R318" s="13" t="e">
        <f>VLOOKUP(P318,'Dados das Regiões '!#REF!,2,0)</f>
        <v>#REF!</v>
      </c>
      <c r="S318" s="13" t="s">
        <v>2481</v>
      </c>
      <c r="T318" s="13"/>
      <c r="U318" s="79" t="s">
        <v>2482</v>
      </c>
      <c r="V318" s="13" t="s">
        <v>2483</v>
      </c>
      <c r="W318" s="13" t="s">
        <v>2484</v>
      </c>
      <c r="X318" s="15">
        <v>0.5625</v>
      </c>
      <c r="Y318" s="16" t="s">
        <v>1415</v>
      </c>
      <c r="Z318" s="16" t="s">
        <v>622</v>
      </c>
      <c r="AA318" s="36" t="s">
        <v>1808</v>
      </c>
      <c r="AB318" s="164">
        <v>202400672</v>
      </c>
      <c r="AC318" s="13" t="s">
        <v>8</v>
      </c>
      <c r="AE318" s="40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</row>
    <row r="319" spans="1:46">
      <c r="A319" s="14"/>
      <c r="B319" s="13" t="str">
        <f t="shared" si="28"/>
        <v>Pendente</v>
      </c>
      <c r="C319" s="14" t="str">
        <f t="shared" si="29"/>
        <v/>
      </c>
      <c r="D319" s="13" t="s">
        <v>611</v>
      </c>
      <c r="E319" s="14" t="str">
        <f t="shared" si="30"/>
        <v/>
      </c>
      <c r="F319" s="13" t="s">
        <v>611</v>
      </c>
      <c r="G319" s="40">
        <v>202400672</v>
      </c>
      <c r="H319" s="13" t="s">
        <v>2485</v>
      </c>
      <c r="I319" s="13" t="s">
        <v>1176</v>
      </c>
      <c r="J319" s="14">
        <v>45509</v>
      </c>
      <c r="K319" s="14">
        <v>45870</v>
      </c>
      <c r="L319" s="13" t="s">
        <v>1185</v>
      </c>
      <c r="M319" s="13" t="s">
        <v>2486</v>
      </c>
      <c r="N319" s="13" t="s">
        <v>2487</v>
      </c>
      <c r="O319" s="17" t="s">
        <v>2488</v>
      </c>
      <c r="P319" s="13" t="s">
        <v>452</v>
      </c>
      <c r="Q319" s="13" t="s">
        <v>618</v>
      </c>
      <c r="R319" s="13" t="e">
        <f>VLOOKUP(P319,'Dados das Regiões '!#REF!,2,0)</f>
        <v>#REF!</v>
      </c>
      <c r="S319" s="13" t="s">
        <v>2489</v>
      </c>
      <c r="T319" s="13"/>
      <c r="U319" s="79" t="s">
        <v>2490</v>
      </c>
      <c r="V319" s="13" t="s">
        <v>2491</v>
      </c>
      <c r="W319" s="13" t="s">
        <v>2492</v>
      </c>
      <c r="X319" s="15">
        <v>0.54166666666666663</v>
      </c>
      <c r="Y319" s="16" t="s">
        <v>1824</v>
      </c>
      <c r="Z319" s="16" t="s">
        <v>622</v>
      </c>
      <c r="AA319" s="36" t="s">
        <v>1808</v>
      </c>
      <c r="AB319" s="164">
        <v>202400672</v>
      </c>
      <c r="AC319" s="13" t="s">
        <v>8</v>
      </c>
      <c r="AE319" s="40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</row>
    <row r="320" spans="1:46">
      <c r="A320" s="14"/>
      <c r="B320" s="13" t="str">
        <f t="shared" si="28"/>
        <v>Pendente</v>
      </c>
      <c r="C320" s="14" t="str">
        <f t="shared" si="29"/>
        <v/>
      </c>
      <c r="D320" s="13" t="s">
        <v>611</v>
      </c>
      <c r="E320" s="14" t="str">
        <f t="shared" si="30"/>
        <v/>
      </c>
      <c r="F320" s="13" t="s">
        <v>611</v>
      </c>
      <c r="G320" s="40">
        <v>202400672</v>
      </c>
      <c r="H320" s="13" t="s">
        <v>2493</v>
      </c>
      <c r="I320" s="13" t="s">
        <v>1176</v>
      </c>
      <c r="J320" s="14">
        <v>45509</v>
      </c>
      <c r="K320" s="14">
        <v>45870</v>
      </c>
      <c r="L320" s="13" t="s">
        <v>1185</v>
      </c>
      <c r="M320" s="13" t="s">
        <v>2494</v>
      </c>
      <c r="N320" s="13" t="s">
        <v>2495</v>
      </c>
      <c r="O320" s="17" t="s">
        <v>2496</v>
      </c>
      <c r="P320" s="13" t="s">
        <v>460</v>
      </c>
      <c r="Q320" s="13" t="s">
        <v>618</v>
      </c>
      <c r="R320" s="13" t="e">
        <f>VLOOKUP(P320,'Dados das Regiões '!#REF!,2,0)</f>
        <v>#REF!</v>
      </c>
      <c r="S320" s="13" t="s">
        <v>2497</v>
      </c>
      <c r="T320" s="13"/>
      <c r="U320" s="79" t="s">
        <v>2498</v>
      </c>
      <c r="V320" s="13" t="s">
        <v>2499</v>
      </c>
      <c r="W320" s="13" t="s">
        <v>2500</v>
      </c>
      <c r="X320" s="15">
        <v>0.54166666666666663</v>
      </c>
      <c r="Y320" s="16" t="s">
        <v>1824</v>
      </c>
      <c r="Z320" s="16" t="s">
        <v>622</v>
      </c>
      <c r="AA320" s="36" t="s">
        <v>1808</v>
      </c>
      <c r="AB320" s="164">
        <v>202400672</v>
      </c>
      <c r="AC320" s="13" t="s">
        <v>8</v>
      </c>
      <c r="AE320" s="40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</row>
    <row r="321" spans="1:46">
      <c r="A321" s="14"/>
      <c r="B321" s="13" t="str">
        <f t="shared" si="28"/>
        <v>Pendente</v>
      </c>
      <c r="C321" s="14" t="str">
        <f t="shared" si="29"/>
        <v/>
      </c>
      <c r="D321" s="13" t="s">
        <v>611</v>
      </c>
      <c r="E321" s="14" t="str">
        <f t="shared" si="30"/>
        <v/>
      </c>
      <c r="F321" s="13" t="s">
        <v>611</v>
      </c>
      <c r="G321" s="40">
        <v>202400672</v>
      </c>
      <c r="H321" s="13" t="s">
        <v>2501</v>
      </c>
      <c r="I321" s="13" t="s">
        <v>1176</v>
      </c>
      <c r="J321" s="14">
        <v>45509</v>
      </c>
      <c r="K321" s="14">
        <v>45870</v>
      </c>
      <c r="L321" s="13" t="s">
        <v>1185</v>
      </c>
      <c r="M321" s="13" t="s">
        <v>2502</v>
      </c>
      <c r="N321" s="13" t="s">
        <v>2503</v>
      </c>
      <c r="O321" s="17" t="s">
        <v>2504</v>
      </c>
      <c r="P321" s="13" t="s">
        <v>509</v>
      </c>
      <c r="Q321" s="13" t="s">
        <v>618</v>
      </c>
      <c r="R321" s="13" t="e">
        <f>VLOOKUP(P321,'Dados das Regiões '!#REF!,2,0)</f>
        <v>#REF!</v>
      </c>
      <c r="S321" s="13" t="s">
        <v>2505</v>
      </c>
      <c r="T321" s="13"/>
      <c r="U321" s="79"/>
      <c r="V321" s="13" t="s">
        <v>2506</v>
      </c>
      <c r="W321" s="13" t="s">
        <v>2507</v>
      </c>
      <c r="X321" s="15">
        <v>0.375</v>
      </c>
      <c r="Y321" s="16" t="s">
        <v>2039</v>
      </c>
      <c r="Z321" s="16" t="s">
        <v>622</v>
      </c>
      <c r="AA321" s="36" t="s">
        <v>1808</v>
      </c>
      <c r="AB321" s="164">
        <v>202400672</v>
      </c>
      <c r="AC321" s="13" t="s">
        <v>8</v>
      </c>
      <c r="AE321" s="40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</row>
    <row r="322" spans="1:46">
      <c r="A322" s="14"/>
      <c r="B322" s="13" t="str">
        <f t="shared" si="28"/>
        <v>Pendente</v>
      </c>
      <c r="C322" s="14" t="str">
        <f t="shared" si="29"/>
        <v/>
      </c>
      <c r="D322" s="13" t="s">
        <v>611</v>
      </c>
      <c r="E322" s="14" t="str">
        <f t="shared" si="30"/>
        <v/>
      </c>
      <c r="F322" s="13" t="s">
        <v>611</v>
      </c>
      <c r="G322" s="40">
        <v>202400672</v>
      </c>
      <c r="H322" s="13" t="s">
        <v>2508</v>
      </c>
      <c r="I322" s="13" t="s">
        <v>1176</v>
      </c>
      <c r="J322" s="14">
        <v>45509</v>
      </c>
      <c r="K322" s="14">
        <v>45870</v>
      </c>
      <c r="L322" s="13" t="s">
        <v>1185</v>
      </c>
      <c r="M322" s="13" t="s">
        <v>2509</v>
      </c>
      <c r="N322" s="13" t="s">
        <v>2510</v>
      </c>
      <c r="O322" s="17" t="s">
        <v>2511</v>
      </c>
      <c r="P322" s="13" t="s">
        <v>396</v>
      </c>
      <c r="Q322" s="13" t="s">
        <v>618</v>
      </c>
      <c r="R322" s="13" t="e">
        <f>VLOOKUP(P322,'Dados das Regiões '!#REF!,2,0)</f>
        <v>#REF!</v>
      </c>
      <c r="S322" s="13" t="s">
        <v>2512</v>
      </c>
      <c r="T322" s="13"/>
      <c r="U322" s="79"/>
      <c r="V322" s="13" t="s">
        <v>2513</v>
      </c>
      <c r="W322" s="13" t="s">
        <v>2514</v>
      </c>
      <c r="X322" s="15">
        <v>0.54166666666666663</v>
      </c>
      <c r="Y322" s="16" t="s">
        <v>1824</v>
      </c>
      <c r="Z322" s="16" t="s">
        <v>622</v>
      </c>
      <c r="AA322" s="36" t="s">
        <v>1808</v>
      </c>
      <c r="AB322" s="164">
        <v>202400672</v>
      </c>
      <c r="AC322" s="13" t="s">
        <v>8</v>
      </c>
      <c r="AE322" s="40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</row>
    <row r="323" spans="1:46">
      <c r="A323" s="14"/>
      <c r="B323" s="13" t="str">
        <f t="shared" si="28"/>
        <v>Pendente</v>
      </c>
      <c r="C323" s="14" t="str">
        <f t="shared" si="29"/>
        <v/>
      </c>
      <c r="D323" s="13" t="s">
        <v>611</v>
      </c>
      <c r="E323" s="14" t="str">
        <f t="shared" si="30"/>
        <v/>
      </c>
      <c r="F323" s="13" t="s">
        <v>611</v>
      </c>
      <c r="G323" s="40">
        <v>202400672</v>
      </c>
      <c r="H323" s="13" t="s">
        <v>2515</v>
      </c>
      <c r="I323" s="13" t="s">
        <v>1176</v>
      </c>
      <c r="J323" s="14">
        <v>45509</v>
      </c>
      <c r="K323" s="14">
        <v>45870</v>
      </c>
      <c r="L323" s="13" t="s">
        <v>1185</v>
      </c>
      <c r="M323" s="13" t="s">
        <v>2516</v>
      </c>
      <c r="N323" s="13" t="s">
        <v>2517</v>
      </c>
      <c r="O323" s="17" t="s">
        <v>2518</v>
      </c>
      <c r="P323" s="13" t="s">
        <v>258</v>
      </c>
      <c r="Q323" s="13" t="s">
        <v>618</v>
      </c>
      <c r="R323" s="13" t="e">
        <f>VLOOKUP(P323,'Dados das Regiões '!#REF!,2,0)</f>
        <v>#REF!</v>
      </c>
      <c r="S323" s="13" t="s">
        <v>2519</v>
      </c>
      <c r="T323" s="13"/>
      <c r="U323" s="79" t="s">
        <v>2520</v>
      </c>
      <c r="V323" s="13" t="s">
        <v>2521</v>
      </c>
      <c r="W323" s="13" t="s">
        <v>2522</v>
      </c>
      <c r="X323" s="15">
        <v>0.54166666666666663</v>
      </c>
      <c r="Y323" s="16" t="s">
        <v>1824</v>
      </c>
      <c r="Z323" s="16" t="s">
        <v>622</v>
      </c>
      <c r="AA323" s="36" t="s">
        <v>1808</v>
      </c>
      <c r="AB323" s="164">
        <v>202400672</v>
      </c>
      <c r="AC323" s="13" t="s">
        <v>8</v>
      </c>
      <c r="AT323" s="13"/>
    </row>
    <row r="324" spans="1:46">
      <c r="A324" s="14"/>
      <c r="B324" s="13" t="str">
        <f t="shared" si="28"/>
        <v>Pendente</v>
      </c>
      <c r="C324" s="14" t="str">
        <f t="shared" si="29"/>
        <v/>
      </c>
      <c r="D324" s="13" t="s">
        <v>611</v>
      </c>
      <c r="E324" s="14" t="str">
        <f t="shared" si="30"/>
        <v/>
      </c>
      <c r="F324" s="13" t="s">
        <v>611</v>
      </c>
      <c r="G324" s="40">
        <v>202400672</v>
      </c>
      <c r="H324" s="13" t="s">
        <v>2523</v>
      </c>
      <c r="I324" s="13" t="s">
        <v>1176</v>
      </c>
      <c r="J324" s="14">
        <v>45509</v>
      </c>
      <c r="K324" s="14">
        <v>45870</v>
      </c>
      <c r="L324" s="13" t="s">
        <v>1185</v>
      </c>
      <c r="M324" s="13" t="s">
        <v>2524</v>
      </c>
      <c r="N324" s="13" t="s">
        <v>2525</v>
      </c>
      <c r="O324" s="17" t="s">
        <v>2526</v>
      </c>
      <c r="P324" s="13" t="s">
        <v>317</v>
      </c>
      <c r="Q324" s="13" t="s">
        <v>618</v>
      </c>
      <c r="R324" s="13" t="e">
        <f>VLOOKUP(P324,'Dados das Regiões '!#REF!,2,0)</f>
        <v>#REF!</v>
      </c>
      <c r="S324" s="501" t="s">
        <v>2527</v>
      </c>
      <c r="T324" s="13"/>
      <c r="U324" s="503" t="s">
        <v>2528</v>
      </c>
      <c r="V324" s="501" t="s">
        <v>2528</v>
      </c>
      <c r="W324" s="501" t="s">
        <v>2529</v>
      </c>
      <c r="X324" s="15">
        <v>0.54166666666666663</v>
      </c>
      <c r="Y324" s="16" t="s">
        <v>1824</v>
      </c>
      <c r="Z324" s="16" t="s">
        <v>622</v>
      </c>
      <c r="AA324" s="36" t="s">
        <v>1808</v>
      </c>
      <c r="AB324" s="164">
        <v>202400672</v>
      </c>
      <c r="AC324" s="13" t="s">
        <v>8</v>
      </c>
      <c r="AE324" s="40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</row>
    <row r="325" spans="1:46">
      <c r="A325" s="14"/>
      <c r="B325" s="13" t="str">
        <f t="shared" si="28"/>
        <v>Pendente</v>
      </c>
      <c r="C325" s="14" t="str">
        <f t="shared" si="29"/>
        <v/>
      </c>
      <c r="D325" s="13" t="s">
        <v>611</v>
      </c>
      <c r="E325" s="14" t="str">
        <f t="shared" si="30"/>
        <v/>
      </c>
      <c r="F325" s="13" t="s">
        <v>611</v>
      </c>
      <c r="G325" s="40">
        <v>202400672</v>
      </c>
      <c r="H325" s="13" t="s">
        <v>2530</v>
      </c>
      <c r="I325" s="13" t="s">
        <v>1176</v>
      </c>
      <c r="J325" s="14">
        <v>45509</v>
      </c>
      <c r="K325" s="14">
        <v>45870</v>
      </c>
      <c r="L325" s="13" t="s">
        <v>1185</v>
      </c>
      <c r="M325" s="13" t="s">
        <v>2531</v>
      </c>
      <c r="N325" s="13" t="s">
        <v>2532</v>
      </c>
      <c r="O325" s="17" t="s">
        <v>2533</v>
      </c>
      <c r="P325" s="13" t="s">
        <v>146</v>
      </c>
      <c r="Q325" s="13" t="s">
        <v>618</v>
      </c>
      <c r="R325" s="13" t="e">
        <f>VLOOKUP(P325,'Dados das Regiões '!#REF!,2,0)</f>
        <v>#REF!</v>
      </c>
      <c r="S325" s="13" t="s">
        <v>2534</v>
      </c>
      <c r="T325" s="13"/>
      <c r="U325" s="79" t="s">
        <v>2535</v>
      </c>
      <c r="V325" s="13" t="s">
        <v>2536</v>
      </c>
      <c r="W325" s="13" t="s">
        <v>2537</v>
      </c>
      <c r="X325" s="15">
        <v>0.34375</v>
      </c>
      <c r="Y325" s="16" t="s">
        <v>2538</v>
      </c>
      <c r="Z325" s="16" t="s">
        <v>622</v>
      </c>
      <c r="AA325" s="36" t="s">
        <v>1808</v>
      </c>
      <c r="AB325" s="164">
        <v>202400672</v>
      </c>
      <c r="AC325" s="13" t="s">
        <v>8</v>
      </c>
      <c r="AE325" s="40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</row>
    <row r="326" spans="1:46">
      <c r="A326" s="14"/>
      <c r="B326" s="13" t="str">
        <f t="shared" si="28"/>
        <v>Pendente</v>
      </c>
      <c r="C326" s="14" t="str">
        <f t="shared" si="29"/>
        <v/>
      </c>
      <c r="D326" s="13" t="s">
        <v>611</v>
      </c>
      <c r="E326" s="14" t="str">
        <f t="shared" si="30"/>
        <v/>
      </c>
      <c r="F326" s="13" t="s">
        <v>611</v>
      </c>
      <c r="G326" s="40">
        <v>202400672</v>
      </c>
      <c r="H326" s="13" t="s">
        <v>2539</v>
      </c>
      <c r="I326" s="13" t="s">
        <v>1176</v>
      </c>
      <c r="J326" s="14">
        <v>45509</v>
      </c>
      <c r="K326" s="14">
        <v>45870</v>
      </c>
      <c r="L326" s="13" t="s">
        <v>1185</v>
      </c>
      <c r="M326" s="13" t="s">
        <v>2540</v>
      </c>
      <c r="N326" s="13" t="s">
        <v>2541</v>
      </c>
      <c r="O326" s="17" t="s">
        <v>2542</v>
      </c>
      <c r="P326" s="13" t="s">
        <v>303</v>
      </c>
      <c r="Q326" s="13" t="s">
        <v>618</v>
      </c>
      <c r="R326" s="13" t="e">
        <f>VLOOKUP(P326,'Dados das Regiões '!#REF!,2,0)</f>
        <v>#REF!</v>
      </c>
      <c r="S326" s="13" t="s">
        <v>2543</v>
      </c>
      <c r="T326" s="13"/>
      <c r="U326" s="79"/>
      <c r="V326" s="13" t="s">
        <v>2544</v>
      </c>
      <c r="W326" s="13" t="s">
        <v>2545</v>
      </c>
      <c r="X326" s="15">
        <v>0.5</v>
      </c>
      <c r="Y326" s="16" t="s">
        <v>1841</v>
      </c>
      <c r="Z326" s="16" t="s">
        <v>622</v>
      </c>
      <c r="AA326" s="36" t="s">
        <v>1808</v>
      </c>
      <c r="AB326" s="164">
        <v>202400672</v>
      </c>
      <c r="AC326" s="13" t="s">
        <v>8</v>
      </c>
      <c r="AE326" s="40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</row>
    <row r="327" spans="1:46">
      <c r="A327" s="14"/>
      <c r="B327" s="13" t="str">
        <f t="shared" si="28"/>
        <v>Pendente</v>
      </c>
      <c r="C327" s="14" t="str">
        <f t="shared" si="29"/>
        <v/>
      </c>
      <c r="D327" s="13" t="s">
        <v>611</v>
      </c>
      <c r="E327" s="14" t="str">
        <f t="shared" si="30"/>
        <v/>
      </c>
      <c r="F327" s="13" t="s">
        <v>611</v>
      </c>
      <c r="G327" s="40">
        <v>202400672</v>
      </c>
      <c r="H327" s="13" t="s">
        <v>2546</v>
      </c>
      <c r="I327" s="13" t="s">
        <v>1176</v>
      </c>
      <c r="J327" s="14">
        <v>45509</v>
      </c>
      <c r="K327" s="14">
        <v>45870</v>
      </c>
      <c r="L327" s="13" t="s">
        <v>1185</v>
      </c>
      <c r="M327" s="13" t="s">
        <v>2547</v>
      </c>
      <c r="N327" s="13" t="s">
        <v>2548</v>
      </c>
      <c r="O327" s="17" t="s">
        <v>2549</v>
      </c>
      <c r="P327" s="13" t="s">
        <v>406</v>
      </c>
      <c r="Q327" s="13" t="s">
        <v>618</v>
      </c>
      <c r="R327" s="13" t="e">
        <f>VLOOKUP(P327,'Dados das Regiões '!#REF!,2,0)</f>
        <v>#REF!</v>
      </c>
      <c r="S327" s="13" t="s">
        <v>2550</v>
      </c>
      <c r="T327" s="13"/>
      <c r="U327" s="79" t="s">
        <v>2551</v>
      </c>
      <c r="V327" s="13" t="s">
        <v>2552</v>
      </c>
      <c r="W327" s="13" t="s">
        <v>2553</v>
      </c>
      <c r="X327" s="15">
        <v>0.5625</v>
      </c>
      <c r="Y327" s="16" t="s">
        <v>1415</v>
      </c>
      <c r="Z327" s="16" t="s">
        <v>622</v>
      </c>
      <c r="AA327" s="36" t="s">
        <v>1808</v>
      </c>
      <c r="AB327" s="164">
        <v>202400672</v>
      </c>
      <c r="AC327" s="13" t="s">
        <v>8</v>
      </c>
      <c r="AE327" s="40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</row>
    <row r="328" spans="1:46">
      <c r="A328" s="14"/>
      <c r="B328" s="13" t="str">
        <f t="shared" si="28"/>
        <v>Pendente</v>
      </c>
      <c r="C328" s="14" t="str">
        <f t="shared" si="29"/>
        <v/>
      </c>
      <c r="D328" s="13" t="s">
        <v>611</v>
      </c>
      <c r="E328" s="14" t="str">
        <f t="shared" si="30"/>
        <v/>
      </c>
      <c r="F328" s="13" t="s">
        <v>611</v>
      </c>
      <c r="G328" s="40">
        <v>202400678</v>
      </c>
      <c r="H328" s="13" t="s">
        <v>2554</v>
      </c>
      <c r="I328" s="13" t="s">
        <v>613</v>
      </c>
      <c r="J328" s="14">
        <v>45509</v>
      </c>
      <c r="K328" s="14">
        <v>45870</v>
      </c>
      <c r="L328" s="13" t="s">
        <v>2555</v>
      </c>
      <c r="M328" s="13" t="s">
        <v>2556</v>
      </c>
      <c r="N328" s="13" t="s">
        <v>2557</v>
      </c>
      <c r="O328" s="77" t="s">
        <v>2558</v>
      </c>
      <c r="P328" s="13" t="s">
        <v>274</v>
      </c>
      <c r="Q328" s="13" t="s">
        <v>618</v>
      </c>
      <c r="R328" s="13" t="e">
        <f>VLOOKUP(P328,'Dados das Regiões '!#REF!,2,0)</f>
        <v>#REF!</v>
      </c>
      <c r="S328" s="13" t="s">
        <v>2559</v>
      </c>
      <c r="T328" s="13"/>
      <c r="U328" s="79"/>
      <c r="V328" s="13" t="s">
        <v>2560</v>
      </c>
      <c r="W328" s="13" t="s">
        <v>2561</v>
      </c>
      <c r="X328" s="15">
        <v>0.5625</v>
      </c>
      <c r="Y328" s="16" t="s">
        <v>1415</v>
      </c>
      <c r="Z328" s="16" t="s">
        <v>622</v>
      </c>
      <c r="AA328" s="36" t="s">
        <v>1808</v>
      </c>
      <c r="AB328" s="164">
        <v>202400678</v>
      </c>
      <c r="AC328" s="13" t="s">
        <v>6</v>
      </c>
      <c r="AE328" s="40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</row>
    <row r="329" spans="1:46">
      <c r="A329" s="14"/>
      <c r="B329" s="13" t="str">
        <f t="shared" si="28"/>
        <v>Pendente</v>
      </c>
      <c r="C329" s="14" t="str">
        <f t="shared" si="29"/>
        <v/>
      </c>
      <c r="D329" s="13" t="s">
        <v>611</v>
      </c>
      <c r="E329" s="14" t="str">
        <f t="shared" si="30"/>
        <v/>
      </c>
      <c r="F329" s="13" t="s">
        <v>611</v>
      </c>
      <c r="G329" s="40">
        <v>202400672</v>
      </c>
      <c r="H329" s="13" t="s">
        <v>2562</v>
      </c>
      <c r="I329" s="13" t="s">
        <v>1176</v>
      </c>
      <c r="J329" s="14">
        <v>45509</v>
      </c>
      <c r="K329" s="14">
        <v>45870</v>
      </c>
      <c r="L329" s="13" t="s">
        <v>1185</v>
      </c>
      <c r="M329" s="13" t="s">
        <v>2563</v>
      </c>
      <c r="N329" s="13" t="s">
        <v>2564</v>
      </c>
      <c r="O329" s="17" t="s">
        <v>2565</v>
      </c>
      <c r="P329" s="13" t="s">
        <v>304</v>
      </c>
      <c r="Q329" s="13" t="s">
        <v>618</v>
      </c>
      <c r="R329" s="13" t="e">
        <f>VLOOKUP(P329,'Dados das Regiões '!#REF!,2,0)</f>
        <v>#REF!</v>
      </c>
      <c r="S329" s="13" t="s">
        <v>2566</v>
      </c>
      <c r="T329" s="13"/>
      <c r="U329" s="79" t="s">
        <v>2567</v>
      </c>
      <c r="V329" s="13" t="s">
        <v>2568</v>
      </c>
      <c r="W329" s="13" t="s">
        <v>2569</v>
      </c>
      <c r="X329" s="15">
        <v>0.58333333333333337</v>
      </c>
      <c r="Y329" s="16" t="s">
        <v>1200</v>
      </c>
      <c r="Z329" s="16" t="s">
        <v>622</v>
      </c>
      <c r="AA329" s="36" t="s">
        <v>1808</v>
      </c>
      <c r="AB329" s="164">
        <v>202400672</v>
      </c>
      <c r="AC329" s="13" t="s">
        <v>8</v>
      </c>
      <c r="AE329" s="40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</row>
    <row r="330" spans="1:46">
      <c r="A330" s="14"/>
      <c r="B330" s="13" t="str">
        <f t="shared" si="28"/>
        <v>Pendente</v>
      </c>
      <c r="C330" s="14" t="str">
        <f t="shared" si="29"/>
        <v/>
      </c>
      <c r="D330" s="13" t="s">
        <v>611</v>
      </c>
      <c r="E330" s="14" t="str">
        <f t="shared" si="30"/>
        <v/>
      </c>
      <c r="F330" s="13" t="s">
        <v>611</v>
      </c>
      <c r="G330" s="40">
        <v>202400672</v>
      </c>
      <c r="H330" s="13" t="s">
        <v>2570</v>
      </c>
      <c r="I330" s="13" t="s">
        <v>1176</v>
      </c>
      <c r="J330" s="14">
        <v>45509</v>
      </c>
      <c r="K330" s="14">
        <v>45870</v>
      </c>
      <c r="L330" s="13" t="s">
        <v>2571</v>
      </c>
      <c r="M330" s="13" t="s">
        <v>2572</v>
      </c>
      <c r="N330" s="13" t="s">
        <v>2573</v>
      </c>
      <c r="O330" s="17" t="s">
        <v>2574</v>
      </c>
      <c r="P330" s="13" t="s">
        <v>489</v>
      </c>
      <c r="Q330" s="13" t="s">
        <v>618</v>
      </c>
      <c r="R330" s="13" t="e">
        <f>VLOOKUP(P330,'Dados das Regiões '!#REF!,2,0)</f>
        <v>#REF!</v>
      </c>
      <c r="S330" s="13" t="s">
        <v>2575</v>
      </c>
      <c r="T330" s="13"/>
      <c r="U330" s="79" t="s">
        <v>2576</v>
      </c>
      <c r="V330" s="13" t="s">
        <v>2577</v>
      </c>
      <c r="W330" s="13" t="s">
        <v>2578</v>
      </c>
      <c r="X330" s="15">
        <v>0.54166666666666663</v>
      </c>
      <c r="Y330" s="16" t="s">
        <v>1824</v>
      </c>
      <c r="Z330" s="16" t="s">
        <v>622</v>
      </c>
      <c r="AA330" s="36" t="s">
        <v>1808</v>
      </c>
      <c r="AB330" s="164">
        <v>202400672</v>
      </c>
      <c r="AC330" s="13" t="s">
        <v>8</v>
      </c>
      <c r="AE330" s="40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</row>
    <row r="331" spans="1:46">
      <c r="A331" s="14"/>
      <c r="B331" s="13" t="str">
        <f t="shared" si="28"/>
        <v>Pendente</v>
      </c>
      <c r="C331" s="14" t="str">
        <f t="shared" si="29"/>
        <v/>
      </c>
      <c r="D331" s="13" t="s">
        <v>611</v>
      </c>
      <c r="E331" s="14" t="str">
        <f t="shared" si="30"/>
        <v/>
      </c>
      <c r="F331" s="13" t="s">
        <v>611</v>
      </c>
      <c r="G331" s="40">
        <v>202400678</v>
      </c>
      <c r="H331" s="13" t="s">
        <v>2579</v>
      </c>
      <c r="I331" s="13" t="s">
        <v>613</v>
      </c>
      <c r="J331" s="14">
        <v>45509</v>
      </c>
      <c r="K331" s="14">
        <v>45870</v>
      </c>
      <c r="L331" s="13" t="s">
        <v>2555</v>
      </c>
      <c r="M331" s="13" t="s">
        <v>2556</v>
      </c>
      <c r="N331" s="13" t="s">
        <v>2557</v>
      </c>
      <c r="O331" s="77" t="s">
        <v>2558</v>
      </c>
      <c r="P331" s="13" t="s">
        <v>274</v>
      </c>
      <c r="Q331" s="13" t="s">
        <v>618</v>
      </c>
      <c r="R331" s="13" t="e">
        <f>VLOOKUP(P331,'Dados das Regiões '!#REF!,2,0)</f>
        <v>#REF!</v>
      </c>
      <c r="S331" s="13" t="s">
        <v>2580</v>
      </c>
      <c r="T331" s="13"/>
      <c r="U331" s="79"/>
      <c r="V331" s="13" t="s">
        <v>2560</v>
      </c>
      <c r="W331" s="13" t="s">
        <v>2561</v>
      </c>
      <c r="X331" s="15">
        <v>0.5625</v>
      </c>
      <c r="Y331" s="16" t="s">
        <v>1415</v>
      </c>
      <c r="Z331" s="16" t="s">
        <v>622</v>
      </c>
      <c r="AA331" s="36" t="s">
        <v>1808</v>
      </c>
      <c r="AB331" s="164">
        <v>202400678</v>
      </c>
      <c r="AC331" s="13" t="s">
        <v>6</v>
      </c>
      <c r="AE331" s="40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</row>
    <row r="332" spans="1:46">
      <c r="A332" s="14"/>
      <c r="B332" s="13" t="str">
        <f t="shared" si="28"/>
        <v>Pendente</v>
      </c>
      <c r="C332" s="14" t="str">
        <f t="shared" si="29"/>
        <v/>
      </c>
      <c r="D332" s="13" t="s">
        <v>611</v>
      </c>
      <c r="E332" s="14" t="str">
        <f t="shared" si="30"/>
        <v/>
      </c>
      <c r="F332" s="13" t="s">
        <v>611</v>
      </c>
      <c r="G332" s="40">
        <v>202400678</v>
      </c>
      <c r="H332" s="13" t="s">
        <v>2581</v>
      </c>
      <c r="I332" s="13" t="s">
        <v>613</v>
      </c>
      <c r="J332" s="14">
        <v>45509</v>
      </c>
      <c r="K332" s="14">
        <v>45870</v>
      </c>
      <c r="L332" s="13" t="s">
        <v>2555</v>
      </c>
      <c r="M332" s="13" t="s">
        <v>2556</v>
      </c>
      <c r="N332" s="13" t="s">
        <v>2557</v>
      </c>
      <c r="O332" s="77" t="s">
        <v>2558</v>
      </c>
      <c r="P332" s="13" t="s">
        <v>274</v>
      </c>
      <c r="Q332" s="13" t="s">
        <v>618</v>
      </c>
      <c r="R332" s="13" t="e">
        <f>VLOOKUP(P332,'Dados das Regiões '!#REF!,2,0)</f>
        <v>#REF!</v>
      </c>
      <c r="S332" s="13" t="s">
        <v>2580</v>
      </c>
      <c r="T332" s="13"/>
      <c r="U332" s="79"/>
      <c r="V332" s="13" t="s">
        <v>2560</v>
      </c>
      <c r="W332" s="13" t="s">
        <v>2561</v>
      </c>
      <c r="X332" s="15">
        <v>0.5625</v>
      </c>
      <c r="Y332" s="16" t="s">
        <v>1415</v>
      </c>
      <c r="Z332" s="16" t="s">
        <v>622</v>
      </c>
      <c r="AA332" s="36" t="s">
        <v>1808</v>
      </c>
      <c r="AB332" s="164">
        <v>202400678</v>
      </c>
      <c r="AC332" s="13" t="s">
        <v>6</v>
      </c>
      <c r="AE332" s="40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</row>
    <row r="333" spans="1:46">
      <c r="A333" s="14"/>
      <c r="B333" s="13" t="str">
        <f t="shared" si="28"/>
        <v>Pendente</v>
      </c>
      <c r="C333" s="14" t="str">
        <f t="shared" si="29"/>
        <v/>
      </c>
      <c r="D333" s="13" t="s">
        <v>611</v>
      </c>
      <c r="E333" s="14" t="str">
        <f t="shared" si="30"/>
        <v/>
      </c>
      <c r="F333" s="13" t="s">
        <v>611</v>
      </c>
      <c r="G333" s="40">
        <v>202400678</v>
      </c>
      <c r="H333" s="13" t="s">
        <v>2582</v>
      </c>
      <c r="I333" s="13" t="s">
        <v>613</v>
      </c>
      <c r="J333" s="14">
        <v>45509</v>
      </c>
      <c r="K333" s="14">
        <v>45870</v>
      </c>
      <c r="L333" s="13" t="s">
        <v>2555</v>
      </c>
      <c r="M333" s="13" t="s">
        <v>2556</v>
      </c>
      <c r="N333" s="13" t="s">
        <v>2557</v>
      </c>
      <c r="O333" s="77" t="s">
        <v>2558</v>
      </c>
      <c r="P333" s="13" t="s">
        <v>274</v>
      </c>
      <c r="Q333" s="13" t="s">
        <v>618</v>
      </c>
      <c r="R333" s="13" t="e">
        <f>VLOOKUP(P333,'Dados das Regiões '!#REF!,2,0)</f>
        <v>#REF!</v>
      </c>
      <c r="S333" s="13" t="s">
        <v>2580</v>
      </c>
      <c r="T333" s="13"/>
      <c r="U333" s="79"/>
      <c r="V333" s="13" t="s">
        <v>2560</v>
      </c>
      <c r="W333" s="13" t="s">
        <v>2561</v>
      </c>
      <c r="X333" s="15">
        <v>0.5625</v>
      </c>
      <c r="Y333" s="16" t="s">
        <v>1415</v>
      </c>
      <c r="Z333" s="16" t="s">
        <v>622</v>
      </c>
      <c r="AA333" s="36" t="s">
        <v>1808</v>
      </c>
      <c r="AB333" s="164">
        <v>202400678</v>
      </c>
      <c r="AC333" s="13" t="s">
        <v>6</v>
      </c>
      <c r="AE333" s="40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</row>
    <row r="334" spans="1:46">
      <c r="A334" s="14"/>
      <c r="B334" s="13" t="str">
        <f t="shared" si="28"/>
        <v>Pendente</v>
      </c>
      <c r="C334" s="14" t="str">
        <f t="shared" si="29"/>
        <v/>
      </c>
      <c r="D334" s="13" t="s">
        <v>611</v>
      </c>
      <c r="E334" s="14" t="str">
        <f t="shared" si="30"/>
        <v/>
      </c>
      <c r="F334" s="13" t="s">
        <v>611</v>
      </c>
      <c r="G334" s="40">
        <v>202400679</v>
      </c>
      <c r="H334" s="13" t="s">
        <v>2583</v>
      </c>
      <c r="I334" s="13" t="s">
        <v>1176</v>
      </c>
      <c r="J334" s="14">
        <v>45509</v>
      </c>
      <c r="K334" s="14">
        <v>45870</v>
      </c>
      <c r="L334" s="13" t="s">
        <v>1185</v>
      </c>
      <c r="M334" s="70" t="s">
        <v>2584</v>
      </c>
      <c r="N334" s="13" t="s">
        <v>2585</v>
      </c>
      <c r="O334" s="17" t="s">
        <v>2586</v>
      </c>
      <c r="P334" s="13" t="s">
        <v>200</v>
      </c>
      <c r="Q334" s="13" t="s">
        <v>618</v>
      </c>
      <c r="R334" s="13" t="e">
        <f>VLOOKUP(P334,'Dados das Regiões '!#REF!,2,0)</f>
        <v>#REF!</v>
      </c>
      <c r="S334" t="s">
        <v>2587</v>
      </c>
      <c r="T334" s="13"/>
      <c r="U334" s="57" t="s">
        <v>2588</v>
      </c>
      <c r="V334" t="s">
        <v>2589</v>
      </c>
      <c r="W334" t="s">
        <v>2590</v>
      </c>
      <c r="X334" s="15">
        <v>0.33333333333333331</v>
      </c>
      <c r="Y334" s="16" t="s">
        <v>2591</v>
      </c>
      <c r="Z334" s="16" t="s">
        <v>622</v>
      </c>
      <c r="AA334" s="36" t="s">
        <v>1808</v>
      </c>
      <c r="AB334" s="164">
        <v>202400679</v>
      </c>
      <c r="AC334" s="13" t="s">
        <v>9</v>
      </c>
      <c r="AE334" s="40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</row>
    <row r="335" spans="1:46">
      <c r="A335" s="14"/>
      <c r="B335" s="13" t="str">
        <f t="shared" si="28"/>
        <v>Pendente</v>
      </c>
      <c r="C335" s="14" t="str">
        <f t="shared" si="29"/>
        <v/>
      </c>
      <c r="D335" s="13" t="s">
        <v>611</v>
      </c>
      <c r="E335" s="14" t="str">
        <f t="shared" si="30"/>
        <v/>
      </c>
      <c r="F335" s="13" t="s">
        <v>611</v>
      </c>
      <c r="G335" s="40">
        <v>202400678</v>
      </c>
      <c r="H335" s="13" t="s">
        <v>2592</v>
      </c>
      <c r="I335" s="13" t="s">
        <v>613</v>
      </c>
      <c r="J335" s="14">
        <v>45509</v>
      </c>
      <c r="K335" s="14">
        <v>45870</v>
      </c>
      <c r="L335" s="13" t="s">
        <v>2593</v>
      </c>
      <c r="M335" s="13" t="s">
        <v>2594</v>
      </c>
      <c r="N335" s="13" t="s">
        <v>2595</v>
      </c>
      <c r="O335" s="17" t="s">
        <v>2596</v>
      </c>
      <c r="P335" s="13" t="s">
        <v>274</v>
      </c>
      <c r="Q335" s="13" t="s">
        <v>618</v>
      </c>
      <c r="R335" s="13" t="e">
        <f>VLOOKUP(P335,'Dados das Regiões '!#REF!,2,0)</f>
        <v>#REF!</v>
      </c>
      <c r="S335" s="13" t="s">
        <v>2559</v>
      </c>
      <c r="T335" s="13"/>
      <c r="U335" s="79"/>
      <c r="V335" s="13" t="s">
        <v>2560</v>
      </c>
      <c r="W335" s="13" t="s">
        <v>2561</v>
      </c>
      <c r="X335" s="15">
        <v>0.5625</v>
      </c>
      <c r="Y335" s="16" t="s">
        <v>1415</v>
      </c>
      <c r="Z335" s="16" t="s">
        <v>622</v>
      </c>
      <c r="AA335" s="36" t="s">
        <v>1808</v>
      </c>
      <c r="AB335" s="164">
        <v>202400678</v>
      </c>
      <c r="AC335" s="13" t="s">
        <v>6</v>
      </c>
      <c r="AE335" s="40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</row>
    <row r="336" spans="1:46">
      <c r="A336" s="14"/>
      <c r="B336" s="13" t="str">
        <f t="shared" si="28"/>
        <v>Pendente</v>
      </c>
      <c r="C336" s="14" t="str">
        <f t="shared" si="29"/>
        <v/>
      </c>
      <c r="D336" s="13" t="s">
        <v>611</v>
      </c>
      <c r="E336" s="14" t="str">
        <f t="shared" si="30"/>
        <v/>
      </c>
      <c r="F336" s="13" t="s">
        <v>611</v>
      </c>
      <c r="G336" s="40">
        <v>202400678</v>
      </c>
      <c r="H336" s="13" t="s">
        <v>2597</v>
      </c>
      <c r="I336" s="13" t="s">
        <v>613</v>
      </c>
      <c r="J336" s="14">
        <v>45509</v>
      </c>
      <c r="K336" s="14">
        <v>45870</v>
      </c>
      <c r="L336" s="13" t="s">
        <v>1810</v>
      </c>
      <c r="M336" s="13" t="s">
        <v>1811</v>
      </c>
      <c r="N336" s="13" t="s">
        <v>1812</v>
      </c>
      <c r="O336" s="17" t="s">
        <v>1813</v>
      </c>
      <c r="P336" s="13" t="s">
        <v>53</v>
      </c>
      <c r="Q336" s="13" t="s">
        <v>618</v>
      </c>
      <c r="R336" s="13" t="e">
        <f>VLOOKUP(P336,'Dados das Regiões '!#REF!,2,0)</f>
        <v>#REF!</v>
      </c>
      <c r="S336" s="13" t="s">
        <v>2598</v>
      </c>
      <c r="T336" s="13"/>
      <c r="U336" s="79"/>
      <c r="V336" s="13" t="s">
        <v>2599</v>
      </c>
      <c r="W336" s="13" t="s">
        <v>1816</v>
      </c>
      <c r="X336" s="15">
        <v>0.33333333333333331</v>
      </c>
      <c r="Y336" s="16" t="s">
        <v>1438</v>
      </c>
      <c r="Z336" s="16" t="s">
        <v>622</v>
      </c>
      <c r="AA336" s="36" t="s">
        <v>1808</v>
      </c>
      <c r="AB336" s="164">
        <v>202400678</v>
      </c>
      <c r="AC336" s="13" t="s">
        <v>6</v>
      </c>
      <c r="AE336" s="40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</row>
    <row r="337" spans="1:46">
      <c r="A337" s="14"/>
      <c r="B337" s="13" t="str">
        <f t="shared" si="28"/>
        <v>Pendente</v>
      </c>
      <c r="C337" s="14" t="str">
        <f t="shared" si="29"/>
        <v/>
      </c>
      <c r="D337" s="13" t="s">
        <v>611</v>
      </c>
      <c r="E337" s="14" t="str">
        <f t="shared" si="30"/>
        <v/>
      </c>
      <c r="F337" s="13" t="s">
        <v>611</v>
      </c>
      <c r="G337" s="40">
        <v>202400678</v>
      </c>
      <c r="H337" s="13" t="s">
        <v>2600</v>
      </c>
      <c r="I337" s="13" t="s">
        <v>613</v>
      </c>
      <c r="J337" s="14">
        <v>45509</v>
      </c>
      <c r="K337" s="14">
        <v>45870</v>
      </c>
      <c r="L337" s="13" t="s">
        <v>1810</v>
      </c>
      <c r="M337" s="13" t="s">
        <v>2601</v>
      </c>
      <c r="N337" s="13" t="s">
        <v>2602</v>
      </c>
      <c r="O337" s="17" t="s">
        <v>2603</v>
      </c>
      <c r="P337" s="13" t="s">
        <v>480</v>
      </c>
      <c r="Q337" s="13" t="s">
        <v>618</v>
      </c>
      <c r="R337" s="13" t="e">
        <f>VLOOKUP(P337,'Dados das Regiões '!#REF!,2,0)</f>
        <v>#REF!</v>
      </c>
      <c r="S337" s="13" t="s">
        <v>2604</v>
      </c>
      <c r="T337" s="13"/>
      <c r="U337" s="79"/>
      <c r="V337" s="13" t="s">
        <v>2605</v>
      </c>
      <c r="W337" s="13" t="s">
        <v>2606</v>
      </c>
      <c r="X337" s="15">
        <v>0.33333333333333331</v>
      </c>
      <c r="Y337" s="16" t="s">
        <v>1438</v>
      </c>
      <c r="Z337" s="16" t="s">
        <v>622</v>
      </c>
      <c r="AA337" s="36" t="s">
        <v>1808</v>
      </c>
      <c r="AB337" s="164">
        <v>202400678</v>
      </c>
      <c r="AC337" s="13" t="s">
        <v>6</v>
      </c>
      <c r="AE337" s="40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</row>
    <row r="338" spans="1:46">
      <c r="A338" s="14"/>
      <c r="B338" s="13" t="str">
        <f t="shared" si="28"/>
        <v>Pendente</v>
      </c>
      <c r="C338" s="14" t="str">
        <f t="shared" si="29"/>
        <v/>
      </c>
      <c r="D338" s="13" t="s">
        <v>611</v>
      </c>
      <c r="E338" s="14" t="str">
        <f t="shared" si="30"/>
        <v/>
      </c>
      <c r="F338" s="13" t="s">
        <v>611</v>
      </c>
      <c r="G338" s="40">
        <v>202400678</v>
      </c>
      <c r="H338" s="13" t="s">
        <v>2607</v>
      </c>
      <c r="I338" s="13" t="s">
        <v>613</v>
      </c>
      <c r="J338" s="14">
        <v>45509</v>
      </c>
      <c r="K338" s="14">
        <v>45870</v>
      </c>
      <c r="L338" s="13" t="s">
        <v>1810</v>
      </c>
      <c r="M338" s="13" t="s">
        <v>2601</v>
      </c>
      <c r="N338" s="13" t="s">
        <v>2602</v>
      </c>
      <c r="O338" s="13"/>
      <c r="P338" s="13" t="s">
        <v>480</v>
      </c>
      <c r="Q338" s="13" t="s">
        <v>618</v>
      </c>
      <c r="R338" s="13" t="e">
        <f>VLOOKUP(P338,'Dados das Regiões '!#REF!,2,0)</f>
        <v>#REF!</v>
      </c>
      <c r="S338" s="13" t="s">
        <v>2608</v>
      </c>
      <c r="T338" s="13"/>
      <c r="U338" s="79"/>
      <c r="V338" s="13" t="s">
        <v>2605</v>
      </c>
      <c r="W338" s="13" t="s">
        <v>2606</v>
      </c>
      <c r="X338" s="15">
        <v>0.5625</v>
      </c>
      <c r="Y338" s="16" t="s">
        <v>1415</v>
      </c>
      <c r="Z338" s="16" t="s">
        <v>622</v>
      </c>
      <c r="AA338" s="36" t="s">
        <v>1808</v>
      </c>
      <c r="AB338" s="164">
        <v>202400678</v>
      </c>
      <c r="AC338" s="13" t="s">
        <v>6</v>
      </c>
      <c r="AE338" s="40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</row>
    <row r="339" spans="1:46">
      <c r="A339" s="14"/>
      <c r="B339" s="13" t="str">
        <f t="shared" si="28"/>
        <v>Pendente</v>
      </c>
      <c r="C339" s="14" t="str">
        <f t="shared" si="29"/>
        <v/>
      </c>
      <c r="D339" s="13" t="s">
        <v>611</v>
      </c>
      <c r="E339" s="14" t="str">
        <f t="shared" si="30"/>
        <v/>
      </c>
      <c r="F339" s="13" t="s">
        <v>611</v>
      </c>
      <c r="G339" s="40">
        <v>202400678</v>
      </c>
      <c r="H339" s="13" t="s">
        <v>2609</v>
      </c>
      <c r="I339" s="13" t="s">
        <v>613</v>
      </c>
      <c r="J339" s="14">
        <v>45509</v>
      </c>
      <c r="K339" s="14">
        <v>45870</v>
      </c>
      <c r="L339" s="13" t="s">
        <v>1810</v>
      </c>
      <c r="M339" s="13" t="s">
        <v>2601</v>
      </c>
      <c r="N339" s="13" t="s">
        <v>2602</v>
      </c>
      <c r="O339" s="17" t="s">
        <v>2603</v>
      </c>
      <c r="P339" s="13" t="s">
        <v>480</v>
      </c>
      <c r="Q339" s="13" t="s">
        <v>618</v>
      </c>
      <c r="R339" s="13" t="e">
        <f>VLOOKUP(P339,'Dados das Regiões '!#REF!,2,0)</f>
        <v>#REF!</v>
      </c>
      <c r="S339" s="13" t="s">
        <v>2608</v>
      </c>
      <c r="T339" s="13"/>
      <c r="U339" s="79"/>
      <c r="V339" s="13" t="s">
        <v>2605</v>
      </c>
      <c r="W339" s="13" t="s">
        <v>2606</v>
      </c>
      <c r="X339" s="15">
        <v>0.5625</v>
      </c>
      <c r="Y339" s="16" t="s">
        <v>1415</v>
      </c>
      <c r="Z339" s="16" t="s">
        <v>622</v>
      </c>
      <c r="AA339" s="36" t="s">
        <v>1808</v>
      </c>
      <c r="AB339" s="164">
        <v>202400678</v>
      </c>
      <c r="AC339" s="13" t="s">
        <v>6</v>
      </c>
      <c r="AE339" s="40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</row>
    <row r="340" spans="1:46">
      <c r="A340" s="14"/>
      <c r="B340" s="13" t="str">
        <f t="shared" si="28"/>
        <v>Pendente</v>
      </c>
      <c r="C340" s="14" t="str">
        <f t="shared" si="29"/>
        <v/>
      </c>
      <c r="D340" s="13" t="s">
        <v>611</v>
      </c>
      <c r="E340" s="14" t="str">
        <f t="shared" si="30"/>
        <v/>
      </c>
      <c r="F340" s="13" t="s">
        <v>611</v>
      </c>
      <c r="G340" s="40">
        <v>202400678</v>
      </c>
      <c r="H340" s="13" t="s">
        <v>2610</v>
      </c>
      <c r="I340" s="13" t="s">
        <v>613</v>
      </c>
      <c r="J340" s="14">
        <v>45509</v>
      </c>
      <c r="K340" s="14">
        <v>45870</v>
      </c>
      <c r="L340" s="13" t="s">
        <v>1810</v>
      </c>
      <c r="M340" s="13" t="s">
        <v>2611</v>
      </c>
      <c r="N340" s="13" t="s">
        <v>2612</v>
      </c>
      <c r="O340" s="17" t="s">
        <v>2613</v>
      </c>
      <c r="P340" s="13" t="s">
        <v>150</v>
      </c>
      <c r="Q340" s="13" t="s">
        <v>618</v>
      </c>
      <c r="R340" s="13" t="e">
        <f>VLOOKUP(P340,'Dados das Regiões '!#REF!,2,0)</f>
        <v>#REF!</v>
      </c>
      <c r="S340" s="13" t="s">
        <v>2614</v>
      </c>
      <c r="T340" s="13"/>
      <c r="U340" s="79"/>
      <c r="V340" s="13" t="s">
        <v>2615</v>
      </c>
      <c r="W340" s="13" t="s">
        <v>2616</v>
      </c>
      <c r="X340" s="15">
        <v>0.5625</v>
      </c>
      <c r="Y340" s="16" t="s">
        <v>1415</v>
      </c>
      <c r="Z340" s="16" t="s">
        <v>622</v>
      </c>
      <c r="AA340" s="36" t="s">
        <v>1808</v>
      </c>
      <c r="AB340" s="164">
        <v>202400678</v>
      </c>
      <c r="AC340" s="13" t="s">
        <v>6</v>
      </c>
      <c r="AE340" s="40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</row>
    <row r="341" spans="1:46">
      <c r="A341" s="14"/>
      <c r="B341" s="13" t="str">
        <f t="shared" si="28"/>
        <v>Pendente</v>
      </c>
      <c r="C341" s="14" t="str">
        <f t="shared" si="29"/>
        <v/>
      </c>
      <c r="D341" s="13" t="s">
        <v>611</v>
      </c>
      <c r="E341" s="14" t="str">
        <f t="shared" si="30"/>
        <v/>
      </c>
      <c r="F341" s="13" t="s">
        <v>611</v>
      </c>
      <c r="G341" s="40">
        <v>202400678</v>
      </c>
      <c r="H341" s="13" t="s">
        <v>2617</v>
      </c>
      <c r="I341" s="13" t="s">
        <v>613</v>
      </c>
      <c r="J341" s="14">
        <v>45509</v>
      </c>
      <c r="K341" s="14">
        <v>45870</v>
      </c>
      <c r="L341" s="13" t="s">
        <v>2618</v>
      </c>
      <c r="M341" s="13" t="s">
        <v>2619</v>
      </c>
      <c r="N341" s="13" t="s">
        <v>2620</v>
      </c>
      <c r="O341" s="13" t="s">
        <v>2621</v>
      </c>
      <c r="P341" s="13" t="s">
        <v>491</v>
      </c>
      <c r="Q341" s="13" t="s">
        <v>618</v>
      </c>
      <c r="R341" s="13" t="e">
        <f>VLOOKUP(P341,'Dados das Regiões '!#REF!,2,0)</f>
        <v>#REF!</v>
      </c>
      <c r="S341" s="13" t="s">
        <v>2622</v>
      </c>
      <c r="T341" s="13"/>
      <c r="U341" s="79"/>
      <c r="V341" s="13" t="s">
        <v>2623</v>
      </c>
      <c r="W341" s="13" t="s">
        <v>2624</v>
      </c>
      <c r="X341" s="15">
        <v>0.58333333333333337</v>
      </c>
      <c r="Y341" s="16" t="s">
        <v>1200</v>
      </c>
      <c r="Z341" s="16" t="s">
        <v>622</v>
      </c>
      <c r="AA341" s="36" t="s">
        <v>1808</v>
      </c>
      <c r="AB341" s="164">
        <v>202400678</v>
      </c>
      <c r="AC341" s="13" t="s">
        <v>6</v>
      </c>
      <c r="AE341" s="40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</row>
    <row r="342" spans="1:46">
      <c r="A342" s="29">
        <v>45757</v>
      </c>
      <c r="B342" s="18" t="str">
        <f t="shared" si="28"/>
        <v>Realizada</v>
      </c>
      <c r="C342" s="29">
        <f t="shared" si="29"/>
        <v>45848</v>
      </c>
      <c r="D342" s="18" t="s">
        <v>611</v>
      </c>
      <c r="E342" s="29">
        <f t="shared" si="30"/>
        <v>45940</v>
      </c>
      <c r="F342" s="18" t="s">
        <v>611</v>
      </c>
      <c r="G342" s="44">
        <v>202400682</v>
      </c>
      <c r="H342" s="18" t="s">
        <v>2625</v>
      </c>
      <c r="I342" s="18" t="s">
        <v>1192</v>
      </c>
      <c r="J342" s="29">
        <v>45509</v>
      </c>
      <c r="K342" s="29">
        <v>45870</v>
      </c>
      <c r="L342" s="18" t="s">
        <v>2278</v>
      </c>
      <c r="M342" s="18" t="s">
        <v>2279</v>
      </c>
      <c r="N342" s="18" t="s">
        <v>2280</v>
      </c>
      <c r="O342" s="18" t="s">
        <v>2280</v>
      </c>
      <c r="P342" s="18" t="s">
        <v>513</v>
      </c>
      <c r="Q342" s="18" t="s">
        <v>618</v>
      </c>
      <c r="R342" s="18" t="e">
        <f>VLOOKUP(P342,'Dados das Regiões '!#REF!,2,0)</f>
        <v>#REF!</v>
      </c>
      <c r="S342" s="18" t="s">
        <v>2332</v>
      </c>
      <c r="T342" s="18"/>
      <c r="U342" s="82" t="s">
        <v>2282</v>
      </c>
      <c r="V342" s="18" t="s">
        <v>2283</v>
      </c>
      <c r="W342" s="18" t="s">
        <v>2284</v>
      </c>
      <c r="X342" s="30">
        <v>0.58333333333333337</v>
      </c>
      <c r="Y342" s="31" t="s">
        <v>1200</v>
      </c>
      <c r="Z342" s="31" t="s">
        <v>622</v>
      </c>
      <c r="AA342" s="36" t="s">
        <v>1808</v>
      </c>
      <c r="AB342" s="166">
        <v>202400682</v>
      </c>
      <c r="AC342" s="13" t="s">
        <v>14</v>
      </c>
      <c r="AE342" s="40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</row>
    <row r="343" spans="1:46">
      <c r="A343" s="29">
        <v>45757</v>
      </c>
      <c r="B343" s="18" t="str">
        <f t="shared" si="28"/>
        <v>Realizada</v>
      </c>
      <c r="C343" s="29">
        <f t="shared" si="29"/>
        <v>45848</v>
      </c>
      <c r="D343" s="18" t="s">
        <v>611</v>
      </c>
      <c r="E343" s="29">
        <f t="shared" si="30"/>
        <v>45940</v>
      </c>
      <c r="F343" s="18" t="s">
        <v>611</v>
      </c>
      <c r="G343" s="44">
        <v>202400682</v>
      </c>
      <c r="H343" s="18" t="s">
        <v>2626</v>
      </c>
      <c r="I343" s="18" t="s">
        <v>1192</v>
      </c>
      <c r="J343" s="29">
        <v>45509</v>
      </c>
      <c r="K343" s="29">
        <v>45870</v>
      </c>
      <c r="L343" s="18" t="s">
        <v>2278</v>
      </c>
      <c r="M343" s="18" t="s">
        <v>2279</v>
      </c>
      <c r="N343" s="18" t="s">
        <v>2280</v>
      </c>
      <c r="O343" s="18" t="s">
        <v>2280</v>
      </c>
      <c r="P343" s="18" t="s">
        <v>513</v>
      </c>
      <c r="Q343" s="18" t="s">
        <v>618</v>
      </c>
      <c r="R343" s="18" t="e">
        <f>VLOOKUP(P343,'Dados das Regiões '!#REF!,2,0)</f>
        <v>#REF!</v>
      </c>
      <c r="S343" s="18" t="s">
        <v>2332</v>
      </c>
      <c r="T343" s="18"/>
      <c r="U343" s="82" t="s">
        <v>2282</v>
      </c>
      <c r="V343" s="18" t="s">
        <v>2283</v>
      </c>
      <c r="W343" s="18" t="s">
        <v>2284</v>
      </c>
      <c r="X343" s="30">
        <v>0.58333333333333337</v>
      </c>
      <c r="Y343" s="31" t="s">
        <v>1200</v>
      </c>
      <c r="Z343" s="31" t="s">
        <v>622</v>
      </c>
      <c r="AA343" s="36" t="s">
        <v>1808</v>
      </c>
      <c r="AB343" s="166">
        <v>202400682</v>
      </c>
      <c r="AC343" s="13" t="s">
        <v>14</v>
      </c>
      <c r="AE343" s="40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</row>
    <row r="344" spans="1:46">
      <c r="A344" s="14"/>
      <c r="B344" s="13" t="str">
        <f t="shared" si="28"/>
        <v>Pendente</v>
      </c>
      <c r="C344" s="14" t="str">
        <f t="shared" si="29"/>
        <v/>
      </c>
      <c r="D344" s="13" t="s">
        <v>611</v>
      </c>
      <c r="E344" s="14" t="str">
        <f t="shared" si="30"/>
        <v/>
      </c>
      <c r="F344" s="13" t="s">
        <v>611</v>
      </c>
      <c r="G344" s="40">
        <v>202400671</v>
      </c>
      <c r="H344" s="13" t="s">
        <v>2627</v>
      </c>
      <c r="I344" s="13" t="s">
        <v>613</v>
      </c>
      <c r="J344" s="14">
        <v>45509</v>
      </c>
      <c r="K344" s="14">
        <v>45870</v>
      </c>
      <c r="L344" s="13" t="s">
        <v>1801</v>
      </c>
      <c r="M344" t="s">
        <v>2628</v>
      </c>
      <c r="N344" s="13" t="s">
        <v>2629</v>
      </c>
      <c r="O344" s="17" t="s">
        <v>2630</v>
      </c>
      <c r="P344" s="13" t="s">
        <v>136</v>
      </c>
      <c r="Q344" s="13" t="s">
        <v>618</v>
      </c>
      <c r="R344" s="13" t="e">
        <f>VLOOKUP(P344,'Dados das Regiões '!#REF!,2,0)</f>
        <v>#REF!</v>
      </c>
      <c r="S344" s="13" t="s">
        <v>2631</v>
      </c>
      <c r="T344" s="13"/>
      <c r="U344" s="79"/>
      <c r="V344" s="13" t="s">
        <v>2632</v>
      </c>
      <c r="W344" s="13" t="s">
        <v>2633</v>
      </c>
      <c r="X344" s="15">
        <v>0.5625</v>
      </c>
      <c r="Y344" s="16" t="s">
        <v>1415</v>
      </c>
      <c r="Z344" s="16" t="s">
        <v>622</v>
      </c>
      <c r="AA344" s="36" t="s">
        <v>1808</v>
      </c>
      <c r="AB344" s="164">
        <v>202400671</v>
      </c>
      <c r="AC344" s="13" t="s">
        <v>6</v>
      </c>
      <c r="AE344" s="40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</row>
    <row r="345" spans="1:46">
      <c r="A345" s="29">
        <v>45757</v>
      </c>
      <c r="B345" s="18" t="str">
        <f t="shared" si="28"/>
        <v>Realizada</v>
      </c>
      <c r="C345" s="29">
        <f t="shared" si="29"/>
        <v>45848</v>
      </c>
      <c r="D345" s="18" t="s">
        <v>611</v>
      </c>
      <c r="E345" s="29">
        <f t="shared" si="30"/>
        <v>45940</v>
      </c>
      <c r="F345" s="18" t="s">
        <v>611</v>
      </c>
      <c r="G345" s="44">
        <v>202400682</v>
      </c>
      <c r="H345" s="18" t="s">
        <v>2634</v>
      </c>
      <c r="I345" s="18" t="s">
        <v>1192</v>
      </c>
      <c r="J345" s="29">
        <v>45509</v>
      </c>
      <c r="K345" s="29">
        <v>45870</v>
      </c>
      <c r="L345" s="18" t="s">
        <v>2278</v>
      </c>
      <c r="M345" s="18" t="s">
        <v>2635</v>
      </c>
      <c r="N345" s="18" t="s">
        <v>2280</v>
      </c>
      <c r="O345" s="18" t="s">
        <v>2280</v>
      </c>
      <c r="P345" s="18" t="s">
        <v>513</v>
      </c>
      <c r="Q345" s="18" t="s">
        <v>618</v>
      </c>
      <c r="R345" s="18" t="e">
        <f>VLOOKUP(P345,'Dados das Regiões '!#REF!,2,0)</f>
        <v>#REF!</v>
      </c>
      <c r="S345" s="18" t="s">
        <v>2332</v>
      </c>
      <c r="T345" s="18"/>
      <c r="U345" s="82" t="s">
        <v>2282</v>
      </c>
      <c r="V345" s="18" t="s">
        <v>2283</v>
      </c>
      <c r="W345" s="18" t="s">
        <v>2284</v>
      </c>
      <c r="X345" s="30">
        <v>0.58333333333333337</v>
      </c>
      <c r="Y345" s="31" t="s">
        <v>1200</v>
      </c>
      <c r="Z345" s="31" t="s">
        <v>622</v>
      </c>
      <c r="AA345" s="36" t="s">
        <v>1808</v>
      </c>
      <c r="AB345" s="166">
        <v>202400682</v>
      </c>
      <c r="AC345" s="13" t="s">
        <v>14</v>
      </c>
      <c r="AE345" s="40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</row>
    <row r="346" spans="1:46">
      <c r="A346" s="14"/>
      <c r="B346" s="13" t="str">
        <f t="shared" si="28"/>
        <v>Pendente</v>
      </c>
      <c r="C346" s="14" t="str">
        <f t="shared" si="29"/>
        <v/>
      </c>
      <c r="D346" s="13" t="s">
        <v>611</v>
      </c>
      <c r="E346" s="14" t="str">
        <f t="shared" si="30"/>
        <v/>
      </c>
      <c r="F346" s="13" t="s">
        <v>611</v>
      </c>
      <c r="G346" s="40">
        <v>202400671</v>
      </c>
      <c r="H346" s="13" t="s">
        <v>2636</v>
      </c>
      <c r="I346" s="13" t="s">
        <v>613</v>
      </c>
      <c r="J346" s="14">
        <v>45509</v>
      </c>
      <c r="K346" s="14">
        <v>45870</v>
      </c>
      <c r="L346" s="13" t="s">
        <v>2637</v>
      </c>
      <c r="M346" s="13" t="s">
        <v>2638</v>
      </c>
      <c r="N346" s="13" t="s">
        <v>2639</v>
      </c>
      <c r="O346" s="17" t="s">
        <v>2640</v>
      </c>
      <c r="P346" s="13" t="s">
        <v>422</v>
      </c>
      <c r="Q346" s="13" t="s">
        <v>618</v>
      </c>
      <c r="R346" s="13" t="e">
        <f>VLOOKUP(P346,'Dados das Regiões '!#REF!,2,0)</f>
        <v>#REF!</v>
      </c>
      <c r="S346" s="13" t="s">
        <v>2641</v>
      </c>
      <c r="T346" s="13"/>
      <c r="U346" s="79"/>
      <c r="V346" s="13" t="s">
        <v>2642</v>
      </c>
      <c r="W346" s="13" t="s">
        <v>2643</v>
      </c>
      <c r="X346" s="15">
        <v>0.54166666666666663</v>
      </c>
      <c r="Y346" s="16" t="s">
        <v>1824</v>
      </c>
      <c r="Z346" s="16" t="s">
        <v>622</v>
      </c>
      <c r="AA346" s="36" t="s">
        <v>1808</v>
      </c>
      <c r="AB346" s="164">
        <v>202400671</v>
      </c>
      <c r="AC346" s="13" t="s">
        <v>6</v>
      </c>
      <c r="AE346" s="40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</row>
    <row r="347" spans="1:46">
      <c r="A347" s="14"/>
      <c r="B347" s="13" t="str">
        <f t="shared" si="28"/>
        <v>Pendente</v>
      </c>
      <c r="C347" s="14" t="str">
        <f t="shared" si="29"/>
        <v/>
      </c>
      <c r="D347" s="13" t="s">
        <v>611</v>
      </c>
      <c r="E347" s="14" t="str">
        <f t="shared" si="30"/>
        <v/>
      </c>
      <c r="F347" s="13" t="s">
        <v>611</v>
      </c>
      <c r="G347" s="40">
        <v>202400671</v>
      </c>
      <c r="H347" s="13" t="s">
        <v>2644</v>
      </c>
      <c r="I347" s="13" t="s">
        <v>613</v>
      </c>
      <c r="J347" s="14">
        <v>45509</v>
      </c>
      <c r="K347" s="14">
        <v>45870</v>
      </c>
      <c r="L347" s="13" t="s">
        <v>2645</v>
      </c>
      <c r="M347" s="13" t="s">
        <v>2646</v>
      </c>
      <c r="N347" s="13" t="s">
        <v>2647</v>
      </c>
      <c r="O347" s="17" t="s">
        <v>2648</v>
      </c>
      <c r="P347" s="13" t="s">
        <v>382</v>
      </c>
      <c r="Q347" s="13" t="s">
        <v>618</v>
      </c>
      <c r="R347" s="13" t="e">
        <f>VLOOKUP(P347,'Dados das Regiões '!#REF!,2,0)</f>
        <v>#REF!</v>
      </c>
      <c r="S347" s="13" t="s">
        <v>2649</v>
      </c>
      <c r="T347" s="13"/>
      <c r="U347" s="79"/>
      <c r="V347" s="13" t="s">
        <v>2650</v>
      </c>
      <c r="W347" s="13" t="s">
        <v>2651</v>
      </c>
      <c r="X347" s="15">
        <v>0.33333333333333331</v>
      </c>
      <c r="Y347" s="16" t="s">
        <v>1438</v>
      </c>
      <c r="Z347" s="16" t="s">
        <v>622</v>
      </c>
      <c r="AA347" s="36" t="s">
        <v>1808</v>
      </c>
      <c r="AB347" s="164">
        <v>202400671</v>
      </c>
      <c r="AC347" s="13" t="s">
        <v>6</v>
      </c>
      <c r="AE347" s="40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</row>
    <row r="348" spans="1:46">
      <c r="A348" s="14"/>
      <c r="B348" s="13" t="str">
        <f t="shared" si="28"/>
        <v>Pendente</v>
      </c>
      <c r="C348" s="14" t="str">
        <f t="shared" si="29"/>
        <v/>
      </c>
      <c r="D348" s="13" t="s">
        <v>611</v>
      </c>
      <c r="E348" s="14" t="str">
        <f t="shared" si="30"/>
        <v/>
      </c>
      <c r="F348" s="13" t="s">
        <v>611</v>
      </c>
      <c r="G348" s="40">
        <v>202400671</v>
      </c>
      <c r="H348" s="13" t="s">
        <v>2652</v>
      </c>
      <c r="I348" s="13" t="s">
        <v>613</v>
      </c>
      <c r="J348" s="14">
        <v>45509</v>
      </c>
      <c r="K348" s="14">
        <v>45870</v>
      </c>
      <c r="L348" s="13" t="s">
        <v>1801</v>
      </c>
      <c r="M348" s="13" t="s">
        <v>2653</v>
      </c>
      <c r="N348" s="13" t="s">
        <v>2654</v>
      </c>
      <c r="O348" s="17" t="s">
        <v>2655</v>
      </c>
      <c r="P348" s="13" t="s">
        <v>422</v>
      </c>
      <c r="Q348" s="13" t="s">
        <v>618</v>
      </c>
      <c r="R348" s="13" t="e">
        <f>VLOOKUP(P348,'Dados das Regiões '!#REF!,2,0)</f>
        <v>#REF!</v>
      </c>
      <c r="S348" s="13" t="s">
        <v>2656</v>
      </c>
      <c r="T348" s="13"/>
      <c r="U348" s="79"/>
      <c r="V348" s="13" t="s">
        <v>2657</v>
      </c>
      <c r="W348" s="13" t="s">
        <v>2658</v>
      </c>
      <c r="X348" s="15">
        <v>0.54166666666666663</v>
      </c>
      <c r="Y348" s="16" t="s">
        <v>1824</v>
      </c>
      <c r="Z348" s="16" t="s">
        <v>622</v>
      </c>
      <c r="AA348" s="36" t="s">
        <v>1808</v>
      </c>
      <c r="AB348" s="164">
        <v>202400671</v>
      </c>
      <c r="AC348" s="13" t="s">
        <v>6</v>
      </c>
      <c r="AE348" s="40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</row>
    <row r="349" spans="1:46">
      <c r="A349" s="14"/>
      <c r="B349" s="13" t="str">
        <f t="shared" si="28"/>
        <v>Pendente</v>
      </c>
      <c r="C349" s="14" t="str">
        <f t="shared" si="29"/>
        <v/>
      </c>
      <c r="D349" s="13" t="s">
        <v>611</v>
      </c>
      <c r="E349" s="14" t="str">
        <f t="shared" si="30"/>
        <v/>
      </c>
      <c r="F349" s="13" t="s">
        <v>611</v>
      </c>
      <c r="G349" s="40">
        <v>202400671</v>
      </c>
      <c r="H349" s="13" t="s">
        <v>2659</v>
      </c>
      <c r="I349" s="13" t="s">
        <v>613</v>
      </c>
      <c r="J349" s="14">
        <v>45509</v>
      </c>
      <c r="K349" s="14">
        <v>45870</v>
      </c>
      <c r="L349" s="13" t="s">
        <v>1801</v>
      </c>
      <c r="M349" s="13" t="s">
        <v>2660</v>
      </c>
      <c r="N349" s="13" t="s">
        <v>2661</v>
      </c>
      <c r="O349" s="17" t="s">
        <v>2662</v>
      </c>
      <c r="P349" s="13" t="s">
        <v>396</v>
      </c>
      <c r="Q349" s="13" t="s">
        <v>618</v>
      </c>
      <c r="R349" s="13" t="e">
        <f>VLOOKUP(P349,'Dados das Regiões '!#REF!,2,0)</f>
        <v>#REF!</v>
      </c>
      <c r="S349" s="13" t="s">
        <v>2663</v>
      </c>
      <c r="T349" s="13"/>
      <c r="U349" s="79"/>
      <c r="V349" s="13" t="s">
        <v>2664</v>
      </c>
      <c r="W349" s="13" t="s">
        <v>2665</v>
      </c>
      <c r="X349" s="15">
        <v>0.54166666666666663</v>
      </c>
      <c r="Y349" s="16" t="s">
        <v>1824</v>
      </c>
      <c r="Z349" s="16" t="s">
        <v>622</v>
      </c>
      <c r="AA349" s="36" t="s">
        <v>1808</v>
      </c>
      <c r="AB349" s="164">
        <v>202400671</v>
      </c>
      <c r="AC349" s="13" t="s">
        <v>6</v>
      </c>
      <c r="AE349" s="40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</row>
    <row r="350" spans="1:46">
      <c r="A350" s="14"/>
      <c r="B350" s="13" t="str">
        <f t="shared" si="28"/>
        <v>Pendente</v>
      </c>
      <c r="C350" s="14" t="str">
        <f t="shared" si="29"/>
        <v/>
      </c>
      <c r="D350" s="13" t="s">
        <v>611</v>
      </c>
      <c r="E350" s="14" t="str">
        <f t="shared" si="30"/>
        <v/>
      </c>
      <c r="F350" s="13" t="s">
        <v>611</v>
      </c>
      <c r="G350" s="40">
        <v>202400671</v>
      </c>
      <c r="H350" s="13" t="s">
        <v>2666</v>
      </c>
      <c r="I350" s="13" t="s">
        <v>613</v>
      </c>
      <c r="J350" s="14">
        <v>45509</v>
      </c>
      <c r="K350" s="14">
        <v>45870</v>
      </c>
      <c r="L350" s="13" t="s">
        <v>1801</v>
      </c>
      <c r="M350" s="13" t="s">
        <v>2667</v>
      </c>
      <c r="N350" s="13" t="s">
        <v>2668</v>
      </c>
      <c r="O350" s="17" t="s">
        <v>2669</v>
      </c>
      <c r="P350" s="13" t="s">
        <v>452</v>
      </c>
      <c r="Q350" s="13" t="s">
        <v>618</v>
      </c>
      <c r="R350" s="13" t="e">
        <f>VLOOKUP(P350,'Dados das Regiões '!#REF!,2,0)</f>
        <v>#REF!</v>
      </c>
      <c r="S350" s="13" t="s">
        <v>2670</v>
      </c>
      <c r="T350" s="13"/>
      <c r="U350" s="79"/>
      <c r="V350" s="13" t="s">
        <v>2671</v>
      </c>
      <c r="W350" s="13" t="s">
        <v>2672</v>
      </c>
      <c r="X350" s="15">
        <v>0.54166666666666663</v>
      </c>
      <c r="Y350" s="16" t="s">
        <v>1824</v>
      </c>
      <c r="Z350" s="16" t="s">
        <v>622</v>
      </c>
      <c r="AA350" s="36" t="s">
        <v>1808</v>
      </c>
      <c r="AB350" s="164">
        <v>202400671</v>
      </c>
      <c r="AC350" s="13" t="s">
        <v>6</v>
      </c>
      <c r="AE350" s="40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</row>
    <row r="351" spans="1:46">
      <c r="A351" s="14"/>
      <c r="B351" s="13" t="str">
        <f t="shared" si="28"/>
        <v>Pendente</v>
      </c>
      <c r="C351" s="14" t="str">
        <f t="shared" si="29"/>
        <v/>
      </c>
      <c r="D351" s="13" t="s">
        <v>611</v>
      </c>
      <c r="E351" s="14" t="str">
        <f t="shared" si="30"/>
        <v/>
      </c>
      <c r="F351" s="13" t="s">
        <v>611</v>
      </c>
      <c r="G351" s="40">
        <v>202400679</v>
      </c>
      <c r="H351" s="13" t="s">
        <v>2673</v>
      </c>
      <c r="I351" s="13" t="s">
        <v>1176</v>
      </c>
      <c r="J351" s="14">
        <v>45509</v>
      </c>
      <c r="K351" s="14">
        <v>45870</v>
      </c>
      <c r="L351" s="13" t="s">
        <v>1185</v>
      </c>
      <c r="M351" s="13" t="s">
        <v>2674</v>
      </c>
      <c r="N351" s="13" t="s">
        <v>2675</v>
      </c>
      <c r="O351" s="17" t="s">
        <v>2676</v>
      </c>
      <c r="P351" s="13" t="s">
        <v>376</v>
      </c>
      <c r="Q351" s="13" t="s">
        <v>618</v>
      </c>
      <c r="R351" s="13" t="e">
        <f>VLOOKUP(P351,'Dados das Regiões '!#REF!,2,0)</f>
        <v>#REF!</v>
      </c>
      <c r="S351" s="13" t="s">
        <v>2677</v>
      </c>
      <c r="T351" s="13"/>
      <c r="U351" s="79" t="s">
        <v>2678</v>
      </c>
      <c r="V351" s="13" t="s">
        <v>2679</v>
      </c>
      <c r="W351" s="13" t="s">
        <v>2680</v>
      </c>
      <c r="X351" s="15">
        <v>0.5625</v>
      </c>
      <c r="Y351" s="16" t="s">
        <v>1415</v>
      </c>
      <c r="Z351" s="16" t="s">
        <v>622</v>
      </c>
      <c r="AA351" s="36" t="s">
        <v>1808</v>
      </c>
      <c r="AB351" s="164">
        <v>202400679</v>
      </c>
      <c r="AC351" s="13" t="s">
        <v>9</v>
      </c>
      <c r="AE351" s="40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</row>
    <row r="352" spans="1:46">
      <c r="A352" s="14"/>
      <c r="B352" s="13" t="str">
        <f t="shared" si="28"/>
        <v>Pendente</v>
      </c>
      <c r="C352" s="14" t="str">
        <f t="shared" si="29"/>
        <v/>
      </c>
      <c r="D352" s="13" t="s">
        <v>611</v>
      </c>
      <c r="E352" s="14" t="str">
        <f t="shared" si="30"/>
        <v/>
      </c>
      <c r="F352" s="13" t="s">
        <v>611</v>
      </c>
      <c r="G352" s="40">
        <v>202400679</v>
      </c>
      <c r="H352" s="13" t="s">
        <v>2681</v>
      </c>
      <c r="I352" s="13" t="s">
        <v>1176</v>
      </c>
      <c r="J352" s="14">
        <v>45509</v>
      </c>
      <c r="K352" s="14">
        <v>45870</v>
      </c>
      <c r="L352" s="13" t="s">
        <v>1185</v>
      </c>
      <c r="M352" s="13" t="s">
        <v>2682</v>
      </c>
      <c r="N352" s="13" t="s">
        <v>2683</v>
      </c>
      <c r="O352" s="17" t="s">
        <v>2684</v>
      </c>
      <c r="P352" s="13" t="s">
        <v>280</v>
      </c>
      <c r="Q352" s="13" t="s">
        <v>618</v>
      </c>
      <c r="R352" s="13" t="e">
        <f>VLOOKUP(P352,'Dados das Regiões '!#REF!,2,0)</f>
        <v>#REF!</v>
      </c>
      <c r="S352" s="13" t="s">
        <v>2685</v>
      </c>
      <c r="T352" s="13"/>
      <c r="U352" s="79" t="s">
        <v>2686</v>
      </c>
      <c r="V352" s="13" t="s">
        <v>2687</v>
      </c>
      <c r="W352" s="13" t="s">
        <v>2688</v>
      </c>
      <c r="X352" s="15">
        <v>0.5625</v>
      </c>
      <c r="Y352" s="16" t="s">
        <v>1415</v>
      </c>
      <c r="Z352" s="16" t="s">
        <v>622</v>
      </c>
      <c r="AA352" s="36" t="s">
        <v>1808</v>
      </c>
      <c r="AB352" s="164">
        <v>202400679</v>
      </c>
      <c r="AC352" s="13" t="s">
        <v>9</v>
      </c>
      <c r="AS352" s="110"/>
      <c r="AT352" s="18"/>
    </row>
    <row r="353" spans="1:46">
      <c r="A353" s="29">
        <v>45819</v>
      </c>
      <c r="B353" s="18" t="str">
        <f t="shared" si="28"/>
        <v>Realizada</v>
      </c>
      <c r="C353" s="29">
        <f t="shared" si="29"/>
        <v>45911</v>
      </c>
      <c r="D353" s="18" t="s">
        <v>611</v>
      </c>
      <c r="E353" s="29">
        <f t="shared" si="30"/>
        <v>46002</v>
      </c>
      <c r="F353" s="18" t="s">
        <v>611</v>
      </c>
      <c r="G353" s="44">
        <v>202400679</v>
      </c>
      <c r="H353" s="18" t="s">
        <v>2689</v>
      </c>
      <c r="I353" s="18" t="s">
        <v>1176</v>
      </c>
      <c r="J353" s="29">
        <v>45509</v>
      </c>
      <c r="K353" s="29">
        <v>45870</v>
      </c>
      <c r="L353" s="18" t="s">
        <v>1185</v>
      </c>
      <c r="M353" s="18" t="s">
        <v>2690</v>
      </c>
      <c r="N353" s="18" t="s">
        <v>2691</v>
      </c>
      <c r="O353" s="28" t="s">
        <v>2692</v>
      </c>
      <c r="P353" s="18" t="s">
        <v>457</v>
      </c>
      <c r="Q353" s="18" t="s">
        <v>618</v>
      </c>
      <c r="R353" s="18" t="e">
        <f>VLOOKUP(P353,'Dados das Regiões '!#REF!,2,0)</f>
        <v>#REF!</v>
      </c>
      <c r="S353" s="18" t="s">
        <v>2693</v>
      </c>
      <c r="T353" s="18"/>
      <c r="U353" s="82"/>
      <c r="V353" s="18">
        <v>41992686561</v>
      </c>
      <c r="W353" s="28" t="s">
        <v>2694</v>
      </c>
      <c r="X353" s="30">
        <v>0.54166666666666663</v>
      </c>
      <c r="Y353" s="31" t="s">
        <v>1824</v>
      </c>
      <c r="Z353" s="31" t="s">
        <v>622</v>
      </c>
      <c r="AA353" s="36" t="s">
        <v>1808</v>
      </c>
      <c r="AB353" s="166">
        <v>202400679</v>
      </c>
      <c r="AC353" s="13" t="s">
        <v>9</v>
      </c>
      <c r="AS353" s="110"/>
      <c r="AT353" s="18"/>
    </row>
    <row r="354" spans="1:46">
      <c r="A354" s="14"/>
      <c r="B354" s="13" t="str">
        <f t="shared" si="28"/>
        <v>Pendente</v>
      </c>
      <c r="C354" s="14" t="str">
        <f t="shared" si="29"/>
        <v/>
      </c>
      <c r="D354" s="13" t="s">
        <v>611</v>
      </c>
      <c r="E354" s="14" t="str">
        <f t="shared" si="30"/>
        <v/>
      </c>
      <c r="F354" s="13" t="s">
        <v>611</v>
      </c>
      <c r="G354" s="40">
        <v>202400679</v>
      </c>
      <c r="H354" s="13" t="s">
        <v>2695</v>
      </c>
      <c r="I354" s="13" t="s">
        <v>1176</v>
      </c>
      <c r="J354" s="14">
        <v>45509</v>
      </c>
      <c r="K354" s="14">
        <v>45870</v>
      </c>
      <c r="L354" s="13" t="s">
        <v>1185</v>
      </c>
      <c r="M354" s="13" t="s">
        <v>2696</v>
      </c>
      <c r="N354" s="13" t="s">
        <v>2697</v>
      </c>
      <c r="O354" s="17" t="s">
        <v>2698</v>
      </c>
      <c r="P354" s="13" t="s">
        <v>423</v>
      </c>
      <c r="Q354" s="13" t="s">
        <v>618</v>
      </c>
      <c r="R354" s="13" t="e">
        <f>VLOOKUP(P354,'Dados das Regiões '!#REF!,2,0)</f>
        <v>#REF!</v>
      </c>
      <c r="S354" s="13" t="s">
        <v>2699</v>
      </c>
      <c r="T354" s="13"/>
      <c r="U354" s="79" t="s">
        <v>2700</v>
      </c>
      <c r="V354" s="13" t="s">
        <v>2701</v>
      </c>
      <c r="W354" s="13" t="s">
        <v>2702</v>
      </c>
      <c r="X354" s="15">
        <v>0.54166666666666663</v>
      </c>
      <c r="Y354" s="16" t="s">
        <v>1824</v>
      </c>
      <c r="Z354" s="16" t="s">
        <v>622</v>
      </c>
      <c r="AA354" s="36" t="s">
        <v>1808</v>
      </c>
      <c r="AB354" s="164">
        <v>202400679</v>
      </c>
      <c r="AC354" s="13" t="s">
        <v>9</v>
      </c>
      <c r="AE354" s="40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</row>
    <row r="355" spans="1:46">
      <c r="A355" s="14"/>
      <c r="B355" s="13" t="str">
        <f t="shared" si="28"/>
        <v>Pendente</v>
      </c>
      <c r="C355" s="14" t="str">
        <f t="shared" si="29"/>
        <v/>
      </c>
      <c r="D355" s="13" t="s">
        <v>611</v>
      </c>
      <c r="E355" s="14" t="str">
        <f t="shared" si="30"/>
        <v/>
      </c>
      <c r="F355" s="13" t="s">
        <v>611</v>
      </c>
      <c r="G355" s="40">
        <v>202400678</v>
      </c>
      <c r="H355" s="13" t="s">
        <v>2703</v>
      </c>
      <c r="I355" s="13" t="s">
        <v>613</v>
      </c>
      <c r="J355" s="14">
        <v>45509</v>
      </c>
      <c r="K355" s="14">
        <v>45870</v>
      </c>
      <c r="L355" s="13" t="s">
        <v>2618</v>
      </c>
      <c r="M355" s="13" t="s">
        <v>2619</v>
      </c>
      <c r="N355" s="13" t="s">
        <v>2620</v>
      </c>
      <c r="O355" s="13" t="s">
        <v>2621</v>
      </c>
      <c r="P355" s="13" t="s">
        <v>491</v>
      </c>
      <c r="Q355" s="13" t="s">
        <v>618</v>
      </c>
      <c r="R355" s="13" t="e">
        <f>VLOOKUP(P355,'Dados das Regiões '!#REF!,2,0)</f>
        <v>#REF!</v>
      </c>
      <c r="S355" s="13" t="s">
        <v>2704</v>
      </c>
      <c r="T355" s="13"/>
      <c r="U355" s="79"/>
      <c r="V355" s="13" t="s">
        <v>2705</v>
      </c>
      <c r="W355" s="13" t="s">
        <v>2706</v>
      </c>
      <c r="X355" s="15">
        <v>0.66666666666666663</v>
      </c>
      <c r="Y355" s="16" t="s">
        <v>2707</v>
      </c>
      <c r="Z355" s="16" t="s">
        <v>622</v>
      </c>
      <c r="AA355" s="36" t="s">
        <v>1808</v>
      </c>
      <c r="AB355" s="164">
        <v>202400678</v>
      </c>
      <c r="AC355" s="13" t="s">
        <v>6</v>
      </c>
      <c r="AS355" s="110"/>
      <c r="AT355" s="18"/>
    </row>
    <row r="356" spans="1:46">
      <c r="A356" s="14"/>
      <c r="B356" s="13" t="str">
        <f t="shared" si="28"/>
        <v>Pendente</v>
      </c>
      <c r="C356" s="14" t="str">
        <f t="shared" si="29"/>
        <v/>
      </c>
      <c r="D356" s="13" t="s">
        <v>611</v>
      </c>
      <c r="E356" s="14" t="str">
        <f t="shared" si="30"/>
        <v/>
      </c>
      <c r="F356" s="13" t="s">
        <v>611</v>
      </c>
      <c r="G356" s="40">
        <v>202400679</v>
      </c>
      <c r="H356" s="13" t="s">
        <v>2708</v>
      </c>
      <c r="I356" s="13" t="s">
        <v>1176</v>
      </c>
      <c r="J356" s="14">
        <v>45509</v>
      </c>
      <c r="K356" s="14">
        <v>45870</v>
      </c>
      <c r="L356" s="13" t="s">
        <v>1185</v>
      </c>
      <c r="M356" s="13" t="s">
        <v>2709</v>
      </c>
      <c r="N356" s="13" t="s">
        <v>2710</v>
      </c>
      <c r="O356" s="17" t="s">
        <v>2711</v>
      </c>
      <c r="P356" s="13" t="s">
        <v>450</v>
      </c>
      <c r="Q356" s="13" t="s">
        <v>618</v>
      </c>
      <c r="R356" s="13" t="e">
        <f>VLOOKUP(P356,'Dados das Regiões '!#REF!,2,0)</f>
        <v>#REF!</v>
      </c>
      <c r="S356" s="13" t="s">
        <v>2712</v>
      </c>
      <c r="T356" s="13"/>
      <c r="U356" s="79"/>
      <c r="V356" s="13" t="s">
        <v>2713</v>
      </c>
      <c r="W356" s="13"/>
      <c r="X356" s="15">
        <v>0.54166666666666663</v>
      </c>
      <c r="Y356" s="16" t="s">
        <v>1824</v>
      </c>
      <c r="Z356" s="16" t="s">
        <v>622</v>
      </c>
      <c r="AA356" s="36"/>
      <c r="AB356" s="164">
        <v>202400679</v>
      </c>
      <c r="AC356" s="13" t="s">
        <v>9</v>
      </c>
      <c r="AE356" s="40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</row>
    <row r="357" spans="1:46">
      <c r="A357" s="14"/>
      <c r="B357" s="13" t="str">
        <f t="shared" si="28"/>
        <v>Pendente</v>
      </c>
      <c r="C357" s="14" t="str">
        <f t="shared" si="29"/>
        <v/>
      </c>
      <c r="D357" s="13" t="s">
        <v>611</v>
      </c>
      <c r="E357" s="14" t="str">
        <f t="shared" si="30"/>
        <v/>
      </c>
      <c r="F357" s="13" t="s">
        <v>611</v>
      </c>
      <c r="G357" s="40">
        <v>202400678</v>
      </c>
      <c r="H357" s="13" t="s">
        <v>2714</v>
      </c>
      <c r="I357" s="13" t="s">
        <v>613</v>
      </c>
      <c r="J357" s="14">
        <v>45509</v>
      </c>
      <c r="K357" s="14">
        <v>45870</v>
      </c>
      <c r="L357" s="13" t="s">
        <v>2618</v>
      </c>
      <c r="M357" s="13" t="s">
        <v>2619</v>
      </c>
      <c r="N357" s="13" t="s">
        <v>2620</v>
      </c>
      <c r="O357" s="13" t="s">
        <v>2621</v>
      </c>
      <c r="P357" s="13" t="s">
        <v>491</v>
      </c>
      <c r="Q357" s="13" t="s">
        <v>618</v>
      </c>
      <c r="R357" s="13" t="e">
        <f>VLOOKUP(P357,'Dados das Regiões '!#REF!,2,0)</f>
        <v>#REF!</v>
      </c>
      <c r="S357" s="13" t="s">
        <v>2715</v>
      </c>
      <c r="T357" s="13"/>
      <c r="U357" s="79"/>
      <c r="V357" s="13" t="s">
        <v>2716</v>
      </c>
      <c r="W357" s="13" t="s">
        <v>2717</v>
      </c>
      <c r="X357" s="15">
        <v>0.66666666666666663</v>
      </c>
      <c r="Y357" s="16" t="s">
        <v>2707</v>
      </c>
      <c r="Z357" s="16" t="s">
        <v>622</v>
      </c>
      <c r="AA357" s="36" t="s">
        <v>1808</v>
      </c>
      <c r="AB357" s="164">
        <v>202400678</v>
      </c>
      <c r="AC357" s="13" t="s">
        <v>6</v>
      </c>
      <c r="AE357" s="40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</row>
    <row r="358" spans="1:46">
      <c r="A358" s="14"/>
      <c r="B358" s="13" t="str">
        <f t="shared" si="28"/>
        <v>Pendente</v>
      </c>
      <c r="C358" s="14" t="str">
        <f t="shared" si="29"/>
        <v/>
      </c>
      <c r="D358" s="13" t="s">
        <v>611</v>
      </c>
      <c r="E358" s="14" t="str">
        <f t="shared" si="30"/>
        <v/>
      </c>
      <c r="F358" s="13" t="s">
        <v>611</v>
      </c>
      <c r="G358" s="40">
        <v>202400679</v>
      </c>
      <c r="H358" s="13" t="s">
        <v>2718</v>
      </c>
      <c r="I358" s="13" t="s">
        <v>1176</v>
      </c>
      <c r="J358" s="14">
        <v>45509</v>
      </c>
      <c r="K358" s="14">
        <v>45870</v>
      </c>
      <c r="L358" s="13" t="s">
        <v>1185</v>
      </c>
      <c r="M358" s="13" t="s">
        <v>2719</v>
      </c>
      <c r="N358" s="13" t="s">
        <v>2720</v>
      </c>
      <c r="O358" s="17" t="s">
        <v>2721</v>
      </c>
      <c r="P358" s="13" t="s">
        <v>357</v>
      </c>
      <c r="Q358" s="13" t="s">
        <v>618</v>
      </c>
      <c r="R358" s="13" t="e">
        <f>VLOOKUP(P358,'Dados das Regiões '!#REF!,2,0)</f>
        <v>#REF!</v>
      </c>
      <c r="S358" s="13" t="s">
        <v>2722</v>
      </c>
      <c r="T358" s="13"/>
      <c r="U358" s="79" t="s">
        <v>2723</v>
      </c>
      <c r="V358" s="13" t="s">
        <v>2724</v>
      </c>
      <c r="W358" s="13" t="s">
        <v>2725</v>
      </c>
      <c r="X358" s="15">
        <v>0.5625</v>
      </c>
      <c r="Y358" s="16" t="s">
        <v>1415</v>
      </c>
      <c r="Z358" s="16" t="s">
        <v>622</v>
      </c>
      <c r="AA358" s="36" t="s">
        <v>1808</v>
      </c>
      <c r="AB358" s="164">
        <v>202400679</v>
      </c>
      <c r="AC358" s="13" t="s">
        <v>9</v>
      </c>
      <c r="AE358" s="40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</row>
    <row r="359" spans="1:46">
      <c r="A359" s="14"/>
      <c r="B359" s="13" t="str">
        <f t="shared" si="28"/>
        <v>Pendente</v>
      </c>
      <c r="C359" s="14" t="str">
        <f t="shared" si="29"/>
        <v/>
      </c>
      <c r="D359" s="13" t="s">
        <v>611</v>
      </c>
      <c r="E359" s="14" t="str">
        <f t="shared" si="30"/>
        <v/>
      </c>
      <c r="F359" s="13" t="s">
        <v>611</v>
      </c>
      <c r="G359" s="40">
        <v>202400679</v>
      </c>
      <c r="H359" s="13" t="s">
        <v>2726</v>
      </c>
      <c r="I359" s="13" t="s">
        <v>1176</v>
      </c>
      <c r="J359" s="14">
        <v>45509</v>
      </c>
      <c r="K359" s="14">
        <v>45870</v>
      </c>
      <c r="L359" s="13" t="s">
        <v>1185</v>
      </c>
      <c r="M359" s="13" t="s">
        <v>2727</v>
      </c>
      <c r="N359" s="13" t="s">
        <v>2728</v>
      </c>
      <c r="O359" s="17" t="s">
        <v>2729</v>
      </c>
      <c r="P359" s="13" t="s">
        <v>281</v>
      </c>
      <c r="Q359" s="13" t="s">
        <v>618</v>
      </c>
      <c r="R359" s="13" t="e">
        <f>VLOOKUP(P359,'Dados das Regiões '!#REF!,2,0)</f>
        <v>#REF!</v>
      </c>
      <c r="S359" s="13" t="s">
        <v>2730</v>
      </c>
      <c r="T359" s="13"/>
      <c r="U359" s="79"/>
      <c r="V359" s="13" t="s">
        <v>2731</v>
      </c>
      <c r="W359" s="13" t="s">
        <v>2732</v>
      </c>
      <c r="X359" s="15">
        <v>0.58333333333333337</v>
      </c>
      <c r="Y359" s="16" t="s">
        <v>1200</v>
      </c>
      <c r="Z359" s="16" t="s">
        <v>622</v>
      </c>
      <c r="AA359" s="36" t="s">
        <v>1808</v>
      </c>
      <c r="AB359" s="164">
        <v>202400679</v>
      </c>
      <c r="AC359" s="13" t="s">
        <v>9</v>
      </c>
      <c r="AE359" s="40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</row>
    <row r="360" spans="1:46">
      <c r="A360" s="14"/>
      <c r="B360" s="13" t="str">
        <f t="shared" si="28"/>
        <v>Pendente</v>
      </c>
      <c r="C360" s="14" t="str">
        <f t="shared" si="29"/>
        <v/>
      </c>
      <c r="D360" s="13" t="s">
        <v>611</v>
      </c>
      <c r="E360" s="14" t="str">
        <f t="shared" si="30"/>
        <v/>
      </c>
      <c r="F360" s="13" t="s">
        <v>611</v>
      </c>
      <c r="G360" s="40">
        <v>202400678</v>
      </c>
      <c r="H360" s="13" t="s">
        <v>2733</v>
      </c>
      <c r="I360" s="13" t="s">
        <v>613</v>
      </c>
      <c r="J360" s="14">
        <v>45509</v>
      </c>
      <c r="K360" s="14">
        <v>45870</v>
      </c>
      <c r="L360" s="13" t="s">
        <v>2734</v>
      </c>
      <c r="M360" s="13" t="s">
        <v>2735</v>
      </c>
      <c r="N360" s="13" t="s">
        <v>2736</v>
      </c>
      <c r="O360" s="17" t="s">
        <v>2737</v>
      </c>
      <c r="P360" s="13" t="s">
        <v>185</v>
      </c>
      <c r="Q360" s="13" t="s">
        <v>618</v>
      </c>
      <c r="R360" s="13" t="e">
        <f>VLOOKUP(P360,'Dados das Regiões '!#REF!,2,0)</f>
        <v>#REF!</v>
      </c>
      <c r="S360" s="13" t="s">
        <v>2738</v>
      </c>
      <c r="T360" s="13"/>
      <c r="U360" s="79"/>
      <c r="V360" s="13" t="s">
        <v>2739</v>
      </c>
      <c r="W360" s="13" t="s">
        <v>2740</v>
      </c>
      <c r="X360" s="15">
        <v>0.5625</v>
      </c>
      <c r="Y360" s="16" t="s">
        <v>1415</v>
      </c>
      <c r="Z360" s="16" t="s">
        <v>622</v>
      </c>
      <c r="AA360" s="36" t="s">
        <v>1808</v>
      </c>
      <c r="AB360" s="164">
        <v>202400678</v>
      </c>
      <c r="AC360" s="13" t="s">
        <v>6</v>
      </c>
      <c r="AE360" s="40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</row>
    <row r="361" spans="1:46">
      <c r="A361" s="14"/>
      <c r="B361" s="13" t="str">
        <f t="shared" si="28"/>
        <v>Pendente</v>
      </c>
      <c r="C361" s="14" t="str">
        <f t="shared" si="29"/>
        <v/>
      </c>
      <c r="D361" s="13" t="s">
        <v>611</v>
      </c>
      <c r="E361" s="14" t="str">
        <f t="shared" si="30"/>
        <v/>
      </c>
      <c r="F361" s="13" t="s">
        <v>611</v>
      </c>
      <c r="G361" s="40">
        <v>202400678</v>
      </c>
      <c r="H361" s="13" t="s">
        <v>2741</v>
      </c>
      <c r="I361" s="13" t="s">
        <v>613</v>
      </c>
      <c r="J361" s="14">
        <v>45509</v>
      </c>
      <c r="K361" s="14">
        <v>45870</v>
      </c>
      <c r="L361" s="13" t="s">
        <v>2734</v>
      </c>
      <c r="M361" s="13" t="s">
        <v>2742</v>
      </c>
      <c r="N361" s="13" t="s">
        <v>2743</v>
      </c>
      <c r="O361" s="13" t="s">
        <v>2744</v>
      </c>
      <c r="P361" s="13" t="s">
        <v>53</v>
      </c>
      <c r="Q361" s="13" t="s">
        <v>618</v>
      </c>
      <c r="R361" s="13" t="e">
        <f>VLOOKUP(P361,'Dados das Regiões '!#REF!,2,0)</f>
        <v>#REF!</v>
      </c>
      <c r="S361" s="13" t="s">
        <v>2745</v>
      </c>
      <c r="T361" s="13"/>
      <c r="U361" s="79"/>
      <c r="V361" s="13" t="s">
        <v>2746</v>
      </c>
      <c r="W361" s="13" t="s">
        <v>2747</v>
      </c>
      <c r="X361" s="15">
        <v>0.5625</v>
      </c>
      <c r="Y361" s="16" t="s">
        <v>1415</v>
      </c>
      <c r="Z361" s="16" t="s">
        <v>622</v>
      </c>
      <c r="AA361" s="36" t="s">
        <v>1808</v>
      </c>
      <c r="AB361" s="164">
        <v>202400678</v>
      </c>
      <c r="AC361" s="13" t="s">
        <v>6</v>
      </c>
      <c r="AE361" s="40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</row>
    <row r="362" spans="1:46">
      <c r="A362" s="14"/>
      <c r="B362" s="13" t="str">
        <f t="shared" si="28"/>
        <v>Pendente</v>
      </c>
      <c r="C362" s="14" t="str">
        <f t="shared" si="29"/>
        <v/>
      </c>
      <c r="D362" s="13" t="s">
        <v>611</v>
      </c>
      <c r="E362" s="14" t="str">
        <f t="shared" si="30"/>
        <v/>
      </c>
      <c r="F362" s="13" t="s">
        <v>611</v>
      </c>
      <c r="G362" s="40">
        <v>202400678</v>
      </c>
      <c r="H362" s="13" t="s">
        <v>2748</v>
      </c>
      <c r="I362" s="13" t="s">
        <v>613</v>
      </c>
      <c r="J362" s="14">
        <v>45509</v>
      </c>
      <c r="K362" s="14">
        <v>45870</v>
      </c>
      <c r="L362" s="13" t="s">
        <v>2734</v>
      </c>
      <c r="M362" s="13" t="s">
        <v>2749</v>
      </c>
      <c r="N362" s="13" t="s">
        <v>2750</v>
      </c>
      <c r="O362" s="17" t="s">
        <v>2751</v>
      </c>
      <c r="P362" s="13" t="s">
        <v>201</v>
      </c>
      <c r="Q362" s="13" t="s">
        <v>618</v>
      </c>
      <c r="R362" s="13" t="e">
        <f>VLOOKUP(P362,'Dados das Regiões '!#REF!,2,0)</f>
        <v>#REF!</v>
      </c>
      <c r="S362" s="13" t="s">
        <v>2752</v>
      </c>
      <c r="T362" s="41"/>
      <c r="U362" s="79"/>
      <c r="V362" s="13" t="s">
        <v>2753</v>
      </c>
      <c r="W362" s="13" t="s">
        <v>2754</v>
      </c>
      <c r="X362" s="15">
        <v>0.41666666666666669</v>
      </c>
      <c r="Y362" s="16" t="s">
        <v>1438</v>
      </c>
      <c r="Z362" s="16" t="s">
        <v>622</v>
      </c>
      <c r="AA362" s="36" t="s">
        <v>1808</v>
      </c>
      <c r="AB362" s="164">
        <v>202400678</v>
      </c>
      <c r="AC362" s="13" t="s">
        <v>6</v>
      </c>
      <c r="AE362" s="40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</row>
    <row r="363" spans="1:46">
      <c r="A363" s="14"/>
      <c r="B363" s="13" t="str">
        <f t="shared" si="28"/>
        <v>Pendente</v>
      </c>
      <c r="C363" s="14" t="str">
        <f t="shared" si="29"/>
        <v/>
      </c>
      <c r="D363" s="13" t="s">
        <v>611</v>
      </c>
      <c r="E363" s="14" t="str">
        <f t="shared" si="30"/>
        <v/>
      </c>
      <c r="F363" s="13" t="s">
        <v>611</v>
      </c>
      <c r="G363" s="40">
        <v>202400678</v>
      </c>
      <c r="H363" s="13" t="s">
        <v>2755</v>
      </c>
      <c r="I363" s="13" t="s">
        <v>613</v>
      </c>
      <c r="J363" s="14">
        <v>45509</v>
      </c>
      <c r="K363" s="14">
        <v>45870</v>
      </c>
      <c r="L363" s="13" t="s">
        <v>2756</v>
      </c>
      <c r="M363" s="13" t="s">
        <v>2757</v>
      </c>
      <c r="N363" s="13" t="s">
        <v>2758</v>
      </c>
      <c r="O363" s="17" t="s">
        <v>2759</v>
      </c>
      <c r="P363" s="13" t="s">
        <v>175</v>
      </c>
      <c r="Q363" s="13" t="s">
        <v>618</v>
      </c>
      <c r="R363" s="13" t="e">
        <f>VLOOKUP(P363,'Dados das Regiões '!#REF!,2,0)</f>
        <v>#REF!</v>
      </c>
      <c r="S363" s="36" t="s">
        <v>2760</v>
      </c>
      <c r="T363" s="13"/>
      <c r="U363" s="46"/>
      <c r="V363" t="s">
        <v>2761</v>
      </c>
      <c r="W363" t="s">
        <v>2762</v>
      </c>
      <c r="X363" s="15">
        <v>0.33333333333333331</v>
      </c>
      <c r="Y363" s="16" t="s">
        <v>1438</v>
      </c>
      <c r="Z363" s="16" t="s">
        <v>622</v>
      </c>
      <c r="AA363" s="36" t="s">
        <v>1808</v>
      </c>
      <c r="AB363" s="164">
        <v>202400678</v>
      </c>
      <c r="AC363" s="13" t="s">
        <v>6</v>
      </c>
      <c r="AS363" s="110"/>
      <c r="AT363" s="18"/>
    </row>
    <row r="364" spans="1:46">
      <c r="A364" s="14"/>
      <c r="B364" s="13" t="str">
        <f t="shared" si="28"/>
        <v>Pendente</v>
      </c>
      <c r="C364" s="14" t="str">
        <f t="shared" si="29"/>
        <v/>
      </c>
      <c r="D364" s="13" t="s">
        <v>611</v>
      </c>
      <c r="E364" s="14" t="str">
        <f t="shared" si="30"/>
        <v/>
      </c>
      <c r="F364" s="13" t="s">
        <v>611</v>
      </c>
      <c r="G364" s="40">
        <v>202400678</v>
      </c>
      <c r="H364" s="13" t="s">
        <v>2763</v>
      </c>
      <c r="I364" s="13" t="s">
        <v>613</v>
      </c>
      <c r="J364" s="14">
        <v>45509</v>
      </c>
      <c r="K364" s="14">
        <v>45870</v>
      </c>
      <c r="L364" s="13" t="s">
        <v>2734</v>
      </c>
      <c r="M364" s="13" t="s">
        <v>2764</v>
      </c>
      <c r="N364" s="13" t="s">
        <v>2765</v>
      </c>
      <c r="O364" s="17" t="s">
        <v>2766</v>
      </c>
      <c r="P364" s="13" t="s">
        <v>207</v>
      </c>
      <c r="Q364" s="13" t="s">
        <v>618</v>
      </c>
      <c r="R364" s="13" t="e">
        <f>VLOOKUP(P364,'Dados das Regiões '!#REF!,2,0)</f>
        <v>#REF!</v>
      </c>
      <c r="S364" s="13" t="s">
        <v>2767</v>
      </c>
      <c r="T364" s="34"/>
      <c r="U364" s="79"/>
      <c r="V364" s="13" t="s">
        <v>2768</v>
      </c>
      <c r="W364" s="13" t="s">
        <v>2769</v>
      </c>
      <c r="X364" s="15">
        <v>0.5625</v>
      </c>
      <c r="Y364" s="16" t="s">
        <v>1415</v>
      </c>
      <c r="Z364" s="16" t="s">
        <v>622</v>
      </c>
      <c r="AA364" s="36" t="s">
        <v>1808</v>
      </c>
      <c r="AB364" s="164">
        <v>202400678</v>
      </c>
      <c r="AC364" s="13" t="s">
        <v>6</v>
      </c>
      <c r="AE364" s="40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</row>
    <row r="365" spans="1:46">
      <c r="A365" s="14"/>
      <c r="B365" s="13" t="str">
        <f t="shared" si="28"/>
        <v>Pendente</v>
      </c>
      <c r="C365" s="14" t="str">
        <f t="shared" si="29"/>
        <v/>
      </c>
      <c r="D365" s="13" t="s">
        <v>611</v>
      </c>
      <c r="E365" s="14" t="str">
        <f t="shared" si="30"/>
        <v/>
      </c>
      <c r="F365" s="13" t="s">
        <v>611</v>
      </c>
      <c r="G365" s="40">
        <v>202400678</v>
      </c>
      <c r="H365" s="13" t="s">
        <v>2770</v>
      </c>
      <c r="I365" s="13" t="s">
        <v>613</v>
      </c>
      <c r="J365" s="14">
        <v>45509</v>
      </c>
      <c r="K365" s="14">
        <v>45870</v>
      </c>
      <c r="L365" s="13" t="s">
        <v>2771</v>
      </c>
      <c r="M365" s="13" t="s">
        <v>2772</v>
      </c>
      <c r="N365" s="13" t="s">
        <v>2773</v>
      </c>
      <c r="O365" s="17" t="s">
        <v>2774</v>
      </c>
      <c r="P365" s="13" t="s">
        <v>57</v>
      </c>
      <c r="Q365" s="13" t="s">
        <v>618</v>
      </c>
      <c r="R365" s="13" t="e">
        <f>VLOOKUP(P365,'Dados das Regiões '!#REF!,2,0)</f>
        <v>#REF!</v>
      </c>
      <c r="S365" s="13" t="s">
        <v>2775</v>
      </c>
      <c r="T365" s="13"/>
      <c r="U365" s="79"/>
      <c r="V365" s="13" t="s">
        <v>2776</v>
      </c>
      <c r="W365" s="13" t="s">
        <v>2777</v>
      </c>
      <c r="X365" s="15">
        <v>0.58333333333333337</v>
      </c>
      <c r="Y365" s="16" t="s">
        <v>1200</v>
      </c>
      <c r="Z365" s="16" t="s">
        <v>622</v>
      </c>
      <c r="AA365" s="36" t="s">
        <v>1808</v>
      </c>
      <c r="AB365" s="164">
        <v>202400678</v>
      </c>
      <c r="AC365" s="13" t="s">
        <v>6</v>
      </c>
      <c r="AE365" s="40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</row>
    <row r="366" spans="1:46">
      <c r="A366" s="29">
        <v>45757</v>
      </c>
      <c r="B366" s="18" t="str">
        <f t="shared" si="28"/>
        <v>Realizada</v>
      </c>
      <c r="C366" s="29">
        <f t="shared" si="29"/>
        <v>45848</v>
      </c>
      <c r="D366" s="18" t="s">
        <v>611</v>
      </c>
      <c r="E366" s="29">
        <f t="shared" si="30"/>
        <v>45940</v>
      </c>
      <c r="F366" s="18" t="s">
        <v>611</v>
      </c>
      <c r="G366" s="44">
        <v>202400678</v>
      </c>
      <c r="H366" s="18" t="s">
        <v>2778</v>
      </c>
      <c r="I366" s="18" t="s">
        <v>613</v>
      </c>
      <c r="J366" s="29">
        <v>45509</v>
      </c>
      <c r="K366" s="29">
        <v>45870</v>
      </c>
      <c r="L366" s="18" t="s">
        <v>2779</v>
      </c>
      <c r="M366" s="18" t="s">
        <v>2780</v>
      </c>
      <c r="N366" s="18" t="s">
        <v>2280</v>
      </c>
      <c r="O366" s="18" t="s">
        <v>2280</v>
      </c>
      <c r="P366" s="18" t="s">
        <v>513</v>
      </c>
      <c r="Q366" s="18" t="s">
        <v>618</v>
      </c>
      <c r="R366" s="18" t="e">
        <f>VLOOKUP(P366,'Dados das Regiões '!#REF!,2,0)</f>
        <v>#REF!</v>
      </c>
      <c r="S366" s="18" t="s">
        <v>2281</v>
      </c>
      <c r="T366" s="18"/>
      <c r="U366" s="82"/>
      <c r="V366" s="18" t="s">
        <v>2283</v>
      </c>
      <c r="W366" s="18" t="s">
        <v>2284</v>
      </c>
      <c r="X366" s="30">
        <v>0.66666666666666663</v>
      </c>
      <c r="Y366" s="31" t="s">
        <v>1200</v>
      </c>
      <c r="Z366" s="31" t="s">
        <v>622</v>
      </c>
      <c r="AA366" s="36" t="s">
        <v>1808</v>
      </c>
      <c r="AB366" s="166">
        <v>202400678</v>
      </c>
      <c r="AC366" s="13" t="s">
        <v>6</v>
      </c>
      <c r="AE366" s="40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</row>
    <row r="367" spans="1:46">
      <c r="A367" s="14"/>
      <c r="B367" s="13" t="str">
        <f t="shared" si="28"/>
        <v>Pendente</v>
      </c>
      <c r="C367" s="14" t="str">
        <f t="shared" si="29"/>
        <v/>
      </c>
      <c r="D367" s="13" t="s">
        <v>611</v>
      </c>
      <c r="E367" s="14" t="str">
        <f t="shared" si="30"/>
        <v/>
      </c>
      <c r="F367" s="13" t="s">
        <v>611</v>
      </c>
      <c r="G367" s="40">
        <v>202400678</v>
      </c>
      <c r="H367" s="13" t="s">
        <v>2781</v>
      </c>
      <c r="I367" s="13" t="s">
        <v>613</v>
      </c>
      <c r="J367" s="14">
        <v>45509</v>
      </c>
      <c r="K367" s="14">
        <v>45870</v>
      </c>
      <c r="L367" s="13" t="s">
        <v>2771</v>
      </c>
      <c r="M367" s="13" t="s">
        <v>2782</v>
      </c>
      <c r="N367" s="13" t="s">
        <v>2783</v>
      </c>
      <c r="O367" s="17" t="s">
        <v>2784</v>
      </c>
      <c r="P367" s="13" t="s">
        <v>384</v>
      </c>
      <c r="Q367" s="13" t="s">
        <v>618</v>
      </c>
      <c r="R367" s="13" t="e">
        <f>VLOOKUP(P367,'Dados das Regiões '!#REF!,2,0)</f>
        <v>#REF!</v>
      </c>
      <c r="S367" s="13" t="s">
        <v>2785</v>
      </c>
      <c r="T367" s="13"/>
      <c r="U367" s="79"/>
      <c r="V367" s="13" t="s">
        <v>2786</v>
      </c>
      <c r="W367" s="13" t="s">
        <v>2787</v>
      </c>
      <c r="X367" s="15">
        <v>0.5625</v>
      </c>
      <c r="Y367" s="16" t="s">
        <v>1415</v>
      </c>
      <c r="Z367" s="16" t="s">
        <v>622</v>
      </c>
      <c r="AA367" s="36" t="s">
        <v>1808</v>
      </c>
      <c r="AB367" s="164">
        <v>202400678</v>
      </c>
      <c r="AC367" s="13" t="s">
        <v>6</v>
      </c>
      <c r="AE367" s="40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</row>
    <row r="368" spans="1:46">
      <c r="A368" s="14"/>
      <c r="B368" s="13" t="str">
        <f t="shared" si="28"/>
        <v>Pendente</v>
      </c>
      <c r="C368" s="14" t="str">
        <f t="shared" si="29"/>
        <v/>
      </c>
      <c r="D368" s="13" t="s">
        <v>611</v>
      </c>
      <c r="E368" s="14" t="str">
        <f t="shared" si="30"/>
        <v/>
      </c>
      <c r="F368" s="13" t="s">
        <v>611</v>
      </c>
      <c r="G368" s="40">
        <v>202400678</v>
      </c>
      <c r="H368" s="13" t="s">
        <v>2788</v>
      </c>
      <c r="I368" s="13" t="s">
        <v>613</v>
      </c>
      <c r="J368" s="14">
        <v>45509</v>
      </c>
      <c r="K368" s="14">
        <v>45870</v>
      </c>
      <c r="L368" s="13" t="s">
        <v>2771</v>
      </c>
      <c r="M368" s="13" t="s">
        <v>2782</v>
      </c>
      <c r="N368" s="13" t="s">
        <v>2783</v>
      </c>
      <c r="O368" s="17" t="s">
        <v>2784</v>
      </c>
      <c r="P368" s="13" t="s">
        <v>384</v>
      </c>
      <c r="Q368" s="13" t="s">
        <v>618</v>
      </c>
      <c r="R368" s="13" t="e">
        <f>VLOOKUP(P368,'Dados das Regiões '!#REF!,2,0)</f>
        <v>#REF!</v>
      </c>
      <c r="S368" s="13" t="s">
        <v>2785</v>
      </c>
      <c r="T368" s="13"/>
      <c r="U368" s="79"/>
      <c r="V368" s="13" t="s">
        <v>2786</v>
      </c>
      <c r="W368" s="13" t="s">
        <v>2787</v>
      </c>
      <c r="X368" s="15">
        <v>0.5625</v>
      </c>
      <c r="Y368" s="16" t="s">
        <v>1415</v>
      </c>
      <c r="Z368" s="16" t="s">
        <v>622</v>
      </c>
      <c r="AA368" s="36" t="s">
        <v>1808</v>
      </c>
      <c r="AB368" s="164">
        <v>202400678</v>
      </c>
      <c r="AC368" s="13" t="s">
        <v>6</v>
      </c>
      <c r="AE368" s="40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</row>
    <row r="369" spans="1:46">
      <c r="A369" s="14"/>
      <c r="B369" s="13" t="str">
        <f t="shared" si="28"/>
        <v>Pendente</v>
      </c>
      <c r="C369" s="14" t="str">
        <f t="shared" si="29"/>
        <v/>
      </c>
      <c r="D369" s="13" t="s">
        <v>611</v>
      </c>
      <c r="E369" s="14" t="str">
        <f t="shared" si="30"/>
        <v/>
      </c>
      <c r="F369" s="13" t="s">
        <v>611</v>
      </c>
      <c r="G369" s="40">
        <v>202400678</v>
      </c>
      <c r="H369" s="13" t="s">
        <v>2789</v>
      </c>
      <c r="I369" s="13" t="s">
        <v>613</v>
      </c>
      <c r="J369" s="14">
        <v>45509</v>
      </c>
      <c r="K369" s="14">
        <v>45870</v>
      </c>
      <c r="L369" s="13" t="s">
        <v>2790</v>
      </c>
      <c r="M369" s="13" t="s">
        <v>2791</v>
      </c>
      <c r="N369" s="13" t="s">
        <v>2792</v>
      </c>
      <c r="O369" s="17" t="s">
        <v>2793</v>
      </c>
      <c r="P369" s="13" t="s">
        <v>166</v>
      </c>
      <c r="Q369" s="13" t="s">
        <v>618</v>
      </c>
      <c r="R369" s="13" t="e">
        <f>VLOOKUP(P369,'Dados das Regiões '!#REF!,2,0)</f>
        <v>#REF!</v>
      </c>
      <c r="S369" s="13" t="s">
        <v>2794</v>
      </c>
      <c r="T369" s="13"/>
      <c r="U369" s="79"/>
      <c r="V369" s="13" t="s">
        <v>2795</v>
      </c>
      <c r="W369" s="13" t="s">
        <v>2796</v>
      </c>
      <c r="X369" s="15">
        <v>0.64583333333333337</v>
      </c>
      <c r="Y369" s="16" t="s">
        <v>1451</v>
      </c>
      <c r="Z369" s="16" t="s">
        <v>622</v>
      </c>
      <c r="AA369" s="36" t="s">
        <v>1808</v>
      </c>
      <c r="AB369" s="164">
        <v>202400678</v>
      </c>
      <c r="AC369" s="13" t="s">
        <v>6</v>
      </c>
      <c r="AE369" s="40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</row>
    <row r="370" spans="1:46">
      <c r="A370" s="14"/>
      <c r="B370" s="13" t="str">
        <f t="shared" si="28"/>
        <v>Pendente</v>
      </c>
      <c r="C370" s="14" t="str">
        <f t="shared" si="29"/>
        <v/>
      </c>
      <c r="D370" s="13" t="s">
        <v>611</v>
      </c>
      <c r="E370" s="14" t="str">
        <f t="shared" si="30"/>
        <v/>
      </c>
      <c r="F370" s="13" t="s">
        <v>611</v>
      </c>
      <c r="G370" s="40">
        <v>202400679</v>
      </c>
      <c r="H370" s="13" t="s">
        <v>2797</v>
      </c>
      <c r="I370" s="13" t="s">
        <v>1176</v>
      </c>
      <c r="J370" s="14">
        <v>45509</v>
      </c>
      <c r="K370" s="14">
        <v>45870</v>
      </c>
      <c r="L370" s="13" t="s">
        <v>1185</v>
      </c>
      <c r="M370" s="13" t="s">
        <v>2798</v>
      </c>
      <c r="N370" s="13" t="s">
        <v>2799</v>
      </c>
      <c r="O370" s="17" t="s">
        <v>2800</v>
      </c>
      <c r="P370" s="13" t="s">
        <v>306</v>
      </c>
      <c r="Q370" s="13" t="s">
        <v>618</v>
      </c>
      <c r="R370" s="13" t="e">
        <f>VLOOKUP(P370,'Dados das Regiões '!#REF!,2,0)</f>
        <v>#REF!</v>
      </c>
      <c r="S370" s="13" t="s">
        <v>2801</v>
      </c>
      <c r="T370" s="13"/>
      <c r="U370" s="79"/>
      <c r="V370" s="13" t="s">
        <v>2802</v>
      </c>
      <c r="W370" s="13" t="s">
        <v>2803</v>
      </c>
      <c r="X370" s="15">
        <v>0.54166666666666663</v>
      </c>
      <c r="Y370" s="16" t="s">
        <v>1943</v>
      </c>
      <c r="Z370" s="16" t="s">
        <v>622</v>
      </c>
      <c r="AA370" s="36" t="s">
        <v>1808</v>
      </c>
      <c r="AB370" s="164">
        <v>202400679</v>
      </c>
      <c r="AC370" s="13" t="s">
        <v>9</v>
      </c>
      <c r="AE370" s="40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</row>
    <row r="371" spans="1:46">
      <c r="A371" s="14"/>
      <c r="B371" s="13" t="str">
        <f t="shared" si="28"/>
        <v>Pendente</v>
      </c>
      <c r="C371" s="14" t="str">
        <f t="shared" si="29"/>
        <v/>
      </c>
      <c r="D371" s="13" t="s">
        <v>611</v>
      </c>
      <c r="E371" s="14" t="str">
        <f t="shared" si="30"/>
        <v/>
      </c>
      <c r="F371" s="13" t="s">
        <v>611</v>
      </c>
      <c r="G371" s="40">
        <v>202400679</v>
      </c>
      <c r="H371" s="13" t="s">
        <v>2804</v>
      </c>
      <c r="I371" s="13" t="s">
        <v>1176</v>
      </c>
      <c r="J371" s="14">
        <v>45509</v>
      </c>
      <c r="K371" s="14">
        <v>45870</v>
      </c>
      <c r="L371" s="13" t="s">
        <v>1185</v>
      </c>
      <c r="M371" s="13" t="s">
        <v>2805</v>
      </c>
      <c r="N371" s="13" t="s">
        <v>2806</v>
      </c>
      <c r="O371" s="17" t="s">
        <v>2807</v>
      </c>
      <c r="P371" s="13" t="s">
        <v>203</v>
      </c>
      <c r="Q371" s="13" t="s">
        <v>618</v>
      </c>
      <c r="R371" s="13" t="e">
        <f>VLOOKUP(P371,'Dados das Regiões '!#REF!,2,0)</f>
        <v>#REF!</v>
      </c>
      <c r="S371" s="13" t="s">
        <v>2808</v>
      </c>
      <c r="T371" s="13"/>
      <c r="U371" s="79" t="s">
        <v>2809</v>
      </c>
      <c r="V371" s="13" t="s">
        <v>2810</v>
      </c>
      <c r="W371" s="13" t="s">
        <v>2811</v>
      </c>
      <c r="X371" s="15">
        <v>0.58333333333333337</v>
      </c>
      <c r="Y371" s="16" t="s">
        <v>1200</v>
      </c>
      <c r="Z371" s="16" t="s">
        <v>622</v>
      </c>
      <c r="AA371" s="36" t="s">
        <v>1808</v>
      </c>
      <c r="AB371" s="164">
        <v>202400679</v>
      </c>
      <c r="AC371" s="13" t="s">
        <v>9</v>
      </c>
      <c r="AE371" s="40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</row>
    <row r="372" spans="1:46">
      <c r="A372" s="14"/>
      <c r="B372" s="13" t="str">
        <f t="shared" si="28"/>
        <v>Pendente</v>
      </c>
      <c r="C372" s="14" t="str">
        <f t="shared" si="29"/>
        <v/>
      </c>
      <c r="D372" s="13" t="s">
        <v>611</v>
      </c>
      <c r="E372" s="14" t="str">
        <f t="shared" si="30"/>
        <v/>
      </c>
      <c r="F372" s="13" t="s">
        <v>611</v>
      </c>
      <c r="G372" s="40">
        <v>202400679</v>
      </c>
      <c r="H372" s="13" t="s">
        <v>2812</v>
      </c>
      <c r="I372" s="13" t="s">
        <v>1176</v>
      </c>
      <c r="J372" s="14">
        <v>45509</v>
      </c>
      <c r="K372" s="14">
        <v>45870</v>
      </c>
      <c r="L372" s="13" t="s">
        <v>1185</v>
      </c>
      <c r="M372" s="13" t="s">
        <v>2813</v>
      </c>
      <c r="N372" s="13" t="s">
        <v>2814</v>
      </c>
      <c r="O372" s="17" t="s">
        <v>2815</v>
      </c>
      <c r="P372" s="13" t="s">
        <v>405</v>
      </c>
      <c r="Q372" s="13" t="s">
        <v>618</v>
      </c>
      <c r="R372" s="13" t="e">
        <f>VLOOKUP(P372,'Dados das Regiões '!#REF!,2,0)</f>
        <v>#REF!</v>
      </c>
      <c r="S372" s="13" t="s">
        <v>2816</v>
      </c>
      <c r="T372" s="13"/>
      <c r="U372" s="79" t="s">
        <v>2817</v>
      </c>
      <c r="V372" s="13" t="s">
        <v>2818</v>
      </c>
      <c r="W372" s="13" t="s">
        <v>2819</v>
      </c>
      <c r="X372" s="15">
        <v>0.5</v>
      </c>
      <c r="Y372" s="16" t="s">
        <v>2820</v>
      </c>
      <c r="Z372" s="16" t="s">
        <v>622</v>
      </c>
      <c r="AA372" s="36" t="s">
        <v>1808</v>
      </c>
      <c r="AB372" s="164">
        <v>202400679</v>
      </c>
      <c r="AC372" s="13" t="s">
        <v>9</v>
      </c>
      <c r="AE372" s="40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</row>
    <row r="373" spans="1:46">
      <c r="A373" s="14"/>
      <c r="B373" s="13" t="str">
        <f t="shared" si="28"/>
        <v>Pendente</v>
      </c>
      <c r="C373" s="14" t="str">
        <f t="shared" si="29"/>
        <v/>
      </c>
      <c r="D373" s="13" t="s">
        <v>611</v>
      </c>
      <c r="E373" s="14" t="str">
        <f t="shared" si="30"/>
        <v/>
      </c>
      <c r="F373" s="13" t="s">
        <v>611</v>
      </c>
      <c r="G373" s="40">
        <v>202400678</v>
      </c>
      <c r="H373" s="13" t="s">
        <v>2821</v>
      </c>
      <c r="I373" s="13" t="s">
        <v>613</v>
      </c>
      <c r="J373" s="14">
        <v>45509</v>
      </c>
      <c r="K373" s="14">
        <v>45870</v>
      </c>
      <c r="L373" s="13" t="s">
        <v>2822</v>
      </c>
      <c r="M373" s="13" t="s">
        <v>2823</v>
      </c>
      <c r="N373" s="13" t="s">
        <v>2824</v>
      </c>
      <c r="O373" s="17" t="s">
        <v>2825</v>
      </c>
      <c r="P373" s="13" t="s">
        <v>298</v>
      </c>
      <c r="Q373" s="13" t="s">
        <v>618</v>
      </c>
      <c r="R373" s="13" t="e">
        <f>VLOOKUP(P373,'Dados das Regiões '!#REF!,2,0)</f>
        <v>#REF!</v>
      </c>
      <c r="S373" s="13" t="s">
        <v>2826</v>
      </c>
      <c r="T373" s="13"/>
      <c r="U373" s="79"/>
      <c r="V373" s="13" t="s">
        <v>2827</v>
      </c>
      <c r="W373" s="13" t="s">
        <v>2828</v>
      </c>
      <c r="X373" s="15">
        <v>0.5625</v>
      </c>
      <c r="Y373" s="16" t="s">
        <v>2829</v>
      </c>
      <c r="Z373" s="16" t="s">
        <v>622</v>
      </c>
      <c r="AA373" s="36" t="s">
        <v>1808</v>
      </c>
      <c r="AB373" s="164">
        <v>202400678</v>
      </c>
      <c r="AC373" s="13" t="s">
        <v>6</v>
      </c>
      <c r="AE373" s="40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</row>
    <row r="374" spans="1:46">
      <c r="A374" s="14"/>
      <c r="B374" s="13" t="str">
        <f t="shared" si="28"/>
        <v>Pendente</v>
      </c>
      <c r="C374" s="14" t="str">
        <f t="shared" si="29"/>
        <v/>
      </c>
      <c r="D374" s="13" t="s">
        <v>611</v>
      </c>
      <c r="E374" s="14" t="str">
        <f t="shared" si="30"/>
        <v/>
      </c>
      <c r="F374" s="13" t="s">
        <v>611</v>
      </c>
      <c r="G374" s="40">
        <v>202400679</v>
      </c>
      <c r="H374" s="13" t="s">
        <v>2830</v>
      </c>
      <c r="I374" s="13" t="s">
        <v>1176</v>
      </c>
      <c r="J374" s="14">
        <v>45509</v>
      </c>
      <c r="K374" s="14">
        <v>45870</v>
      </c>
      <c r="L374" s="13" t="s">
        <v>2571</v>
      </c>
      <c r="M374" s="13" t="s">
        <v>2831</v>
      </c>
      <c r="N374" s="13" t="s">
        <v>2832</v>
      </c>
      <c r="O374" s="17" t="s">
        <v>2833</v>
      </c>
      <c r="P374" s="13" t="s">
        <v>305</v>
      </c>
      <c r="Q374" s="13" t="s">
        <v>618</v>
      </c>
      <c r="R374" s="13" t="e">
        <f>VLOOKUP(P374,'Dados das Regiões '!#REF!,2,0)</f>
        <v>#REF!</v>
      </c>
      <c r="S374" s="13" t="s">
        <v>2834</v>
      </c>
      <c r="T374" s="13"/>
      <c r="U374" s="79" t="s">
        <v>2835</v>
      </c>
      <c r="V374" s="13" t="s">
        <v>2836</v>
      </c>
      <c r="W374" s="13" t="s">
        <v>2837</v>
      </c>
      <c r="X374" s="15">
        <v>0.58333333333333337</v>
      </c>
      <c r="Y374" s="16" t="s">
        <v>1200</v>
      </c>
      <c r="Z374" s="16" t="s">
        <v>622</v>
      </c>
      <c r="AA374" s="36" t="s">
        <v>1808</v>
      </c>
      <c r="AB374" s="164">
        <v>202400679</v>
      </c>
      <c r="AC374" s="13" t="s">
        <v>9</v>
      </c>
      <c r="AE374" s="40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</row>
    <row r="375" spans="1:46">
      <c r="A375" s="14"/>
      <c r="B375" s="13" t="str">
        <f t="shared" si="28"/>
        <v>Pendente</v>
      </c>
      <c r="C375" s="14" t="str">
        <f t="shared" si="29"/>
        <v/>
      </c>
      <c r="D375" s="13" t="s">
        <v>611</v>
      </c>
      <c r="E375" s="14" t="str">
        <f t="shared" si="30"/>
        <v/>
      </c>
      <c r="F375" s="13" t="s">
        <v>611</v>
      </c>
      <c r="G375" s="40">
        <v>202400679</v>
      </c>
      <c r="H375" s="13" t="s">
        <v>2838</v>
      </c>
      <c r="I375" s="13" t="s">
        <v>1176</v>
      </c>
      <c r="J375" s="14">
        <v>45509</v>
      </c>
      <c r="K375" s="14">
        <v>45870</v>
      </c>
      <c r="L375" s="13" t="s">
        <v>1185</v>
      </c>
      <c r="M375" s="13" t="s">
        <v>2839</v>
      </c>
      <c r="N375" s="13" t="s">
        <v>2840</v>
      </c>
      <c r="O375" s="17" t="s">
        <v>2841</v>
      </c>
      <c r="P375" s="13" t="s">
        <v>449</v>
      </c>
      <c r="Q375" s="13" t="s">
        <v>618</v>
      </c>
      <c r="R375" s="13" t="e">
        <f>VLOOKUP(P375,'Dados das Regiões '!#REF!,2,0)</f>
        <v>#REF!</v>
      </c>
      <c r="S375" s="13" t="s">
        <v>2842</v>
      </c>
      <c r="T375" s="13"/>
      <c r="U375" s="79" t="s">
        <v>2843</v>
      </c>
      <c r="V375" s="13" t="s">
        <v>2844</v>
      </c>
      <c r="W375" s="13" t="s">
        <v>2845</v>
      </c>
      <c r="X375" s="15">
        <v>0.58333333333333337</v>
      </c>
      <c r="Y375" s="16" t="s">
        <v>1200</v>
      </c>
      <c r="Z375" s="16" t="s">
        <v>622</v>
      </c>
      <c r="AA375" s="36"/>
      <c r="AB375" s="164">
        <v>202400679</v>
      </c>
      <c r="AC375" s="13" t="s">
        <v>9</v>
      </c>
      <c r="AE375" s="40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</row>
    <row r="376" spans="1:46">
      <c r="A376" s="14"/>
      <c r="B376" s="13" t="str">
        <f t="shared" si="28"/>
        <v>Pendente</v>
      </c>
      <c r="C376" s="14" t="str">
        <f t="shared" si="29"/>
        <v/>
      </c>
      <c r="D376" s="13" t="s">
        <v>611</v>
      </c>
      <c r="E376" s="14" t="str">
        <f t="shared" si="30"/>
        <v/>
      </c>
      <c r="F376" s="13" t="s">
        <v>611</v>
      </c>
      <c r="G376" s="40">
        <v>202400679</v>
      </c>
      <c r="H376" s="13" t="s">
        <v>2846</v>
      </c>
      <c r="I376" s="13" t="s">
        <v>1176</v>
      </c>
      <c r="J376" s="14">
        <v>45509</v>
      </c>
      <c r="K376" s="14">
        <v>45870</v>
      </c>
      <c r="L376" s="13" t="s">
        <v>1185</v>
      </c>
      <c r="M376" s="13" t="s">
        <v>2847</v>
      </c>
      <c r="N376" s="13" t="s">
        <v>2848</v>
      </c>
      <c r="O376" s="17" t="s">
        <v>2849</v>
      </c>
      <c r="P376" s="13" t="s">
        <v>279</v>
      </c>
      <c r="Q376" s="13" t="s">
        <v>618</v>
      </c>
      <c r="R376" s="13" t="e">
        <f>VLOOKUP(P376,'Dados das Regiões '!#REF!,2,0)</f>
        <v>#REF!</v>
      </c>
      <c r="S376" s="13" t="s">
        <v>2850</v>
      </c>
      <c r="T376" s="13"/>
      <c r="U376" s="79" t="s">
        <v>2851</v>
      </c>
      <c r="V376" s="13" t="s">
        <v>2852</v>
      </c>
      <c r="W376" s="13" t="s">
        <v>2853</v>
      </c>
      <c r="X376" s="15">
        <v>0.58333333333333337</v>
      </c>
      <c r="Y376" s="16" t="s">
        <v>1200</v>
      </c>
      <c r="Z376" s="16" t="s">
        <v>622</v>
      </c>
      <c r="AA376" s="36" t="s">
        <v>1808</v>
      </c>
      <c r="AB376" s="164">
        <v>202400679</v>
      </c>
      <c r="AC376" s="13" t="s">
        <v>9</v>
      </c>
      <c r="AS376" s="110"/>
      <c r="AT376" s="18"/>
    </row>
    <row r="377" spans="1:46">
      <c r="A377" s="14"/>
      <c r="B377" s="13" t="str">
        <f t="shared" si="28"/>
        <v>Pendente</v>
      </c>
      <c r="C377" s="14" t="str">
        <f t="shared" si="29"/>
        <v/>
      </c>
      <c r="D377" s="13" t="s">
        <v>611</v>
      </c>
      <c r="E377" s="14" t="str">
        <f t="shared" si="30"/>
        <v/>
      </c>
      <c r="F377" s="13" t="s">
        <v>611</v>
      </c>
      <c r="G377" s="40">
        <v>202400679</v>
      </c>
      <c r="H377" s="13" t="s">
        <v>2854</v>
      </c>
      <c r="I377" s="13" t="s">
        <v>1176</v>
      </c>
      <c r="J377" s="14">
        <v>45509</v>
      </c>
      <c r="K377" s="14">
        <v>45870</v>
      </c>
      <c r="L377" s="13" t="s">
        <v>1185</v>
      </c>
      <c r="M377" s="13" t="s">
        <v>2855</v>
      </c>
      <c r="N377" s="13" t="s">
        <v>2856</v>
      </c>
      <c r="O377" s="17" t="s">
        <v>2857</v>
      </c>
      <c r="P377" s="13" t="s">
        <v>400</v>
      </c>
      <c r="Q377" s="13" t="s">
        <v>618</v>
      </c>
      <c r="R377" s="13" t="e">
        <f>VLOOKUP(P377,'Dados das Regiões '!#REF!,2,0)</f>
        <v>#REF!</v>
      </c>
      <c r="S377" s="13" t="s">
        <v>2858</v>
      </c>
      <c r="T377" s="13"/>
      <c r="U377" s="79" t="s">
        <v>2859</v>
      </c>
      <c r="V377" s="13" t="s">
        <v>2860</v>
      </c>
      <c r="W377" s="13" t="s">
        <v>2861</v>
      </c>
      <c r="X377" s="15">
        <v>0.33333333333333331</v>
      </c>
      <c r="Y377" s="16" t="s">
        <v>1438</v>
      </c>
      <c r="Z377" s="16" t="s">
        <v>622</v>
      </c>
      <c r="AA377" s="36" t="s">
        <v>1808</v>
      </c>
      <c r="AB377" s="164">
        <v>202400679</v>
      </c>
      <c r="AC377" s="13" t="s">
        <v>9</v>
      </c>
      <c r="AE377" s="40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</row>
    <row r="378" spans="1:46">
      <c r="A378" s="14">
        <v>45825</v>
      </c>
      <c r="B378" s="13" t="str">
        <f t="shared" si="28"/>
        <v>Realizada</v>
      </c>
      <c r="C378" s="14">
        <f t="shared" si="29"/>
        <v>45917</v>
      </c>
      <c r="D378" s="13" t="s">
        <v>611</v>
      </c>
      <c r="E378" s="14">
        <f t="shared" si="30"/>
        <v>46008</v>
      </c>
      <c r="F378" s="13" t="s">
        <v>611</v>
      </c>
      <c r="G378" s="40">
        <v>202400679</v>
      </c>
      <c r="H378" s="13" t="s">
        <v>2862</v>
      </c>
      <c r="I378" s="13" t="s">
        <v>1176</v>
      </c>
      <c r="J378" s="14">
        <v>45509</v>
      </c>
      <c r="K378" s="14">
        <v>45870</v>
      </c>
      <c r="L378" s="13" t="s">
        <v>1185</v>
      </c>
      <c r="M378" s="13" t="s">
        <v>2863</v>
      </c>
      <c r="N378" s="13" t="s">
        <v>2864</v>
      </c>
      <c r="O378" s="13" t="s">
        <v>586</v>
      </c>
      <c r="P378" s="13" t="s">
        <v>76</v>
      </c>
      <c r="Q378" s="13" t="s">
        <v>618</v>
      </c>
      <c r="R378" s="13" t="e">
        <f>VLOOKUP(P378,'Dados das Regiões '!#REF!,2,0)</f>
        <v>#REF!</v>
      </c>
      <c r="S378" s="13" t="s">
        <v>2865</v>
      </c>
      <c r="T378" s="13"/>
      <c r="U378" s="79" t="s">
        <v>2866</v>
      </c>
      <c r="V378" s="13" t="s">
        <v>2867</v>
      </c>
      <c r="W378" s="13" t="s">
        <v>2868</v>
      </c>
      <c r="X378" s="15">
        <v>0.54166666666666663</v>
      </c>
      <c r="Y378" s="16" t="s">
        <v>1824</v>
      </c>
      <c r="Z378" s="16" t="s">
        <v>622</v>
      </c>
      <c r="AA378" s="36" t="s">
        <v>1808</v>
      </c>
      <c r="AB378" s="164">
        <v>202400679</v>
      </c>
      <c r="AC378" s="13" t="s">
        <v>9</v>
      </c>
      <c r="AE378" s="40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</row>
    <row r="379" spans="1:46">
      <c r="A379" s="14"/>
      <c r="B379" s="13" t="str">
        <f t="shared" ref="B379:B442" si="31">IF(ISBLANK(A379), "Pendente", "Realizada")</f>
        <v>Pendente</v>
      </c>
      <c r="C379" s="14" t="str">
        <f t="shared" ref="C379:C442" si="32">IF(A379="", "", EDATE(A379, 3))</f>
        <v/>
      </c>
      <c r="D379" s="13" t="s">
        <v>611</v>
      </c>
      <c r="E379" s="14" t="str">
        <f t="shared" ref="E379:E442" si="33">IF(C379="", "", EDATE(C379, 3))</f>
        <v/>
      </c>
      <c r="F379" s="13" t="s">
        <v>611</v>
      </c>
      <c r="G379" s="40">
        <v>202400678</v>
      </c>
      <c r="H379" s="13" t="s">
        <v>2869</v>
      </c>
      <c r="I379" s="13" t="s">
        <v>613</v>
      </c>
      <c r="J379" s="14">
        <v>45509</v>
      </c>
      <c r="K379" s="14">
        <v>45870</v>
      </c>
      <c r="L379" s="13" t="s">
        <v>2870</v>
      </c>
      <c r="M379" s="13" t="s">
        <v>2871</v>
      </c>
      <c r="N379" s="13" t="s">
        <v>2872</v>
      </c>
      <c r="O379" s="17" t="s">
        <v>2873</v>
      </c>
      <c r="P379" s="13" t="s">
        <v>286</v>
      </c>
      <c r="Q379" s="13" t="s">
        <v>618</v>
      </c>
      <c r="R379" s="13" t="e">
        <f>VLOOKUP(P379,'Dados das Regiões '!#REF!,2,0)</f>
        <v>#REF!</v>
      </c>
      <c r="S379" s="13" t="s">
        <v>2874</v>
      </c>
      <c r="T379" s="13"/>
      <c r="U379" s="79"/>
      <c r="V379" s="13" t="s">
        <v>2875</v>
      </c>
      <c r="W379" s="13" t="s">
        <v>2876</v>
      </c>
      <c r="X379" s="15">
        <v>0.54166666666666663</v>
      </c>
      <c r="Y379" s="16" t="s">
        <v>1941</v>
      </c>
      <c r="Z379" s="16" t="s">
        <v>622</v>
      </c>
      <c r="AA379" s="36" t="s">
        <v>1808</v>
      </c>
      <c r="AB379" s="164">
        <v>202400678</v>
      </c>
      <c r="AC379" s="13" t="s">
        <v>6</v>
      </c>
      <c r="AE379" s="40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</row>
    <row r="380" spans="1:46">
      <c r="A380" s="14"/>
      <c r="B380" s="13" t="str">
        <f t="shared" si="31"/>
        <v>Pendente</v>
      </c>
      <c r="C380" s="14" t="str">
        <f t="shared" si="32"/>
        <v/>
      </c>
      <c r="D380" s="13" t="s">
        <v>611</v>
      </c>
      <c r="E380" s="14" t="str">
        <f t="shared" si="33"/>
        <v/>
      </c>
      <c r="F380" s="13" t="s">
        <v>611</v>
      </c>
      <c r="G380" s="40">
        <v>202400678</v>
      </c>
      <c r="H380" s="13" t="s">
        <v>2877</v>
      </c>
      <c r="I380" s="13" t="s">
        <v>613</v>
      </c>
      <c r="J380" s="14">
        <v>45509</v>
      </c>
      <c r="K380" s="14">
        <v>45870</v>
      </c>
      <c r="L380" s="13" t="s">
        <v>2878</v>
      </c>
      <c r="M380" s="13" t="s">
        <v>2879</v>
      </c>
      <c r="N380" s="13" t="s">
        <v>2880</v>
      </c>
      <c r="O380" s="17" t="s">
        <v>2881</v>
      </c>
      <c r="P380" s="13" t="s">
        <v>258</v>
      </c>
      <c r="Q380" s="13" t="s">
        <v>618</v>
      </c>
      <c r="R380" s="13" t="e">
        <f>VLOOKUP(P380,'Dados das Regiões '!#REF!,2,0)</f>
        <v>#REF!</v>
      </c>
      <c r="S380" s="13" t="s">
        <v>2882</v>
      </c>
      <c r="T380" s="13"/>
      <c r="U380" s="79"/>
      <c r="V380" s="13" t="s">
        <v>2883</v>
      </c>
      <c r="W380" s="13" t="s">
        <v>2884</v>
      </c>
      <c r="X380" s="15">
        <v>0.66666666666666663</v>
      </c>
      <c r="Y380" s="16" t="s">
        <v>1967</v>
      </c>
      <c r="Z380" s="16" t="s">
        <v>622</v>
      </c>
      <c r="AA380" s="36" t="s">
        <v>1808</v>
      </c>
      <c r="AB380" s="164">
        <v>202400678</v>
      </c>
      <c r="AC380" s="13" t="s">
        <v>6</v>
      </c>
      <c r="AE380" s="40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</row>
    <row r="381" spans="1:46">
      <c r="A381" s="14"/>
      <c r="B381" s="13" t="str">
        <f t="shared" si="31"/>
        <v>Pendente</v>
      </c>
      <c r="C381" s="14" t="str">
        <f t="shared" si="32"/>
        <v/>
      </c>
      <c r="D381" s="13" t="s">
        <v>611</v>
      </c>
      <c r="E381" s="14" t="str">
        <f t="shared" si="33"/>
        <v/>
      </c>
      <c r="F381" s="13" t="s">
        <v>611</v>
      </c>
      <c r="G381" s="40">
        <v>202400680</v>
      </c>
      <c r="H381" s="13" t="s">
        <v>2885</v>
      </c>
      <c r="I381" s="13" t="s">
        <v>1176</v>
      </c>
      <c r="J381" s="14">
        <v>45509</v>
      </c>
      <c r="K381" s="14">
        <v>45870</v>
      </c>
      <c r="L381" s="13" t="s">
        <v>2618</v>
      </c>
      <c r="M381" s="13" t="s">
        <v>2619</v>
      </c>
      <c r="N381" s="13" t="s">
        <v>2620</v>
      </c>
      <c r="O381" s="13" t="s">
        <v>2621</v>
      </c>
      <c r="P381" s="13" t="s">
        <v>491</v>
      </c>
      <c r="Q381" s="13" t="s">
        <v>618</v>
      </c>
      <c r="R381" s="13" t="e">
        <f>VLOOKUP(P381,'Dados das Regiões '!#REF!,2,0)</f>
        <v>#REF!</v>
      </c>
      <c r="S381" s="13" t="s">
        <v>2886</v>
      </c>
      <c r="T381" s="13"/>
      <c r="U381" s="79"/>
      <c r="V381" s="13" t="s">
        <v>2887</v>
      </c>
      <c r="W381" s="13" t="s">
        <v>2888</v>
      </c>
      <c r="X381" s="15">
        <v>0.33333333333333331</v>
      </c>
      <c r="Y381" s="16" t="s">
        <v>1438</v>
      </c>
      <c r="Z381" s="16" t="s">
        <v>622</v>
      </c>
      <c r="AA381" s="36" t="s">
        <v>1808</v>
      </c>
      <c r="AB381" s="164">
        <v>202400680</v>
      </c>
      <c r="AC381" s="13" t="s">
        <v>10</v>
      </c>
      <c r="AE381" s="40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</row>
    <row r="382" spans="1:46">
      <c r="A382" s="14"/>
      <c r="B382" s="13" t="str">
        <f t="shared" si="31"/>
        <v>Pendente</v>
      </c>
      <c r="C382" s="14" t="str">
        <f t="shared" si="32"/>
        <v/>
      </c>
      <c r="D382" s="13" t="s">
        <v>611</v>
      </c>
      <c r="E382" s="14" t="str">
        <f t="shared" si="33"/>
        <v/>
      </c>
      <c r="F382" s="13" t="s">
        <v>611</v>
      </c>
      <c r="G382" s="40">
        <v>202400680</v>
      </c>
      <c r="H382" s="13" t="s">
        <v>2889</v>
      </c>
      <c r="I382" s="13" t="s">
        <v>1176</v>
      </c>
      <c r="J382" s="14">
        <v>45509</v>
      </c>
      <c r="K382" s="14">
        <v>45870</v>
      </c>
      <c r="L382" s="13" t="s">
        <v>2618</v>
      </c>
      <c r="M382" s="13" t="s">
        <v>2619</v>
      </c>
      <c r="N382" s="13" t="s">
        <v>2620</v>
      </c>
      <c r="O382" s="13" t="s">
        <v>2621</v>
      </c>
      <c r="P382" s="13" t="s">
        <v>491</v>
      </c>
      <c r="Q382" s="13" t="s">
        <v>618</v>
      </c>
      <c r="R382" s="13" t="e">
        <f>VLOOKUP(P382,'Dados das Regiões '!#REF!,2,0)</f>
        <v>#REF!</v>
      </c>
      <c r="S382" s="13" t="s">
        <v>2886</v>
      </c>
      <c r="T382" s="13"/>
      <c r="U382" s="79"/>
      <c r="V382" s="13" t="s">
        <v>2887</v>
      </c>
      <c r="W382" s="13" t="s">
        <v>2888</v>
      </c>
      <c r="X382" s="15">
        <v>0.58333333333333337</v>
      </c>
      <c r="Y382" s="16" t="s">
        <v>1200</v>
      </c>
      <c r="Z382" s="16" t="s">
        <v>622</v>
      </c>
      <c r="AA382" s="36" t="s">
        <v>1808</v>
      </c>
      <c r="AB382" s="164">
        <v>202400680</v>
      </c>
      <c r="AC382" s="13" t="s">
        <v>10</v>
      </c>
      <c r="AE382" s="40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</row>
    <row r="383" spans="1:46">
      <c r="A383" s="14"/>
      <c r="B383" s="13" t="str">
        <f t="shared" si="31"/>
        <v>Pendente</v>
      </c>
      <c r="C383" s="14" t="str">
        <f t="shared" si="32"/>
        <v/>
      </c>
      <c r="D383" s="13" t="s">
        <v>611</v>
      </c>
      <c r="E383" s="14" t="str">
        <f t="shared" si="33"/>
        <v/>
      </c>
      <c r="F383" s="13" t="s">
        <v>611</v>
      </c>
      <c r="G383" s="40">
        <v>202400679</v>
      </c>
      <c r="H383" s="13" t="s">
        <v>2890</v>
      </c>
      <c r="I383" s="13" t="s">
        <v>1176</v>
      </c>
      <c r="J383" s="14">
        <v>45509</v>
      </c>
      <c r="K383" s="14">
        <v>45870</v>
      </c>
      <c r="L383" s="13" t="s">
        <v>2891</v>
      </c>
      <c r="M383" s="13" t="s">
        <v>2892</v>
      </c>
      <c r="N383" s="13" t="s">
        <v>2893</v>
      </c>
      <c r="O383" s="17" t="s">
        <v>2894</v>
      </c>
      <c r="P383" s="13" t="s">
        <v>339</v>
      </c>
      <c r="Q383" s="13" t="s">
        <v>618</v>
      </c>
      <c r="R383" s="13" t="e">
        <f>VLOOKUP(P383,'Dados das Regiões '!#REF!,2,0)</f>
        <v>#REF!</v>
      </c>
      <c r="S383" s="13" t="s">
        <v>2895</v>
      </c>
      <c r="T383" s="13"/>
      <c r="U383" s="79" t="s">
        <v>2896</v>
      </c>
      <c r="V383" s="13" t="s">
        <v>2897</v>
      </c>
      <c r="W383" s="13" t="s">
        <v>2898</v>
      </c>
      <c r="X383" s="15">
        <v>0.58333333333333337</v>
      </c>
      <c r="Y383" s="16" t="s">
        <v>1200</v>
      </c>
      <c r="Z383" s="16" t="s">
        <v>622</v>
      </c>
      <c r="AA383" s="36" t="s">
        <v>1808</v>
      </c>
      <c r="AB383" s="164">
        <v>202400679</v>
      </c>
      <c r="AC383" s="13" t="s">
        <v>9</v>
      </c>
      <c r="AE383" s="40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</row>
    <row r="384" spans="1:46">
      <c r="A384" s="14"/>
      <c r="B384" s="13" t="str">
        <f t="shared" si="31"/>
        <v>Pendente</v>
      </c>
      <c r="C384" s="14" t="str">
        <f t="shared" si="32"/>
        <v/>
      </c>
      <c r="D384" s="13" t="s">
        <v>611</v>
      </c>
      <c r="E384" s="14" t="str">
        <f t="shared" si="33"/>
        <v/>
      </c>
      <c r="F384" s="13" t="s">
        <v>611</v>
      </c>
      <c r="G384" s="40">
        <v>202400680</v>
      </c>
      <c r="H384" s="13" t="s">
        <v>2899</v>
      </c>
      <c r="I384" s="13" t="s">
        <v>1176</v>
      </c>
      <c r="J384" s="14">
        <v>45509</v>
      </c>
      <c r="K384" s="14">
        <v>45870</v>
      </c>
      <c r="L384" s="13" t="s">
        <v>2618</v>
      </c>
      <c r="M384" s="13" t="s">
        <v>2619</v>
      </c>
      <c r="N384" s="13" t="s">
        <v>2620</v>
      </c>
      <c r="O384" s="13" t="s">
        <v>2621</v>
      </c>
      <c r="P384" s="13" t="s">
        <v>491</v>
      </c>
      <c r="Q384" s="13" t="s">
        <v>618</v>
      </c>
      <c r="R384" s="13" t="e">
        <f>VLOOKUP(P384,'Dados das Regiões '!#REF!,2,0)</f>
        <v>#REF!</v>
      </c>
      <c r="S384" s="13" t="s">
        <v>2704</v>
      </c>
      <c r="T384" s="13"/>
      <c r="U384" s="79"/>
      <c r="V384" s="13" t="s">
        <v>2705</v>
      </c>
      <c r="W384" s="13" t="s">
        <v>2706</v>
      </c>
      <c r="X384" s="15">
        <v>0.33333333333333331</v>
      </c>
      <c r="Y384" s="16" t="s">
        <v>1438</v>
      </c>
      <c r="Z384" s="16" t="s">
        <v>622</v>
      </c>
      <c r="AA384" s="36" t="s">
        <v>1808</v>
      </c>
      <c r="AB384" s="164">
        <v>202400680</v>
      </c>
      <c r="AC384" s="13" t="s">
        <v>10</v>
      </c>
      <c r="AE384" s="40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</row>
    <row r="385" spans="1:46">
      <c r="A385" s="14"/>
      <c r="B385" s="13" t="str">
        <f t="shared" si="31"/>
        <v>Pendente</v>
      </c>
      <c r="C385" s="14" t="str">
        <f t="shared" si="32"/>
        <v/>
      </c>
      <c r="D385" s="13" t="s">
        <v>611</v>
      </c>
      <c r="E385" s="14" t="str">
        <f t="shared" si="33"/>
        <v/>
      </c>
      <c r="F385" s="13" t="s">
        <v>611</v>
      </c>
      <c r="G385" s="40">
        <v>202400680</v>
      </c>
      <c r="H385" s="13" t="s">
        <v>2900</v>
      </c>
      <c r="I385" s="13" t="s">
        <v>1176</v>
      </c>
      <c r="J385" s="14">
        <v>45509</v>
      </c>
      <c r="K385" s="14">
        <v>45870</v>
      </c>
      <c r="L385" s="13" t="s">
        <v>2618</v>
      </c>
      <c r="M385" s="13" t="s">
        <v>2619</v>
      </c>
      <c r="N385" s="13" t="s">
        <v>2620</v>
      </c>
      <c r="O385" s="13" t="s">
        <v>2621</v>
      </c>
      <c r="P385" s="13" t="s">
        <v>491</v>
      </c>
      <c r="Q385" s="13" t="s">
        <v>618</v>
      </c>
      <c r="R385" s="13" t="e">
        <f>VLOOKUP(P385,'Dados das Regiões '!#REF!,2,0)</f>
        <v>#REF!</v>
      </c>
      <c r="S385" s="13" t="s">
        <v>2901</v>
      </c>
      <c r="T385" s="13"/>
      <c r="U385" s="79"/>
      <c r="V385" s="13" t="s">
        <v>2902</v>
      </c>
      <c r="W385" s="13" t="s">
        <v>2903</v>
      </c>
      <c r="X385" s="15">
        <v>0.33333333333333331</v>
      </c>
      <c r="Y385" s="16" t="s">
        <v>1438</v>
      </c>
      <c r="Z385" s="16" t="s">
        <v>622</v>
      </c>
      <c r="AA385" s="36" t="s">
        <v>1808</v>
      </c>
      <c r="AB385" s="164">
        <v>202400680</v>
      </c>
      <c r="AC385" s="13" t="s">
        <v>10</v>
      </c>
      <c r="AE385" s="40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</row>
    <row r="386" spans="1:46">
      <c r="A386" s="14">
        <v>45840</v>
      </c>
      <c r="B386" s="13" t="str">
        <f t="shared" si="31"/>
        <v>Realizada</v>
      </c>
      <c r="C386" s="14">
        <f t="shared" si="32"/>
        <v>45932</v>
      </c>
      <c r="D386" s="13" t="s">
        <v>611</v>
      </c>
      <c r="E386" s="14">
        <f t="shared" si="33"/>
        <v>46024</v>
      </c>
      <c r="F386" s="13" t="s">
        <v>611</v>
      </c>
      <c r="G386" s="40">
        <v>202400680</v>
      </c>
      <c r="H386" s="13" t="s">
        <v>2904</v>
      </c>
      <c r="I386" s="13" t="s">
        <v>1176</v>
      </c>
      <c r="J386" s="14">
        <v>45509</v>
      </c>
      <c r="K386" s="14">
        <v>45870</v>
      </c>
      <c r="L386" s="13" t="s">
        <v>1864</v>
      </c>
      <c r="M386" s="13" t="s">
        <v>2905</v>
      </c>
      <c r="N386" s="13" t="s">
        <v>2906</v>
      </c>
      <c r="O386" s="17" t="s">
        <v>2907</v>
      </c>
      <c r="P386" s="13" t="s">
        <v>208</v>
      </c>
      <c r="Q386" s="13" t="s">
        <v>618</v>
      </c>
      <c r="R386" s="13" t="e">
        <f>VLOOKUP(P386,'Dados das Regiões '!#REF!,2,0)</f>
        <v>#REF!</v>
      </c>
      <c r="S386" s="13" t="s">
        <v>2908</v>
      </c>
      <c r="T386" s="13"/>
      <c r="U386" s="79"/>
      <c r="V386" s="13" t="s">
        <v>2909</v>
      </c>
      <c r="W386" s="13" t="s">
        <v>2910</v>
      </c>
      <c r="X386" s="15">
        <v>0.5625</v>
      </c>
      <c r="Y386" s="16" t="s">
        <v>1415</v>
      </c>
      <c r="Z386" s="16" t="s">
        <v>622</v>
      </c>
      <c r="AA386" s="36" t="s">
        <v>1808</v>
      </c>
      <c r="AB386" s="164">
        <v>202400680</v>
      </c>
      <c r="AC386" s="13" t="s">
        <v>10</v>
      </c>
      <c r="AE386" s="40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</row>
    <row r="387" spans="1:46">
      <c r="A387" s="14"/>
      <c r="B387" s="13" t="str">
        <f t="shared" si="31"/>
        <v>Pendente</v>
      </c>
      <c r="C387" s="14" t="str">
        <f t="shared" si="32"/>
        <v/>
      </c>
      <c r="D387" s="13" t="s">
        <v>611</v>
      </c>
      <c r="E387" s="14" t="str">
        <f t="shared" si="33"/>
        <v/>
      </c>
      <c r="F387" s="13" t="s">
        <v>611</v>
      </c>
      <c r="G387" s="40">
        <v>202400680</v>
      </c>
      <c r="H387" s="13" t="s">
        <v>2911</v>
      </c>
      <c r="I387" s="13" t="s">
        <v>1176</v>
      </c>
      <c r="J387" s="14">
        <v>45509</v>
      </c>
      <c r="K387" s="14">
        <v>45870</v>
      </c>
      <c r="L387" s="13" t="s">
        <v>2912</v>
      </c>
      <c r="M387" s="13" t="s">
        <v>2913</v>
      </c>
      <c r="N387" s="13" t="s">
        <v>2914</v>
      </c>
      <c r="O387" s="17" t="s">
        <v>2915</v>
      </c>
      <c r="P387" s="13" t="s">
        <v>396</v>
      </c>
      <c r="Q387" s="13" t="s">
        <v>618</v>
      </c>
      <c r="R387" s="13" t="e">
        <f>VLOOKUP(P387,'Dados das Regiões '!#REF!,2,0)</f>
        <v>#REF!</v>
      </c>
      <c r="S387" s="13" t="s">
        <v>2916</v>
      </c>
      <c r="T387" s="13"/>
      <c r="U387" s="79"/>
      <c r="V387" s="13" t="s">
        <v>2917</v>
      </c>
      <c r="W387" s="13" t="s">
        <v>2918</v>
      </c>
      <c r="X387" s="15">
        <v>0.54166666666666663</v>
      </c>
      <c r="Y387" s="16" t="s">
        <v>1824</v>
      </c>
      <c r="Z387" s="16" t="s">
        <v>622</v>
      </c>
      <c r="AA387" s="36" t="s">
        <v>1808</v>
      </c>
      <c r="AB387" s="164">
        <v>202400680</v>
      </c>
      <c r="AC387" s="13" t="s">
        <v>10</v>
      </c>
      <c r="AT387" s="13"/>
    </row>
    <row r="388" spans="1:46">
      <c r="A388" s="14"/>
      <c r="B388" s="13" t="str">
        <f t="shared" si="31"/>
        <v>Pendente</v>
      </c>
      <c r="C388" s="14" t="str">
        <f t="shared" si="32"/>
        <v/>
      </c>
      <c r="D388" s="13" t="s">
        <v>611</v>
      </c>
      <c r="E388" s="14" t="str">
        <f t="shared" si="33"/>
        <v/>
      </c>
      <c r="F388" s="13" t="s">
        <v>611</v>
      </c>
      <c r="G388" s="40">
        <v>202400680</v>
      </c>
      <c r="H388" s="13" t="s">
        <v>2919</v>
      </c>
      <c r="I388" s="13" t="s">
        <v>1176</v>
      </c>
      <c r="J388" s="14">
        <v>45509</v>
      </c>
      <c r="K388" s="14">
        <v>45870</v>
      </c>
      <c r="L388" s="13" t="s">
        <v>2920</v>
      </c>
      <c r="M388" s="13" t="s">
        <v>2921</v>
      </c>
      <c r="N388" s="13" t="s">
        <v>2922</v>
      </c>
      <c r="O388" s="17" t="s">
        <v>2923</v>
      </c>
      <c r="P388" s="13" t="s">
        <v>150</v>
      </c>
      <c r="Q388" s="13" t="s">
        <v>618</v>
      </c>
      <c r="R388" s="13" t="e">
        <f>VLOOKUP(P388,'Dados das Regiões '!#REF!,2,0)</f>
        <v>#REF!</v>
      </c>
      <c r="S388" s="13" t="s">
        <v>2924</v>
      </c>
      <c r="T388" s="13"/>
      <c r="U388" s="79"/>
      <c r="V388" s="13" t="s">
        <v>2925</v>
      </c>
      <c r="W388" s="13" t="s">
        <v>2926</v>
      </c>
      <c r="X388" s="15">
        <v>0.5625</v>
      </c>
      <c r="Y388" s="16" t="s">
        <v>1415</v>
      </c>
      <c r="Z388" s="16" t="s">
        <v>622</v>
      </c>
      <c r="AA388" s="36" t="s">
        <v>1808</v>
      </c>
      <c r="AB388" s="164">
        <v>202400680</v>
      </c>
      <c r="AC388" s="13" t="s">
        <v>10</v>
      </c>
      <c r="AE388" s="40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</row>
    <row r="389" spans="1:46">
      <c r="A389" s="14"/>
      <c r="B389" s="13" t="str">
        <f t="shared" si="31"/>
        <v>Pendente</v>
      </c>
      <c r="C389" s="14" t="str">
        <f t="shared" si="32"/>
        <v/>
      </c>
      <c r="D389" s="13" t="s">
        <v>611</v>
      </c>
      <c r="E389" s="14" t="str">
        <f t="shared" si="33"/>
        <v/>
      </c>
      <c r="F389" s="13" t="s">
        <v>611</v>
      </c>
      <c r="G389" s="40">
        <v>202400680</v>
      </c>
      <c r="H389" s="13" t="s">
        <v>2927</v>
      </c>
      <c r="I389" s="13" t="s">
        <v>1176</v>
      </c>
      <c r="J389" s="14">
        <v>45509</v>
      </c>
      <c r="K389" s="14">
        <v>45870</v>
      </c>
      <c r="L389" s="13" t="s">
        <v>1833</v>
      </c>
      <c r="M389" s="13" t="s">
        <v>2928</v>
      </c>
      <c r="N389" s="13" t="s">
        <v>2929</v>
      </c>
      <c r="O389" s="17" t="s">
        <v>2930</v>
      </c>
      <c r="P389" s="13" t="s">
        <v>217</v>
      </c>
      <c r="Q389" s="13" t="s">
        <v>618</v>
      </c>
      <c r="R389" s="13" t="e">
        <f>VLOOKUP(P389,'Dados das Regiões '!#REF!,2,0)</f>
        <v>#REF!</v>
      </c>
      <c r="S389" s="13" t="s">
        <v>2931</v>
      </c>
      <c r="T389" s="13"/>
      <c r="U389" s="79"/>
      <c r="V389" s="13" t="s">
        <v>2932</v>
      </c>
      <c r="W389" s="13" t="s">
        <v>2933</v>
      </c>
      <c r="X389" s="15">
        <v>0.5625</v>
      </c>
      <c r="Y389" s="16" t="s">
        <v>1415</v>
      </c>
      <c r="Z389" s="16" t="s">
        <v>622</v>
      </c>
      <c r="AA389" s="36" t="s">
        <v>1808</v>
      </c>
      <c r="AB389" s="164">
        <v>202400680</v>
      </c>
      <c r="AC389" s="13" t="s">
        <v>10</v>
      </c>
      <c r="AE389" s="40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</row>
    <row r="390" spans="1:46">
      <c r="A390" s="14"/>
      <c r="B390" s="13" t="str">
        <f t="shared" si="31"/>
        <v>Pendente</v>
      </c>
      <c r="C390" s="14" t="str">
        <f t="shared" si="32"/>
        <v/>
      </c>
      <c r="D390" s="13" t="s">
        <v>611</v>
      </c>
      <c r="E390" s="14" t="str">
        <f t="shared" si="33"/>
        <v/>
      </c>
      <c r="F390" s="13" t="s">
        <v>611</v>
      </c>
      <c r="G390" s="40">
        <v>202400680</v>
      </c>
      <c r="H390" s="13" t="s">
        <v>2934</v>
      </c>
      <c r="I390" s="13" t="s">
        <v>1176</v>
      </c>
      <c r="J390" s="14">
        <v>45509</v>
      </c>
      <c r="K390" s="14">
        <v>45870</v>
      </c>
      <c r="L390" s="13" t="s">
        <v>2935</v>
      </c>
      <c r="M390" s="13" t="s">
        <v>2936</v>
      </c>
      <c r="N390" s="13" t="s">
        <v>2937</v>
      </c>
      <c r="O390" s="17" t="s">
        <v>2938</v>
      </c>
      <c r="P390" s="13" t="s">
        <v>219</v>
      </c>
      <c r="Q390" s="13" t="s">
        <v>618</v>
      </c>
      <c r="R390" s="13" t="e">
        <f>VLOOKUP(P390,'Dados das Regiões '!#REF!,2,0)</f>
        <v>#REF!</v>
      </c>
      <c r="S390" s="13" t="s">
        <v>2939</v>
      </c>
      <c r="T390" s="13"/>
      <c r="U390" s="79" t="s">
        <v>2940</v>
      </c>
      <c r="V390" s="13" t="s">
        <v>2941</v>
      </c>
      <c r="W390" s="13" t="s">
        <v>2942</v>
      </c>
      <c r="X390" s="15">
        <v>0.5625</v>
      </c>
      <c r="Y390" s="16" t="s">
        <v>1415</v>
      </c>
      <c r="Z390" s="16" t="s">
        <v>622</v>
      </c>
      <c r="AA390" s="36" t="s">
        <v>1808</v>
      </c>
      <c r="AB390" s="164">
        <v>202400680</v>
      </c>
      <c r="AC390" s="13" t="s">
        <v>10</v>
      </c>
      <c r="AE390" s="40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</row>
    <row r="391" spans="1:46">
      <c r="A391" s="14">
        <v>45840</v>
      </c>
      <c r="B391" s="13" t="str">
        <f t="shared" si="31"/>
        <v>Realizada</v>
      </c>
      <c r="C391" s="14">
        <f t="shared" si="32"/>
        <v>45932</v>
      </c>
      <c r="D391" s="13" t="s">
        <v>611</v>
      </c>
      <c r="E391" s="14">
        <f t="shared" si="33"/>
        <v>46024</v>
      </c>
      <c r="F391" s="13" t="s">
        <v>611</v>
      </c>
      <c r="G391" s="40">
        <v>202400680</v>
      </c>
      <c r="H391" s="13" t="s">
        <v>2943</v>
      </c>
      <c r="I391" s="13" t="s">
        <v>1176</v>
      </c>
      <c r="J391" s="14">
        <v>45509</v>
      </c>
      <c r="K391" s="14">
        <v>45870</v>
      </c>
      <c r="L391" s="13" t="s">
        <v>1833</v>
      </c>
      <c r="M391" s="13" t="s">
        <v>2944</v>
      </c>
      <c r="N391" s="13" t="s">
        <v>2945</v>
      </c>
      <c r="O391" s="17" t="s">
        <v>2946</v>
      </c>
      <c r="P391" s="13" t="s">
        <v>216</v>
      </c>
      <c r="Q391" s="13" t="s">
        <v>618</v>
      </c>
      <c r="R391" s="13" t="e">
        <f>VLOOKUP(P391,'Dados das Regiões '!#REF!,2,0)</f>
        <v>#REF!</v>
      </c>
      <c r="S391" s="13" t="s">
        <v>2947</v>
      </c>
      <c r="T391" s="13"/>
      <c r="U391" s="79" t="s">
        <v>2948</v>
      </c>
      <c r="V391" s="13"/>
      <c r="W391" s="13" t="s">
        <v>2949</v>
      </c>
      <c r="X391" s="15">
        <v>0.5625</v>
      </c>
      <c r="Y391" s="16" t="s">
        <v>1415</v>
      </c>
      <c r="Z391" s="16" t="s">
        <v>622</v>
      </c>
      <c r="AA391" s="36" t="s">
        <v>1808</v>
      </c>
      <c r="AB391" s="164">
        <v>202400680</v>
      </c>
      <c r="AC391" s="13" t="s">
        <v>10</v>
      </c>
      <c r="AE391" s="40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</row>
    <row r="392" spans="1:46">
      <c r="A392" s="14"/>
      <c r="B392" s="13" t="str">
        <f t="shared" si="31"/>
        <v>Pendente</v>
      </c>
      <c r="C392" s="14" t="str">
        <f t="shared" si="32"/>
        <v/>
      </c>
      <c r="D392" s="13" t="s">
        <v>611</v>
      </c>
      <c r="E392" s="14" t="str">
        <f t="shared" si="33"/>
        <v/>
      </c>
      <c r="F392" s="13" t="s">
        <v>611</v>
      </c>
      <c r="G392" s="40">
        <v>202400680</v>
      </c>
      <c r="H392" s="13" t="s">
        <v>2950</v>
      </c>
      <c r="I392" s="13" t="s">
        <v>1176</v>
      </c>
      <c r="J392" s="14">
        <v>45509</v>
      </c>
      <c r="K392" s="14">
        <v>45870</v>
      </c>
      <c r="L392" s="13" t="s">
        <v>2951</v>
      </c>
      <c r="M392" s="13" t="s">
        <v>2952</v>
      </c>
      <c r="N392" s="13" t="s">
        <v>2953</v>
      </c>
      <c r="O392" s="17" t="s">
        <v>2954</v>
      </c>
      <c r="P392" s="13" t="s">
        <v>340</v>
      </c>
      <c r="Q392" s="13" t="s">
        <v>618</v>
      </c>
      <c r="R392" s="13" t="e">
        <f>VLOOKUP(P392,'Dados das Regiões '!#REF!,2,0)</f>
        <v>#REF!</v>
      </c>
      <c r="S392" s="13" t="s">
        <v>2955</v>
      </c>
      <c r="T392" s="13"/>
      <c r="U392" s="79"/>
      <c r="V392" s="13" t="s">
        <v>2956</v>
      </c>
      <c r="W392" s="13" t="s">
        <v>2957</v>
      </c>
      <c r="X392" s="15">
        <v>0.5625</v>
      </c>
      <c r="Y392" s="16" t="s">
        <v>1415</v>
      </c>
      <c r="Z392" s="16" t="s">
        <v>622</v>
      </c>
      <c r="AA392" s="36" t="s">
        <v>1808</v>
      </c>
      <c r="AB392" s="164">
        <v>202400680</v>
      </c>
      <c r="AC392" s="13" t="s">
        <v>10</v>
      </c>
      <c r="AE392" s="40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</row>
    <row r="393" spans="1:46">
      <c r="A393" s="14"/>
      <c r="B393" s="13" t="str">
        <f t="shared" si="31"/>
        <v>Pendente</v>
      </c>
      <c r="C393" s="14" t="str">
        <f t="shared" si="32"/>
        <v/>
      </c>
      <c r="D393" s="13" t="s">
        <v>611</v>
      </c>
      <c r="E393" s="14" t="str">
        <f t="shared" si="33"/>
        <v/>
      </c>
      <c r="F393" s="13" t="s">
        <v>611</v>
      </c>
      <c r="G393" s="40">
        <v>202400680</v>
      </c>
      <c r="H393" s="13" t="s">
        <v>2958</v>
      </c>
      <c r="I393" s="13" t="s">
        <v>1176</v>
      </c>
      <c r="J393" s="14">
        <v>45509</v>
      </c>
      <c r="K393" s="14">
        <v>45870</v>
      </c>
      <c r="L393" s="13" t="s">
        <v>2959</v>
      </c>
      <c r="M393" s="13" t="s">
        <v>2960</v>
      </c>
      <c r="N393" s="13" t="s">
        <v>2961</v>
      </c>
      <c r="O393" s="17" t="s">
        <v>2962</v>
      </c>
      <c r="P393" s="13" t="s">
        <v>265</v>
      </c>
      <c r="Q393" s="13" t="s">
        <v>618</v>
      </c>
      <c r="R393" s="13" t="e">
        <f>VLOOKUP(P393,'Dados das Regiões '!#REF!,2,0)</f>
        <v>#REF!</v>
      </c>
      <c r="S393" s="13" t="s">
        <v>2963</v>
      </c>
      <c r="T393" s="13"/>
      <c r="U393" s="79" t="s">
        <v>2964</v>
      </c>
      <c r="V393" s="13" t="s">
        <v>2965</v>
      </c>
      <c r="W393" s="13" t="s">
        <v>2966</v>
      </c>
      <c r="X393" s="15">
        <v>0.54166666666666663</v>
      </c>
      <c r="Y393" s="16" t="s">
        <v>1824</v>
      </c>
      <c r="Z393" s="16" t="s">
        <v>622</v>
      </c>
      <c r="AA393" s="36" t="s">
        <v>1808</v>
      </c>
      <c r="AB393" s="164">
        <v>202400680</v>
      </c>
      <c r="AC393" s="13" t="s">
        <v>10</v>
      </c>
      <c r="AE393" s="40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</row>
    <row r="394" spans="1:46">
      <c r="A394" s="14"/>
      <c r="B394" s="13" t="str">
        <f t="shared" si="31"/>
        <v>Pendente</v>
      </c>
      <c r="C394" s="14" t="str">
        <f t="shared" si="32"/>
        <v/>
      </c>
      <c r="D394" s="13" t="s">
        <v>611</v>
      </c>
      <c r="E394" s="14" t="str">
        <f t="shared" si="33"/>
        <v/>
      </c>
      <c r="F394" s="13" t="s">
        <v>611</v>
      </c>
      <c r="G394" s="40">
        <v>202400680</v>
      </c>
      <c r="H394" s="13" t="s">
        <v>2967</v>
      </c>
      <c r="I394" s="13" t="s">
        <v>1176</v>
      </c>
      <c r="J394" s="14">
        <v>45509</v>
      </c>
      <c r="K394" s="14">
        <v>45870</v>
      </c>
      <c r="L394" s="13" t="s">
        <v>1864</v>
      </c>
      <c r="M394" s="13" t="s">
        <v>2968</v>
      </c>
      <c r="N394" s="13" t="s">
        <v>2969</v>
      </c>
      <c r="O394" s="17" t="s">
        <v>2970</v>
      </c>
      <c r="P394" s="13" t="s">
        <v>146</v>
      </c>
      <c r="Q394" s="13" t="s">
        <v>618</v>
      </c>
      <c r="R394" s="13" t="e">
        <f>VLOOKUP(P394,'Dados das Regiões '!#REF!,2,0)</f>
        <v>#REF!</v>
      </c>
      <c r="S394" s="13" t="s">
        <v>2971</v>
      </c>
      <c r="T394" s="13"/>
      <c r="U394" s="79"/>
      <c r="V394" s="13" t="s">
        <v>2972</v>
      </c>
      <c r="W394" s="13" t="s">
        <v>2973</v>
      </c>
      <c r="X394" s="15">
        <v>0.5625</v>
      </c>
      <c r="Y394" s="16" t="s">
        <v>1415</v>
      </c>
      <c r="Z394" s="16" t="s">
        <v>622</v>
      </c>
      <c r="AA394" s="36" t="s">
        <v>1808</v>
      </c>
      <c r="AB394" s="164">
        <v>202400680</v>
      </c>
      <c r="AC394" s="13" t="s">
        <v>10</v>
      </c>
      <c r="AE394" s="40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</row>
    <row r="395" spans="1:46">
      <c r="A395" s="14"/>
      <c r="B395" s="13" t="str">
        <f t="shared" si="31"/>
        <v>Pendente</v>
      </c>
      <c r="C395" s="14" t="str">
        <f t="shared" si="32"/>
        <v/>
      </c>
      <c r="D395" s="13" t="s">
        <v>611</v>
      </c>
      <c r="E395" s="14" t="str">
        <f t="shared" si="33"/>
        <v/>
      </c>
      <c r="F395" s="13" t="s">
        <v>611</v>
      </c>
      <c r="G395" s="40">
        <v>202400680</v>
      </c>
      <c r="H395" s="13" t="s">
        <v>2974</v>
      </c>
      <c r="I395" s="13" t="s">
        <v>1176</v>
      </c>
      <c r="J395" s="14">
        <v>45509</v>
      </c>
      <c r="K395" s="14">
        <v>45870</v>
      </c>
      <c r="L395" s="13" t="s">
        <v>1864</v>
      </c>
      <c r="M395" s="13" t="s">
        <v>2975</v>
      </c>
      <c r="N395" s="13" t="s">
        <v>2976</v>
      </c>
      <c r="O395" s="17" t="s">
        <v>2977</v>
      </c>
      <c r="P395" s="13" t="s">
        <v>295</v>
      </c>
      <c r="Q395" s="13" t="s">
        <v>618</v>
      </c>
      <c r="R395" s="13" t="e">
        <f>VLOOKUP(P395,'Dados das Regiões '!#REF!,2,0)</f>
        <v>#REF!</v>
      </c>
      <c r="S395" s="13" t="s">
        <v>2978</v>
      </c>
      <c r="T395" s="13"/>
      <c r="U395" s="79" t="s">
        <v>2979</v>
      </c>
      <c r="V395" s="13" t="s">
        <v>2980</v>
      </c>
      <c r="W395" s="13" t="s">
        <v>2981</v>
      </c>
      <c r="X395" s="15">
        <v>0.5625</v>
      </c>
      <c r="Y395" s="16" t="s">
        <v>1415</v>
      </c>
      <c r="Z395" s="16" t="s">
        <v>622</v>
      </c>
      <c r="AA395" s="36" t="s">
        <v>1808</v>
      </c>
      <c r="AB395" s="164">
        <v>202400680</v>
      </c>
      <c r="AC395" s="13" t="s">
        <v>10</v>
      </c>
      <c r="AT395" s="13"/>
    </row>
    <row r="396" spans="1:46">
      <c r="A396" s="14"/>
      <c r="B396" s="13" t="str">
        <f t="shared" si="31"/>
        <v>Pendente</v>
      </c>
      <c r="C396" s="14" t="str">
        <f t="shared" si="32"/>
        <v/>
      </c>
      <c r="D396" s="13" t="s">
        <v>611</v>
      </c>
      <c r="E396" s="14" t="str">
        <f t="shared" si="33"/>
        <v/>
      </c>
      <c r="F396" s="13" t="s">
        <v>611</v>
      </c>
      <c r="G396" s="40">
        <v>202400680</v>
      </c>
      <c r="H396" s="13" t="s">
        <v>2982</v>
      </c>
      <c r="I396" s="13" t="s">
        <v>1176</v>
      </c>
      <c r="J396" s="14">
        <v>45509</v>
      </c>
      <c r="K396" s="14">
        <v>45870</v>
      </c>
      <c r="L396" s="13" t="s">
        <v>1864</v>
      </c>
      <c r="M396" s="13" t="s">
        <v>2983</v>
      </c>
      <c r="N396" s="13" t="s">
        <v>2984</v>
      </c>
      <c r="O396" s="17" t="s">
        <v>2985</v>
      </c>
      <c r="P396" s="13" t="s">
        <v>53</v>
      </c>
      <c r="Q396" s="13" t="s">
        <v>618</v>
      </c>
      <c r="R396" s="13" t="e">
        <f>VLOOKUP(P396,'Dados das Regiões '!#REF!,2,0)</f>
        <v>#REF!</v>
      </c>
      <c r="S396" s="13" t="s">
        <v>2986</v>
      </c>
      <c r="T396" s="13"/>
      <c r="U396" s="79" t="s">
        <v>2987</v>
      </c>
      <c r="V396" s="13" t="s">
        <v>2988</v>
      </c>
      <c r="W396" s="13" t="s">
        <v>2989</v>
      </c>
      <c r="X396" s="15">
        <v>0.5625</v>
      </c>
      <c r="Y396" s="16" t="s">
        <v>1415</v>
      </c>
      <c r="Z396" s="16" t="s">
        <v>622</v>
      </c>
      <c r="AA396" s="36" t="s">
        <v>1808</v>
      </c>
      <c r="AB396" s="164">
        <v>202400680</v>
      </c>
      <c r="AC396" s="13" t="s">
        <v>10</v>
      </c>
      <c r="AE396" s="40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</row>
    <row r="397" spans="1:46">
      <c r="A397" s="14"/>
      <c r="B397" s="13" t="str">
        <f t="shared" si="31"/>
        <v>Pendente</v>
      </c>
      <c r="C397" s="14" t="str">
        <f t="shared" si="32"/>
        <v/>
      </c>
      <c r="D397" s="13" t="s">
        <v>611</v>
      </c>
      <c r="E397" s="14" t="str">
        <f t="shared" si="33"/>
        <v/>
      </c>
      <c r="F397" s="13" t="s">
        <v>611</v>
      </c>
      <c r="G397" s="40">
        <v>202400680</v>
      </c>
      <c r="H397" s="13" t="s">
        <v>2990</v>
      </c>
      <c r="I397" s="13" t="s">
        <v>1176</v>
      </c>
      <c r="J397" s="14">
        <v>45509</v>
      </c>
      <c r="K397" s="14">
        <v>45870</v>
      </c>
      <c r="L397" s="13" t="s">
        <v>2991</v>
      </c>
      <c r="M397" s="13" t="s">
        <v>2992</v>
      </c>
      <c r="N397" s="13" t="s">
        <v>2993</v>
      </c>
      <c r="O397" s="17" t="s">
        <v>2994</v>
      </c>
      <c r="P397" s="13" t="s">
        <v>450</v>
      </c>
      <c r="Q397" s="13" t="s">
        <v>618</v>
      </c>
      <c r="R397" s="13" t="e">
        <f>VLOOKUP(P397,'Dados das Regiões '!#REF!,2,0)</f>
        <v>#REF!</v>
      </c>
      <c r="S397" s="13" t="s">
        <v>2995</v>
      </c>
      <c r="T397" s="13"/>
      <c r="U397" s="79" t="s">
        <v>2996</v>
      </c>
      <c r="V397" s="13" t="s">
        <v>2997</v>
      </c>
      <c r="W397" s="13" t="s">
        <v>2998</v>
      </c>
      <c r="X397" s="15">
        <v>0.375</v>
      </c>
      <c r="Y397" s="16" t="s">
        <v>2999</v>
      </c>
      <c r="Z397" s="16" t="s">
        <v>622</v>
      </c>
      <c r="AA397" s="36"/>
      <c r="AB397" s="164">
        <v>202400680</v>
      </c>
      <c r="AC397" s="13" t="s">
        <v>10</v>
      </c>
      <c r="AE397" s="40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</row>
    <row r="398" spans="1:46">
      <c r="A398" s="14">
        <v>45841</v>
      </c>
      <c r="B398" s="13" t="str">
        <f t="shared" si="31"/>
        <v>Realizada</v>
      </c>
      <c r="C398" s="14">
        <f t="shared" si="32"/>
        <v>45933</v>
      </c>
      <c r="D398" s="13" t="s">
        <v>611</v>
      </c>
      <c r="E398" s="14">
        <f t="shared" si="33"/>
        <v>46025</v>
      </c>
      <c r="F398" s="13" t="s">
        <v>611</v>
      </c>
      <c r="G398" s="40">
        <v>202400680</v>
      </c>
      <c r="H398" s="13" t="s">
        <v>3000</v>
      </c>
      <c r="I398" s="13" t="s">
        <v>1176</v>
      </c>
      <c r="J398" s="14">
        <v>45509</v>
      </c>
      <c r="K398" s="14">
        <v>45870</v>
      </c>
      <c r="L398" s="13" t="s">
        <v>1889</v>
      </c>
      <c r="M398" s="13" t="s">
        <v>3001</v>
      </c>
      <c r="N398" s="13" t="s">
        <v>3002</v>
      </c>
      <c r="O398" s="17" t="s">
        <v>3003</v>
      </c>
      <c r="P398" s="13" t="s">
        <v>210</v>
      </c>
      <c r="Q398" s="13" t="s">
        <v>618</v>
      </c>
      <c r="R398" s="13" t="e">
        <f>VLOOKUP(P398,'Dados das Regiões '!#REF!,2,0)</f>
        <v>#REF!</v>
      </c>
      <c r="S398" s="13" t="s">
        <v>3004</v>
      </c>
      <c r="T398" s="13"/>
      <c r="U398" s="79"/>
      <c r="V398" s="13" t="s">
        <v>3005</v>
      </c>
      <c r="W398" s="13" t="s">
        <v>3006</v>
      </c>
      <c r="X398" s="15">
        <v>0.60416666666666663</v>
      </c>
      <c r="Y398" s="16" t="s">
        <v>3007</v>
      </c>
      <c r="Z398" s="16" t="s">
        <v>622</v>
      </c>
      <c r="AA398" s="36" t="s">
        <v>1808</v>
      </c>
      <c r="AB398" s="164">
        <v>202400680</v>
      </c>
      <c r="AC398" s="13" t="s">
        <v>10</v>
      </c>
      <c r="AE398" s="40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</row>
    <row r="399" spans="1:46">
      <c r="A399" s="14">
        <v>45820</v>
      </c>
      <c r="B399" s="13" t="str">
        <f t="shared" si="31"/>
        <v>Realizada</v>
      </c>
      <c r="C399" s="14">
        <f t="shared" si="32"/>
        <v>45912</v>
      </c>
      <c r="D399" s="13" t="s">
        <v>611</v>
      </c>
      <c r="E399" s="14">
        <f t="shared" si="33"/>
        <v>46003</v>
      </c>
      <c r="F399" s="13" t="s">
        <v>611</v>
      </c>
      <c r="G399" s="40">
        <v>202400680</v>
      </c>
      <c r="H399" s="13" t="s">
        <v>3008</v>
      </c>
      <c r="I399" s="13" t="s">
        <v>1176</v>
      </c>
      <c r="J399" s="14">
        <v>45509</v>
      </c>
      <c r="K399" s="14">
        <v>45870</v>
      </c>
      <c r="L399" s="13" t="s">
        <v>2991</v>
      </c>
      <c r="M399" s="13" t="s">
        <v>3009</v>
      </c>
      <c r="N399" s="13" t="s">
        <v>3010</v>
      </c>
      <c r="O399" s="17" t="s">
        <v>3011</v>
      </c>
      <c r="P399" s="13" t="s">
        <v>455</v>
      </c>
      <c r="Q399" s="13" t="s">
        <v>618</v>
      </c>
      <c r="R399" s="13" t="e">
        <f>VLOOKUP(P399,'Dados das Regiões '!#REF!,2,0)</f>
        <v>#REF!</v>
      </c>
      <c r="S399" s="13" t="s">
        <v>3012</v>
      </c>
      <c r="T399" s="13"/>
      <c r="U399" s="79"/>
      <c r="V399" s="13" t="s">
        <v>3013</v>
      </c>
      <c r="W399" s="13" t="s">
        <v>3014</v>
      </c>
      <c r="X399" s="15">
        <v>0.58333333333333337</v>
      </c>
      <c r="Y399" s="16" t="s">
        <v>1200</v>
      </c>
      <c r="Z399" s="16" t="s">
        <v>622</v>
      </c>
      <c r="AA399" s="36" t="s">
        <v>1808</v>
      </c>
      <c r="AB399" s="164">
        <v>202400680</v>
      </c>
      <c r="AC399" s="13" t="s">
        <v>10</v>
      </c>
      <c r="AE399" s="40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</row>
    <row r="400" spans="1:46">
      <c r="A400" s="58"/>
      <c r="B400" s="59" t="str">
        <f t="shared" si="31"/>
        <v>Pendente</v>
      </c>
      <c r="C400" s="58" t="str">
        <f t="shared" si="32"/>
        <v/>
      </c>
      <c r="D400" s="59" t="s">
        <v>611</v>
      </c>
      <c r="E400" s="58" t="str">
        <f t="shared" si="33"/>
        <v/>
      </c>
      <c r="F400" s="59" t="s">
        <v>611</v>
      </c>
      <c r="G400" s="60">
        <v>202400680</v>
      </c>
      <c r="H400" s="59" t="s">
        <v>3015</v>
      </c>
      <c r="I400" s="59" t="s">
        <v>1176</v>
      </c>
      <c r="J400" s="58">
        <v>45509</v>
      </c>
      <c r="K400" s="58">
        <v>45870</v>
      </c>
      <c r="L400" s="59" t="s">
        <v>2991</v>
      </c>
      <c r="M400" s="59" t="s">
        <v>3016</v>
      </c>
      <c r="N400" s="59" t="s">
        <v>3017</v>
      </c>
      <c r="O400" s="61" t="s">
        <v>3018</v>
      </c>
      <c r="P400" s="59" t="s">
        <v>211</v>
      </c>
      <c r="Q400" s="59" t="s">
        <v>618</v>
      </c>
      <c r="R400" s="59" t="e">
        <f>VLOOKUP(P400,'Dados das Regiões '!#REF!,2,0)</f>
        <v>#REF!</v>
      </c>
      <c r="S400" s="59" t="s">
        <v>3019</v>
      </c>
      <c r="T400" s="59"/>
      <c r="U400" s="81"/>
      <c r="V400" s="59" t="s">
        <v>3020</v>
      </c>
      <c r="W400" s="59" t="s">
        <v>3021</v>
      </c>
      <c r="X400" s="62">
        <v>0.36458333333333331</v>
      </c>
      <c r="Y400" s="63" t="s">
        <v>3022</v>
      </c>
      <c r="Z400" s="63" t="s">
        <v>622</v>
      </c>
      <c r="AA400" s="64" t="s">
        <v>1218</v>
      </c>
      <c r="AB400" s="168">
        <v>202400680</v>
      </c>
      <c r="AC400" s="13" t="s">
        <v>10</v>
      </c>
      <c r="AT400" s="13"/>
    </row>
    <row r="401" spans="1:46">
      <c r="A401" s="14"/>
      <c r="B401" s="13" t="str">
        <f t="shared" si="31"/>
        <v>Pendente</v>
      </c>
      <c r="C401" s="14" t="str">
        <f t="shared" si="32"/>
        <v/>
      </c>
      <c r="D401" s="13" t="s">
        <v>611</v>
      </c>
      <c r="E401" s="14" t="str">
        <f t="shared" si="33"/>
        <v/>
      </c>
      <c r="F401" s="13" t="s">
        <v>611</v>
      </c>
      <c r="G401" s="40">
        <v>202400680</v>
      </c>
      <c r="H401" s="13" t="s">
        <v>3023</v>
      </c>
      <c r="I401" s="13" t="s">
        <v>1176</v>
      </c>
      <c r="J401" s="14">
        <v>45509</v>
      </c>
      <c r="K401" s="14">
        <v>45870</v>
      </c>
      <c r="L401" s="13" t="s">
        <v>1889</v>
      </c>
      <c r="M401" s="13" t="s">
        <v>3024</v>
      </c>
      <c r="N401" s="13" t="s">
        <v>3025</v>
      </c>
      <c r="O401" s="17" t="s">
        <v>3026</v>
      </c>
      <c r="P401" s="13" t="s">
        <v>447</v>
      </c>
      <c r="Q401" s="13" t="s">
        <v>618</v>
      </c>
      <c r="R401" s="13" t="e">
        <f>VLOOKUP(P401,'Dados das Regiões '!#REF!,2,0)</f>
        <v>#REF!</v>
      </c>
      <c r="S401" s="13" t="s">
        <v>3027</v>
      </c>
      <c r="T401" s="13"/>
      <c r="U401" s="79"/>
      <c r="V401" s="13" t="s">
        <v>3028</v>
      </c>
      <c r="W401" s="13" t="s">
        <v>3029</v>
      </c>
      <c r="X401" s="15">
        <v>0.35416666666666669</v>
      </c>
      <c r="Y401" s="16" t="s">
        <v>3030</v>
      </c>
      <c r="Z401" s="16" t="s">
        <v>622</v>
      </c>
      <c r="AA401" s="36"/>
      <c r="AB401" s="164">
        <v>202400680</v>
      </c>
      <c r="AC401" s="13" t="s">
        <v>10</v>
      </c>
      <c r="AE401" s="40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</row>
    <row r="402" spans="1:46">
      <c r="A402" s="14"/>
      <c r="B402" s="13" t="str">
        <f t="shared" si="31"/>
        <v>Pendente</v>
      </c>
      <c r="C402" s="14" t="str">
        <f t="shared" si="32"/>
        <v/>
      </c>
      <c r="D402" s="13" t="s">
        <v>611</v>
      </c>
      <c r="E402" s="14" t="str">
        <f t="shared" si="33"/>
        <v/>
      </c>
      <c r="F402" s="13" t="s">
        <v>611</v>
      </c>
      <c r="G402" s="40">
        <v>202400680</v>
      </c>
      <c r="H402" s="13" t="s">
        <v>3031</v>
      </c>
      <c r="I402" s="13" t="s">
        <v>1176</v>
      </c>
      <c r="J402" s="14">
        <v>45509</v>
      </c>
      <c r="K402" s="14">
        <v>45870</v>
      </c>
      <c r="L402" s="13" t="s">
        <v>3032</v>
      </c>
      <c r="M402" s="13" t="s">
        <v>3033</v>
      </c>
      <c r="N402" s="13" t="s">
        <v>3034</v>
      </c>
      <c r="O402" s="17" t="s">
        <v>3035</v>
      </c>
      <c r="P402" s="13" t="s">
        <v>452</v>
      </c>
      <c r="Q402" s="13" t="s">
        <v>618</v>
      </c>
      <c r="R402" s="13" t="e">
        <f>VLOOKUP(P402,'Dados das Regiões '!#REF!,2,0)</f>
        <v>#REF!</v>
      </c>
      <c r="S402" s="13" t="s">
        <v>3036</v>
      </c>
      <c r="T402" s="13"/>
      <c r="U402" s="79"/>
      <c r="V402" s="13" t="s">
        <v>3037</v>
      </c>
      <c r="W402" s="13" t="s">
        <v>3038</v>
      </c>
      <c r="X402" s="15">
        <v>0.375</v>
      </c>
      <c r="Y402" s="16" t="s">
        <v>1896</v>
      </c>
      <c r="Z402" s="16" t="s">
        <v>622</v>
      </c>
      <c r="AA402" s="36" t="s">
        <v>1808</v>
      </c>
      <c r="AB402" s="164">
        <v>202400680</v>
      </c>
      <c r="AC402" s="13" t="s">
        <v>10</v>
      </c>
      <c r="AE402" s="40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</row>
    <row r="403" spans="1:46">
      <c r="A403" s="14"/>
      <c r="B403" s="13" t="str">
        <f t="shared" si="31"/>
        <v>Pendente</v>
      </c>
      <c r="C403" s="14" t="str">
        <f t="shared" si="32"/>
        <v/>
      </c>
      <c r="D403" s="13" t="s">
        <v>611</v>
      </c>
      <c r="E403" s="14" t="str">
        <f t="shared" si="33"/>
        <v/>
      </c>
      <c r="F403" s="13" t="s">
        <v>611</v>
      </c>
      <c r="G403" s="40">
        <v>202400679</v>
      </c>
      <c r="H403" s="13" t="s">
        <v>3039</v>
      </c>
      <c r="I403" s="13" t="s">
        <v>1176</v>
      </c>
      <c r="J403" s="14">
        <v>45509</v>
      </c>
      <c r="K403" s="14">
        <v>45870</v>
      </c>
      <c r="L403" s="13" t="s">
        <v>2891</v>
      </c>
      <c r="M403" s="13" t="s">
        <v>3040</v>
      </c>
      <c r="N403" s="13" t="s">
        <v>3041</v>
      </c>
      <c r="O403" s="17" t="s">
        <v>3042</v>
      </c>
      <c r="P403" s="13" t="s">
        <v>293</v>
      </c>
      <c r="Q403" s="13" t="s">
        <v>618</v>
      </c>
      <c r="R403" s="13" t="e">
        <f>VLOOKUP(P403,'Dados das Regiões '!#REF!,2,0)</f>
        <v>#REF!</v>
      </c>
      <c r="S403" s="13" t="s">
        <v>3043</v>
      </c>
      <c r="T403" s="13"/>
      <c r="U403" s="79" t="s">
        <v>3044</v>
      </c>
      <c r="V403" s="13" t="s">
        <v>3045</v>
      </c>
      <c r="W403" s="13" t="s">
        <v>3046</v>
      </c>
      <c r="X403" s="15">
        <v>0.54166666666666663</v>
      </c>
      <c r="Y403" s="16" t="s">
        <v>1824</v>
      </c>
      <c r="Z403" s="16" t="s">
        <v>622</v>
      </c>
      <c r="AA403" s="36" t="s">
        <v>1808</v>
      </c>
      <c r="AB403" s="164">
        <v>202400679</v>
      </c>
      <c r="AC403" s="13" t="s">
        <v>9</v>
      </c>
      <c r="AE403" s="40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</row>
    <row r="404" spans="1:46">
      <c r="A404" s="14"/>
      <c r="B404" s="13" t="str">
        <f t="shared" si="31"/>
        <v>Pendente</v>
      </c>
      <c r="C404" s="14" t="str">
        <f t="shared" si="32"/>
        <v/>
      </c>
      <c r="D404" s="13" t="s">
        <v>611</v>
      </c>
      <c r="E404" s="14" t="str">
        <f t="shared" si="33"/>
        <v/>
      </c>
      <c r="F404" s="13" t="s">
        <v>611</v>
      </c>
      <c r="G404" s="40">
        <v>202400679</v>
      </c>
      <c r="H404" s="13" t="s">
        <v>3047</v>
      </c>
      <c r="I404" s="13" t="s">
        <v>1176</v>
      </c>
      <c r="J404" s="14">
        <v>45509</v>
      </c>
      <c r="K404" s="14">
        <v>45870</v>
      </c>
      <c r="L404" s="13" t="s">
        <v>2891</v>
      </c>
      <c r="M404" s="13" t="s">
        <v>2892</v>
      </c>
      <c r="N404" s="13" t="s">
        <v>2893</v>
      </c>
      <c r="O404" s="17" t="s">
        <v>2894</v>
      </c>
      <c r="P404" s="13" t="s">
        <v>339</v>
      </c>
      <c r="Q404" s="13" t="s">
        <v>618</v>
      </c>
      <c r="R404" s="13" t="e">
        <f>VLOOKUP(P404,'Dados das Regiões '!#REF!,2,0)</f>
        <v>#REF!</v>
      </c>
      <c r="S404" s="13" t="s">
        <v>3048</v>
      </c>
      <c r="T404" s="13"/>
      <c r="U404" s="79" t="s">
        <v>3049</v>
      </c>
      <c r="V404" s="13" t="s">
        <v>3050</v>
      </c>
      <c r="W404" s="13" t="s">
        <v>3051</v>
      </c>
      <c r="X404" s="15">
        <v>0.5625</v>
      </c>
      <c r="Y404" s="16" t="s">
        <v>1415</v>
      </c>
      <c r="Z404" s="16" t="s">
        <v>622</v>
      </c>
      <c r="AA404" s="36" t="s">
        <v>1808</v>
      </c>
      <c r="AB404" s="164">
        <v>202400679</v>
      </c>
      <c r="AC404" s="13" t="s">
        <v>9</v>
      </c>
      <c r="AE404" s="40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</row>
    <row r="405" spans="1:46">
      <c r="A405" s="14"/>
      <c r="B405" s="13" t="str">
        <f t="shared" si="31"/>
        <v>Pendente</v>
      </c>
      <c r="C405" s="14" t="str">
        <f t="shared" si="32"/>
        <v/>
      </c>
      <c r="D405" s="13" t="s">
        <v>611</v>
      </c>
      <c r="E405" s="14" t="str">
        <f t="shared" si="33"/>
        <v/>
      </c>
      <c r="F405" s="13" t="s">
        <v>611</v>
      </c>
      <c r="G405" s="40">
        <v>202400679</v>
      </c>
      <c r="H405" s="13" t="s">
        <v>3052</v>
      </c>
      <c r="I405" s="13" t="s">
        <v>1176</v>
      </c>
      <c r="J405" s="14">
        <v>45509</v>
      </c>
      <c r="K405" s="14">
        <v>45870</v>
      </c>
      <c r="L405" s="13" t="s">
        <v>1185</v>
      </c>
      <c r="M405" s="13" t="s">
        <v>3053</v>
      </c>
      <c r="N405" s="13" t="s">
        <v>3054</v>
      </c>
      <c r="O405" s="13" t="s">
        <v>2204</v>
      </c>
      <c r="P405" s="13" t="s">
        <v>295</v>
      </c>
      <c r="Q405" s="13" t="s">
        <v>618</v>
      </c>
      <c r="R405" s="13" t="e">
        <f>VLOOKUP(P405,'Dados das Regiões '!#REF!,2,0)</f>
        <v>#REF!</v>
      </c>
      <c r="S405" s="13" t="s">
        <v>3055</v>
      </c>
      <c r="T405" s="13"/>
      <c r="U405" s="79" t="s">
        <v>3056</v>
      </c>
      <c r="V405" s="13" t="s">
        <v>3057</v>
      </c>
      <c r="W405" s="13" t="s">
        <v>3058</v>
      </c>
      <c r="X405" s="15">
        <v>0.33333333333333331</v>
      </c>
      <c r="Y405" s="16" t="s">
        <v>1438</v>
      </c>
      <c r="Z405" s="16" t="s">
        <v>622</v>
      </c>
      <c r="AA405" s="36" t="s">
        <v>1808</v>
      </c>
      <c r="AB405" s="164">
        <v>202400679</v>
      </c>
      <c r="AC405" s="13" t="s">
        <v>9</v>
      </c>
      <c r="AE405" s="40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</row>
    <row r="406" spans="1:46">
      <c r="A406" s="14"/>
      <c r="B406" s="13" t="str">
        <f t="shared" si="31"/>
        <v>Pendente</v>
      </c>
      <c r="C406" s="14" t="str">
        <f t="shared" si="32"/>
        <v/>
      </c>
      <c r="D406" s="13" t="s">
        <v>611</v>
      </c>
      <c r="E406" s="14" t="str">
        <f t="shared" si="33"/>
        <v/>
      </c>
      <c r="F406" s="13" t="s">
        <v>611</v>
      </c>
      <c r="G406" s="40">
        <v>202400671</v>
      </c>
      <c r="H406" s="13" t="s">
        <v>3059</v>
      </c>
      <c r="I406" s="13" t="s">
        <v>613</v>
      </c>
      <c r="J406" s="14">
        <v>45509</v>
      </c>
      <c r="K406" s="14">
        <v>45870</v>
      </c>
      <c r="L406" s="13" t="s">
        <v>1801</v>
      </c>
      <c r="M406" s="13" t="s">
        <v>3060</v>
      </c>
      <c r="N406" s="13" t="s">
        <v>3061</v>
      </c>
      <c r="O406" s="17" t="s">
        <v>3062</v>
      </c>
      <c r="P406" s="13" t="s">
        <v>120</v>
      </c>
      <c r="Q406" s="13" t="s">
        <v>618</v>
      </c>
      <c r="R406" s="13" t="e">
        <f>VLOOKUP(P406,'Dados das Regiões '!#REF!,2,0)</f>
        <v>#REF!</v>
      </c>
      <c r="S406" s="13" t="s">
        <v>3063</v>
      </c>
      <c r="T406" s="41"/>
      <c r="U406" s="79"/>
      <c r="V406" s="13" t="s">
        <v>3064</v>
      </c>
      <c r="W406" s="13" t="s">
        <v>3065</v>
      </c>
      <c r="X406" s="15">
        <v>0.64583333333333337</v>
      </c>
      <c r="Y406" s="16" t="s">
        <v>1415</v>
      </c>
      <c r="Z406" s="16" t="s">
        <v>622</v>
      </c>
      <c r="AA406" s="36" t="s">
        <v>1808</v>
      </c>
      <c r="AB406" s="164">
        <v>202400671</v>
      </c>
      <c r="AC406" s="13" t="s">
        <v>6</v>
      </c>
      <c r="AT406" s="13"/>
    </row>
    <row r="407" spans="1:46">
      <c r="A407" s="14"/>
      <c r="B407" s="13" t="str">
        <f t="shared" si="31"/>
        <v>Pendente</v>
      </c>
      <c r="C407" s="14" t="str">
        <f t="shared" si="32"/>
        <v/>
      </c>
      <c r="D407" s="13" t="s">
        <v>611</v>
      </c>
      <c r="E407" s="14" t="str">
        <f t="shared" si="33"/>
        <v/>
      </c>
      <c r="F407" s="13" t="s">
        <v>611</v>
      </c>
      <c r="G407" s="40">
        <v>202400679</v>
      </c>
      <c r="H407" s="13" t="s">
        <v>3066</v>
      </c>
      <c r="I407" s="13" t="s">
        <v>1176</v>
      </c>
      <c r="J407" s="14">
        <v>45509</v>
      </c>
      <c r="K407" s="14">
        <v>45870</v>
      </c>
      <c r="L407" s="13" t="s">
        <v>2891</v>
      </c>
      <c r="M407" s="13" t="s">
        <v>3067</v>
      </c>
      <c r="N407" s="13" t="s">
        <v>3068</v>
      </c>
      <c r="O407" s="17" t="s">
        <v>3069</v>
      </c>
      <c r="P407" s="13" t="s">
        <v>295</v>
      </c>
      <c r="Q407" s="13" t="s">
        <v>618</v>
      </c>
      <c r="R407" s="13" t="e">
        <f>VLOOKUP(P407,'Dados das Regiões '!#REF!,2,0)</f>
        <v>#REF!</v>
      </c>
      <c r="S407" s="36" t="s">
        <v>3070</v>
      </c>
      <c r="T407" s="13"/>
      <c r="U407" s="46" t="s">
        <v>3071</v>
      </c>
      <c r="V407" s="13" t="s">
        <v>3072</v>
      </c>
      <c r="W407" s="13" t="s">
        <v>3073</v>
      </c>
      <c r="X407" s="15">
        <v>0.625</v>
      </c>
      <c r="Y407" s="16" t="s">
        <v>3074</v>
      </c>
      <c r="Z407" s="16" t="s">
        <v>622</v>
      </c>
      <c r="AA407" s="36" t="s">
        <v>1808</v>
      </c>
      <c r="AB407" s="164">
        <v>202400679</v>
      </c>
      <c r="AC407" s="13" t="s">
        <v>9</v>
      </c>
      <c r="AT407" s="13"/>
    </row>
    <row r="408" spans="1:46">
      <c r="A408" s="14"/>
      <c r="B408" s="13" t="str">
        <f t="shared" si="31"/>
        <v>Pendente</v>
      </c>
      <c r="C408" s="14" t="str">
        <f t="shared" si="32"/>
        <v/>
      </c>
      <c r="D408" s="13" t="s">
        <v>611</v>
      </c>
      <c r="E408" s="14" t="str">
        <f t="shared" si="33"/>
        <v/>
      </c>
      <c r="F408" s="13" t="s">
        <v>611</v>
      </c>
      <c r="G408" s="40">
        <v>202400673</v>
      </c>
      <c r="H408" s="13" t="s">
        <v>3075</v>
      </c>
      <c r="I408" s="13" t="s">
        <v>1192</v>
      </c>
      <c r="J408" s="14">
        <v>45509</v>
      </c>
      <c r="K408" s="14">
        <v>45870</v>
      </c>
      <c r="L408" s="13" t="s">
        <v>1932</v>
      </c>
      <c r="M408" s="13" t="s">
        <v>1933</v>
      </c>
      <c r="N408" s="13" t="s">
        <v>1934</v>
      </c>
      <c r="O408" s="13" t="s">
        <v>1935</v>
      </c>
      <c r="P408" s="13" t="s">
        <v>446</v>
      </c>
      <c r="Q408" s="13" t="s">
        <v>618</v>
      </c>
      <c r="R408" s="13" t="e">
        <f>VLOOKUP(P408,'Dados das Regiões '!#REF!,2,0)</f>
        <v>#REF!</v>
      </c>
      <c r="S408" s="13" t="s">
        <v>1936</v>
      </c>
      <c r="T408" s="34"/>
      <c r="U408" s="79" t="s">
        <v>1937</v>
      </c>
      <c r="V408" s="13" t="s">
        <v>1937</v>
      </c>
      <c r="W408" s="13" t="s">
        <v>1938</v>
      </c>
      <c r="X408" s="15">
        <v>0.45833333333333331</v>
      </c>
      <c r="Y408" s="16" t="s">
        <v>3076</v>
      </c>
      <c r="Z408" s="16" t="s">
        <v>622</v>
      </c>
      <c r="AA408" s="36"/>
      <c r="AB408" s="164">
        <v>202400673</v>
      </c>
      <c r="AC408" s="13" t="s">
        <v>13</v>
      </c>
      <c r="AE408" s="60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</row>
    <row r="409" spans="1:46">
      <c r="A409" s="14"/>
      <c r="B409" s="13" t="str">
        <f t="shared" si="31"/>
        <v>Pendente</v>
      </c>
      <c r="C409" s="14" t="str">
        <f t="shared" si="32"/>
        <v/>
      </c>
      <c r="D409" s="13" t="s">
        <v>611</v>
      </c>
      <c r="E409" s="14" t="str">
        <f t="shared" si="33"/>
        <v/>
      </c>
      <c r="F409" s="13" t="s">
        <v>611</v>
      </c>
      <c r="G409" s="40">
        <v>202400682</v>
      </c>
      <c r="H409" s="13" t="s">
        <v>3077</v>
      </c>
      <c r="I409" s="13" t="s">
        <v>1192</v>
      </c>
      <c r="J409" s="14">
        <v>45509</v>
      </c>
      <c r="K409" s="14">
        <v>45870</v>
      </c>
      <c r="L409" s="13" t="s">
        <v>2374</v>
      </c>
      <c r="M409" s="13" t="s">
        <v>2375</v>
      </c>
      <c r="N409" s="13" t="s">
        <v>2376</v>
      </c>
      <c r="O409" s="17" t="s">
        <v>2377</v>
      </c>
      <c r="P409" s="13" t="s">
        <v>154</v>
      </c>
      <c r="Q409" s="13" t="s">
        <v>618</v>
      </c>
      <c r="R409" s="13" t="e">
        <f>VLOOKUP(P409,'Dados das Regiões '!#REF!,2,0)</f>
        <v>#REF!</v>
      </c>
      <c r="S409" s="13" t="s">
        <v>2386</v>
      </c>
      <c r="T409" s="13"/>
      <c r="U409" s="79" t="s">
        <v>2379</v>
      </c>
      <c r="V409" s="13" t="s">
        <v>2379</v>
      </c>
      <c r="W409" s="13" t="s">
        <v>2380</v>
      </c>
      <c r="X409" s="15">
        <v>0.33333333333333331</v>
      </c>
      <c r="Y409" s="16" t="s">
        <v>1438</v>
      </c>
      <c r="Z409" s="16" t="s">
        <v>622</v>
      </c>
      <c r="AA409" s="36" t="s">
        <v>1808</v>
      </c>
      <c r="AB409" s="164">
        <v>202400682</v>
      </c>
      <c r="AC409" s="13" t="s">
        <v>14</v>
      </c>
      <c r="AE409" s="107"/>
      <c r="AF409" s="101"/>
      <c r="AG409" s="101"/>
      <c r="AH409" s="101"/>
      <c r="AI409" s="101"/>
      <c r="AJ409" s="101"/>
      <c r="AK409" s="101"/>
      <c r="AL409" s="101"/>
      <c r="AM409" s="101"/>
      <c r="AN409" s="101"/>
      <c r="AO409" s="101"/>
      <c r="AP409" s="101"/>
      <c r="AQ409" s="101"/>
      <c r="AR409" s="101"/>
      <c r="AS409" s="101"/>
      <c r="AT409" s="101"/>
    </row>
    <row r="410" spans="1:46">
      <c r="A410" s="14">
        <v>45820</v>
      </c>
      <c r="B410" s="13" t="str">
        <f t="shared" si="31"/>
        <v>Realizada</v>
      </c>
      <c r="C410" s="14">
        <f t="shared" si="32"/>
        <v>45912</v>
      </c>
      <c r="D410" s="13" t="s">
        <v>611</v>
      </c>
      <c r="E410" s="14">
        <f t="shared" si="33"/>
        <v>46003</v>
      </c>
      <c r="F410" s="13" t="s">
        <v>611</v>
      </c>
      <c r="G410" s="40">
        <v>202400672</v>
      </c>
      <c r="H410" s="13" t="s">
        <v>3078</v>
      </c>
      <c r="I410" s="13" t="s">
        <v>1176</v>
      </c>
      <c r="J410" s="14">
        <v>45509</v>
      </c>
      <c r="K410" s="14">
        <v>45870</v>
      </c>
      <c r="L410" s="13" t="s">
        <v>1185</v>
      </c>
      <c r="M410" s="13" t="s">
        <v>3079</v>
      </c>
      <c r="N410" s="13" t="s">
        <v>3080</v>
      </c>
      <c r="O410" s="17" t="s">
        <v>3081</v>
      </c>
      <c r="P410" s="13" t="s">
        <v>455</v>
      </c>
      <c r="Q410" s="13" t="s">
        <v>618</v>
      </c>
      <c r="R410" s="13" t="e">
        <f>VLOOKUP(P410,'Dados das Regiões '!#REF!,2,0)</f>
        <v>#REF!</v>
      </c>
      <c r="S410" s="13" t="s">
        <v>3082</v>
      </c>
      <c r="T410" s="13"/>
      <c r="U410" s="79" t="s">
        <v>3083</v>
      </c>
      <c r="V410" s="13" t="s">
        <v>3084</v>
      </c>
      <c r="W410" s="13" t="s">
        <v>3085</v>
      </c>
      <c r="X410" s="15">
        <v>0.58333333333333337</v>
      </c>
      <c r="Y410" s="16" t="s">
        <v>1200</v>
      </c>
      <c r="Z410" s="16" t="s">
        <v>622</v>
      </c>
      <c r="AA410" s="36" t="s">
        <v>1808</v>
      </c>
      <c r="AB410" s="164">
        <v>202400672</v>
      </c>
      <c r="AC410" s="13" t="s">
        <v>8</v>
      </c>
      <c r="AE410" s="40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</row>
    <row r="411" spans="1:46">
      <c r="A411" s="14"/>
      <c r="B411" s="13" t="str">
        <f t="shared" si="31"/>
        <v>Pendente</v>
      </c>
      <c r="C411" s="14" t="str">
        <f t="shared" si="32"/>
        <v/>
      </c>
      <c r="D411" s="13" t="s">
        <v>611</v>
      </c>
      <c r="E411" s="14" t="str">
        <f t="shared" si="33"/>
        <v/>
      </c>
      <c r="F411" s="13" t="s">
        <v>611</v>
      </c>
      <c r="G411" s="40">
        <v>202400678</v>
      </c>
      <c r="H411" s="13" t="s">
        <v>1809</v>
      </c>
      <c r="I411" s="13" t="s">
        <v>613</v>
      </c>
      <c r="J411" s="14">
        <v>45509</v>
      </c>
      <c r="K411" s="14">
        <v>45870</v>
      </c>
      <c r="L411" s="13" t="s">
        <v>1810</v>
      </c>
      <c r="M411" s="13" t="s">
        <v>1811</v>
      </c>
      <c r="N411" s="13" t="s">
        <v>1812</v>
      </c>
      <c r="O411" s="17" t="s">
        <v>1813</v>
      </c>
      <c r="P411" s="13" t="s">
        <v>53</v>
      </c>
      <c r="Q411" s="13" t="s">
        <v>618</v>
      </c>
      <c r="R411" s="13" t="str">
        <f>VLOOKUP(P411,'Dados das Regiões '!A:B,2,0)</f>
        <v>GOIOERÊ</v>
      </c>
      <c r="S411" s="13" t="s">
        <v>1814</v>
      </c>
      <c r="T411" s="13"/>
      <c r="U411" s="79"/>
      <c r="V411" s="13" t="s">
        <v>1815</v>
      </c>
      <c r="W411" s="13" t="s">
        <v>1816</v>
      </c>
      <c r="X411" s="15">
        <v>0.58333333333333337</v>
      </c>
      <c r="Y411" s="16" t="s">
        <v>1200</v>
      </c>
      <c r="Z411" s="16" t="s">
        <v>622</v>
      </c>
      <c r="AA411" s="36" t="s">
        <v>1808</v>
      </c>
      <c r="AB411" s="164">
        <v>202400678</v>
      </c>
      <c r="AC411" s="55" t="s">
        <v>6</v>
      </c>
      <c r="AE411" s="40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</row>
    <row r="412" spans="1:46">
      <c r="A412" s="14"/>
      <c r="B412" s="13" t="str">
        <f t="shared" si="31"/>
        <v>Pendente</v>
      </c>
      <c r="C412" s="14" t="str">
        <f t="shared" si="32"/>
        <v/>
      </c>
      <c r="D412" s="13" t="s">
        <v>611</v>
      </c>
      <c r="E412" s="14" t="str">
        <f t="shared" si="33"/>
        <v/>
      </c>
      <c r="F412" s="13" t="s">
        <v>611</v>
      </c>
      <c r="G412" s="40">
        <v>202400672</v>
      </c>
      <c r="H412" s="13" t="s">
        <v>1817</v>
      </c>
      <c r="I412" s="13" t="s">
        <v>1176</v>
      </c>
      <c r="J412" s="14">
        <v>45509</v>
      </c>
      <c r="K412" s="14">
        <v>45870</v>
      </c>
      <c r="L412" s="13" t="s">
        <v>1185</v>
      </c>
      <c r="M412" s="13" t="s">
        <v>1818</v>
      </c>
      <c r="N412" s="13" t="s">
        <v>1819</v>
      </c>
      <c r="O412" s="17" t="s">
        <v>1820</v>
      </c>
      <c r="P412" s="13" t="s">
        <v>57</v>
      </c>
      <c r="Q412" s="13" t="s">
        <v>618</v>
      </c>
      <c r="R412" s="13" t="str">
        <f>VLOOKUP(P412,'Dados das Regiões '!A:B,2,0)</f>
        <v>BELA VISTA DO PARAÍSO</v>
      </c>
      <c r="S412" s="13" t="s">
        <v>1821</v>
      </c>
      <c r="T412" s="13"/>
      <c r="U412" s="79"/>
      <c r="V412" s="13" t="s">
        <v>1822</v>
      </c>
      <c r="W412" s="13" t="s">
        <v>1823</v>
      </c>
      <c r="X412" s="15">
        <v>0.54166666666666663</v>
      </c>
      <c r="Y412" s="16" t="s">
        <v>1824</v>
      </c>
      <c r="Z412" s="16" t="s">
        <v>622</v>
      </c>
      <c r="AA412" s="36" t="s">
        <v>1808</v>
      </c>
      <c r="AB412" s="164">
        <v>202400672</v>
      </c>
      <c r="AC412" s="55" t="s">
        <v>8</v>
      </c>
      <c r="AE412" s="40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</row>
    <row r="413" spans="1:46">
      <c r="A413" s="14"/>
      <c r="B413" s="13" t="str">
        <f t="shared" si="31"/>
        <v>Pendente</v>
      </c>
      <c r="C413" s="14" t="str">
        <f t="shared" si="32"/>
        <v/>
      </c>
      <c r="D413" s="13" t="s">
        <v>611</v>
      </c>
      <c r="E413" s="14" t="str">
        <f t="shared" si="33"/>
        <v/>
      </c>
      <c r="F413" s="13" t="s">
        <v>611</v>
      </c>
      <c r="G413" s="40">
        <v>202400679</v>
      </c>
      <c r="H413" s="13" t="s">
        <v>1825</v>
      </c>
      <c r="I413" s="13" t="s">
        <v>1176</v>
      </c>
      <c r="J413" s="14">
        <v>45509</v>
      </c>
      <c r="K413" s="14">
        <v>45870</v>
      </c>
      <c r="L413" s="13" t="s">
        <v>1185</v>
      </c>
      <c r="M413" s="13" t="s">
        <v>1826</v>
      </c>
      <c r="N413" s="13" t="s">
        <v>1827</v>
      </c>
      <c r="O413" s="17" t="s">
        <v>1828</v>
      </c>
      <c r="P413" s="13" t="s">
        <v>169</v>
      </c>
      <c r="Q413" s="13" t="s">
        <v>618</v>
      </c>
      <c r="R413" s="13" t="str">
        <f>VLOOKUP(P413,'Dados das Regiões '!A:B,2,0)</f>
        <v>CAMPO MOURÃO</v>
      </c>
      <c r="S413" s="13" t="s">
        <v>1829</v>
      </c>
      <c r="T413" s="13"/>
      <c r="U413" s="79"/>
      <c r="V413" s="13" t="s">
        <v>1830</v>
      </c>
      <c r="W413" s="13" t="s">
        <v>1831</v>
      </c>
      <c r="X413" s="15">
        <v>0.58333333333333337</v>
      </c>
      <c r="Y413" s="16" t="s">
        <v>1200</v>
      </c>
      <c r="Z413" s="16" t="s">
        <v>622</v>
      </c>
      <c r="AA413" s="36" t="s">
        <v>1808</v>
      </c>
      <c r="AB413" s="164">
        <v>202400679</v>
      </c>
      <c r="AC413" s="55" t="s">
        <v>9</v>
      </c>
      <c r="AE413" s="107"/>
      <c r="AF413" s="101"/>
      <c r="AG413" s="101"/>
      <c r="AH413" s="101"/>
      <c r="AI413" s="101"/>
      <c r="AJ413" s="101"/>
      <c r="AK413" s="101"/>
      <c r="AL413" s="101"/>
      <c r="AM413" s="101"/>
      <c r="AN413" s="101"/>
      <c r="AO413" s="101"/>
      <c r="AP413" s="101"/>
      <c r="AQ413" s="101"/>
      <c r="AR413" s="101"/>
      <c r="AS413" s="101"/>
      <c r="AT413" s="101"/>
    </row>
    <row r="414" spans="1:46">
      <c r="A414" s="14"/>
      <c r="B414" s="13" t="str">
        <f t="shared" si="31"/>
        <v>Pendente</v>
      </c>
      <c r="C414" s="14" t="str">
        <f t="shared" si="32"/>
        <v/>
      </c>
      <c r="D414" s="13" t="s">
        <v>611</v>
      </c>
      <c r="E414" s="14" t="str">
        <f t="shared" si="33"/>
        <v/>
      </c>
      <c r="F414" s="13" t="s">
        <v>611</v>
      </c>
      <c r="G414" s="40">
        <v>202400680</v>
      </c>
      <c r="H414" s="13" t="s">
        <v>1832</v>
      </c>
      <c r="I414" s="13" t="s">
        <v>1176</v>
      </c>
      <c r="J414" s="14">
        <v>45509</v>
      </c>
      <c r="K414" s="14">
        <v>45870</v>
      </c>
      <c r="L414" s="13" t="s">
        <v>1833</v>
      </c>
      <c r="M414" s="13" t="s">
        <v>1834</v>
      </c>
      <c r="N414" s="13" t="s">
        <v>1835</v>
      </c>
      <c r="O414" s="17" t="s">
        <v>1836</v>
      </c>
      <c r="P414" s="13" t="s">
        <v>324</v>
      </c>
      <c r="Q414" s="13" t="s">
        <v>618</v>
      </c>
      <c r="R414" s="13" t="str">
        <f>VLOOKUP(P414,'Dados das Regiões '!A:B,2,0)</f>
        <v>JACAREZINHO</v>
      </c>
      <c r="S414" s="13" t="s">
        <v>1837</v>
      </c>
      <c r="T414" s="13"/>
      <c r="U414" s="79" t="s">
        <v>1838</v>
      </c>
      <c r="V414" s="13" t="s">
        <v>1839</v>
      </c>
      <c r="W414" s="13" t="s">
        <v>1840</v>
      </c>
      <c r="X414" s="15">
        <v>0.5</v>
      </c>
      <c r="Y414" s="16" t="s">
        <v>1841</v>
      </c>
      <c r="Z414" s="16" t="s">
        <v>622</v>
      </c>
      <c r="AA414" s="36" t="s">
        <v>1808</v>
      </c>
      <c r="AB414" s="164">
        <v>202400680</v>
      </c>
      <c r="AC414" s="55" t="s">
        <v>10</v>
      </c>
      <c r="AE414" s="40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</row>
    <row r="415" spans="1:46">
      <c r="A415" s="14"/>
      <c r="B415" s="13" t="str">
        <f t="shared" si="31"/>
        <v>Pendente</v>
      </c>
      <c r="C415" s="14" t="str">
        <f t="shared" si="32"/>
        <v/>
      </c>
      <c r="D415" s="13" t="s">
        <v>611</v>
      </c>
      <c r="E415" s="14" t="str">
        <f t="shared" si="33"/>
        <v/>
      </c>
      <c r="F415" s="13" t="s">
        <v>611</v>
      </c>
      <c r="G415" s="40">
        <v>202400671</v>
      </c>
      <c r="H415" s="13" t="s">
        <v>1842</v>
      </c>
      <c r="I415" s="13" t="s">
        <v>613</v>
      </c>
      <c r="J415" s="14">
        <v>45509</v>
      </c>
      <c r="K415" s="14">
        <v>45870</v>
      </c>
      <c r="L415" s="13" t="s">
        <v>1801</v>
      </c>
      <c r="M415" s="13" t="s">
        <v>1843</v>
      </c>
      <c r="N415" s="27" t="s">
        <v>1844</v>
      </c>
      <c r="O415" s="28" t="s">
        <v>1845</v>
      </c>
      <c r="P415" s="13" t="s">
        <v>119</v>
      </c>
      <c r="Q415" s="13" t="s">
        <v>618</v>
      </c>
      <c r="R415" s="13" t="str">
        <f>VLOOKUP(P415,'Dados das Regiões '!A:B,2,0)</f>
        <v>APUCARANA</v>
      </c>
      <c r="S415" s="13" t="s">
        <v>1846</v>
      </c>
      <c r="T415" s="13"/>
      <c r="U415" s="79"/>
      <c r="V415" s="13" t="s">
        <v>1847</v>
      </c>
      <c r="W415" s="13" t="s">
        <v>1848</v>
      </c>
      <c r="X415" s="15">
        <v>0.5625</v>
      </c>
      <c r="Y415" s="16" t="s">
        <v>1575</v>
      </c>
      <c r="Z415" s="16" t="s">
        <v>622</v>
      </c>
      <c r="AA415" s="36" t="s">
        <v>1808</v>
      </c>
      <c r="AB415" s="164">
        <v>202400671</v>
      </c>
      <c r="AC415" s="55" t="s">
        <v>6</v>
      </c>
      <c r="AE415" s="107"/>
      <c r="AF415" s="101"/>
      <c r="AG415" s="101"/>
      <c r="AH415" s="101"/>
      <c r="AI415" s="101"/>
      <c r="AJ415" s="101"/>
      <c r="AK415" s="101"/>
      <c r="AL415" s="101"/>
      <c r="AM415" s="101"/>
      <c r="AN415" s="101"/>
      <c r="AO415" s="101"/>
      <c r="AP415" s="101"/>
      <c r="AQ415" s="101"/>
      <c r="AR415" s="101"/>
      <c r="AS415" s="101"/>
      <c r="AT415" s="101"/>
    </row>
    <row r="416" spans="1:46">
      <c r="A416" s="14"/>
      <c r="B416" s="13" t="str">
        <f t="shared" si="31"/>
        <v>Pendente</v>
      </c>
      <c r="C416" s="14" t="str">
        <f t="shared" si="32"/>
        <v/>
      </c>
      <c r="D416" s="13" t="s">
        <v>611</v>
      </c>
      <c r="E416" s="14" t="str">
        <f t="shared" si="33"/>
        <v/>
      </c>
      <c r="F416" s="13" t="s">
        <v>611</v>
      </c>
      <c r="G416" s="40">
        <v>202400681</v>
      </c>
      <c r="H416" s="13" t="s">
        <v>1849</v>
      </c>
      <c r="I416" s="13" t="s">
        <v>1192</v>
      </c>
      <c r="J416" s="14">
        <v>45509</v>
      </c>
      <c r="K416" s="14">
        <v>45870</v>
      </c>
      <c r="L416" s="13" t="s">
        <v>1850</v>
      </c>
      <c r="M416" s="13" t="s">
        <v>1851</v>
      </c>
      <c r="N416" s="13" t="s">
        <v>1852</v>
      </c>
      <c r="O416" s="17" t="s">
        <v>1853</v>
      </c>
      <c r="P416" s="13" t="s">
        <v>383</v>
      </c>
      <c r="Q416" s="13" t="s">
        <v>618</v>
      </c>
      <c r="R416" s="13" t="str">
        <f>VLOOKUP(P416,'Dados das Regiões '!A:B,2,0)</f>
        <v>MATINHOS CAIOBÁ</v>
      </c>
      <c r="S416" s="13" t="s">
        <v>1854</v>
      </c>
      <c r="T416" s="13"/>
      <c r="U416" s="79" t="s">
        <v>1855</v>
      </c>
      <c r="V416" s="13" t="s">
        <v>1856</v>
      </c>
      <c r="W416" s="13" t="s">
        <v>1857</v>
      </c>
      <c r="X416" s="15">
        <v>0.58333333333333337</v>
      </c>
      <c r="Y416" s="16" t="s">
        <v>1200</v>
      </c>
      <c r="Z416" s="16" t="s">
        <v>622</v>
      </c>
      <c r="AA416" s="36" t="s">
        <v>1808</v>
      </c>
      <c r="AB416" s="164">
        <v>202400681</v>
      </c>
      <c r="AC416" s="55" t="s">
        <v>12</v>
      </c>
      <c r="AE416" s="40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</row>
    <row r="417" spans="1:46">
      <c r="A417" s="14"/>
      <c r="B417" s="13" t="str">
        <f t="shared" si="31"/>
        <v>Pendente</v>
      </c>
      <c r="C417" s="14" t="str">
        <f t="shared" si="32"/>
        <v/>
      </c>
      <c r="D417" s="13" t="s">
        <v>611</v>
      </c>
      <c r="E417" s="14" t="str">
        <f t="shared" si="33"/>
        <v/>
      </c>
      <c r="F417" s="13" t="s">
        <v>611</v>
      </c>
      <c r="G417" s="40">
        <v>202400681</v>
      </c>
      <c r="H417" s="13" t="s">
        <v>1858</v>
      </c>
      <c r="I417" s="13" t="s">
        <v>1192</v>
      </c>
      <c r="J417" s="14">
        <v>45509</v>
      </c>
      <c r="K417" s="14">
        <v>45870</v>
      </c>
      <c r="L417" s="13" t="s">
        <v>1850</v>
      </c>
      <c r="M417" s="13" t="s">
        <v>1859</v>
      </c>
      <c r="N417" s="13" t="s">
        <v>1860</v>
      </c>
      <c r="O417" s="17" t="s">
        <v>1861</v>
      </c>
      <c r="P417" s="13" t="s">
        <v>383</v>
      </c>
      <c r="Q417" s="13" t="s">
        <v>618</v>
      </c>
      <c r="R417" s="13" t="str">
        <f>VLOOKUP(P417,'Dados das Regiões '!A:B,2,0)</f>
        <v>MATINHOS CAIOBÁ</v>
      </c>
      <c r="S417" s="36" t="s">
        <v>1862</v>
      </c>
      <c r="T417" s="13"/>
      <c r="U417" s="46"/>
      <c r="V417" s="13" t="s">
        <v>1856</v>
      </c>
      <c r="W417" s="13" t="s">
        <v>1857</v>
      </c>
      <c r="X417" s="15">
        <v>0.58333333333333337</v>
      </c>
      <c r="Y417" s="16" t="s">
        <v>1200</v>
      </c>
      <c r="Z417" s="16" t="s">
        <v>622</v>
      </c>
      <c r="AA417" s="36" t="s">
        <v>1808</v>
      </c>
      <c r="AB417" s="164">
        <v>202400681</v>
      </c>
      <c r="AC417" s="55" t="s">
        <v>12</v>
      </c>
      <c r="AT417" s="13"/>
    </row>
    <row r="418" spans="1:46">
      <c r="A418" s="14">
        <v>45757</v>
      </c>
      <c r="B418" s="13" t="str">
        <f t="shared" si="31"/>
        <v>Realizada</v>
      </c>
      <c r="C418" s="14">
        <f t="shared" si="32"/>
        <v>45848</v>
      </c>
      <c r="D418" s="13" t="s">
        <v>611</v>
      </c>
      <c r="E418" s="14">
        <f t="shared" si="33"/>
        <v>45940</v>
      </c>
      <c r="F418" s="13" t="s">
        <v>611</v>
      </c>
      <c r="G418" s="40">
        <v>202400680</v>
      </c>
      <c r="H418" s="13" t="s">
        <v>1863</v>
      </c>
      <c r="I418" s="13" t="s">
        <v>1176</v>
      </c>
      <c r="J418" s="14">
        <v>45509</v>
      </c>
      <c r="K418" s="14">
        <v>45870</v>
      </c>
      <c r="L418" s="13" t="s">
        <v>1864</v>
      </c>
      <c r="M418" s="13" t="s">
        <v>1865</v>
      </c>
      <c r="N418" s="13" t="s">
        <v>1866</v>
      </c>
      <c r="O418" s="17" t="s">
        <v>1867</v>
      </c>
      <c r="P418" s="13" t="s">
        <v>513</v>
      </c>
      <c r="Q418" s="13" t="s">
        <v>618</v>
      </c>
      <c r="R418" s="13" t="str">
        <f>VLOOKUP(P418,'Dados das Regiões '!A:B,2,0)</f>
        <v>CAMPO LARGO</v>
      </c>
      <c r="S418" s="13" t="s">
        <v>1868</v>
      </c>
      <c r="T418" s="13"/>
      <c r="U418" s="79"/>
      <c r="V418" s="13" t="s">
        <v>1869</v>
      </c>
      <c r="W418" s="13" t="s">
        <v>1870</v>
      </c>
      <c r="X418" s="15">
        <v>0.5625</v>
      </c>
      <c r="Y418" s="16" t="s">
        <v>1415</v>
      </c>
      <c r="Z418" s="16" t="s">
        <v>622</v>
      </c>
      <c r="AA418" s="36" t="s">
        <v>1808</v>
      </c>
      <c r="AB418" s="164">
        <v>202400680</v>
      </c>
      <c r="AC418" s="55" t="s">
        <v>10</v>
      </c>
    </row>
    <row r="419" spans="1:46">
      <c r="A419" s="14"/>
      <c r="B419" s="13" t="str">
        <f t="shared" si="31"/>
        <v>Pendente</v>
      </c>
      <c r="C419" s="14" t="str">
        <f t="shared" si="32"/>
        <v/>
      </c>
      <c r="D419" s="13" t="s">
        <v>611</v>
      </c>
      <c r="E419" s="14" t="str">
        <f t="shared" si="33"/>
        <v/>
      </c>
      <c r="F419" s="13" t="s">
        <v>611</v>
      </c>
      <c r="G419" s="40">
        <v>202400673</v>
      </c>
      <c r="H419" s="13" t="s">
        <v>1871</v>
      </c>
      <c r="I419" s="13" t="s">
        <v>1192</v>
      </c>
      <c r="J419" s="14">
        <v>45509</v>
      </c>
      <c r="K419" s="14">
        <v>45870</v>
      </c>
      <c r="L419" s="13" t="s">
        <v>1872</v>
      </c>
      <c r="M419" s="13" t="s">
        <v>1873</v>
      </c>
      <c r="N419" t="s">
        <v>1874</v>
      </c>
      <c r="O419" s="17" t="s">
        <v>1875</v>
      </c>
      <c r="P419" s="13" t="s">
        <v>307</v>
      </c>
      <c r="Q419" s="13" t="s">
        <v>618</v>
      </c>
      <c r="R419" s="13" t="str">
        <f>VLOOKUP(P419,'Dados das Regiões '!A:B,2,0)</f>
        <v>IRATI</v>
      </c>
      <c r="S419" s="13" t="s">
        <v>1876</v>
      </c>
      <c r="T419" s="13"/>
      <c r="U419" s="79" t="s">
        <v>1877</v>
      </c>
      <c r="V419" s="13" t="s">
        <v>1877</v>
      </c>
      <c r="W419" s="13" t="s">
        <v>1878</v>
      </c>
      <c r="X419" s="15">
        <v>0.41666666666666669</v>
      </c>
      <c r="Y419" s="16" t="s">
        <v>1879</v>
      </c>
      <c r="Z419" s="16" t="s">
        <v>622</v>
      </c>
      <c r="AA419" s="36" t="s">
        <v>1808</v>
      </c>
      <c r="AB419" s="164">
        <v>202400673</v>
      </c>
      <c r="AC419" s="55" t="s">
        <v>13</v>
      </c>
    </row>
    <row r="420" spans="1:46">
      <c r="A420" s="14"/>
      <c r="B420" s="13" t="str">
        <f t="shared" si="31"/>
        <v>Pendente</v>
      </c>
      <c r="C420" s="14" t="str">
        <f t="shared" si="32"/>
        <v/>
      </c>
      <c r="D420" s="13" t="s">
        <v>611</v>
      </c>
      <c r="E420" s="14" t="str">
        <f t="shared" si="33"/>
        <v/>
      </c>
      <c r="F420" s="13" t="s">
        <v>611</v>
      </c>
      <c r="G420" s="40">
        <v>202400681</v>
      </c>
      <c r="H420" s="13" t="s">
        <v>1880</v>
      </c>
      <c r="I420" s="13" t="s">
        <v>1192</v>
      </c>
      <c r="J420" s="14">
        <v>45509</v>
      </c>
      <c r="K420" s="14">
        <v>45870</v>
      </c>
      <c r="L420" s="13" t="s">
        <v>1881</v>
      </c>
      <c r="M420" s="13" t="s">
        <v>1882</v>
      </c>
      <c r="N420" s="13" t="s">
        <v>1883</v>
      </c>
      <c r="O420" s="17" t="s">
        <v>1884</v>
      </c>
      <c r="P420" s="13" t="s">
        <v>124</v>
      </c>
      <c r="Q420" s="13" t="s">
        <v>618</v>
      </c>
      <c r="R420" s="13" t="str">
        <f>VLOOKUP(P420,'Dados das Regiões '!A:B,2,0)</f>
        <v>APUCARANA</v>
      </c>
      <c r="S420" s="13" t="s">
        <v>1885</v>
      </c>
      <c r="T420" s="13"/>
      <c r="U420" s="79" t="s">
        <v>1886</v>
      </c>
      <c r="V420" s="13" t="s">
        <v>1886</v>
      </c>
      <c r="W420" s="13" t="s">
        <v>1887</v>
      </c>
      <c r="X420" s="15">
        <v>0.58333333333333337</v>
      </c>
      <c r="Y420" s="16" t="s">
        <v>1200</v>
      </c>
      <c r="Z420" s="16" t="s">
        <v>622</v>
      </c>
      <c r="AA420" s="36" t="s">
        <v>1808</v>
      </c>
      <c r="AB420" s="164">
        <v>202400681</v>
      </c>
      <c r="AC420" s="55" t="s">
        <v>12</v>
      </c>
    </row>
    <row r="421" spans="1:46">
      <c r="A421" s="14"/>
      <c r="B421" s="13" t="str">
        <f t="shared" si="31"/>
        <v>Pendente</v>
      </c>
      <c r="C421" s="14" t="str">
        <f t="shared" si="32"/>
        <v/>
      </c>
      <c r="D421" s="13" t="s">
        <v>611</v>
      </c>
      <c r="E421" s="14" t="str">
        <f t="shared" si="33"/>
        <v/>
      </c>
      <c r="F421" s="13" t="s">
        <v>611</v>
      </c>
      <c r="G421" s="40">
        <v>202400680</v>
      </c>
      <c r="H421" s="13" t="s">
        <v>1888</v>
      </c>
      <c r="I421" s="13" t="s">
        <v>1176</v>
      </c>
      <c r="J421" s="14">
        <v>45509</v>
      </c>
      <c r="K421" s="14">
        <v>45870</v>
      </c>
      <c r="L421" s="13" t="s">
        <v>1889</v>
      </c>
      <c r="M421" s="13" t="s">
        <v>1890</v>
      </c>
      <c r="N421" s="13" t="s">
        <v>1891</v>
      </c>
      <c r="O421" s="17" t="s">
        <v>1892</v>
      </c>
      <c r="P421" s="13" t="s">
        <v>208</v>
      </c>
      <c r="Q421" s="13" t="s">
        <v>618</v>
      </c>
      <c r="R421" s="13" t="str">
        <f>VLOOKUP(P421,'Dados das Regiões '!A:B,2,0)</f>
        <v>CASTRO</v>
      </c>
      <c r="S421" s="13" t="s">
        <v>1893</v>
      </c>
      <c r="T421" s="13"/>
      <c r="U421" s="79"/>
      <c r="V421" s="13" t="s">
        <v>1894</v>
      </c>
      <c r="W421" s="13" t="s">
        <v>1895</v>
      </c>
      <c r="X421" s="15">
        <v>0.375</v>
      </c>
      <c r="Y421" s="16" t="s">
        <v>1896</v>
      </c>
      <c r="Z421" s="16" t="s">
        <v>622</v>
      </c>
      <c r="AA421" s="36" t="s">
        <v>1808</v>
      </c>
      <c r="AB421" s="164">
        <v>202400680</v>
      </c>
      <c r="AC421" s="55" t="s">
        <v>10</v>
      </c>
    </row>
    <row r="422" spans="1:46">
      <c r="A422" s="14"/>
      <c r="B422" s="13" t="str">
        <f t="shared" si="31"/>
        <v>Pendente</v>
      </c>
      <c r="C422" s="14" t="str">
        <f t="shared" si="32"/>
        <v/>
      </c>
      <c r="D422" s="13" t="s">
        <v>611</v>
      </c>
      <c r="E422" s="14" t="str">
        <f t="shared" si="33"/>
        <v/>
      </c>
      <c r="F422" s="13" t="s">
        <v>611</v>
      </c>
      <c r="G422" s="40">
        <v>202400680</v>
      </c>
      <c r="H422" s="13" t="s">
        <v>1897</v>
      </c>
      <c r="I422" s="13" t="s">
        <v>1176</v>
      </c>
      <c r="J422" s="14">
        <v>45509</v>
      </c>
      <c r="K422" s="14">
        <v>45870</v>
      </c>
      <c r="L422" s="13" t="s">
        <v>1864</v>
      </c>
      <c r="M422" s="13" t="s">
        <v>1898</v>
      </c>
      <c r="N422" s="13" t="s">
        <v>1899</v>
      </c>
      <c r="O422" s="17" t="s">
        <v>1900</v>
      </c>
      <c r="P422" s="13" t="s">
        <v>291</v>
      </c>
      <c r="Q422" s="13" t="s">
        <v>618</v>
      </c>
      <c r="R422" s="13" t="str">
        <f>VLOOKUP(P422,'Dados das Regiões '!A:B,2,0)</f>
        <v>GUARAPUAVA</v>
      </c>
      <c r="S422" s="13" t="s">
        <v>1901</v>
      </c>
      <c r="T422" s="13"/>
      <c r="U422" s="79"/>
      <c r="V422" s="13" t="s">
        <v>1902</v>
      </c>
      <c r="W422" s="13" t="s">
        <v>1903</v>
      </c>
      <c r="X422" s="15">
        <v>0.5625</v>
      </c>
      <c r="Y422" s="16" t="s">
        <v>1415</v>
      </c>
      <c r="Z422" s="16" t="s">
        <v>622</v>
      </c>
      <c r="AA422" s="36" t="s">
        <v>1808</v>
      </c>
      <c r="AB422" s="164">
        <v>202400680</v>
      </c>
      <c r="AC422" s="55" t="s">
        <v>10</v>
      </c>
    </row>
    <row r="423" spans="1:46">
      <c r="A423" s="14"/>
      <c r="B423" s="13" t="str">
        <f t="shared" si="31"/>
        <v>Pendente</v>
      </c>
      <c r="C423" s="14" t="str">
        <f t="shared" si="32"/>
        <v/>
      </c>
      <c r="D423" s="13" t="s">
        <v>611</v>
      </c>
      <c r="E423" s="14" t="str">
        <f t="shared" si="33"/>
        <v/>
      </c>
      <c r="F423" s="13" t="s">
        <v>611</v>
      </c>
      <c r="G423" s="40">
        <v>202400681</v>
      </c>
      <c r="H423" s="13" t="s">
        <v>1904</v>
      </c>
      <c r="I423" s="13" t="s">
        <v>1192</v>
      </c>
      <c r="J423" s="14">
        <v>45509</v>
      </c>
      <c r="K423" s="14">
        <v>45870</v>
      </c>
      <c r="L423" s="13" t="s">
        <v>1881</v>
      </c>
      <c r="M423" s="13" t="s">
        <v>1905</v>
      </c>
      <c r="N423" s="13" t="s">
        <v>1906</v>
      </c>
      <c r="O423" s="17" t="s">
        <v>1907</v>
      </c>
      <c r="P423" s="13" t="s">
        <v>136</v>
      </c>
      <c r="Q423" s="13" t="s">
        <v>618</v>
      </c>
      <c r="R423" s="13" t="str">
        <f>VLOOKUP(P423,'Dados das Regiões '!A:B,2,0)</f>
        <v>ARAPONGAS</v>
      </c>
      <c r="S423" s="13" t="s">
        <v>1908</v>
      </c>
      <c r="T423" s="13"/>
      <c r="U423" s="79" t="s">
        <v>1909</v>
      </c>
      <c r="V423" s="13" t="s">
        <v>1909</v>
      </c>
      <c r="W423" s="13" t="s">
        <v>1910</v>
      </c>
      <c r="X423" s="15">
        <v>0.64583333333333337</v>
      </c>
      <c r="Y423" s="16" t="s">
        <v>1451</v>
      </c>
      <c r="Z423" s="16" t="s">
        <v>622</v>
      </c>
      <c r="AA423" s="36" t="s">
        <v>1808</v>
      </c>
      <c r="AB423" s="164">
        <v>202400681</v>
      </c>
      <c r="AC423" s="55" t="s">
        <v>12</v>
      </c>
    </row>
    <row r="424" spans="1:46">
      <c r="A424" s="14"/>
      <c r="B424" s="13" t="str">
        <f t="shared" si="31"/>
        <v>Pendente</v>
      </c>
      <c r="C424" s="14" t="str">
        <f t="shared" si="32"/>
        <v/>
      </c>
      <c r="D424" s="13" t="s">
        <v>611</v>
      </c>
      <c r="E424" s="14" t="str">
        <f t="shared" si="33"/>
        <v/>
      </c>
      <c r="F424" s="13" t="s">
        <v>611</v>
      </c>
      <c r="G424" s="40">
        <v>202400673</v>
      </c>
      <c r="H424" s="13" t="s">
        <v>1911</v>
      </c>
      <c r="I424" s="13" t="s">
        <v>1192</v>
      </c>
      <c r="J424" s="14">
        <v>45509</v>
      </c>
      <c r="K424" s="14">
        <v>45870</v>
      </c>
      <c r="L424" s="13" t="s">
        <v>565</v>
      </c>
      <c r="M424" s="13" t="s">
        <v>1912</v>
      </c>
      <c r="N424" s="13" t="s">
        <v>1913</v>
      </c>
      <c r="O424" s="13" t="s">
        <v>1914</v>
      </c>
      <c r="P424" s="13" t="s">
        <v>254</v>
      </c>
      <c r="Q424" s="13" t="s">
        <v>618</v>
      </c>
      <c r="R424" s="13" t="str">
        <f>VLOOKUP(P424,'Dados das Regiões '!A:B,2,0)</f>
        <v>CURITIBA PORTÃO</v>
      </c>
      <c r="S424" s="13" t="s">
        <v>1915</v>
      </c>
      <c r="T424" s="13"/>
      <c r="U424" s="79"/>
      <c r="V424" s="13" t="s">
        <v>1916</v>
      </c>
      <c r="W424" s="13" t="s">
        <v>1917</v>
      </c>
      <c r="X424" s="15">
        <v>0.33333333333333331</v>
      </c>
      <c r="Y424" s="16" t="s">
        <v>1438</v>
      </c>
      <c r="Z424" s="16" t="s">
        <v>622</v>
      </c>
      <c r="AA424" s="36" t="s">
        <v>1808</v>
      </c>
      <c r="AB424" s="164">
        <v>202400673</v>
      </c>
      <c r="AC424" s="55" t="s">
        <v>13</v>
      </c>
    </row>
    <row r="425" spans="1:46">
      <c r="A425" s="14"/>
      <c r="B425" s="13" t="str">
        <f t="shared" si="31"/>
        <v>Pendente</v>
      </c>
      <c r="C425" s="14" t="str">
        <f t="shared" si="32"/>
        <v/>
      </c>
      <c r="D425" s="13" t="s">
        <v>611</v>
      </c>
      <c r="E425" s="14" t="str">
        <f t="shared" si="33"/>
        <v/>
      </c>
      <c r="F425" s="13" t="s">
        <v>611</v>
      </c>
      <c r="G425" s="40">
        <v>202400673</v>
      </c>
      <c r="H425" s="13" t="s">
        <v>1918</v>
      </c>
      <c r="I425" s="13" t="s">
        <v>1192</v>
      </c>
      <c r="J425" s="14">
        <v>45509</v>
      </c>
      <c r="K425" s="14">
        <v>45870</v>
      </c>
      <c r="L425" s="13" t="s">
        <v>565</v>
      </c>
      <c r="M425" s="13" t="s">
        <v>1912</v>
      </c>
      <c r="N425" s="13" t="s">
        <v>1913</v>
      </c>
      <c r="O425" s="13" t="s">
        <v>1914</v>
      </c>
      <c r="P425" s="13" t="s">
        <v>254</v>
      </c>
      <c r="Q425" s="13" t="s">
        <v>618</v>
      </c>
      <c r="R425" s="13" t="str">
        <f>VLOOKUP(P425,'Dados das Regiões '!A:B,2,0)</f>
        <v>CURITIBA PORTÃO</v>
      </c>
      <c r="S425" s="13" t="s">
        <v>1919</v>
      </c>
      <c r="T425" s="13"/>
      <c r="U425" s="79"/>
      <c r="V425" s="13" t="s">
        <v>1916</v>
      </c>
      <c r="W425" s="13" t="s">
        <v>1917</v>
      </c>
      <c r="X425" s="15">
        <v>0.33333333333333331</v>
      </c>
      <c r="Y425" s="16" t="s">
        <v>1438</v>
      </c>
      <c r="Z425" s="16" t="s">
        <v>622</v>
      </c>
      <c r="AA425" s="36" t="s">
        <v>1808</v>
      </c>
      <c r="AB425" s="164">
        <v>202400673</v>
      </c>
      <c r="AC425" s="55" t="s">
        <v>13</v>
      </c>
    </row>
    <row r="426" spans="1:46">
      <c r="A426" s="14"/>
      <c r="B426" s="13" t="str">
        <f t="shared" si="31"/>
        <v>Pendente</v>
      </c>
      <c r="C426" s="14" t="str">
        <f t="shared" si="32"/>
        <v/>
      </c>
      <c r="D426" s="13" t="s">
        <v>611</v>
      </c>
      <c r="E426" s="14" t="str">
        <f t="shared" si="33"/>
        <v/>
      </c>
      <c r="F426" s="13" t="s">
        <v>611</v>
      </c>
      <c r="G426" s="40">
        <v>202400673</v>
      </c>
      <c r="H426" s="13" t="s">
        <v>1920</v>
      </c>
      <c r="I426" s="13" t="s">
        <v>1192</v>
      </c>
      <c r="J426" s="14">
        <v>45509</v>
      </c>
      <c r="K426" s="14">
        <v>45870</v>
      </c>
      <c r="L426" s="13" t="s">
        <v>565</v>
      </c>
      <c r="M426" s="13" t="s">
        <v>1912</v>
      </c>
      <c r="N426" s="13" t="s">
        <v>1913</v>
      </c>
      <c r="O426" s="13" t="s">
        <v>1914</v>
      </c>
      <c r="P426" s="13" t="s">
        <v>254</v>
      </c>
      <c r="Q426" s="13" t="s">
        <v>618</v>
      </c>
      <c r="R426" s="13" t="str">
        <f>VLOOKUP(P426,'Dados das Regiões '!A:B,2,0)</f>
        <v>CURITIBA PORTÃO</v>
      </c>
      <c r="S426" s="13" t="s">
        <v>1919</v>
      </c>
      <c r="T426" s="13"/>
      <c r="U426" s="79"/>
      <c r="V426" s="13" t="s">
        <v>1916</v>
      </c>
      <c r="W426" s="13" t="s">
        <v>1917</v>
      </c>
      <c r="X426" s="15">
        <v>0.33333333333333331</v>
      </c>
      <c r="Y426" s="16" t="s">
        <v>1438</v>
      </c>
      <c r="Z426" s="16" t="s">
        <v>622</v>
      </c>
      <c r="AA426" s="36" t="s">
        <v>1808</v>
      </c>
      <c r="AB426" s="164">
        <v>202400673</v>
      </c>
      <c r="AC426" s="55" t="s">
        <v>13</v>
      </c>
    </row>
    <row r="427" spans="1:46">
      <c r="A427" s="14">
        <v>45866</v>
      </c>
      <c r="B427" s="13" t="str">
        <f t="shared" si="31"/>
        <v>Realizada</v>
      </c>
      <c r="C427" s="14">
        <f t="shared" si="32"/>
        <v>45958</v>
      </c>
      <c r="D427" s="13" t="s">
        <v>611</v>
      </c>
      <c r="E427" s="14">
        <f t="shared" si="33"/>
        <v>46050</v>
      </c>
      <c r="F427" s="13" t="s">
        <v>611</v>
      </c>
      <c r="G427" s="40">
        <v>202400673</v>
      </c>
      <c r="H427" s="13" t="s">
        <v>1931</v>
      </c>
      <c r="I427" s="13" t="s">
        <v>1192</v>
      </c>
      <c r="J427" s="14">
        <v>45509</v>
      </c>
      <c r="K427" s="14">
        <v>45870</v>
      </c>
      <c r="L427" s="13" t="s">
        <v>1932</v>
      </c>
      <c r="M427" s="13" t="s">
        <v>1933</v>
      </c>
      <c r="N427" s="13" t="s">
        <v>1934</v>
      </c>
      <c r="O427" s="13" t="s">
        <v>1935</v>
      </c>
      <c r="P427" s="13" t="s">
        <v>446</v>
      </c>
      <c r="Q427" s="13" t="s">
        <v>618</v>
      </c>
      <c r="R427" s="13" t="str">
        <f>VLOOKUP(P427,'Dados das Regiões '!A:B,2,0)</f>
        <v>PONTA GROSSA</v>
      </c>
      <c r="S427" s="13" t="s">
        <v>1936</v>
      </c>
      <c r="T427" s="13"/>
      <c r="U427" s="79" t="s">
        <v>1937</v>
      </c>
      <c r="V427" s="13" t="s">
        <v>1937</v>
      </c>
      <c r="W427" s="13" t="s">
        <v>1938</v>
      </c>
      <c r="X427" s="15">
        <v>0.58333333333333337</v>
      </c>
      <c r="Y427" s="16" t="s">
        <v>1939</v>
      </c>
      <c r="Z427" s="16" t="s">
        <v>622</v>
      </c>
      <c r="AA427" s="36"/>
      <c r="AB427" s="164">
        <v>202400673</v>
      </c>
      <c r="AC427" s="55" t="s">
        <v>13</v>
      </c>
    </row>
    <row r="428" spans="1:46">
      <c r="A428" s="14">
        <v>45866</v>
      </c>
      <c r="B428" s="13" t="str">
        <f t="shared" si="31"/>
        <v>Realizada</v>
      </c>
      <c r="C428" s="14">
        <f t="shared" si="32"/>
        <v>45958</v>
      </c>
      <c r="D428" s="13" t="s">
        <v>611</v>
      </c>
      <c r="E428" s="14">
        <f t="shared" si="33"/>
        <v>46050</v>
      </c>
      <c r="F428" s="13" t="s">
        <v>611</v>
      </c>
      <c r="G428" s="40">
        <v>202400673</v>
      </c>
      <c r="H428" s="13" t="s">
        <v>1940</v>
      </c>
      <c r="I428" s="13" t="s">
        <v>1192</v>
      </c>
      <c r="J428" s="14">
        <v>45509</v>
      </c>
      <c r="K428" s="14">
        <v>45870</v>
      </c>
      <c r="L428" s="13" t="s">
        <v>1932</v>
      </c>
      <c r="M428" s="13" t="s">
        <v>1933</v>
      </c>
      <c r="N428" s="13" t="s">
        <v>1934</v>
      </c>
      <c r="O428" s="13" t="s">
        <v>1935</v>
      </c>
      <c r="P428" s="13" t="s">
        <v>446</v>
      </c>
      <c r="Q428" s="13" t="s">
        <v>618</v>
      </c>
      <c r="R428" s="13" t="str">
        <f>VLOOKUP(P428,'Dados das Regiões '!A:B,2,0)</f>
        <v>PONTA GROSSA</v>
      </c>
      <c r="S428" s="13" t="s">
        <v>1936</v>
      </c>
      <c r="T428" s="13"/>
      <c r="U428" s="79" t="s">
        <v>1937</v>
      </c>
      <c r="V428" s="13" t="s">
        <v>1937</v>
      </c>
      <c r="W428" s="13" t="s">
        <v>1938</v>
      </c>
      <c r="X428" s="15">
        <v>0.70833333333333337</v>
      </c>
      <c r="Y428" s="16" t="s">
        <v>1941</v>
      </c>
      <c r="Z428" s="16" t="s">
        <v>622</v>
      </c>
      <c r="AA428" s="36"/>
      <c r="AB428" s="164">
        <v>202400673</v>
      </c>
      <c r="AC428" s="55" t="s">
        <v>13</v>
      </c>
    </row>
    <row r="429" spans="1:46">
      <c r="A429" s="14">
        <v>45866</v>
      </c>
      <c r="B429" s="13" t="str">
        <f t="shared" si="31"/>
        <v>Realizada</v>
      </c>
      <c r="C429" s="14">
        <f t="shared" si="32"/>
        <v>45958</v>
      </c>
      <c r="D429" s="13" t="s">
        <v>611</v>
      </c>
      <c r="E429" s="14">
        <f t="shared" si="33"/>
        <v>46050</v>
      </c>
      <c r="F429" s="13" t="s">
        <v>611</v>
      </c>
      <c r="G429" s="40">
        <v>202400673</v>
      </c>
      <c r="H429" s="13" t="s">
        <v>1942</v>
      </c>
      <c r="I429" s="13" t="s">
        <v>1192</v>
      </c>
      <c r="J429" s="14">
        <v>45509</v>
      </c>
      <c r="K429" s="14">
        <v>45870</v>
      </c>
      <c r="L429" s="13" t="s">
        <v>1932</v>
      </c>
      <c r="M429" s="13" t="s">
        <v>1933</v>
      </c>
      <c r="N429" s="13" t="s">
        <v>1934</v>
      </c>
      <c r="O429" s="13" t="s">
        <v>1935</v>
      </c>
      <c r="P429" s="13" t="s">
        <v>446</v>
      </c>
      <c r="Q429" s="13" t="s">
        <v>618</v>
      </c>
      <c r="R429" s="13" t="str">
        <f>VLOOKUP(P429,'Dados das Regiões '!A:B,2,0)</f>
        <v>PONTA GROSSA</v>
      </c>
      <c r="S429" s="13" t="s">
        <v>1936</v>
      </c>
      <c r="T429" s="13"/>
      <c r="U429" s="79" t="s">
        <v>1937</v>
      </c>
      <c r="V429" s="13" t="s">
        <v>1937</v>
      </c>
      <c r="W429" s="13" t="s">
        <v>1938</v>
      </c>
      <c r="X429" s="15">
        <v>0.54166666666666663</v>
      </c>
      <c r="Y429" s="16" t="s">
        <v>1943</v>
      </c>
      <c r="Z429" s="16" t="s">
        <v>622</v>
      </c>
      <c r="AA429" s="36"/>
      <c r="AB429" s="164">
        <v>202400673</v>
      </c>
      <c r="AC429" s="55" t="s">
        <v>13</v>
      </c>
    </row>
    <row r="430" spans="1:46">
      <c r="A430" s="14"/>
      <c r="B430" s="13" t="str">
        <f t="shared" si="31"/>
        <v>Pendente</v>
      </c>
      <c r="C430" s="14" t="str">
        <f t="shared" si="32"/>
        <v/>
      </c>
      <c r="D430" s="13" t="s">
        <v>611</v>
      </c>
      <c r="E430" s="14" t="str">
        <f t="shared" si="33"/>
        <v/>
      </c>
      <c r="F430" s="13" t="s">
        <v>611</v>
      </c>
      <c r="G430" s="40">
        <v>202400671</v>
      </c>
      <c r="H430" s="13" t="s">
        <v>1944</v>
      </c>
      <c r="I430" s="13" t="s">
        <v>613</v>
      </c>
      <c r="J430" s="14">
        <v>45509</v>
      </c>
      <c r="K430" s="14">
        <v>45870</v>
      </c>
      <c r="L430" s="13" t="s">
        <v>1945</v>
      </c>
      <c r="M430" s="13" t="s">
        <v>1946</v>
      </c>
      <c r="N430" s="13" t="s">
        <v>1947</v>
      </c>
      <c r="O430" s="17" t="s">
        <v>1948</v>
      </c>
      <c r="P430" s="13" t="s">
        <v>480</v>
      </c>
      <c r="Q430" s="13" t="s">
        <v>618</v>
      </c>
      <c r="R430" s="13" t="str">
        <f>VLOOKUP(P430,'Dados das Regiões '!A:B,2,0)</f>
        <v>TOLEDO</v>
      </c>
      <c r="S430" s="13" t="s">
        <v>1949</v>
      </c>
      <c r="T430" s="13"/>
      <c r="U430" s="79"/>
      <c r="V430" s="13" t="s">
        <v>1950</v>
      </c>
      <c r="W430" s="13" t="s">
        <v>1951</v>
      </c>
      <c r="X430" s="15">
        <v>0.64583333333333337</v>
      </c>
      <c r="Y430" s="16" t="s">
        <v>1415</v>
      </c>
      <c r="Z430" s="16" t="s">
        <v>622</v>
      </c>
      <c r="AA430" s="36" t="s">
        <v>1808</v>
      </c>
      <c r="AB430" s="164">
        <v>202400671</v>
      </c>
      <c r="AC430" s="55" t="s">
        <v>6</v>
      </c>
    </row>
    <row r="431" spans="1:46">
      <c r="A431" s="14"/>
      <c r="B431" s="13" t="str">
        <f t="shared" si="31"/>
        <v>Pendente</v>
      </c>
      <c r="C431" s="14" t="str">
        <f t="shared" si="32"/>
        <v/>
      </c>
      <c r="D431" s="13" t="s">
        <v>611</v>
      </c>
      <c r="E431" s="14" t="str">
        <f t="shared" si="33"/>
        <v/>
      </c>
      <c r="F431" s="13" t="s">
        <v>611</v>
      </c>
      <c r="G431" s="40">
        <v>202400671</v>
      </c>
      <c r="H431" s="13" t="s">
        <v>1952</v>
      </c>
      <c r="I431" s="13" t="s">
        <v>613</v>
      </c>
      <c r="J431" s="14">
        <v>45509</v>
      </c>
      <c r="K431" s="14">
        <v>45870</v>
      </c>
      <c r="L431" s="13" t="s">
        <v>1945</v>
      </c>
      <c r="M431" s="13" t="s">
        <v>1953</v>
      </c>
      <c r="N431" s="13" t="s">
        <v>1954</v>
      </c>
      <c r="O431" s="17" t="s">
        <v>1955</v>
      </c>
      <c r="P431" s="13" t="s">
        <v>352</v>
      </c>
      <c r="Q431" s="13" t="s">
        <v>618</v>
      </c>
      <c r="R431" s="13" t="str">
        <f>VLOOKUP(P431,'Dados das Regiões '!A:B,2,0)</f>
        <v>MARECHAL CÂNDIDO RONDON</v>
      </c>
      <c r="S431" s="13" t="s">
        <v>1956</v>
      </c>
      <c r="T431" s="13"/>
      <c r="U431" s="79" t="s">
        <v>1957</v>
      </c>
      <c r="V431" s="13" t="s">
        <v>1958</v>
      </c>
      <c r="W431" s="13" t="s">
        <v>1959</v>
      </c>
      <c r="X431" s="15">
        <v>0.5625</v>
      </c>
      <c r="Y431" s="16" t="s">
        <v>1415</v>
      </c>
      <c r="Z431" s="16" t="s">
        <v>622</v>
      </c>
      <c r="AA431" s="36" t="s">
        <v>1808</v>
      </c>
      <c r="AB431" s="164">
        <v>202400671</v>
      </c>
      <c r="AC431" s="55" t="s">
        <v>6</v>
      </c>
    </row>
    <row r="432" spans="1:46">
      <c r="A432" s="14">
        <v>45866</v>
      </c>
      <c r="B432" s="13" t="str">
        <f t="shared" si="31"/>
        <v>Realizada</v>
      </c>
      <c r="C432" s="14">
        <f t="shared" si="32"/>
        <v>45958</v>
      </c>
      <c r="D432" s="13" t="s">
        <v>611</v>
      </c>
      <c r="E432" s="14">
        <f t="shared" si="33"/>
        <v>46050</v>
      </c>
      <c r="F432" s="13" t="s">
        <v>611</v>
      </c>
      <c r="G432" s="40">
        <v>202400673</v>
      </c>
      <c r="H432" s="13" t="s">
        <v>1960</v>
      </c>
      <c r="I432" s="13" t="s">
        <v>1192</v>
      </c>
      <c r="J432" s="14">
        <v>45509</v>
      </c>
      <c r="K432" s="14">
        <v>45870</v>
      </c>
      <c r="L432" s="13" t="s">
        <v>1932</v>
      </c>
      <c r="M432" s="13" t="s">
        <v>1933</v>
      </c>
      <c r="N432" s="13" t="s">
        <v>1934</v>
      </c>
      <c r="O432" s="13" t="s">
        <v>1935</v>
      </c>
      <c r="P432" s="13" t="s">
        <v>446</v>
      </c>
      <c r="Q432" s="13" t="s">
        <v>618</v>
      </c>
      <c r="R432" s="13" t="str">
        <f>VLOOKUP(P432,'Dados das Regiões '!A:B,2,0)</f>
        <v>PONTA GROSSA</v>
      </c>
      <c r="S432" s="13" t="s">
        <v>1936</v>
      </c>
      <c r="T432" s="13"/>
      <c r="U432" s="79" t="s">
        <v>1937</v>
      </c>
      <c r="V432" s="13" t="s">
        <v>1937</v>
      </c>
      <c r="W432" s="13" t="s">
        <v>1938</v>
      </c>
      <c r="X432" s="15">
        <v>0.54166666666666663</v>
      </c>
      <c r="Y432" s="16" t="s">
        <v>1824</v>
      </c>
      <c r="Z432" s="16" t="s">
        <v>622</v>
      </c>
      <c r="AA432" s="36"/>
      <c r="AB432" s="164">
        <v>202400673</v>
      </c>
      <c r="AC432" s="55" t="s">
        <v>13</v>
      </c>
    </row>
    <row r="433" spans="1:29">
      <c r="A433" s="14">
        <v>45866</v>
      </c>
      <c r="B433" s="13" t="str">
        <f t="shared" si="31"/>
        <v>Realizada</v>
      </c>
      <c r="C433" s="14">
        <f t="shared" si="32"/>
        <v>45958</v>
      </c>
      <c r="D433" s="13" t="s">
        <v>611</v>
      </c>
      <c r="E433" s="14">
        <f t="shared" si="33"/>
        <v>46050</v>
      </c>
      <c r="F433" s="13" t="s">
        <v>611</v>
      </c>
      <c r="G433" s="40">
        <v>202400673</v>
      </c>
      <c r="H433" s="13" t="s">
        <v>1961</v>
      </c>
      <c r="I433" s="13" t="s">
        <v>1192</v>
      </c>
      <c r="J433" s="14">
        <v>45509</v>
      </c>
      <c r="K433" s="14">
        <v>45870</v>
      </c>
      <c r="L433" s="13" t="s">
        <v>1932</v>
      </c>
      <c r="M433" s="13" t="s">
        <v>1933</v>
      </c>
      <c r="N433" s="13" t="s">
        <v>1934</v>
      </c>
      <c r="O433" s="13" t="s">
        <v>1935</v>
      </c>
      <c r="P433" s="13" t="s">
        <v>446</v>
      </c>
      <c r="Q433" s="13" t="s">
        <v>618</v>
      </c>
      <c r="R433" s="13" t="str">
        <f>VLOOKUP(P433,'Dados das Regiões '!A:B,2,0)</f>
        <v>PONTA GROSSA</v>
      </c>
      <c r="S433" s="13" t="s">
        <v>1936</v>
      </c>
      <c r="T433" s="13"/>
      <c r="U433" s="79" t="s">
        <v>1937</v>
      </c>
      <c r="V433" s="13" t="s">
        <v>1937</v>
      </c>
      <c r="W433" s="13" t="s">
        <v>1938</v>
      </c>
      <c r="X433" s="15">
        <v>0.625</v>
      </c>
      <c r="Y433" s="16" t="s">
        <v>1962</v>
      </c>
      <c r="Z433" s="16" t="s">
        <v>622</v>
      </c>
      <c r="AA433" s="36"/>
      <c r="AB433" s="164">
        <v>202400673</v>
      </c>
      <c r="AC433" s="55" t="s">
        <v>13</v>
      </c>
    </row>
    <row r="434" spans="1:29">
      <c r="A434" s="14">
        <v>45866</v>
      </c>
      <c r="B434" s="13" t="str">
        <f t="shared" si="31"/>
        <v>Realizada</v>
      </c>
      <c r="C434" s="14">
        <f t="shared" si="32"/>
        <v>45958</v>
      </c>
      <c r="D434" s="13" t="s">
        <v>611</v>
      </c>
      <c r="E434" s="14">
        <f t="shared" si="33"/>
        <v>46050</v>
      </c>
      <c r="F434" s="13" t="s">
        <v>611</v>
      </c>
      <c r="G434" s="40">
        <v>202400673</v>
      </c>
      <c r="H434" s="13" t="s">
        <v>1963</v>
      </c>
      <c r="I434" s="13" t="s">
        <v>1192</v>
      </c>
      <c r="J434" s="14">
        <v>45509</v>
      </c>
      <c r="K434" s="14">
        <v>45870</v>
      </c>
      <c r="L434" s="13" t="s">
        <v>1932</v>
      </c>
      <c r="M434" s="13" t="s">
        <v>1933</v>
      </c>
      <c r="N434" s="13" t="s">
        <v>1934</v>
      </c>
      <c r="O434" s="13" t="s">
        <v>1935</v>
      </c>
      <c r="P434" s="13" t="s">
        <v>446</v>
      </c>
      <c r="Q434" s="13" t="s">
        <v>618</v>
      </c>
      <c r="R434" s="13" t="str">
        <f>VLOOKUP(P434,'Dados das Regiões '!A:B,2,0)</f>
        <v>PONTA GROSSA</v>
      </c>
      <c r="S434" s="13" t="s">
        <v>1936</v>
      </c>
      <c r="T434" s="13"/>
      <c r="U434" s="79" t="s">
        <v>1937</v>
      </c>
      <c r="V434" s="13" t="s">
        <v>1937</v>
      </c>
      <c r="W434" s="13" t="s">
        <v>1938</v>
      </c>
      <c r="X434" s="15">
        <v>0.625</v>
      </c>
      <c r="Y434" s="16" t="s">
        <v>1964</v>
      </c>
      <c r="Z434" s="16" t="s">
        <v>622</v>
      </c>
      <c r="AA434" s="36"/>
      <c r="AB434" s="164">
        <v>202400673</v>
      </c>
      <c r="AC434" s="55" t="s">
        <v>13</v>
      </c>
    </row>
    <row r="435" spans="1:29">
      <c r="A435" s="14"/>
      <c r="B435" s="13" t="str">
        <f t="shared" si="31"/>
        <v>Pendente</v>
      </c>
      <c r="C435" s="14" t="str">
        <f t="shared" si="32"/>
        <v/>
      </c>
      <c r="D435" s="13" t="s">
        <v>611</v>
      </c>
      <c r="E435" s="14" t="str">
        <f t="shared" si="33"/>
        <v/>
      </c>
      <c r="F435" s="13" t="s">
        <v>611</v>
      </c>
      <c r="G435" s="40">
        <v>202400673</v>
      </c>
      <c r="H435" s="13" t="s">
        <v>1965</v>
      </c>
      <c r="I435" s="13" t="s">
        <v>1192</v>
      </c>
      <c r="J435" s="14">
        <v>45509</v>
      </c>
      <c r="K435" s="14">
        <v>45870</v>
      </c>
      <c r="L435" s="13" t="s">
        <v>1872</v>
      </c>
      <c r="M435" s="13" t="s">
        <v>1873</v>
      </c>
      <c r="N435" s="13" t="s">
        <v>1874</v>
      </c>
      <c r="O435" s="17" t="s">
        <v>1875</v>
      </c>
      <c r="P435" s="13" t="s">
        <v>307</v>
      </c>
      <c r="Q435" s="13" t="s">
        <v>618</v>
      </c>
      <c r="R435" s="13" t="str">
        <f>VLOOKUP(P435,'Dados das Regiões '!A:B,2,0)</f>
        <v>IRATI</v>
      </c>
      <c r="S435" s="13" t="s">
        <v>1966</v>
      </c>
      <c r="T435" s="13"/>
      <c r="U435" s="79" t="s">
        <v>1877</v>
      </c>
      <c r="V435" s="13" t="s">
        <v>1877</v>
      </c>
      <c r="W435" s="13" t="s">
        <v>1878</v>
      </c>
      <c r="X435" s="15">
        <v>0.58333333333333337</v>
      </c>
      <c r="Y435" s="16" t="s">
        <v>1967</v>
      </c>
      <c r="Z435" s="16" t="s">
        <v>622</v>
      </c>
      <c r="AA435" s="36" t="s">
        <v>1808</v>
      </c>
      <c r="AB435" s="164">
        <v>202400673</v>
      </c>
      <c r="AC435" s="55" t="s">
        <v>13</v>
      </c>
    </row>
    <row r="436" spans="1:29">
      <c r="A436" s="14"/>
      <c r="B436" s="13" t="str">
        <f t="shared" si="31"/>
        <v>Pendente</v>
      </c>
      <c r="C436" s="14" t="str">
        <f t="shared" si="32"/>
        <v/>
      </c>
      <c r="D436" s="13" t="s">
        <v>611</v>
      </c>
      <c r="E436" s="14" t="str">
        <f t="shared" si="33"/>
        <v/>
      </c>
      <c r="F436" s="13" t="s">
        <v>611</v>
      </c>
      <c r="G436" s="40">
        <v>202400673</v>
      </c>
      <c r="H436" s="13" t="s">
        <v>1968</v>
      </c>
      <c r="I436" s="13" t="s">
        <v>1192</v>
      </c>
      <c r="J436" s="14">
        <v>45509</v>
      </c>
      <c r="K436" s="14">
        <v>45870</v>
      </c>
      <c r="L436" s="13" t="s">
        <v>1969</v>
      </c>
      <c r="M436" s="13" t="s">
        <v>1970</v>
      </c>
      <c r="N436" s="13" t="s">
        <v>1971</v>
      </c>
      <c r="O436" s="17" t="s">
        <v>1972</v>
      </c>
      <c r="P436" s="13" t="s">
        <v>136</v>
      </c>
      <c r="Q436" s="13" t="s">
        <v>618</v>
      </c>
      <c r="R436" s="13" t="str">
        <f>VLOOKUP(P436,'Dados das Regiões '!A:B,2,0)</f>
        <v>ARAPONGAS</v>
      </c>
      <c r="S436" s="13" t="s">
        <v>1973</v>
      </c>
      <c r="T436" s="13"/>
      <c r="U436" s="79" t="s">
        <v>1974</v>
      </c>
      <c r="V436" s="13" t="s">
        <v>1975</v>
      </c>
      <c r="W436" s="13" t="s">
        <v>1976</v>
      </c>
      <c r="X436" s="15">
        <v>0.33333333333333331</v>
      </c>
      <c r="Y436" s="16" t="s">
        <v>1438</v>
      </c>
      <c r="Z436" s="16" t="s">
        <v>622</v>
      </c>
      <c r="AA436" s="36" t="s">
        <v>1808</v>
      </c>
      <c r="AB436" s="164">
        <v>202400673</v>
      </c>
      <c r="AC436" s="55" t="s">
        <v>13</v>
      </c>
    </row>
    <row r="437" spans="1:29">
      <c r="A437" s="14"/>
      <c r="B437" s="13" t="str">
        <f t="shared" si="31"/>
        <v>Pendente</v>
      </c>
      <c r="C437" s="14" t="str">
        <f t="shared" si="32"/>
        <v/>
      </c>
      <c r="D437" s="13" t="s">
        <v>611</v>
      </c>
      <c r="E437" s="14" t="str">
        <f t="shared" si="33"/>
        <v/>
      </c>
      <c r="F437" s="13" t="s">
        <v>611</v>
      </c>
      <c r="G437" s="40">
        <v>202400673</v>
      </c>
      <c r="H437" s="13" t="s">
        <v>1977</v>
      </c>
      <c r="I437" s="13" t="s">
        <v>1192</v>
      </c>
      <c r="J437" s="14">
        <v>45509</v>
      </c>
      <c r="K437" s="14">
        <v>45870</v>
      </c>
      <c r="L437" s="13" t="s">
        <v>1969</v>
      </c>
      <c r="M437" s="13" t="s">
        <v>1978</v>
      </c>
      <c r="N437" s="13" t="s">
        <v>1979</v>
      </c>
      <c r="O437" s="17" t="s">
        <v>1980</v>
      </c>
      <c r="P437" s="13" t="s">
        <v>136</v>
      </c>
      <c r="Q437" s="13" t="s">
        <v>618</v>
      </c>
      <c r="R437" s="13" t="str">
        <f>VLOOKUP(P437,'Dados das Regiões '!A:B,2,0)</f>
        <v>ARAPONGAS</v>
      </c>
      <c r="S437" s="13" t="s">
        <v>1981</v>
      </c>
      <c r="T437" s="13"/>
      <c r="U437" s="79" t="s">
        <v>1982</v>
      </c>
      <c r="V437" s="13" t="s">
        <v>1983</v>
      </c>
      <c r="W437" s="13" t="s">
        <v>1984</v>
      </c>
      <c r="X437" s="15">
        <v>0.41666666666666669</v>
      </c>
      <c r="Y437" s="16" t="s">
        <v>1438</v>
      </c>
      <c r="Z437" s="16" t="s">
        <v>622</v>
      </c>
      <c r="AA437" s="36" t="s">
        <v>1808</v>
      </c>
      <c r="AB437" s="164">
        <v>202400673</v>
      </c>
      <c r="AC437" s="55" t="s">
        <v>13</v>
      </c>
    </row>
    <row r="438" spans="1:29">
      <c r="A438" s="14"/>
      <c r="B438" s="13" t="str">
        <f t="shared" si="31"/>
        <v>Pendente</v>
      </c>
      <c r="C438" s="14" t="str">
        <f t="shared" si="32"/>
        <v/>
      </c>
      <c r="D438" s="13" t="s">
        <v>611</v>
      </c>
      <c r="E438" s="14" t="str">
        <f t="shared" si="33"/>
        <v/>
      </c>
      <c r="F438" s="13" t="s">
        <v>611</v>
      </c>
      <c r="G438" s="40">
        <v>202400671</v>
      </c>
      <c r="H438" s="13" t="s">
        <v>1985</v>
      </c>
      <c r="I438" s="13" t="s">
        <v>613</v>
      </c>
      <c r="J438" s="14">
        <v>45509</v>
      </c>
      <c r="K438" s="14">
        <v>45870</v>
      </c>
      <c r="L438" s="13" t="s">
        <v>1945</v>
      </c>
      <c r="M438" s="13" t="s">
        <v>1986</v>
      </c>
      <c r="N438" s="13" t="s">
        <v>1987</v>
      </c>
      <c r="O438" s="17" t="s">
        <v>1988</v>
      </c>
      <c r="P438" s="13" t="s">
        <v>53</v>
      </c>
      <c r="Q438" s="13" t="s">
        <v>618</v>
      </c>
      <c r="R438" s="13" t="str">
        <f>VLOOKUP(P438,'Dados das Regiões '!A:B,2,0)</f>
        <v>GOIOERÊ</v>
      </c>
      <c r="S438" s="13" t="s">
        <v>1989</v>
      </c>
      <c r="T438" s="13"/>
      <c r="U438" s="79" t="s">
        <v>1990</v>
      </c>
      <c r="V438" s="13" t="s">
        <v>1991</v>
      </c>
      <c r="W438" s="13" t="s">
        <v>1992</v>
      </c>
      <c r="X438" s="15">
        <v>0.33333333333333331</v>
      </c>
      <c r="Y438" s="16" t="s">
        <v>1438</v>
      </c>
      <c r="Z438" s="16" t="s">
        <v>622</v>
      </c>
      <c r="AA438" s="36" t="s">
        <v>1808</v>
      </c>
      <c r="AB438" s="164">
        <v>202400671</v>
      </c>
      <c r="AC438" s="55" t="s">
        <v>6</v>
      </c>
    </row>
    <row r="439" spans="1:29">
      <c r="A439" s="14"/>
      <c r="B439" s="13" t="str">
        <f t="shared" si="31"/>
        <v>Pendente</v>
      </c>
      <c r="C439" s="14" t="str">
        <f t="shared" si="32"/>
        <v/>
      </c>
      <c r="D439" s="13" t="s">
        <v>611</v>
      </c>
      <c r="E439" s="14" t="str">
        <f t="shared" si="33"/>
        <v/>
      </c>
      <c r="F439" s="13" t="s">
        <v>611</v>
      </c>
      <c r="G439" s="40">
        <v>202400673</v>
      </c>
      <c r="H439" s="13" t="s">
        <v>1993</v>
      </c>
      <c r="I439" s="13" t="s">
        <v>1192</v>
      </c>
      <c r="J439" s="14">
        <v>45509</v>
      </c>
      <c r="K439" s="14">
        <v>45870</v>
      </c>
      <c r="L439" s="13" t="s">
        <v>1969</v>
      </c>
      <c r="M439" s="13" t="s">
        <v>1994</v>
      </c>
      <c r="N439" s="13" t="s">
        <v>1995</v>
      </c>
      <c r="O439" s="17" t="s">
        <v>1996</v>
      </c>
      <c r="P439" s="13" t="s">
        <v>136</v>
      </c>
      <c r="Q439" s="13" t="s">
        <v>618</v>
      </c>
      <c r="R439" s="13" t="str">
        <f>VLOOKUP(P439,'Dados das Regiões '!A:B,2,0)</f>
        <v>ARAPONGAS</v>
      </c>
      <c r="S439" s="13" t="s">
        <v>1997</v>
      </c>
      <c r="T439" s="13"/>
      <c r="U439" s="79" t="s">
        <v>1998</v>
      </c>
      <c r="V439" s="13" t="s">
        <v>1999</v>
      </c>
      <c r="W439" s="13" t="s">
        <v>2000</v>
      </c>
      <c r="X439" s="15">
        <v>0.33333333333333331</v>
      </c>
      <c r="Y439" s="16" t="s">
        <v>1438</v>
      </c>
      <c r="Z439" s="16" t="s">
        <v>622</v>
      </c>
      <c r="AA439" s="36" t="s">
        <v>1808</v>
      </c>
      <c r="AB439" s="164">
        <v>202400673</v>
      </c>
      <c r="AC439" s="55" t="s">
        <v>13</v>
      </c>
    </row>
    <row r="440" spans="1:29">
      <c r="A440" s="14"/>
      <c r="B440" s="13" t="str">
        <f t="shared" si="31"/>
        <v>Pendente</v>
      </c>
      <c r="C440" s="14" t="str">
        <f t="shared" si="32"/>
        <v/>
      </c>
      <c r="D440" s="13" t="s">
        <v>611</v>
      </c>
      <c r="E440" s="14" t="str">
        <f t="shared" si="33"/>
        <v/>
      </c>
      <c r="F440" s="13" t="s">
        <v>611</v>
      </c>
      <c r="G440" s="40">
        <v>202400673</v>
      </c>
      <c r="H440" s="13" t="s">
        <v>2001</v>
      </c>
      <c r="I440" s="13" t="s">
        <v>1192</v>
      </c>
      <c r="J440" s="14">
        <v>45509</v>
      </c>
      <c r="K440" s="14">
        <v>45870</v>
      </c>
      <c r="L440" s="13" t="s">
        <v>1969</v>
      </c>
      <c r="M440" s="13" t="s">
        <v>1994</v>
      </c>
      <c r="N440" s="13" t="s">
        <v>1995</v>
      </c>
      <c r="O440" s="17" t="s">
        <v>1996</v>
      </c>
      <c r="P440" s="13" t="s">
        <v>136</v>
      </c>
      <c r="Q440" s="13" t="s">
        <v>618</v>
      </c>
      <c r="R440" s="13" t="str">
        <f>VLOOKUP(P440,'Dados das Regiões '!A:B,2,0)</f>
        <v>ARAPONGAS</v>
      </c>
      <c r="S440" s="13" t="s">
        <v>2002</v>
      </c>
      <c r="T440" s="13"/>
      <c r="U440" s="79" t="s">
        <v>1998</v>
      </c>
      <c r="V440" s="13" t="s">
        <v>1999</v>
      </c>
      <c r="W440" s="13" t="s">
        <v>2000</v>
      </c>
      <c r="X440" s="15">
        <v>0.58333333333333337</v>
      </c>
      <c r="Y440" s="16" t="s">
        <v>1200</v>
      </c>
      <c r="Z440" s="16" t="s">
        <v>622</v>
      </c>
      <c r="AA440" s="36" t="s">
        <v>1808</v>
      </c>
      <c r="AB440" s="164">
        <v>202400673</v>
      </c>
      <c r="AC440" s="55" t="s">
        <v>13</v>
      </c>
    </row>
    <row r="441" spans="1:29">
      <c r="A441" s="14"/>
      <c r="B441" s="13" t="str">
        <f t="shared" si="31"/>
        <v>Pendente</v>
      </c>
      <c r="C441" s="14" t="str">
        <f t="shared" si="32"/>
        <v/>
      </c>
      <c r="D441" s="13" t="s">
        <v>611</v>
      </c>
      <c r="E441" s="14" t="str">
        <f t="shared" si="33"/>
        <v/>
      </c>
      <c r="F441" s="13" t="s">
        <v>611</v>
      </c>
      <c r="G441" s="40">
        <v>202400673</v>
      </c>
      <c r="H441" s="13" t="s">
        <v>2003</v>
      </c>
      <c r="I441" s="13" t="s">
        <v>1192</v>
      </c>
      <c r="J441" s="14">
        <v>45509</v>
      </c>
      <c r="K441" s="14">
        <v>45870</v>
      </c>
      <c r="L441" s="13" t="s">
        <v>1969</v>
      </c>
      <c r="M441" s="13" t="s">
        <v>1994</v>
      </c>
      <c r="N441" s="13" t="s">
        <v>1995</v>
      </c>
      <c r="O441" s="17" t="s">
        <v>1996</v>
      </c>
      <c r="P441" s="13" t="s">
        <v>136</v>
      </c>
      <c r="Q441" s="13" t="s">
        <v>618</v>
      </c>
      <c r="R441" s="13" t="str">
        <f>VLOOKUP(P441,'Dados das Regiões '!A:B,2,0)</f>
        <v>ARAPONGAS</v>
      </c>
      <c r="S441" s="13" t="s">
        <v>2002</v>
      </c>
      <c r="T441" s="13"/>
      <c r="U441" s="79" t="s">
        <v>1998</v>
      </c>
      <c r="V441" s="13" t="s">
        <v>1999</v>
      </c>
      <c r="W441" s="13" t="s">
        <v>2000</v>
      </c>
      <c r="X441" s="15">
        <v>0.58333333333333337</v>
      </c>
      <c r="Y441" s="16" t="s">
        <v>1200</v>
      </c>
      <c r="Z441" s="16" t="s">
        <v>622</v>
      </c>
      <c r="AA441" s="36" t="s">
        <v>1808</v>
      </c>
      <c r="AB441" s="164">
        <v>202400673</v>
      </c>
      <c r="AC441" s="55" t="s">
        <v>13</v>
      </c>
    </row>
    <row r="442" spans="1:29">
      <c r="A442" s="100"/>
      <c r="B442" s="101" t="str">
        <f t="shared" si="31"/>
        <v>Pendente</v>
      </c>
      <c r="C442" s="100" t="str">
        <f t="shared" si="32"/>
        <v/>
      </c>
      <c r="D442" s="101" t="s">
        <v>611</v>
      </c>
      <c r="E442" s="100" t="str">
        <f t="shared" si="33"/>
        <v/>
      </c>
      <c r="F442" s="101" t="s">
        <v>611</v>
      </c>
      <c r="G442" s="107">
        <v>202400671</v>
      </c>
      <c r="H442" s="101" t="s">
        <v>2004</v>
      </c>
      <c r="I442" s="101" t="s">
        <v>613</v>
      </c>
      <c r="J442" s="100">
        <v>45509</v>
      </c>
      <c r="K442" s="100">
        <v>45870</v>
      </c>
      <c r="L442" s="101" t="s">
        <v>2005</v>
      </c>
      <c r="M442" s="101" t="s">
        <v>2006</v>
      </c>
      <c r="N442" s="101" t="s">
        <v>2007</v>
      </c>
      <c r="O442" s="102" t="s">
        <v>2008</v>
      </c>
      <c r="P442" s="101" t="s">
        <v>294</v>
      </c>
      <c r="Q442" s="101" t="s">
        <v>618</v>
      </c>
      <c r="R442" s="101" t="str">
        <f>VLOOKUP(P442,'Dados das Regiões '!A:B,2,0)</f>
        <v>GUARAPUAVA</v>
      </c>
      <c r="S442" s="101" t="s">
        <v>2009</v>
      </c>
      <c r="T442" s="101"/>
      <c r="U442" s="108" t="s">
        <v>2010</v>
      </c>
      <c r="V442" s="101" t="s">
        <v>2011</v>
      </c>
      <c r="W442" s="101" t="s">
        <v>2012</v>
      </c>
      <c r="X442" s="103">
        <v>0.54166666666666663</v>
      </c>
      <c r="Y442" s="104" t="s">
        <v>2013</v>
      </c>
      <c r="Z442" s="104" t="s">
        <v>622</v>
      </c>
      <c r="AA442" s="105" t="s">
        <v>2014</v>
      </c>
      <c r="AB442" s="165">
        <v>202400671</v>
      </c>
      <c r="AC442" s="55" t="s">
        <v>6</v>
      </c>
    </row>
    <row r="443" spans="1:29">
      <c r="A443" s="14"/>
      <c r="B443" s="13" t="str">
        <f t="shared" ref="B443:B506" si="34">IF(ISBLANK(A443), "Pendente", "Realizada")</f>
        <v>Pendente</v>
      </c>
      <c r="C443" s="14" t="str">
        <f t="shared" ref="C443:C460" si="35">IF(A443="", "", EDATE(A443, 3))</f>
        <v/>
      </c>
      <c r="D443" s="13" t="s">
        <v>611</v>
      </c>
      <c r="E443" s="14" t="str">
        <f t="shared" ref="E443:E460" si="36">IF(C443="", "", EDATE(C443, 3))</f>
        <v/>
      </c>
      <c r="F443" s="13" t="s">
        <v>611</v>
      </c>
      <c r="G443" s="40">
        <v>202400673</v>
      </c>
      <c r="H443" s="13" t="s">
        <v>2015</v>
      </c>
      <c r="I443" s="13" t="s">
        <v>1192</v>
      </c>
      <c r="J443" s="14">
        <v>45509</v>
      </c>
      <c r="K443" s="14">
        <v>45870</v>
      </c>
      <c r="L443" s="13" t="s">
        <v>2016</v>
      </c>
      <c r="M443" s="13" t="s">
        <v>2017</v>
      </c>
      <c r="N443" s="13" t="s">
        <v>2018</v>
      </c>
      <c r="O443" s="17" t="s">
        <v>2019</v>
      </c>
      <c r="P443" s="13" t="s">
        <v>468</v>
      </c>
      <c r="Q443" s="13" t="s">
        <v>618</v>
      </c>
      <c r="R443" s="13" t="str">
        <f>VLOOKUP(P443,'Dados das Regiões '!A:B,2,0)</f>
        <v>SÃO JOSÉ DOS PINHAIS</v>
      </c>
      <c r="S443" s="13" t="s">
        <v>2020</v>
      </c>
      <c r="T443" s="13"/>
      <c r="U443" s="79" t="s">
        <v>2021</v>
      </c>
      <c r="V443" s="13" t="s">
        <v>2022</v>
      </c>
      <c r="W443" s="13" t="s">
        <v>2023</v>
      </c>
      <c r="X443" s="15">
        <v>0.54166666666666663</v>
      </c>
      <c r="Y443" s="16" t="s">
        <v>1824</v>
      </c>
      <c r="Z443" s="16" t="s">
        <v>622</v>
      </c>
      <c r="AA443" s="36" t="s">
        <v>1808</v>
      </c>
      <c r="AB443" s="164">
        <v>202400673</v>
      </c>
      <c r="AC443" s="55" t="s">
        <v>13</v>
      </c>
    </row>
    <row r="444" spans="1:29">
      <c r="A444" s="14">
        <v>45854</v>
      </c>
      <c r="B444" s="13" t="str">
        <f t="shared" si="34"/>
        <v>Realizada</v>
      </c>
      <c r="C444" s="14">
        <f t="shared" si="35"/>
        <v>45946</v>
      </c>
      <c r="D444" s="13" t="s">
        <v>611</v>
      </c>
      <c r="E444" s="14">
        <f t="shared" si="36"/>
        <v>46038</v>
      </c>
      <c r="F444" s="13" t="s">
        <v>611</v>
      </c>
      <c r="G444" s="40">
        <v>202400671</v>
      </c>
      <c r="H444" s="13" t="s">
        <v>2024</v>
      </c>
      <c r="I444" s="13" t="s">
        <v>613</v>
      </c>
      <c r="J444" s="14">
        <v>45509</v>
      </c>
      <c r="K444" s="14">
        <v>45870</v>
      </c>
      <c r="L444" s="13" t="s">
        <v>2005</v>
      </c>
      <c r="M444" s="13" t="s">
        <v>2025</v>
      </c>
      <c r="N444" s="13" t="s">
        <v>2026</v>
      </c>
      <c r="O444" s="17" t="s">
        <v>2027</v>
      </c>
      <c r="P444" s="13" t="s">
        <v>294</v>
      </c>
      <c r="Q444" s="13" t="s">
        <v>618</v>
      </c>
      <c r="R444" s="13" t="str">
        <f>VLOOKUP(P444,'Dados das Regiões '!A:B,2,0)</f>
        <v>GUARAPUAVA</v>
      </c>
      <c r="S444" s="13" t="s">
        <v>2028</v>
      </c>
      <c r="T444" s="13"/>
      <c r="U444" s="79" t="s">
        <v>2010</v>
      </c>
      <c r="V444" s="13" t="s">
        <v>2011</v>
      </c>
      <c r="W444" s="13" t="s">
        <v>2012</v>
      </c>
      <c r="X444" s="15">
        <v>0.54166666666666663</v>
      </c>
      <c r="Y444" s="16" t="s">
        <v>1824</v>
      </c>
      <c r="Z444" s="16" t="s">
        <v>622</v>
      </c>
      <c r="AA444" s="36" t="s">
        <v>2029</v>
      </c>
      <c r="AB444" s="164">
        <v>202400671</v>
      </c>
      <c r="AC444" s="55" t="s">
        <v>6</v>
      </c>
    </row>
    <row r="445" spans="1:29">
      <c r="A445" s="14">
        <v>45855</v>
      </c>
      <c r="B445" s="13" t="str">
        <f t="shared" si="34"/>
        <v>Realizada</v>
      </c>
      <c r="C445" s="14">
        <f t="shared" si="35"/>
        <v>45947</v>
      </c>
      <c r="D445" s="13" t="s">
        <v>611</v>
      </c>
      <c r="E445" s="14">
        <f t="shared" si="36"/>
        <v>46039</v>
      </c>
      <c r="F445" s="13" t="s">
        <v>611</v>
      </c>
      <c r="G445" s="40">
        <v>202400673</v>
      </c>
      <c r="H445" s="13" t="s">
        <v>2030</v>
      </c>
      <c r="I445" s="13" t="s">
        <v>1192</v>
      </c>
      <c r="J445" s="14">
        <v>45509</v>
      </c>
      <c r="K445" s="14">
        <v>45870</v>
      </c>
      <c r="L445" s="13" t="s">
        <v>2031</v>
      </c>
      <c r="M445" s="13" t="s">
        <v>2032</v>
      </c>
      <c r="N445" s="13" t="s">
        <v>2033</v>
      </c>
      <c r="O445" s="17" t="s">
        <v>2034</v>
      </c>
      <c r="P445" s="13" t="s">
        <v>294</v>
      </c>
      <c r="Q445" s="13" t="s">
        <v>618</v>
      </c>
      <c r="R445" s="13" t="str">
        <f>VLOOKUP(P445,'Dados das Regiões '!A:B,2,0)</f>
        <v>GUARAPUAVA</v>
      </c>
      <c r="S445" s="13" t="s">
        <v>2035</v>
      </c>
      <c r="T445" s="13"/>
      <c r="U445" s="79" t="s">
        <v>2036</v>
      </c>
      <c r="V445" s="13" t="s">
        <v>2037</v>
      </c>
      <c r="W445" s="13" t="s">
        <v>2038</v>
      </c>
      <c r="X445" s="15">
        <v>0.375</v>
      </c>
      <c r="Y445" s="16" t="s">
        <v>2039</v>
      </c>
      <c r="Z445" s="16" t="s">
        <v>622</v>
      </c>
      <c r="AA445" s="36" t="s">
        <v>2029</v>
      </c>
      <c r="AB445" s="164">
        <v>202400673</v>
      </c>
      <c r="AC445" s="55" t="s">
        <v>13</v>
      </c>
    </row>
    <row r="446" spans="1:29">
      <c r="A446" s="14"/>
      <c r="B446" s="13" t="str">
        <f t="shared" si="34"/>
        <v>Pendente</v>
      </c>
      <c r="C446" s="14" t="str">
        <f t="shared" si="35"/>
        <v/>
      </c>
      <c r="D446" s="13" t="s">
        <v>611</v>
      </c>
      <c r="E446" s="14" t="str">
        <f t="shared" si="36"/>
        <v/>
      </c>
      <c r="F446" s="13" t="s">
        <v>611</v>
      </c>
      <c r="G446" s="40">
        <v>202400671</v>
      </c>
      <c r="H446" s="13" t="s">
        <v>2040</v>
      </c>
      <c r="I446" s="13" t="s">
        <v>613</v>
      </c>
      <c r="J446" s="14">
        <v>45509</v>
      </c>
      <c r="K446" s="14">
        <v>45870</v>
      </c>
      <c r="L446" s="13" t="s">
        <v>2041</v>
      </c>
      <c r="M446" s="13" t="s">
        <v>2042</v>
      </c>
      <c r="N446" s="13" t="s">
        <v>2043</v>
      </c>
      <c r="O446" s="13" t="s">
        <v>2044</v>
      </c>
      <c r="P446" s="13" t="s">
        <v>341</v>
      </c>
      <c r="Q446" s="13" t="s">
        <v>618</v>
      </c>
      <c r="R446" s="13" t="str">
        <f>VLOOKUP(P446,'Dados das Regiões '!A:B,2,0)</f>
        <v>LONDRINA CENTRO</v>
      </c>
      <c r="S446" s="13" t="s">
        <v>2045</v>
      </c>
      <c r="T446" s="13"/>
      <c r="U446" s="79"/>
      <c r="V446" s="13" t="s">
        <v>2046</v>
      </c>
      <c r="W446" s="13" t="s">
        <v>2047</v>
      </c>
      <c r="X446" s="15">
        <v>0.5625</v>
      </c>
      <c r="Y446" s="16" t="s">
        <v>1415</v>
      </c>
      <c r="Z446" s="16" t="s">
        <v>622</v>
      </c>
      <c r="AA446" s="36" t="s">
        <v>1808</v>
      </c>
      <c r="AB446" s="164">
        <v>202400671</v>
      </c>
      <c r="AC446" s="55" t="s">
        <v>6</v>
      </c>
    </row>
    <row r="447" spans="1:29">
      <c r="A447" s="14"/>
      <c r="B447" s="13" t="str">
        <f t="shared" si="34"/>
        <v>Pendente</v>
      </c>
      <c r="C447" s="14" t="str">
        <f t="shared" si="35"/>
        <v/>
      </c>
      <c r="D447" s="13" t="s">
        <v>611</v>
      </c>
      <c r="E447" s="14" t="str">
        <f t="shared" si="36"/>
        <v/>
      </c>
      <c r="F447" s="13" t="s">
        <v>611</v>
      </c>
      <c r="G447" s="40">
        <v>202400671</v>
      </c>
      <c r="H447" s="13" t="s">
        <v>2048</v>
      </c>
      <c r="I447" s="13" t="s">
        <v>613</v>
      </c>
      <c r="J447" s="14">
        <v>45509</v>
      </c>
      <c r="K447" s="14">
        <v>45870</v>
      </c>
      <c r="L447" s="13" t="s">
        <v>2049</v>
      </c>
      <c r="M447" s="13" t="s">
        <v>2050</v>
      </c>
      <c r="N447" s="13" t="s">
        <v>2051</v>
      </c>
      <c r="O447" s="17" t="s">
        <v>2052</v>
      </c>
      <c r="P447" s="13" t="s">
        <v>57</v>
      </c>
      <c r="Q447" s="13" t="s">
        <v>618</v>
      </c>
      <c r="R447" s="13" t="str">
        <f>VLOOKUP(P447,'Dados das Regiões '!A:B,2,0)</f>
        <v>BELA VISTA DO PARAÍSO</v>
      </c>
      <c r="S447" s="13" t="s">
        <v>2053</v>
      </c>
      <c r="T447" s="13"/>
      <c r="U447" s="79"/>
      <c r="V447" s="13" t="s">
        <v>2054</v>
      </c>
      <c r="W447" s="13" t="s">
        <v>2055</v>
      </c>
      <c r="X447" s="15">
        <v>0.54166666666666663</v>
      </c>
      <c r="Y447" s="16" t="s">
        <v>1824</v>
      </c>
      <c r="Z447" s="16" t="s">
        <v>622</v>
      </c>
      <c r="AA447" s="36" t="s">
        <v>1808</v>
      </c>
      <c r="AB447" s="164">
        <v>202400671</v>
      </c>
      <c r="AC447" s="55" t="s">
        <v>6</v>
      </c>
    </row>
    <row r="448" spans="1:29">
      <c r="A448" s="100"/>
      <c r="B448" s="101" t="str">
        <f t="shared" si="34"/>
        <v>Pendente</v>
      </c>
      <c r="C448" s="100" t="str">
        <f t="shared" si="35"/>
        <v/>
      </c>
      <c r="D448" s="101" t="s">
        <v>611</v>
      </c>
      <c r="E448" s="100" t="str">
        <f t="shared" si="36"/>
        <v/>
      </c>
      <c r="F448" s="101" t="s">
        <v>611</v>
      </c>
      <c r="G448" s="107">
        <v>202400671</v>
      </c>
      <c r="H448" s="101" t="s">
        <v>2056</v>
      </c>
      <c r="I448" s="101" t="s">
        <v>613</v>
      </c>
      <c r="J448" s="100">
        <v>45509</v>
      </c>
      <c r="K448" s="100">
        <v>45870</v>
      </c>
      <c r="L448" s="101" t="s">
        <v>2049</v>
      </c>
      <c r="M448" s="101" t="s">
        <v>2057</v>
      </c>
      <c r="N448" s="101" t="s">
        <v>2058</v>
      </c>
      <c r="O448" s="102" t="s">
        <v>2059</v>
      </c>
      <c r="P448" s="101" t="s">
        <v>447</v>
      </c>
      <c r="Q448" s="101" t="s">
        <v>618</v>
      </c>
      <c r="R448" s="101" t="str">
        <f>VLOOKUP(P448,'Dados das Regiões '!A:B,2,0)</f>
        <v>PONTA GROSSA</v>
      </c>
      <c r="S448" s="101" t="s">
        <v>2060</v>
      </c>
      <c r="T448" s="101"/>
      <c r="U448" s="108"/>
      <c r="V448" s="101" t="s">
        <v>2061</v>
      </c>
      <c r="W448" s="101" t="s">
        <v>2062</v>
      </c>
      <c r="X448" s="103">
        <v>0.3125</v>
      </c>
      <c r="Y448" s="104" t="s">
        <v>1449</v>
      </c>
      <c r="Z448" s="104" t="s">
        <v>622</v>
      </c>
      <c r="AA448" s="105" t="s">
        <v>2063</v>
      </c>
      <c r="AB448" s="165">
        <v>202400671</v>
      </c>
      <c r="AC448" s="120" t="s">
        <v>6</v>
      </c>
    </row>
    <row r="449" spans="1:29">
      <c r="A449" s="14"/>
      <c r="B449" s="13" t="str">
        <f t="shared" si="34"/>
        <v>Pendente</v>
      </c>
      <c r="C449" s="14" t="str">
        <f t="shared" si="35"/>
        <v/>
      </c>
      <c r="D449" s="13" t="s">
        <v>611</v>
      </c>
      <c r="E449" s="14" t="str">
        <f t="shared" si="36"/>
        <v/>
      </c>
      <c r="F449" s="13" t="s">
        <v>611</v>
      </c>
      <c r="G449" s="40">
        <v>202400671</v>
      </c>
      <c r="H449" s="13" t="s">
        <v>2064</v>
      </c>
      <c r="I449" s="13" t="s">
        <v>613</v>
      </c>
      <c r="J449" s="14">
        <v>45509</v>
      </c>
      <c r="K449" s="14">
        <v>45870</v>
      </c>
      <c r="L449" s="13" t="s">
        <v>2049</v>
      </c>
      <c r="M449" s="13" t="s">
        <v>2065</v>
      </c>
      <c r="N449" s="13" t="s">
        <v>2066</v>
      </c>
      <c r="O449" s="17" t="s">
        <v>2067</v>
      </c>
      <c r="P449" s="13" t="s">
        <v>307</v>
      </c>
      <c r="Q449" s="13" t="s">
        <v>618</v>
      </c>
      <c r="R449" s="13" t="str">
        <f>VLOOKUP(P449,'Dados das Regiões '!A:B,2,0)</f>
        <v>IRATI</v>
      </c>
      <c r="S449" s="13" t="s">
        <v>2060</v>
      </c>
      <c r="T449" s="13"/>
      <c r="U449" s="79"/>
      <c r="V449" s="13" t="s">
        <v>2061</v>
      </c>
      <c r="W449" s="13" t="s">
        <v>2062</v>
      </c>
      <c r="X449" s="15">
        <v>0.33333333333333331</v>
      </c>
      <c r="Y449" s="16" t="s">
        <v>1438</v>
      </c>
      <c r="Z449" s="16" t="s">
        <v>622</v>
      </c>
      <c r="AA449" s="36" t="s">
        <v>1808</v>
      </c>
      <c r="AB449" s="164">
        <v>202400671</v>
      </c>
      <c r="AC449" s="55" t="s">
        <v>6</v>
      </c>
    </row>
    <row r="450" spans="1:29">
      <c r="A450" s="14"/>
      <c r="B450" s="13" t="str">
        <f t="shared" si="34"/>
        <v>Pendente</v>
      </c>
      <c r="C450" s="14" t="str">
        <f t="shared" si="35"/>
        <v/>
      </c>
      <c r="D450" s="13" t="s">
        <v>611</v>
      </c>
      <c r="E450" s="14" t="str">
        <f t="shared" si="36"/>
        <v/>
      </c>
      <c r="F450" s="13" t="s">
        <v>611</v>
      </c>
      <c r="G450" s="40">
        <v>202400671</v>
      </c>
      <c r="H450" s="13" t="s">
        <v>2068</v>
      </c>
      <c r="I450" s="13" t="s">
        <v>613</v>
      </c>
      <c r="J450" s="14">
        <v>45509</v>
      </c>
      <c r="K450" s="14">
        <v>45870</v>
      </c>
      <c r="L450" s="13" t="s">
        <v>1801</v>
      </c>
      <c r="M450" s="13" t="s">
        <v>2069</v>
      </c>
      <c r="N450" s="13" t="s">
        <v>2070</v>
      </c>
      <c r="O450" s="17" t="s">
        <v>2071</v>
      </c>
      <c r="P450" s="13" t="s">
        <v>276</v>
      </c>
      <c r="Q450" s="13" t="s">
        <v>618</v>
      </c>
      <c r="R450" s="13" t="str">
        <f>VLOOKUP(P450,'Dados das Regiões '!A:B,2,0)</f>
        <v>FRANCISCO BELTRÃO</v>
      </c>
      <c r="S450" s="13" t="s">
        <v>2072</v>
      </c>
      <c r="T450" s="13"/>
      <c r="U450" s="79"/>
      <c r="V450" s="13" t="s">
        <v>2073</v>
      </c>
      <c r="W450" s="13" t="s">
        <v>2074</v>
      </c>
      <c r="X450" s="15">
        <v>0.58333333333333337</v>
      </c>
      <c r="Y450" s="16" t="s">
        <v>1200</v>
      </c>
      <c r="Z450" s="16" t="s">
        <v>622</v>
      </c>
      <c r="AA450" s="36" t="s">
        <v>1808</v>
      </c>
      <c r="AB450" s="164">
        <v>202400671</v>
      </c>
      <c r="AC450" s="55" t="s">
        <v>6</v>
      </c>
    </row>
    <row r="451" spans="1:29">
      <c r="A451" s="14"/>
      <c r="B451" s="13" t="str">
        <f t="shared" si="34"/>
        <v>Pendente</v>
      </c>
      <c r="C451" s="14" t="str">
        <f t="shared" si="35"/>
        <v/>
      </c>
      <c r="D451" s="13" t="s">
        <v>611</v>
      </c>
      <c r="E451" s="14" t="str">
        <f t="shared" si="36"/>
        <v/>
      </c>
      <c r="F451" s="13" t="s">
        <v>611</v>
      </c>
      <c r="G451" s="40">
        <v>202400681</v>
      </c>
      <c r="H451" s="13" t="s">
        <v>2075</v>
      </c>
      <c r="I451" s="13" t="s">
        <v>1192</v>
      </c>
      <c r="J451" s="14">
        <v>45509</v>
      </c>
      <c r="K451" s="14">
        <v>45870</v>
      </c>
      <c r="L451" s="13" t="s">
        <v>1850</v>
      </c>
      <c r="M451" s="13" t="s">
        <v>1851</v>
      </c>
      <c r="N451" s="13" t="s">
        <v>1852</v>
      </c>
      <c r="O451" s="17" t="s">
        <v>1853</v>
      </c>
      <c r="P451" s="13" t="s">
        <v>383</v>
      </c>
      <c r="Q451" s="13" t="s">
        <v>618</v>
      </c>
      <c r="R451" s="13" t="str">
        <f>VLOOKUP(P451,'Dados das Regiões '!A:B,2,0)</f>
        <v>MATINHOS CAIOBÁ</v>
      </c>
      <c r="S451" s="13" t="s">
        <v>1862</v>
      </c>
      <c r="T451" s="13"/>
      <c r="U451" s="79" t="s">
        <v>1855</v>
      </c>
      <c r="V451" s="13" t="s">
        <v>1856</v>
      </c>
      <c r="W451" s="13" t="s">
        <v>1857</v>
      </c>
      <c r="X451" s="15">
        <v>0.58333333333333337</v>
      </c>
      <c r="Y451" s="16" t="s">
        <v>1200</v>
      </c>
      <c r="Z451" s="16" t="s">
        <v>622</v>
      </c>
      <c r="AA451" s="36" t="s">
        <v>1808</v>
      </c>
      <c r="AB451" s="164">
        <v>202400681</v>
      </c>
      <c r="AC451" s="55" t="s">
        <v>12</v>
      </c>
    </row>
    <row r="452" spans="1:29">
      <c r="A452" s="14"/>
      <c r="B452" s="13" t="str">
        <f t="shared" si="34"/>
        <v>Pendente</v>
      </c>
      <c r="C452" s="14" t="str">
        <f t="shared" si="35"/>
        <v/>
      </c>
      <c r="D452" s="13" t="s">
        <v>611</v>
      </c>
      <c r="E452" s="14" t="str">
        <f t="shared" si="36"/>
        <v/>
      </c>
      <c r="F452" s="13" t="s">
        <v>611</v>
      </c>
      <c r="G452" s="40">
        <v>202400681</v>
      </c>
      <c r="H452" s="13" t="s">
        <v>2076</v>
      </c>
      <c r="I452" s="13" t="s">
        <v>1192</v>
      </c>
      <c r="J452" s="14">
        <v>45509</v>
      </c>
      <c r="K452" s="14">
        <v>45870</v>
      </c>
      <c r="L452" s="13" t="s">
        <v>1850</v>
      </c>
      <c r="M452" s="13" t="s">
        <v>1859</v>
      </c>
      <c r="N452" s="13" t="s">
        <v>1860</v>
      </c>
      <c r="O452" s="17" t="s">
        <v>1861</v>
      </c>
      <c r="P452" s="13" t="s">
        <v>383</v>
      </c>
      <c r="Q452" s="13" t="s">
        <v>618</v>
      </c>
      <c r="R452" s="13" t="str">
        <f>VLOOKUP(P452,'Dados das Regiões '!A:B,2,0)</f>
        <v>MATINHOS CAIOBÁ</v>
      </c>
      <c r="S452" s="13" t="s">
        <v>1854</v>
      </c>
      <c r="T452" s="13"/>
      <c r="U452" s="79"/>
      <c r="V452" s="13" t="s">
        <v>1856</v>
      </c>
      <c r="W452" s="13" t="s">
        <v>1857</v>
      </c>
      <c r="X452" s="15">
        <v>0.58333333333333337</v>
      </c>
      <c r="Y452" s="16" t="s">
        <v>1200</v>
      </c>
      <c r="Z452" s="16" t="s">
        <v>622</v>
      </c>
      <c r="AA452" s="36" t="s">
        <v>1808</v>
      </c>
      <c r="AB452" s="164">
        <v>202400681</v>
      </c>
      <c r="AC452" s="55" t="s">
        <v>12</v>
      </c>
    </row>
    <row r="453" spans="1:29">
      <c r="A453" s="14"/>
      <c r="B453" s="13" t="str">
        <f t="shared" si="34"/>
        <v>Pendente</v>
      </c>
      <c r="C453" s="14" t="str">
        <f t="shared" si="35"/>
        <v/>
      </c>
      <c r="D453" s="13" t="s">
        <v>611</v>
      </c>
      <c r="E453" s="14" t="str">
        <f t="shared" si="36"/>
        <v/>
      </c>
      <c r="F453" s="13" t="s">
        <v>611</v>
      </c>
      <c r="G453" s="40">
        <v>202400671</v>
      </c>
      <c r="H453" s="13" t="s">
        <v>2077</v>
      </c>
      <c r="I453" s="13" t="s">
        <v>613</v>
      </c>
      <c r="J453" s="14">
        <v>45509</v>
      </c>
      <c r="K453" s="14">
        <v>45870</v>
      </c>
      <c r="L453" s="13" t="s">
        <v>1801</v>
      </c>
      <c r="M453" s="13" t="s">
        <v>2078</v>
      </c>
      <c r="N453" s="13" t="s">
        <v>2079</v>
      </c>
      <c r="O453" s="17" t="s">
        <v>2080</v>
      </c>
      <c r="P453" s="13" t="s">
        <v>334</v>
      </c>
      <c r="Q453" s="13" t="s">
        <v>618</v>
      </c>
      <c r="R453" s="13" t="str">
        <f>VLOOKUP(P453,'Dados das Regiões '!A:B,2,0)</f>
        <v>LONDRINA CENTRO</v>
      </c>
      <c r="S453" s="13" t="s">
        <v>2081</v>
      </c>
      <c r="T453" s="13"/>
      <c r="U453" s="79"/>
      <c r="V453" s="13" t="s">
        <v>2082</v>
      </c>
      <c r="W453" s="13" t="s">
        <v>2083</v>
      </c>
      <c r="X453" s="15">
        <v>0.5625</v>
      </c>
      <c r="Y453" s="16" t="s">
        <v>1415</v>
      </c>
      <c r="Z453" s="16" t="s">
        <v>622</v>
      </c>
      <c r="AA453" s="36" t="s">
        <v>1808</v>
      </c>
      <c r="AB453" s="164">
        <v>202400671</v>
      </c>
      <c r="AC453" s="55" t="s">
        <v>6</v>
      </c>
    </row>
    <row r="454" spans="1:29">
      <c r="A454" s="14"/>
      <c r="B454" s="13" t="str">
        <f t="shared" si="34"/>
        <v>Pendente</v>
      </c>
      <c r="C454" s="14" t="str">
        <f t="shared" si="35"/>
        <v/>
      </c>
      <c r="D454" s="13" t="s">
        <v>611</v>
      </c>
      <c r="E454" s="14" t="str">
        <f t="shared" si="36"/>
        <v/>
      </c>
      <c r="F454" s="13" t="s">
        <v>611</v>
      </c>
      <c r="G454" s="40">
        <v>202400671</v>
      </c>
      <c r="H454" s="13" t="s">
        <v>2084</v>
      </c>
      <c r="I454" s="13" t="s">
        <v>613</v>
      </c>
      <c r="J454" s="14">
        <v>45509</v>
      </c>
      <c r="K454" s="14">
        <v>45870</v>
      </c>
      <c r="L454" s="13" t="s">
        <v>1801</v>
      </c>
      <c r="M454" s="13" t="s">
        <v>2085</v>
      </c>
      <c r="N454" s="13" t="s">
        <v>2086</v>
      </c>
      <c r="O454" s="17" t="s">
        <v>2087</v>
      </c>
      <c r="P454" s="13" t="s">
        <v>418</v>
      </c>
      <c r="Q454" s="13" t="s">
        <v>618</v>
      </c>
      <c r="R454" s="13" t="str">
        <f>VLOOKUP(P454,'Dados das Regiões '!A:B,2,0)</f>
        <v>PARANAVAÍ</v>
      </c>
      <c r="S454" s="13" t="s">
        <v>2088</v>
      </c>
      <c r="T454" s="13"/>
      <c r="U454" s="79"/>
      <c r="V454" s="13" t="s">
        <v>2089</v>
      </c>
      <c r="W454" s="13" t="s">
        <v>2090</v>
      </c>
      <c r="X454" s="15">
        <v>0.58333333333333337</v>
      </c>
      <c r="Y454" s="16" t="s">
        <v>1967</v>
      </c>
      <c r="Z454" s="16" t="s">
        <v>622</v>
      </c>
      <c r="AA454" s="36" t="s">
        <v>1808</v>
      </c>
      <c r="AB454" s="164">
        <v>202400671</v>
      </c>
      <c r="AC454" s="55" t="s">
        <v>6</v>
      </c>
    </row>
    <row r="455" spans="1:29">
      <c r="A455" s="14"/>
      <c r="B455" s="13" t="str">
        <f t="shared" si="34"/>
        <v>Pendente</v>
      </c>
      <c r="C455" s="14" t="str">
        <f t="shared" si="35"/>
        <v/>
      </c>
      <c r="D455" s="13" t="s">
        <v>611</v>
      </c>
      <c r="E455" s="14" t="str">
        <f t="shared" si="36"/>
        <v/>
      </c>
      <c r="F455" s="13" t="s">
        <v>611</v>
      </c>
      <c r="G455" s="40">
        <v>202400681</v>
      </c>
      <c r="H455" s="13" t="s">
        <v>2091</v>
      </c>
      <c r="I455" s="13" t="s">
        <v>1192</v>
      </c>
      <c r="J455" s="14">
        <v>45509</v>
      </c>
      <c r="K455" s="14">
        <v>45870</v>
      </c>
      <c r="L455" s="13" t="s">
        <v>1881</v>
      </c>
      <c r="M455" s="13" t="s">
        <v>1882</v>
      </c>
      <c r="N455" s="13" t="s">
        <v>1883</v>
      </c>
      <c r="O455" s="17" t="s">
        <v>1884</v>
      </c>
      <c r="P455" s="13" t="s">
        <v>124</v>
      </c>
      <c r="Q455" s="13" t="s">
        <v>618</v>
      </c>
      <c r="R455" s="13" t="str">
        <f>VLOOKUP(P455,'Dados das Regiões '!A:B,2,0)</f>
        <v>APUCARANA</v>
      </c>
      <c r="S455" s="13" t="s">
        <v>2092</v>
      </c>
      <c r="T455" s="13"/>
      <c r="U455" s="79" t="s">
        <v>1886</v>
      </c>
      <c r="V455" s="13" t="s">
        <v>1886</v>
      </c>
      <c r="W455" s="13" t="s">
        <v>1887</v>
      </c>
      <c r="X455" s="15">
        <v>0.58333333333333337</v>
      </c>
      <c r="Y455" s="16" t="s">
        <v>1200</v>
      </c>
      <c r="Z455" s="16" t="s">
        <v>622</v>
      </c>
      <c r="AA455" s="36" t="s">
        <v>1808</v>
      </c>
      <c r="AB455" s="164">
        <v>202400681</v>
      </c>
      <c r="AC455" s="55" t="s">
        <v>12</v>
      </c>
    </row>
    <row r="456" spans="1:29">
      <c r="A456" s="14"/>
      <c r="B456" s="13" t="str">
        <f t="shared" si="34"/>
        <v>Pendente</v>
      </c>
      <c r="C456" s="14" t="str">
        <f t="shared" si="35"/>
        <v/>
      </c>
      <c r="D456" s="13" t="s">
        <v>611</v>
      </c>
      <c r="E456" s="14" t="str">
        <f t="shared" si="36"/>
        <v/>
      </c>
      <c r="F456" s="13" t="s">
        <v>611</v>
      </c>
      <c r="G456" s="40">
        <v>202400671</v>
      </c>
      <c r="H456" s="13" t="s">
        <v>2093</v>
      </c>
      <c r="I456" s="13" t="s">
        <v>613</v>
      </c>
      <c r="J456" s="14">
        <v>45509</v>
      </c>
      <c r="K456" s="14">
        <v>45870</v>
      </c>
      <c r="L456" s="13" t="s">
        <v>1801</v>
      </c>
      <c r="M456" s="13" t="s">
        <v>2094</v>
      </c>
      <c r="N456" s="13" t="s">
        <v>2095</v>
      </c>
      <c r="O456" s="17" t="s">
        <v>2096</v>
      </c>
      <c r="P456" s="13" t="s">
        <v>340</v>
      </c>
      <c r="Q456" s="13" t="s">
        <v>618</v>
      </c>
      <c r="R456" s="13" t="str">
        <f>VLOOKUP(P456,'Dados das Regiões '!A:B,2,0)</f>
        <v>LONDRINA CENTRO</v>
      </c>
      <c r="S456" s="13" t="s">
        <v>2097</v>
      </c>
      <c r="T456" s="13"/>
      <c r="U456" s="79"/>
      <c r="V456" s="13" t="s">
        <v>2098</v>
      </c>
      <c r="W456" s="13" t="s">
        <v>2099</v>
      </c>
      <c r="X456" s="15">
        <v>0.58333333333333337</v>
      </c>
      <c r="Y456" s="16" t="s">
        <v>1967</v>
      </c>
      <c r="Z456" s="16" t="s">
        <v>622</v>
      </c>
      <c r="AA456" s="36" t="s">
        <v>1808</v>
      </c>
      <c r="AB456" s="164">
        <v>202400671</v>
      </c>
      <c r="AC456" s="55" t="s">
        <v>6</v>
      </c>
    </row>
    <row r="457" spans="1:29">
      <c r="A457" s="14"/>
      <c r="B457" s="13" t="str">
        <f t="shared" si="34"/>
        <v>Pendente</v>
      </c>
      <c r="C457" s="14" t="str">
        <f t="shared" si="35"/>
        <v/>
      </c>
      <c r="D457" s="13" t="s">
        <v>611</v>
      </c>
      <c r="E457" s="14" t="str">
        <f t="shared" si="36"/>
        <v/>
      </c>
      <c r="F457" s="13" t="s">
        <v>611</v>
      </c>
      <c r="G457" s="40">
        <v>202400681</v>
      </c>
      <c r="H457" s="13" t="s">
        <v>2100</v>
      </c>
      <c r="I457" s="13" t="s">
        <v>1192</v>
      </c>
      <c r="J457" s="14">
        <v>45509</v>
      </c>
      <c r="K457" s="14">
        <v>45870</v>
      </c>
      <c r="L457" s="13" t="s">
        <v>1881</v>
      </c>
      <c r="M457" s="13" t="s">
        <v>2101</v>
      </c>
      <c r="N457" s="13" t="s">
        <v>2102</v>
      </c>
      <c r="O457" s="17" t="s">
        <v>2103</v>
      </c>
      <c r="P457" s="13" t="s">
        <v>143</v>
      </c>
      <c r="Q457" s="13" t="s">
        <v>618</v>
      </c>
      <c r="R457" s="13" t="str">
        <f>VLOOKUP(P457,'Dados das Regiões '!A:B,2,0)</f>
        <v>ARAPONGAS</v>
      </c>
      <c r="S457" s="13" t="s">
        <v>2104</v>
      </c>
      <c r="T457" s="13"/>
      <c r="U457" s="79" t="s">
        <v>2105</v>
      </c>
      <c r="V457" s="13" t="s">
        <v>2105</v>
      </c>
      <c r="W457" s="13" t="s">
        <v>2106</v>
      </c>
      <c r="X457" s="15">
        <v>0.5625</v>
      </c>
      <c r="Y457" s="16" t="s">
        <v>1415</v>
      </c>
      <c r="Z457" s="16" t="s">
        <v>622</v>
      </c>
      <c r="AA457" s="36" t="s">
        <v>1808</v>
      </c>
      <c r="AB457" s="164">
        <v>202400681</v>
      </c>
      <c r="AC457" s="55" t="s">
        <v>12</v>
      </c>
    </row>
    <row r="458" spans="1:29">
      <c r="A458" s="14"/>
      <c r="B458" s="13" t="str">
        <f t="shared" si="34"/>
        <v>Pendente</v>
      </c>
      <c r="C458" s="14" t="str">
        <f t="shared" si="35"/>
        <v/>
      </c>
      <c r="D458" s="13" t="s">
        <v>611</v>
      </c>
      <c r="E458" s="14" t="str">
        <f t="shared" si="36"/>
        <v/>
      </c>
      <c r="F458" s="13" t="s">
        <v>611</v>
      </c>
      <c r="G458" s="40">
        <v>202400681</v>
      </c>
      <c r="H458" s="13" t="s">
        <v>2107</v>
      </c>
      <c r="I458" s="13" t="s">
        <v>1192</v>
      </c>
      <c r="J458" s="14">
        <v>45509</v>
      </c>
      <c r="K458" s="14">
        <v>45870</v>
      </c>
      <c r="L458" s="13" t="s">
        <v>1881</v>
      </c>
      <c r="M458" s="13" t="s">
        <v>2101</v>
      </c>
      <c r="N458" s="13" t="s">
        <v>2102</v>
      </c>
      <c r="O458" s="17" t="s">
        <v>2103</v>
      </c>
      <c r="P458" s="13" t="s">
        <v>143</v>
      </c>
      <c r="Q458" s="13" t="s">
        <v>618</v>
      </c>
      <c r="R458" s="13" t="str">
        <f>VLOOKUP(P458,'Dados das Regiões '!A:B,2,0)</f>
        <v>ARAPONGAS</v>
      </c>
      <c r="S458" s="13" t="s">
        <v>2108</v>
      </c>
      <c r="T458" s="13"/>
      <c r="U458" s="79" t="s">
        <v>2105</v>
      </c>
      <c r="V458" s="13" t="s">
        <v>2105</v>
      </c>
      <c r="W458" s="13" t="s">
        <v>2106</v>
      </c>
      <c r="X458" s="15">
        <v>0.5625</v>
      </c>
      <c r="Y458" s="16" t="s">
        <v>1415</v>
      </c>
      <c r="Z458" s="16" t="s">
        <v>622</v>
      </c>
      <c r="AA458" s="36" t="s">
        <v>1808</v>
      </c>
      <c r="AB458" s="164">
        <v>202400681</v>
      </c>
      <c r="AC458" s="55" t="s">
        <v>12</v>
      </c>
    </row>
    <row r="459" spans="1:29">
      <c r="A459" s="14"/>
      <c r="B459" s="13" t="str">
        <f t="shared" si="34"/>
        <v>Pendente</v>
      </c>
      <c r="C459" s="14" t="str">
        <f t="shared" si="35"/>
        <v/>
      </c>
      <c r="D459" s="13" t="s">
        <v>611</v>
      </c>
      <c r="E459" s="14" t="str">
        <f t="shared" si="36"/>
        <v/>
      </c>
      <c r="F459" s="13" t="s">
        <v>611</v>
      </c>
      <c r="G459" s="40">
        <v>202400681</v>
      </c>
      <c r="H459" s="13" t="s">
        <v>2109</v>
      </c>
      <c r="I459" s="13" t="s">
        <v>1192</v>
      </c>
      <c r="J459" s="14">
        <v>45509</v>
      </c>
      <c r="K459" s="14">
        <v>45870</v>
      </c>
      <c r="L459" s="13" t="s">
        <v>1881</v>
      </c>
      <c r="M459" s="13" t="s">
        <v>2101</v>
      </c>
      <c r="N459" s="13" t="s">
        <v>2102</v>
      </c>
      <c r="O459" s="17" t="s">
        <v>2103</v>
      </c>
      <c r="P459" s="13" t="s">
        <v>143</v>
      </c>
      <c r="Q459" s="13" t="s">
        <v>618</v>
      </c>
      <c r="R459" s="13" t="str">
        <f>VLOOKUP(P459,'Dados das Regiões '!A:B,2,0)</f>
        <v>ARAPONGAS</v>
      </c>
      <c r="S459" s="13" t="s">
        <v>2108</v>
      </c>
      <c r="T459" s="13"/>
      <c r="U459" s="79" t="s">
        <v>2105</v>
      </c>
      <c r="V459" s="13" t="s">
        <v>2105</v>
      </c>
      <c r="W459" s="13" t="s">
        <v>2106</v>
      </c>
      <c r="X459" s="15">
        <v>0.33333333333333331</v>
      </c>
      <c r="Y459" s="16" t="s">
        <v>1438</v>
      </c>
      <c r="Z459" s="16" t="s">
        <v>622</v>
      </c>
      <c r="AA459" s="36" t="s">
        <v>1808</v>
      </c>
      <c r="AB459" s="164">
        <v>202400681</v>
      </c>
      <c r="AC459" s="55" t="s">
        <v>12</v>
      </c>
    </row>
    <row r="460" spans="1:29">
      <c r="A460" s="14"/>
      <c r="B460" s="13" t="str">
        <f t="shared" si="34"/>
        <v>Pendente</v>
      </c>
      <c r="C460" s="14" t="str">
        <f t="shared" si="35"/>
        <v/>
      </c>
      <c r="D460" s="13" t="s">
        <v>611</v>
      </c>
      <c r="E460" s="14" t="str">
        <f t="shared" si="36"/>
        <v/>
      </c>
      <c r="F460" s="13" t="s">
        <v>611</v>
      </c>
      <c r="G460" s="40">
        <v>202400671</v>
      </c>
      <c r="H460" s="13" t="s">
        <v>2110</v>
      </c>
      <c r="I460" s="13" t="s">
        <v>613</v>
      </c>
      <c r="J460" s="14">
        <v>45509</v>
      </c>
      <c r="K460" s="14">
        <v>45870</v>
      </c>
      <c r="L460" s="13" t="s">
        <v>1801</v>
      </c>
      <c r="M460" s="13" t="s">
        <v>2111</v>
      </c>
      <c r="N460" s="13" t="s">
        <v>2112</v>
      </c>
      <c r="O460" s="17" t="s">
        <v>2113</v>
      </c>
      <c r="P460" s="13" t="s">
        <v>504</v>
      </c>
      <c r="Q460" s="13" t="s">
        <v>618</v>
      </c>
      <c r="R460" s="13" t="str">
        <f>VLOOKUP(P460,'Dados das Regiões '!A:B,2,0)</f>
        <v>UMUARAMA</v>
      </c>
      <c r="S460" s="13" t="s">
        <v>2114</v>
      </c>
      <c r="T460" s="13"/>
      <c r="U460" s="79"/>
      <c r="V460" s="13" t="s">
        <v>2115</v>
      </c>
      <c r="W460" s="13" t="s">
        <v>2116</v>
      </c>
      <c r="X460" s="15">
        <v>0.5625</v>
      </c>
      <c r="Y460" s="16" t="s">
        <v>1415</v>
      </c>
      <c r="Z460" s="16" t="s">
        <v>622</v>
      </c>
      <c r="AA460" s="36" t="s">
        <v>1808</v>
      </c>
      <c r="AB460" s="164">
        <v>202400671</v>
      </c>
      <c r="AC460" s="55" t="s">
        <v>6</v>
      </c>
    </row>
    <row r="461" spans="1:29">
      <c r="A461" s="177" t="s">
        <v>1366</v>
      </c>
      <c r="B461" s="177" t="s">
        <v>1367</v>
      </c>
      <c r="C461" s="177" t="s">
        <v>1367</v>
      </c>
      <c r="D461" s="177" t="s">
        <v>1367</v>
      </c>
      <c r="E461" s="177" t="s">
        <v>1367</v>
      </c>
      <c r="F461" s="177" t="s">
        <v>1367</v>
      </c>
      <c r="G461" s="40">
        <v>202400671</v>
      </c>
      <c r="H461" s="106" t="s">
        <v>2117</v>
      </c>
      <c r="I461" s="13" t="s">
        <v>613</v>
      </c>
      <c r="J461" s="14">
        <v>45509</v>
      </c>
      <c r="K461" s="14">
        <v>45870</v>
      </c>
      <c r="L461" s="13" t="s">
        <v>1801</v>
      </c>
      <c r="M461" s="13" t="s">
        <v>2118</v>
      </c>
      <c r="N461" s="13" t="s">
        <v>2119</v>
      </c>
      <c r="O461" s="17" t="s">
        <v>2120</v>
      </c>
      <c r="P461" s="13" t="s">
        <v>294</v>
      </c>
      <c r="Q461" s="13" t="s">
        <v>618</v>
      </c>
      <c r="R461" s="13" t="str">
        <f>VLOOKUP(P461,'Dados das Regiões '!A:B,2,0)</f>
        <v>GUARAPUAVA</v>
      </c>
      <c r="S461" s="13" t="s">
        <v>2121</v>
      </c>
      <c r="T461" s="13"/>
      <c r="U461" s="79"/>
      <c r="V461" s="13" t="s">
        <v>2122</v>
      </c>
      <c r="W461" s="13" t="s">
        <v>2123</v>
      </c>
      <c r="X461" s="15">
        <v>0.33333333333333331</v>
      </c>
      <c r="Y461" s="16" t="s">
        <v>1438</v>
      </c>
      <c r="Z461" s="16" t="s">
        <v>622</v>
      </c>
      <c r="AA461" s="36" t="s">
        <v>2124</v>
      </c>
      <c r="AB461" s="164">
        <v>202400671</v>
      </c>
      <c r="AC461" s="55" t="s">
        <v>6</v>
      </c>
    </row>
    <row r="462" spans="1:29">
      <c r="A462" s="14"/>
      <c r="B462" s="13" t="str">
        <f t="shared" ref="B462:B493" si="37">IF(ISBLANK(A462), "Pendente", "Realizada")</f>
        <v>Pendente</v>
      </c>
      <c r="C462" s="14" t="str">
        <f t="shared" ref="C462:C493" si="38">IF(A462="", "", EDATE(A462, 3))</f>
        <v/>
      </c>
      <c r="D462" s="13" t="s">
        <v>611</v>
      </c>
      <c r="E462" s="14" t="str">
        <f t="shared" ref="E462:E493" si="39">IF(C462="", "", EDATE(C462, 3))</f>
        <v/>
      </c>
      <c r="F462" s="13" t="s">
        <v>611</v>
      </c>
      <c r="G462" s="40">
        <v>202400671</v>
      </c>
      <c r="H462" s="13" t="s">
        <v>2125</v>
      </c>
      <c r="I462" s="13" t="s">
        <v>613</v>
      </c>
      <c r="J462" s="14">
        <v>45509</v>
      </c>
      <c r="K462" s="14">
        <v>45870</v>
      </c>
      <c r="L462" s="13" t="s">
        <v>1801</v>
      </c>
      <c r="M462" s="13" t="s">
        <v>2126</v>
      </c>
      <c r="N462" s="13" t="s">
        <v>2127</v>
      </c>
      <c r="O462" s="17" t="s">
        <v>2128</v>
      </c>
      <c r="P462" s="13" t="s">
        <v>490</v>
      </c>
      <c r="Q462" s="13" t="s">
        <v>618</v>
      </c>
      <c r="R462" s="13" t="str">
        <f>VLOOKUP(P462,'Dados das Regiões '!A:B,2,0)</f>
        <v>UMUARAMA</v>
      </c>
      <c r="S462" s="13" t="s">
        <v>2129</v>
      </c>
      <c r="T462" s="13"/>
      <c r="U462" s="79"/>
      <c r="V462" s="13" t="s">
        <v>2130</v>
      </c>
      <c r="W462" s="13" t="s">
        <v>2131</v>
      </c>
      <c r="X462" s="15">
        <v>0.5625</v>
      </c>
      <c r="Y462" s="16" t="s">
        <v>1415</v>
      </c>
      <c r="Z462" s="16" t="s">
        <v>622</v>
      </c>
      <c r="AA462" s="36" t="s">
        <v>1808</v>
      </c>
      <c r="AB462" s="164">
        <v>202400671</v>
      </c>
      <c r="AC462" s="55" t="s">
        <v>6</v>
      </c>
    </row>
    <row r="463" spans="1:29">
      <c r="A463" s="14"/>
      <c r="B463" s="13" t="str">
        <f t="shared" si="37"/>
        <v>Pendente</v>
      </c>
      <c r="C463" s="14" t="str">
        <f t="shared" si="38"/>
        <v/>
      </c>
      <c r="D463" s="13" t="s">
        <v>611</v>
      </c>
      <c r="E463" s="14" t="str">
        <f t="shared" si="39"/>
        <v/>
      </c>
      <c r="F463" s="13" t="s">
        <v>611</v>
      </c>
      <c r="G463" s="40">
        <v>202400671</v>
      </c>
      <c r="H463" s="13" t="s">
        <v>2132</v>
      </c>
      <c r="I463" s="13" t="s">
        <v>613</v>
      </c>
      <c r="J463" s="14">
        <v>45509</v>
      </c>
      <c r="K463" s="14">
        <v>45870</v>
      </c>
      <c r="L463" s="13" t="s">
        <v>1801</v>
      </c>
      <c r="M463" s="13" t="s">
        <v>2133</v>
      </c>
      <c r="N463" s="13" t="s">
        <v>2134</v>
      </c>
      <c r="O463" s="17" t="s">
        <v>2135</v>
      </c>
      <c r="P463" s="13" t="s">
        <v>324</v>
      </c>
      <c r="Q463" s="13" t="s">
        <v>618</v>
      </c>
      <c r="R463" s="13" t="str">
        <f>VLOOKUP(P463,'Dados das Regiões '!A:B,2,0)</f>
        <v>JACAREZINHO</v>
      </c>
      <c r="S463" s="13" t="s">
        <v>2136</v>
      </c>
      <c r="T463" s="13"/>
      <c r="U463" s="79"/>
      <c r="V463" s="13" t="s">
        <v>2137</v>
      </c>
      <c r="W463" s="13" t="s">
        <v>2138</v>
      </c>
      <c r="X463" s="15">
        <v>0.33333333333333331</v>
      </c>
      <c r="Y463" s="16" t="s">
        <v>1438</v>
      </c>
      <c r="Z463" s="16" t="s">
        <v>622</v>
      </c>
      <c r="AA463" s="36" t="s">
        <v>1808</v>
      </c>
      <c r="AB463" s="164">
        <v>202400671</v>
      </c>
      <c r="AC463" s="55" t="s">
        <v>6</v>
      </c>
    </row>
    <row r="464" spans="1:29">
      <c r="A464" s="14"/>
      <c r="B464" s="13" t="str">
        <f t="shared" si="37"/>
        <v>Pendente</v>
      </c>
      <c r="C464" s="14" t="str">
        <f t="shared" si="38"/>
        <v/>
      </c>
      <c r="D464" s="13" t="s">
        <v>611</v>
      </c>
      <c r="E464" s="14" t="str">
        <f t="shared" si="39"/>
        <v/>
      </c>
      <c r="F464" s="13" t="s">
        <v>611</v>
      </c>
      <c r="G464" s="40">
        <v>202400671</v>
      </c>
      <c r="H464" s="13" t="s">
        <v>2139</v>
      </c>
      <c r="I464" s="13" t="s">
        <v>613</v>
      </c>
      <c r="J464" s="14">
        <v>45509</v>
      </c>
      <c r="K464" s="14">
        <v>45870</v>
      </c>
      <c r="L464" s="13" t="s">
        <v>1801</v>
      </c>
      <c r="M464" s="13" t="s">
        <v>2140</v>
      </c>
      <c r="N464" s="13" t="s">
        <v>2141</v>
      </c>
      <c r="O464" s="17" t="s">
        <v>2142</v>
      </c>
      <c r="P464" s="13" t="s">
        <v>256</v>
      </c>
      <c r="Q464" s="13" t="s">
        <v>618</v>
      </c>
      <c r="R464" s="13" t="str">
        <f>VLOOKUP(P464,'Dados das Regiões '!A:B,2,0)</f>
        <v>FOZ DO IGUAÇU</v>
      </c>
      <c r="S464" s="13" t="s">
        <v>2143</v>
      </c>
      <c r="T464" s="13"/>
      <c r="U464" s="79"/>
      <c r="V464" s="13" t="s">
        <v>2144</v>
      </c>
      <c r="W464" s="13" t="s">
        <v>2145</v>
      </c>
      <c r="X464" s="15">
        <v>0.625</v>
      </c>
      <c r="Y464" s="16" t="s">
        <v>1824</v>
      </c>
      <c r="Z464" s="16" t="s">
        <v>622</v>
      </c>
      <c r="AA464" s="36" t="s">
        <v>1808</v>
      </c>
      <c r="AB464" s="164">
        <v>202400671</v>
      </c>
      <c r="AC464" s="55" t="s">
        <v>6</v>
      </c>
    </row>
    <row r="465" spans="1:29">
      <c r="A465" s="14"/>
      <c r="B465" s="13" t="str">
        <f t="shared" si="37"/>
        <v>Pendente</v>
      </c>
      <c r="C465" s="14" t="str">
        <f t="shared" si="38"/>
        <v/>
      </c>
      <c r="D465" s="13" t="s">
        <v>611</v>
      </c>
      <c r="E465" s="14" t="str">
        <f t="shared" si="39"/>
        <v/>
      </c>
      <c r="F465" s="13" t="s">
        <v>611</v>
      </c>
      <c r="G465" s="40">
        <v>202400672</v>
      </c>
      <c r="H465" s="13" t="s">
        <v>2146</v>
      </c>
      <c r="I465" s="13" t="s">
        <v>1176</v>
      </c>
      <c r="J465" s="14">
        <v>45509</v>
      </c>
      <c r="K465" s="14">
        <v>45870</v>
      </c>
      <c r="L465" s="13" t="s">
        <v>1185</v>
      </c>
      <c r="M465" s="13" t="s">
        <v>2147</v>
      </c>
      <c r="N465" s="13" t="s">
        <v>2148</v>
      </c>
      <c r="O465" s="17" t="s">
        <v>2149</v>
      </c>
      <c r="P465" s="13" t="s">
        <v>408</v>
      </c>
      <c r="Q465" s="13" t="s">
        <v>618</v>
      </c>
      <c r="R465" s="13" t="str">
        <f>VLOOKUP(P465,'Dados das Regiões '!A:B,2,0)</f>
        <v>PALMAS</v>
      </c>
      <c r="S465" s="13" t="s">
        <v>2150</v>
      </c>
      <c r="T465" s="13"/>
      <c r="U465" s="79" t="s">
        <v>2151</v>
      </c>
      <c r="V465" s="13" t="s">
        <v>2152</v>
      </c>
      <c r="W465" s="13" t="s">
        <v>2153</v>
      </c>
      <c r="X465" s="15">
        <v>0.54166666666666663</v>
      </c>
      <c r="Y465" s="16" t="s">
        <v>1824</v>
      </c>
      <c r="Z465" s="16" t="s">
        <v>622</v>
      </c>
      <c r="AA465" s="36" t="s">
        <v>1808</v>
      </c>
      <c r="AB465" s="164">
        <v>202400672</v>
      </c>
      <c r="AC465" s="55" t="s">
        <v>8</v>
      </c>
    </row>
    <row r="466" spans="1:29">
      <c r="A466" s="14"/>
      <c r="B466" s="13" t="str">
        <f t="shared" si="37"/>
        <v>Pendente</v>
      </c>
      <c r="C466" s="14" t="str">
        <f t="shared" si="38"/>
        <v/>
      </c>
      <c r="D466" s="13" t="s">
        <v>611</v>
      </c>
      <c r="E466" s="14" t="str">
        <f t="shared" si="39"/>
        <v/>
      </c>
      <c r="F466" s="13" t="s">
        <v>611</v>
      </c>
      <c r="G466" s="40">
        <v>202400681</v>
      </c>
      <c r="H466" s="13" t="s">
        <v>2154</v>
      </c>
      <c r="I466" s="13" t="s">
        <v>1192</v>
      </c>
      <c r="J466" s="14">
        <v>45509</v>
      </c>
      <c r="K466" s="14">
        <v>45870</v>
      </c>
      <c r="L466" s="13" t="s">
        <v>1881</v>
      </c>
      <c r="M466" s="13" t="s">
        <v>1905</v>
      </c>
      <c r="N466" s="13" t="s">
        <v>1906</v>
      </c>
      <c r="O466" s="17" t="s">
        <v>1907</v>
      </c>
      <c r="P466" s="13" t="s">
        <v>136</v>
      </c>
      <c r="Q466" s="13" t="s">
        <v>618</v>
      </c>
      <c r="R466" s="13" t="str">
        <f>VLOOKUP(P466,'Dados das Regiões '!A:B,2,0)</f>
        <v>ARAPONGAS</v>
      </c>
      <c r="S466" s="13" t="s">
        <v>2155</v>
      </c>
      <c r="T466" s="13"/>
      <c r="U466" s="79" t="s">
        <v>1909</v>
      </c>
      <c r="V466" s="13" t="s">
        <v>1909</v>
      </c>
      <c r="W466" s="13" t="s">
        <v>1910</v>
      </c>
      <c r="X466" s="15">
        <v>0.64583333333333337</v>
      </c>
      <c r="Y466" s="16" t="s">
        <v>1451</v>
      </c>
      <c r="Z466" s="16" t="s">
        <v>622</v>
      </c>
      <c r="AA466" s="36" t="s">
        <v>1808</v>
      </c>
      <c r="AB466" s="164">
        <v>202400681</v>
      </c>
      <c r="AC466" s="55" t="s">
        <v>12</v>
      </c>
    </row>
    <row r="467" spans="1:29">
      <c r="A467" s="14"/>
      <c r="B467" s="13" t="str">
        <f t="shared" si="37"/>
        <v>Pendente</v>
      </c>
      <c r="C467" s="14" t="str">
        <f t="shared" si="38"/>
        <v/>
      </c>
      <c r="D467" s="13" t="s">
        <v>611</v>
      </c>
      <c r="E467" s="14" t="str">
        <f t="shared" si="39"/>
        <v/>
      </c>
      <c r="F467" s="13" t="s">
        <v>611</v>
      </c>
      <c r="G467" s="40">
        <v>202400681</v>
      </c>
      <c r="H467" s="13" t="s">
        <v>2156</v>
      </c>
      <c r="I467" s="13" t="s">
        <v>1192</v>
      </c>
      <c r="J467" s="14">
        <v>45509</v>
      </c>
      <c r="K467" s="14">
        <v>45870</v>
      </c>
      <c r="L467" s="13" t="s">
        <v>1881</v>
      </c>
      <c r="M467" s="13" t="s">
        <v>1905</v>
      </c>
      <c r="N467" s="13" t="s">
        <v>1906</v>
      </c>
      <c r="O467" s="17" t="s">
        <v>1907</v>
      </c>
      <c r="P467" s="13" t="s">
        <v>136</v>
      </c>
      <c r="Q467" s="13" t="s">
        <v>618</v>
      </c>
      <c r="R467" s="13" t="str">
        <f>VLOOKUP(P467,'Dados das Regiões '!A:B,2,0)</f>
        <v>ARAPONGAS</v>
      </c>
      <c r="S467" s="13" t="s">
        <v>2155</v>
      </c>
      <c r="T467" s="13"/>
      <c r="U467" s="79" t="s">
        <v>1909</v>
      </c>
      <c r="V467" s="13" t="s">
        <v>1909</v>
      </c>
      <c r="W467" s="13" t="s">
        <v>1910</v>
      </c>
      <c r="X467" s="15">
        <v>0.64583333333333337</v>
      </c>
      <c r="Y467" s="16" t="s">
        <v>1451</v>
      </c>
      <c r="Z467" s="16" t="s">
        <v>622</v>
      </c>
      <c r="AA467" s="36" t="s">
        <v>1808</v>
      </c>
      <c r="AB467" s="164">
        <v>202400681</v>
      </c>
      <c r="AC467" s="55" t="s">
        <v>12</v>
      </c>
    </row>
    <row r="468" spans="1:29">
      <c r="A468" s="14"/>
      <c r="B468" s="13" t="str">
        <f t="shared" si="37"/>
        <v>Pendente</v>
      </c>
      <c r="C468" s="14" t="str">
        <f t="shared" si="38"/>
        <v/>
      </c>
      <c r="D468" s="13" t="s">
        <v>611</v>
      </c>
      <c r="E468" s="14" t="str">
        <f t="shared" si="39"/>
        <v/>
      </c>
      <c r="F468" s="13" t="s">
        <v>611</v>
      </c>
      <c r="G468" s="40">
        <v>202400681</v>
      </c>
      <c r="H468" s="13" t="s">
        <v>2157</v>
      </c>
      <c r="I468" s="13" t="s">
        <v>1192</v>
      </c>
      <c r="J468" s="14">
        <v>45509</v>
      </c>
      <c r="K468" s="14">
        <v>45870</v>
      </c>
      <c r="L468" s="13" t="s">
        <v>1881</v>
      </c>
      <c r="M468" s="13" t="s">
        <v>1905</v>
      </c>
      <c r="N468" s="13" t="s">
        <v>1906</v>
      </c>
      <c r="O468" s="17" t="s">
        <v>1907</v>
      </c>
      <c r="P468" s="13" t="s">
        <v>136</v>
      </c>
      <c r="Q468" s="13" t="s">
        <v>618</v>
      </c>
      <c r="R468" s="13" t="str">
        <f>VLOOKUP(P468,'Dados das Regiões '!A:B,2,0)</f>
        <v>ARAPONGAS</v>
      </c>
      <c r="S468" s="13" t="s">
        <v>2155</v>
      </c>
      <c r="T468" s="13"/>
      <c r="U468" s="79" t="s">
        <v>1909</v>
      </c>
      <c r="V468" s="13" t="s">
        <v>1909</v>
      </c>
      <c r="W468" s="13" t="s">
        <v>1910</v>
      </c>
      <c r="X468" s="15">
        <v>0.5625</v>
      </c>
      <c r="Y468" s="16" t="s">
        <v>1415</v>
      </c>
      <c r="Z468" s="16" t="s">
        <v>622</v>
      </c>
      <c r="AA468" s="36" t="s">
        <v>1808</v>
      </c>
      <c r="AB468" s="164">
        <v>202400681</v>
      </c>
      <c r="AC468" s="55" t="s">
        <v>12</v>
      </c>
    </row>
    <row r="469" spans="1:29">
      <c r="A469" s="14"/>
      <c r="B469" s="13" t="str">
        <f t="shared" si="37"/>
        <v>Pendente</v>
      </c>
      <c r="C469" s="14" t="str">
        <f t="shared" si="38"/>
        <v/>
      </c>
      <c r="D469" s="13" t="s">
        <v>611</v>
      </c>
      <c r="E469" s="14" t="str">
        <f t="shared" si="39"/>
        <v/>
      </c>
      <c r="F469" s="13" t="s">
        <v>611</v>
      </c>
      <c r="G469" s="40">
        <v>202400681</v>
      </c>
      <c r="H469" s="13" t="s">
        <v>2158</v>
      </c>
      <c r="I469" s="13" t="s">
        <v>1192</v>
      </c>
      <c r="J469" s="14">
        <v>45509</v>
      </c>
      <c r="K469" s="14">
        <v>45870</v>
      </c>
      <c r="L469" s="13" t="s">
        <v>1881</v>
      </c>
      <c r="M469" s="13" t="s">
        <v>1905</v>
      </c>
      <c r="N469" s="13" t="s">
        <v>1906</v>
      </c>
      <c r="O469" s="17" t="s">
        <v>1907</v>
      </c>
      <c r="P469" s="13" t="s">
        <v>136</v>
      </c>
      <c r="Q469" s="13" t="s">
        <v>618</v>
      </c>
      <c r="R469" s="13" t="str">
        <f>VLOOKUP(P469,'Dados das Regiões '!A:B,2,0)</f>
        <v>ARAPONGAS</v>
      </c>
      <c r="S469" s="13" t="s">
        <v>2155</v>
      </c>
      <c r="T469" s="13"/>
      <c r="U469" s="79" t="s">
        <v>1909</v>
      </c>
      <c r="V469" s="13" t="s">
        <v>1909</v>
      </c>
      <c r="W469" s="13" t="s">
        <v>1910</v>
      </c>
      <c r="X469" s="15">
        <v>0.5625</v>
      </c>
      <c r="Y469" s="16" t="s">
        <v>1415</v>
      </c>
      <c r="Z469" s="16" t="s">
        <v>622</v>
      </c>
      <c r="AA469" s="36" t="s">
        <v>1808</v>
      </c>
      <c r="AB469" s="164">
        <v>202400681</v>
      </c>
      <c r="AC469" s="55" t="s">
        <v>12</v>
      </c>
    </row>
    <row r="470" spans="1:29">
      <c r="A470" s="14">
        <v>45840</v>
      </c>
      <c r="B470" s="13" t="str">
        <f t="shared" si="37"/>
        <v>Realizada</v>
      </c>
      <c r="C470" s="14">
        <f t="shared" si="38"/>
        <v>45932</v>
      </c>
      <c r="D470" s="13" t="s">
        <v>611</v>
      </c>
      <c r="E470" s="14">
        <f t="shared" si="39"/>
        <v>46024</v>
      </c>
      <c r="F470" s="13" t="s">
        <v>611</v>
      </c>
      <c r="G470" s="40">
        <v>202400681</v>
      </c>
      <c r="H470" s="13" t="s">
        <v>2159</v>
      </c>
      <c r="I470" s="13" t="s">
        <v>1192</v>
      </c>
      <c r="J470" s="14">
        <v>45509</v>
      </c>
      <c r="K470" s="14">
        <v>45870</v>
      </c>
      <c r="L470" s="13" t="s">
        <v>1881</v>
      </c>
      <c r="M470" s="13" t="s">
        <v>2160</v>
      </c>
      <c r="N470" s="13" t="s">
        <v>2161</v>
      </c>
      <c r="O470" s="13" t="s">
        <v>2162</v>
      </c>
      <c r="P470" s="13" t="s">
        <v>215</v>
      </c>
      <c r="Q470" s="13" t="s">
        <v>618</v>
      </c>
      <c r="R470" s="13" t="str">
        <f>VLOOKUP(P470,'Dados das Regiões '!A:B,2,0)</f>
        <v>CASTRO</v>
      </c>
      <c r="S470" s="13" t="s">
        <v>2163</v>
      </c>
      <c r="T470" s="13"/>
      <c r="U470" s="79" t="s">
        <v>2164</v>
      </c>
      <c r="V470" s="13" t="s">
        <v>2164</v>
      </c>
      <c r="W470" s="13" t="s">
        <v>2165</v>
      </c>
      <c r="X470" s="15">
        <v>0.58333333333333337</v>
      </c>
      <c r="Y470" s="16" t="s">
        <v>1200</v>
      </c>
      <c r="Z470" s="16" t="s">
        <v>622</v>
      </c>
      <c r="AA470" s="36" t="s">
        <v>1808</v>
      </c>
      <c r="AB470" s="164">
        <v>202400681</v>
      </c>
      <c r="AC470" s="55" t="s">
        <v>12</v>
      </c>
    </row>
    <row r="471" spans="1:29">
      <c r="A471" s="14">
        <v>45840</v>
      </c>
      <c r="B471" s="13" t="str">
        <f t="shared" si="37"/>
        <v>Realizada</v>
      </c>
      <c r="C471" s="14">
        <f t="shared" si="38"/>
        <v>45932</v>
      </c>
      <c r="D471" s="13" t="s">
        <v>611</v>
      </c>
      <c r="E471" s="14">
        <f t="shared" si="39"/>
        <v>46024</v>
      </c>
      <c r="F471" s="13" t="s">
        <v>611</v>
      </c>
      <c r="G471" s="40">
        <v>202400681</v>
      </c>
      <c r="H471" s="13" t="s">
        <v>2166</v>
      </c>
      <c r="I471" s="13" t="s">
        <v>1192</v>
      </c>
      <c r="J471" s="14">
        <v>45509</v>
      </c>
      <c r="K471" s="14">
        <v>45870</v>
      </c>
      <c r="L471" s="13" t="s">
        <v>1881</v>
      </c>
      <c r="M471" s="13" t="s">
        <v>2160</v>
      </c>
      <c r="N471" s="13" t="s">
        <v>2161</v>
      </c>
      <c r="O471" s="13" t="s">
        <v>2162</v>
      </c>
      <c r="P471" s="13" t="s">
        <v>215</v>
      </c>
      <c r="Q471" s="13" t="s">
        <v>618</v>
      </c>
      <c r="R471" s="13" t="str">
        <f>VLOOKUP(P471,'Dados das Regiões '!A:B,2,0)</f>
        <v>CASTRO</v>
      </c>
      <c r="S471" s="13" t="s">
        <v>2163</v>
      </c>
      <c r="T471" s="13"/>
      <c r="U471" s="79" t="s">
        <v>2164</v>
      </c>
      <c r="V471" s="13" t="s">
        <v>2164</v>
      </c>
      <c r="W471" s="13" t="s">
        <v>2165</v>
      </c>
      <c r="X471" s="15">
        <v>0.58333333333333337</v>
      </c>
      <c r="Y471" s="16" t="s">
        <v>1200</v>
      </c>
      <c r="Z471" s="16" t="s">
        <v>622</v>
      </c>
      <c r="AA471" s="36" t="s">
        <v>1808</v>
      </c>
      <c r="AB471" s="164">
        <v>202400681</v>
      </c>
      <c r="AC471" s="55" t="s">
        <v>12</v>
      </c>
    </row>
    <row r="472" spans="1:29">
      <c r="A472" s="14"/>
      <c r="B472" s="13" t="str">
        <f t="shared" si="37"/>
        <v>Pendente</v>
      </c>
      <c r="C472" s="14" t="str">
        <f t="shared" si="38"/>
        <v/>
      </c>
      <c r="D472" s="13" t="s">
        <v>611</v>
      </c>
      <c r="E472" s="14" t="str">
        <f t="shared" si="39"/>
        <v/>
      </c>
      <c r="F472" s="13" t="s">
        <v>611</v>
      </c>
      <c r="G472" s="40">
        <v>202400681</v>
      </c>
      <c r="H472" s="13" t="s">
        <v>2167</v>
      </c>
      <c r="I472" s="13" t="s">
        <v>1192</v>
      </c>
      <c r="J472" s="14">
        <v>45509</v>
      </c>
      <c r="K472" s="14">
        <v>45870</v>
      </c>
      <c r="L472" s="13" t="s">
        <v>1387</v>
      </c>
      <c r="M472" s="13" t="s">
        <v>1388</v>
      </c>
      <c r="N472" s="13" t="s">
        <v>1389</v>
      </c>
      <c r="O472" s="17" t="s">
        <v>1390</v>
      </c>
      <c r="P472" s="13" t="s">
        <v>453</v>
      </c>
      <c r="Q472" s="13" t="s">
        <v>618</v>
      </c>
      <c r="R472" s="13" t="str">
        <f>VLOOKUP(P472,'Dados das Regiões '!A:B,2,0)</f>
        <v>PRUDENTÓPOLIS</v>
      </c>
      <c r="S472" s="13" t="s">
        <v>2168</v>
      </c>
      <c r="T472" s="13"/>
      <c r="U472" s="79" t="s">
        <v>1392</v>
      </c>
      <c r="V472" s="13" t="s">
        <v>2169</v>
      </c>
      <c r="W472" s="13" t="s">
        <v>1394</v>
      </c>
      <c r="X472" s="15">
        <v>0.33333333333333331</v>
      </c>
      <c r="Y472" s="16" t="s">
        <v>1438</v>
      </c>
      <c r="Z472" s="16" t="s">
        <v>622</v>
      </c>
      <c r="AA472" s="36" t="s">
        <v>1808</v>
      </c>
      <c r="AB472" s="164">
        <v>202400681</v>
      </c>
      <c r="AC472" s="55" t="s">
        <v>12</v>
      </c>
    </row>
    <row r="473" spans="1:29">
      <c r="A473" s="14"/>
      <c r="B473" s="13" t="str">
        <f t="shared" si="37"/>
        <v>Pendente</v>
      </c>
      <c r="C473" s="14" t="str">
        <f t="shared" si="38"/>
        <v/>
      </c>
      <c r="D473" s="13" t="s">
        <v>611</v>
      </c>
      <c r="E473" s="14" t="str">
        <f t="shared" si="39"/>
        <v/>
      </c>
      <c r="F473" s="13" t="s">
        <v>611</v>
      </c>
      <c r="G473" s="40">
        <v>202400681</v>
      </c>
      <c r="H473" s="13" t="s">
        <v>2170</v>
      </c>
      <c r="I473" s="13" t="s">
        <v>1192</v>
      </c>
      <c r="J473" s="14">
        <v>45509</v>
      </c>
      <c r="K473" s="14">
        <v>45870</v>
      </c>
      <c r="L473" s="13" t="s">
        <v>1387</v>
      </c>
      <c r="M473" s="13" t="s">
        <v>1388</v>
      </c>
      <c r="N473" s="13" t="s">
        <v>1389</v>
      </c>
      <c r="O473" s="17" t="s">
        <v>1390</v>
      </c>
      <c r="P473" s="13" t="s">
        <v>453</v>
      </c>
      <c r="Q473" s="13" t="s">
        <v>618</v>
      </c>
      <c r="R473" s="13" t="str">
        <f>VLOOKUP(P473,'Dados das Regiões '!A:B,2,0)</f>
        <v>PRUDENTÓPOLIS</v>
      </c>
      <c r="S473" s="13" t="s">
        <v>2171</v>
      </c>
      <c r="T473" s="13"/>
      <c r="U473" s="79" t="s">
        <v>1392</v>
      </c>
      <c r="V473" s="13" t="s">
        <v>2169</v>
      </c>
      <c r="W473" s="13" t="s">
        <v>1394</v>
      </c>
      <c r="X473" s="15">
        <v>0.625</v>
      </c>
      <c r="Y473" s="16" t="s">
        <v>2172</v>
      </c>
      <c r="Z473" s="16" t="s">
        <v>622</v>
      </c>
      <c r="AA473" s="36" t="s">
        <v>1808</v>
      </c>
      <c r="AB473" s="164">
        <v>202400681</v>
      </c>
      <c r="AC473" s="55" t="s">
        <v>12</v>
      </c>
    </row>
    <row r="474" spans="1:29">
      <c r="A474" s="14"/>
      <c r="B474" s="13" t="str">
        <f t="shared" si="37"/>
        <v>Pendente</v>
      </c>
      <c r="C474" s="14" t="str">
        <f t="shared" si="38"/>
        <v/>
      </c>
      <c r="D474" s="13" t="s">
        <v>611</v>
      </c>
      <c r="E474" s="14" t="str">
        <f t="shared" si="39"/>
        <v/>
      </c>
      <c r="F474" s="13" t="s">
        <v>611</v>
      </c>
      <c r="G474" s="40">
        <v>202400681</v>
      </c>
      <c r="H474" s="13" t="s">
        <v>2173</v>
      </c>
      <c r="I474" s="13" t="s">
        <v>1192</v>
      </c>
      <c r="J474" s="14">
        <v>45509</v>
      </c>
      <c r="K474" s="14">
        <v>45870</v>
      </c>
      <c r="L474" s="13" t="s">
        <v>1387</v>
      </c>
      <c r="M474" s="13" t="s">
        <v>1388</v>
      </c>
      <c r="N474" s="13" t="s">
        <v>1389</v>
      </c>
      <c r="O474" s="17" t="s">
        <v>1390</v>
      </c>
      <c r="P474" s="13" t="s">
        <v>453</v>
      </c>
      <c r="Q474" s="13" t="s">
        <v>618</v>
      </c>
      <c r="R474" s="13" t="str">
        <f>VLOOKUP(P474,'Dados das Regiões '!A:B,2,0)</f>
        <v>PRUDENTÓPOLIS</v>
      </c>
      <c r="S474" s="13" t="s">
        <v>2171</v>
      </c>
      <c r="T474" s="13"/>
      <c r="U474" s="79" t="s">
        <v>1392</v>
      </c>
      <c r="V474" s="13" t="s">
        <v>2169</v>
      </c>
      <c r="W474" s="13" t="s">
        <v>1394</v>
      </c>
      <c r="X474" s="15">
        <v>0.5625</v>
      </c>
      <c r="Y474" s="16" t="s">
        <v>2174</v>
      </c>
      <c r="Z474" s="16" t="s">
        <v>622</v>
      </c>
      <c r="AA474" s="36" t="s">
        <v>1808</v>
      </c>
      <c r="AB474" s="164">
        <v>202400681</v>
      </c>
      <c r="AC474" s="55" t="s">
        <v>12</v>
      </c>
    </row>
    <row r="475" spans="1:29">
      <c r="A475" s="14"/>
      <c r="B475" s="13" t="str">
        <f t="shared" si="37"/>
        <v>Pendente</v>
      </c>
      <c r="C475" s="14" t="str">
        <f t="shared" si="38"/>
        <v/>
      </c>
      <c r="D475" s="13" t="s">
        <v>611</v>
      </c>
      <c r="E475" s="14" t="str">
        <f t="shared" si="39"/>
        <v/>
      </c>
      <c r="F475" s="13" t="s">
        <v>611</v>
      </c>
      <c r="G475" s="40">
        <v>202400681</v>
      </c>
      <c r="H475" s="13" t="s">
        <v>2175</v>
      </c>
      <c r="I475" s="13" t="s">
        <v>1192</v>
      </c>
      <c r="J475" s="14">
        <v>45509</v>
      </c>
      <c r="K475" s="14">
        <v>45870</v>
      </c>
      <c r="L475" s="13" t="s">
        <v>2176</v>
      </c>
      <c r="M475" s="13" t="s">
        <v>2177</v>
      </c>
      <c r="N475" s="13" t="s">
        <v>2178</v>
      </c>
      <c r="O475" s="17" t="s">
        <v>2179</v>
      </c>
      <c r="P475" s="13" t="s">
        <v>196</v>
      </c>
      <c r="Q475" s="13" t="s">
        <v>618</v>
      </c>
      <c r="R475" s="13" t="str">
        <f>VLOOKUP(P475,'Dados das Regiões '!A:B,2,0)</f>
        <v>CASCAVEL</v>
      </c>
      <c r="S475" s="13" t="s">
        <v>2180</v>
      </c>
      <c r="T475" s="13"/>
      <c r="U475" s="79" t="s">
        <v>2181</v>
      </c>
      <c r="V475" s="13" t="s">
        <v>2182</v>
      </c>
      <c r="W475" s="13" t="s">
        <v>2183</v>
      </c>
      <c r="X475" s="15">
        <v>0.33333333333333331</v>
      </c>
      <c r="Y475" s="16" t="s">
        <v>1438</v>
      </c>
      <c r="Z475" s="16" t="s">
        <v>622</v>
      </c>
      <c r="AA475" s="36" t="s">
        <v>1808</v>
      </c>
      <c r="AB475" s="164">
        <v>202400681</v>
      </c>
      <c r="AC475" s="55" t="s">
        <v>12</v>
      </c>
    </row>
    <row r="476" spans="1:29">
      <c r="A476" s="14"/>
      <c r="B476" s="13" t="str">
        <f t="shared" si="37"/>
        <v>Pendente</v>
      </c>
      <c r="C476" s="14" t="str">
        <f t="shared" si="38"/>
        <v/>
      </c>
      <c r="D476" s="13" t="s">
        <v>611</v>
      </c>
      <c r="E476" s="14" t="str">
        <f t="shared" si="39"/>
        <v/>
      </c>
      <c r="F476" s="13" t="s">
        <v>611</v>
      </c>
      <c r="G476" s="40">
        <v>202400681</v>
      </c>
      <c r="H476" s="13" t="s">
        <v>2184</v>
      </c>
      <c r="I476" s="13" t="s">
        <v>1192</v>
      </c>
      <c r="J476" s="14">
        <v>45509</v>
      </c>
      <c r="K476" s="14">
        <v>45870</v>
      </c>
      <c r="L476" s="13" t="s">
        <v>2176</v>
      </c>
      <c r="M476" s="13" t="s">
        <v>2177</v>
      </c>
      <c r="N476" s="13" t="s">
        <v>2178</v>
      </c>
      <c r="O476" s="17" t="s">
        <v>2179</v>
      </c>
      <c r="P476" s="13" t="s">
        <v>196</v>
      </c>
      <c r="Q476" s="13" t="s">
        <v>618</v>
      </c>
      <c r="R476" s="13" t="str">
        <f>VLOOKUP(P476,'Dados das Regiões '!A:B,2,0)</f>
        <v>CASCAVEL</v>
      </c>
      <c r="S476" s="13" t="s">
        <v>2185</v>
      </c>
      <c r="T476" s="13"/>
      <c r="U476" s="79" t="s">
        <v>2181</v>
      </c>
      <c r="V476" s="13" t="s">
        <v>2182</v>
      </c>
      <c r="W476" s="13" t="s">
        <v>2183</v>
      </c>
      <c r="X476" s="15">
        <v>0.58333333333333337</v>
      </c>
      <c r="Y476" s="16" t="s">
        <v>1200</v>
      </c>
      <c r="Z476" s="16" t="s">
        <v>622</v>
      </c>
      <c r="AA476" s="36" t="s">
        <v>1808</v>
      </c>
      <c r="AB476" s="164">
        <v>202400681</v>
      </c>
      <c r="AC476" s="55" t="s">
        <v>12</v>
      </c>
    </row>
    <row r="477" spans="1:29">
      <c r="A477" s="14"/>
      <c r="B477" s="13" t="str">
        <f t="shared" si="37"/>
        <v>Pendente</v>
      </c>
      <c r="C477" s="14" t="str">
        <f t="shared" si="38"/>
        <v/>
      </c>
      <c r="D477" s="13" t="s">
        <v>611</v>
      </c>
      <c r="E477" s="14" t="str">
        <f t="shared" si="39"/>
        <v/>
      </c>
      <c r="F477" s="13" t="s">
        <v>611</v>
      </c>
      <c r="G477" s="40">
        <v>202400681</v>
      </c>
      <c r="H477" s="13" t="s">
        <v>2186</v>
      </c>
      <c r="I477" s="13" t="s">
        <v>1192</v>
      </c>
      <c r="J477" s="14">
        <v>45509</v>
      </c>
      <c r="K477" s="14">
        <v>45870</v>
      </c>
      <c r="L477" s="13" t="s">
        <v>2176</v>
      </c>
      <c r="M477" s="13" t="s">
        <v>2177</v>
      </c>
      <c r="N477" s="13" t="s">
        <v>2178</v>
      </c>
      <c r="O477" s="17" t="s">
        <v>2179</v>
      </c>
      <c r="P477" s="13" t="s">
        <v>196</v>
      </c>
      <c r="Q477" s="13" t="s">
        <v>618</v>
      </c>
      <c r="R477" s="13" t="str">
        <f>VLOOKUP(P477,'Dados das Regiões '!A:B,2,0)</f>
        <v>CASCAVEL</v>
      </c>
      <c r="S477" s="13" t="s">
        <v>2185</v>
      </c>
      <c r="T477" s="13"/>
      <c r="U477" s="79" t="s">
        <v>2181</v>
      </c>
      <c r="V477" s="13" t="s">
        <v>2182</v>
      </c>
      <c r="W477" s="13" t="s">
        <v>2183</v>
      </c>
      <c r="X477" s="15">
        <v>0.33333333333333331</v>
      </c>
      <c r="Y477" s="16" t="s">
        <v>1438</v>
      </c>
      <c r="Z477" s="16" t="s">
        <v>622</v>
      </c>
      <c r="AA477" s="36" t="s">
        <v>1808</v>
      </c>
      <c r="AB477" s="164">
        <v>202400681</v>
      </c>
      <c r="AC477" s="55" t="s">
        <v>12</v>
      </c>
    </row>
    <row r="478" spans="1:29">
      <c r="A478" s="14"/>
      <c r="B478" s="13" t="str">
        <f t="shared" si="37"/>
        <v>Pendente</v>
      </c>
      <c r="C478" s="14" t="str">
        <f t="shared" si="38"/>
        <v/>
      </c>
      <c r="D478" s="13" t="s">
        <v>611</v>
      </c>
      <c r="E478" s="14" t="str">
        <f t="shared" si="39"/>
        <v/>
      </c>
      <c r="F478" s="13" t="s">
        <v>611</v>
      </c>
      <c r="G478" s="40">
        <v>202400671</v>
      </c>
      <c r="H478" s="13" t="s">
        <v>2187</v>
      </c>
      <c r="I478" s="13" t="s">
        <v>613</v>
      </c>
      <c r="J478" s="14">
        <v>45509</v>
      </c>
      <c r="K478" s="14">
        <v>45870</v>
      </c>
      <c r="L478" s="13" t="s">
        <v>1801</v>
      </c>
      <c r="M478" s="13" t="s">
        <v>2188</v>
      </c>
      <c r="N478" s="13" t="s">
        <v>2189</v>
      </c>
      <c r="O478" s="17" t="s">
        <v>2190</v>
      </c>
      <c r="P478" s="13" t="s">
        <v>378</v>
      </c>
      <c r="Q478" s="13" t="s">
        <v>618</v>
      </c>
      <c r="R478" s="13" t="str">
        <f>VLOOKUP(P478,'Dados das Regiões '!A:B,2,0)</f>
        <v>MARINGÁ</v>
      </c>
      <c r="S478" s="13" t="s">
        <v>2191</v>
      </c>
      <c r="T478" s="13"/>
      <c r="U478" s="79"/>
      <c r="V478" s="13" t="s">
        <v>2192</v>
      </c>
      <c r="W478" s="13" t="s">
        <v>2193</v>
      </c>
      <c r="X478" s="15">
        <v>0.54166666666666663</v>
      </c>
      <c r="Y478" s="16" t="s">
        <v>1824</v>
      </c>
      <c r="Z478" s="16" t="s">
        <v>622</v>
      </c>
      <c r="AA478" s="36" t="s">
        <v>1808</v>
      </c>
      <c r="AB478" s="164">
        <v>202400671</v>
      </c>
      <c r="AC478" s="55" t="s">
        <v>6</v>
      </c>
    </row>
    <row r="479" spans="1:29">
      <c r="A479" s="14"/>
      <c r="B479" s="13" t="str">
        <f t="shared" si="37"/>
        <v>Pendente</v>
      </c>
      <c r="C479" s="14" t="str">
        <f t="shared" si="38"/>
        <v/>
      </c>
      <c r="D479" s="13" t="s">
        <v>611</v>
      </c>
      <c r="E479" s="14" t="str">
        <f t="shared" si="39"/>
        <v/>
      </c>
      <c r="F479" s="13" t="s">
        <v>611</v>
      </c>
      <c r="G479" s="40">
        <v>202400671</v>
      </c>
      <c r="H479" s="13" t="s">
        <v>2194</v>
      </c>
      <c r="I479" s="13" t="s">
        <v>613</v>
      </c>
      <c r="J479" s="14">
        <v>45509</v>
      </c>
      <c r="K479" s="14">
        <v>45870</v>
      </c>
      <c r="L479" s="13" t="s">
        <v>1801</v>
      </c>
      <c r="M479" s="13" t="s">
        <v>2195</v>
      </c>
      <c r="N479" s="13" t="s">
        <v>2196</v>
      </c>
      <c r="O479" s="17" t="s">
        <v>2197</v>
      </c>
      <c r="P479" s="13" t="s">
        <v>334</v>
      </c>
      <c r="Q479" s="13" t="s">
        <v>618</v>
      </c>
      <c r="R479" s="13" t="str">
        <f>VLOOKUP(P479,'Dados das Regiões '!A:B,2,0)</f>
        <v>LONDRINA CENTRO</v>
      </c>
      <c r="S479" s="13" t="s">
        <v>2198</v>
      </c>
      <c r="T479" s="13"/>
      <c r="U479" s="79"/>
      <c r="V479" s="13" t="s">
        <v>2199</v>
      </c>
      <c r="W479" s="13" t="s">
        <v>2200</v>
      </c>
      <c r="X479" s="15">
        <v>0.5625</v>
      </c>
      <c r="Y479" s="16" t="s">
        <v>1415</v>
      </c>
      <c r="Z479" s="16" t="s">
        <v>622</v>
      </c>
      <c r="AA479" s="36" t="s">
        <v>1808</v>
      </c>
      <c r="AB479" s="164">
        <v>202400671</v>
      </c>
      <c r="AC479" s="55" t="s">
        <v>6</v>
      </c>
    </row>
    <row r="480" spans="1:29">
      <c r="A480" s="14"/>
      <c r="B480" s="13" t="str">
        <f t="shared" si="37"/>
        <v>Pendente</v>
      </c>
      <c r="C480" s="14" t="str">
        <f t="shared" si="38"/>
        <v/>
      </c>
      <c r="D480" s="13" t="s">
        <v>611</v>
      </c>
      <c r="E480" s="14" t="str">
        <f t="shared" si="39"/>
        <v/>
      </c>
      <c r="F480" s="13" t="s">
        <v>611</v>
      </c>
      <c r="G480" s="40">
        <v>202400681</v>
      </c>
      <c r="H480" s="13" t="s">
        <v>2209</v>
      </c>
      <c r="I480" s="13" t="s">
        <v>1192</v>
      </c>
      <c r="J480" s="14">
        <v>45509</v>
      </c>
      <c r="K480" s="14">
        <v>45870</v>
      </c>
      <c r="L480" s="13" t="s">
        <v>2210</v>
      </c>
      <c r="M480" s="13" t="s">
        <v>2211</v>
      </c>
      <c r="N480" s="13" t="s">
        <v>2212</v>
      </c>
      <c r="O480" s="17" t="s">
        <v>2213</v>
      </c>
      <c r="P480" s="13" t="s">
        <v>317</v>
      </c>
      <c r="Q480" s="13" t="s">
        <v>618</v>
      </c>
      <c r="R480" s="13" t="str">
        <f>VLOOKUP(P480,'Dados das Regiões '!A:B,2,0)</f>
        <v>IVAIPORÃ</v>
      </c>
      <c r="S480" s="13" t="s">
        <v>2214</v>
      </c>
      <c r="T480" s="13"/>
      <c r="U480" s="79" t="s">
        <v>2215</v>
      </c>
      <c r="V480" s="13" t="s">
        <v>2216</v>
      </c>
      <c r="W480" s="13" t="s">
        <v>2217</v>
      </c>
      <c r="X480" s="15">
        <v>0.41666666666666669</v>
      </c>
      <c r="Y480" s="16" t="s">
        <v>1696</v>
      </c>
      <c r="Z480" s="16" t="s">
        <v>622</v>
      </c>
      <c r="AA480" s="36" t="s">
        <v>1808</v>
      </c>
      <c r="AB480" s="164">
        <v>202400681</v>
      </c>
      <c r="AC480" s="55" t="s">
        <v>12</v>
      </c>
    </row>
    <row r="481" spans="1:46">
      <c r="A481" s="14">
        <v>45854</v>
      </c>
      <c r="B481" s="13" t="str">
        <f t="shared" si="37"/>
        <v>Realizada</v>
      </c>
      <c r="C481" s="14">
        <f t="shared" si="38"/>
        <v>45946</v>
      </c>
      <c r="D481" s="13" t="s">
        <v>611</v>
      </c>
      <c r="E481" s="14">
        <f t="shared" si="39"/>
        <v>46038</v>
      </c>
      <c r="F481" s="13" t="s">
        <v>611</v>
      </c>
      <c r="G481" s="40">
        <v>202400681</v>
      </c>
      <c r="H481" s="13" t="s">
        <v>2227</v>
      </c>
      <c r="I481" s="13" t="s">
        <v>1192</v>
      </c>
      <c r="J481" s="14">
        <v>45509</v>
      </c>
      <c r="K481" s="14">
        <v>45870</v>
      </c>
      <c r="L481" s="13" t="s">
        <v>2176</v>
      </c>
      <c r="M481" s="13" t="s">
        <v>2219</v>
      </c>
      <c r="N481" s="13" t="s">
        <v>2220</v>
      </c>
      <c r="O481" s="17" t="s">
        <v>2221</v>
      </c>
      <c r="P481" s="13" t="s">
        <v>294</v>
      </c>
      <c r="Q481" s="13" t="s">
        <v>618</v>
      </c>
      <c r="R481" s="13" t="str">
        <f>VLOOKUP(P481,'Dados das Regiões '!A:B,2,0)</f>
        <v>GUARAPUAVA</v>
      </c>
      <c r="S481" s="13" t="s">
        <v>2228</v>
      </c>
      <c r="T481" s="13"/>
      <c r="U481" s="79" t="s">
        <v>2223</v>
      </c>
      <c r="V481" s="13" t="s">
        <v>2224</v>
      </c>
      <c r="W481" s="13" t="s">
        <v>2225</v>
      </c>
      <c r="X481" s="15">
        <v>0.58333333333333337</v>
      </c>
      <c r="Y481" s="16" t="s">
        <v>1200</v>
      </c>
      <c r="Z481" s="16" t="s">
        <v>622</v>
      </c>
      <c r="AA481" s="36" t="s">
        <v>2029</v>
      </c>
      <c r="AB481" s="164">
        <v>202400681</v>
      </c>
      <c r="AC481" s="55" t="s">
        <v>12</v>
      </c>
    </row>
    <row r="482" spans="1:46">
      <c r="A482" s="14">
        <v>45854</v>
      </c>
      <c r="B482" s="13" t="str">
        <f t="shared" si="37"/>
        <v>Realizada</v>
      </c>
      <c r="C482" s="14">
        <f t="shared" si="38"/>
        <v>45946</v>
      </c>
      <c r="D482" s="13" t="s">
        <v>611</v>
      </c>
      <c r="E482" s="14">
        <f t="shared" si="39"/>
        <v>46038</v>
      </c>
      <c r="F482" s="13" t="s">
        <v>611</v>
      </c>
      <c r="G482" s="40">
        <v>202400681</v>
      </c>
      <c r="H482" s="13" t="s">
        <v>2229</v>
      </c>
      <c r="I482" s="13" t="s">
        <v>1192</v>
      </c>
      <c r="J482" s="14">
        <v>45509</v>
      </c>
      <c r="K482" s="14">
        <v>45870</v>
      </c>
      <c r="L482" s="13" t="s">
        <v>2176</v>
      </c>
      <c r="M482" s="13" t="s">
        <v>2219</v>
      </c>
      <c r="N482" s="13" t="s">
        <v>2220</v>
      </c>
      <c r="O482" s="17" t="s">
        <v>2221</v>
      </c>
      <c r="P482" s="13" t="s">
        <v>294</v>
      </c>
      <c r="Q482" s="13" t="s">
        <v>618</v>
      </c>
      <c r="R482" s="13" t="str">
        <f>VLOOKUP(P482,'Dados das Regiões '!A:B,2,0)</f>
        <v>GUARAPUAVA</v>
      </c>
      <c r="S482" s="13" t="s">
        <v>2228</v>
      </c>
      <c r="T482" s="13"/>
      <c r="U482" s="79" t="s">
        <v>2223</v>
      </c>
      <c r="V482" s="13" t="s">
        <v>2224</v>
      </c>
      <c r="W482" s="13" t="s">
        <v>2225</v>
      </c>
      <c r="X482" s="15">
        <v>0.58333333333333337</v>
      </c>
      <c r="Y482" s="16" t="s">
        <v>1200</v>
      </c>
      <c r="Z482" s="16" t="s">
        <v>622</v>
      </c>
      <c r="AA482" s="36" t="s">
        <v>2029</v>
      </c>
      <c r="AB482" s="164">
        <v>202400681</v>
      </c>
      <c r="AC482" s="55" t="s">
        <v>12</v>
      </c>
    </row>
    <row r="483" spans="1:46">
      <c r="A483" s="14"/>
      <c r="B483" s="13" t="str">
        <f t="shared" si="37"/>
        <v>Pendente</v>
      </c>
      <c r="C483" s="14" t="str">
        <f t="shared" si="38"/>
        <v/>
      </c>
      <c r="D483" s="13" t="s">
        <v>611</v>
      </c>
      <c r="E483" s="14" t="str">
        <f t="shared" si="39"/>
        <v/>
      </c>
      <c r="F483" s="13" t="s">
        <v>611</v>
      </c>
      <c r="G483" s="40">
        <v>202400682</v>
      </c>
      <c r="H483" s="13" t="s">
        <v>2230</v>
      </c>
      <c r="I483" s="13" t="s">
        <v>1192</v>
      </c>
      <c r="J483" s="14">
        <v>45509</v>
      </c>
      <c r="K483" s="14">
        <v>45870</v>
      </c>
      <c r="L483" s="13" t="s">
        <v>1278</v>
      </c>
      <c r="M483" s="13" t="s">
        <v>1279</v>
      </c>
      <c r="N483" s="13" t="s">
        <v>1280</v>
      </c>
      <c r="O483" s="13" t="s">
        <v>1281</v>
      </c>
      <c r="P483" s="13" t="s">
        <v>411</v>
      </c>
      <c r="Q483" s="13" t="s">
        <v>618</v>
      </c>
      <c r="R483" s="13" t="str">
        <f>VLOOKUP(P483,'Dados das Regiões '!A:B,2,0)</f>
        <v>PARANAGUÁ</v>
      </c>
      <c r="S483" s="13" t="s">
        <v>2231</v>
      </c>
      <c r="T483" s="13"/>
      <c r="U483" s="79" t="s">
        <v>1283</v>
      </c>
      <c r="V483" s="13" t="s">
        <v>1283</v>
      </c>
      <c r="W483" s="13" t="s">
        <v>1284</v>
      </c>
      <c r="X483" s="15">
        <v>0.66666666666666663</v>
      </c>
      <c r="Y483" s="16" t="s">
        <v>1967</v>
      </c>
      <c r="Z483" s="16" t="s">
        <v>622</v>
      </c>
      <c r="AA483" s="36" t="s">
        <v>1808</v>
      </c>
      <c r="AB483" s="164">
        <v>202400682</v>
      </c>
      <c r="AC483" s="55" t="s">
        <v>14</v>
      </c>
      <c r="AD483" s="55"/>
    </row>
    <row r="484" spans="1:46">
      <c r="A484" s="14"/>
      <c r="B484" s="13" t="str">
        <f t="shared" si="37"/>
        <v>Pendente</v>
      </c>
      <c r="C484" s="14" t="str">
        <f t="shared" si="38"/>
        <v/>
      </c>
      <c r="D484" s="13" t="s">
        <v>611</v>
      </c>
      <c r="E484" s="14" t="str">
        <f t="shared" si="39"/>
        <v/>
      </c>
      <c r="F484" s="13" t="s">
        <v>611</v>
      </c>
      <c r="G484" s="40">
        <v>202400682</v>
      </c>
      <c r="H484" s="13" t="s">
        <v>2232</v>
      </c>
      <c r="I484" s="13" t="s">
        <v>1192</v>
      </c>
      <c r="J484" s="14">
        <v>45509</v>
      </c>
      <c r="K484" s="14">
        <v>45870</v>
      </c>
      <c r="L484" s="13" t="s">
        <v>1278</v>
      </c>
      <c r="M484" s="13" t="s">
        <v>1279</v>
      </c>
      <c r="N484" s="13" t="s">
        <v>1280</v>
      </c>
      <c r="O484" s="13" t="s">
        <v>1281</v>
      </c>
      <c r="P484" s="13" t="s">
        <v>411</v>
      </c>
      <c r="Q484" s="13" t="s">
        <v>618</v>
      </c>
      <c r="R484" s="13" t="str">
        <f>VLOOKUP(P484,'Dados das Regiões '!A:B,2,0)</f>
        <v>PARANAGUÁ</v>
      </c>
      <c r="S484" s="13" t="s">
        <v>2233</v>
      </c>
      <c r="T484" s="13"/>
      <c r="U484" s="79" t="s">
        <v>1283</v>
      </c>
      <c r="V484" s="13" t="s">
        <v>1283</v>
      </c>
      <c r="W484" s="13" t="s">
        <v>1284</v>
      </c>
      <c r="X484" s="15">
        <v>0.66666666666666663</v>
      </c>
      <c r="Y484" s="16" t="s">
        <v>1967</v>
      </c>
      <c r="Z484" s="16" t="s">
        <v>622</v>
      </c>
      <c r="AA484" s="36" t="s">
        <v>1808</v>
      </c>
      <c r="AB484" s="164">
        <v>202400682</v>
      </c>
      <c r="AC484" s="55" t="s">
        <v>14</v>
      </c>
      <c r="AD484" s="55"/>
    </row>
    <row r="485" spans="1:46">
      <c r="A485" s="14"/>
      <c r="B485" s="13" t="str">
        <f t="shared" si="37"/>
        <v>Pendente</v>
      </c>
      <c r="C485" s="14" t="str">
        <f t="shared" si="38"/>
        <v/>
      </c>
      <c r="D485" s="13" t="s">
        <v>611</v>
      </c>
      <c r="E485" s="14" t="str">
        <f t="shared" si="39"/>
        <v/>
      </c>
      <c r="F485" s="13" t="s">
        <v>611</v>
      </c>
      <c r="G485" s="40">
        <v>202400671</v>
      </c>
      <c r="H485" s="13" t="s">
        <v>2234</v>
      </c>
      <c r="I485" s="13" t="s">
        <v>613</v>
      </c>
      <c r="J485" s="14">
        <v>45509</v>
      </c>
      <c r="K485" s="14">
        <v>45870</v>
      </c>
      <c r="L485" s="13" t="s">
        <v>1801</v>
      </c>
      <c r="M485" s="13" t="s">
        <v>2235</v>
      </c>
      <c r="N485" s="13" t="s">
        <v>2236</v>
      </c>
      <c r="O485" s="17" t="s">
        <v>2237</v>
      </c>
      <c r="P485" s="13" t="s">
        <v>474</v>
      </c>
      <c r="Q485" s="13" t="s">
        <v>618</v>
      </c>
      <c r="R485" s="13" t="str">
        <f>VLOOKUP(P485,'Dados das Regiões '!A:B,2,0)</f>
        <v>TOLEDO</v>
      </c>
      <c r="S485" s="13" t="s">
        <v>2238</v>
      </c>
      <c r="T485" s="13"/>
      <c r="U485" s="79"/>
      <c r="V485" s="13" t="s">
        <v>2239</v>
      </c>
      <c r="W485" s="13" t="s">
        <v>2240</v>
      </c>
      <c r="X485" s="15">
        <v>0.625</v>
      </c>
      <c r="Y485" s="16" t="s">
        <v>1824</v>
      </c>
      <c r="Z485" s="16" t="s">
        <v>622</v>
      </c>
      <c r="AA485" s="36" t="s">
        <v>1808</v>
      </c>
      <c r="AB485" s="164">
        <v>202400671</v>
      </c>
      <c r="AC485" s="55" t="s">
        <v>6</v>
      </c>
      <c r="AD485" s="40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</row>
    <row r="486" spans="1:46">
      <c r="A486" s="14"/>
      <c r="B486" s="13" t="str">
        <f t="shared" si="37"/>
        <v>Pendente</v>
      </c>
      <c r="C486" s="14" t="str">
        <f t="shared" si="38"/>
        <v/>
      </c>
      <c r="D486" s="13" t="s">
        <v>611</v>
      </c>
      <c r="E486" s="14" t="str">
        <f t="shared" si="39"/>
        <v/>
      </c>
      <c r="F486" s="13" t="s">
        <v>611</v>
      </c>
      <c r="G486" s="40">
        <v>202400682</v>
      </c>
      <c r="H486" s="13" t="s">
        <v>2241</v>
      </c>
      <c r="I486" s="13" t="s">
        <v>1192</v>
      </c>
      <c r="J486" s="14">
        <v>45509</v>
      </c>
      <c r="K486" s="14">
        <v>45870</v>
      </c>
      <c r="L486" s="13" t="s">
        <v>1288</v>
      </c>
      <c r="M486" s="13" t="s">
        <v>1289</v>
      </c>
      <c r="N486" s="13" t="s">
        <v>1290</v>
      </c>
      <c r="O486" s="13" t="s">
        <v>1291</v>
      </c>
      <c r="P486" s="13" t="s">
        <v>385</v>
      </c>
      <c r="Q486" s="13" t="s">
        <v>618</v>
      </c>
      <c r="R486" s="13" t="str">
        <f>VLOOKUP(P486,'Dados das Regiões '!A:B,2,0)</f>
        <v>MATINHOS CAIOBÁ</v>
      </c>
      <c r="S486" s="13" t="s">
        <v>1292</v>
      </c>
      <c r="T486" s="13"/>
      <c r="U486" s="79" t="s">
        <v>1293</v>
      </c>
      <c r="V486" s="13" t="s">
        <v>1293</v>
      </c>
      <c r="W486" s="13" t="s">
        <v>1294</v>
      </c>
      <c r="X486" s="15">
        <v>0.33333333333333331</v>
      </c>
      <c r="Y486" s="16" t="s">
        <v>1438</v>
      </c>
      <c r="Z486" s="16" t="s">
        <v>622</v>
      </c>
      <c r="AA486" s="36" t="s">
        <v>1808</v>
      </c>
      <c r="AB486" s="164">
        <v>202400682</v>
      </c>
      <c r="AC486" s="55" t="s">
        <v>14</v>
      </c>
      <c r="AD486" s="40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</row>
    <row r="487" spans="1:46">
      <c r="A487" s="14">
        <v>45819</v>
      </c>
      <c r="B487" s="13" t="str">
        <f t="shared" si="37"/>
        <v>Realizada</v>
      </c>
      <c r="C487" s="14">
        <f t="shared" si="38"/>
        <v>45911</v>
      </c>
      <c r="D487" s="13" t="s">
        <v>611</v>
      </c>
      <c r="E487" s="14">
        <f t="shared" si="39"/>
        <v>46002</v>
      </c>
      <c r="F487" s="13" t="s">
        <v>611</v>
      </c>
      <c r="G487" s="40">
        <v>202400671</v>
      </c>
      <c r="H487" s="13" t="s">
        <v>2243</v>
      </c>
      <c r="I487" s="13" t="s">
        <v>613</v>
      </c>
      <c r="J487" s="14">
        <v>45509</v>
      </c>
      <c r="K487" s="14">
        <v>45870</v>
      </c>
      <c r="L487" s="13" t="s">
        <v>1801</v>
      </c>
      <c r="M487" s="13" t="s">
        <v>2244</v>
      </c>
      <c r="N487" s="13" t="s">
        <v>2245</v>
      </c>
      <c r="O487" s="17" t="s">
        <v>2246</v>
      </c>
      <c r="P487" s="13" t="s">
        <v>457</v>
      </c>
      <c r="Q487" s="13" t="s">
        <v>618</v>
      </c>
      <c r="R487" s="13" t="str">
        <f>VLOOKUP(P487,'Dados das Regiões '!A:B,2,0)</f>
        <v>RIO NEGRO</v>
      </c>
      <c r="S487" s="13" t="s">
        <v>2247</v>
      </c>
      <c r="T487" s="13"/>
      <c r="U487" s="79"/>
      <c r="V487" s="13" t="s">
        <v>2248</v>
      </c>
      <c r="W487" s="13" t="s">
        <v>2249</v>
      </c>
      <c r="X487" s="15">
        <v>0.54166666666666663</v>
      </c>
      <c r="Y487" s="16" t="s">
        <v>1824</v>
      </c>
      <c r="Z487" s="16" t="s">
        <v>622</v>
      </c>
      <c r="AA487" s="36" t="s">
        <v>1808</v>
      </c>
      <c r="AB487" s="164">
        <v>202400671</v>
      </c>
      <c r="AC487" s="55" t="s">
        <v>6</v>
      </c>
      <c r="AD487" s="40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</row>
    <row r="488" spans="1:46">
      <c r="A488" s="14"/>
      <c r="B488" s="13" t="str">
        <f t="shared" si="37"/>
        <v>Pendente</v>
      </c>
      <c r="C488" s="14" t="str">
        <f t="shared" si="38"/>
        <v/>
      </c>
      <c r="D488" s="13" t="s">
        <v>611</v>
      </c>
      <c r="E488" s="14" t="str">
        <f t="shared" si="39"/>
        <v/>
      </c>
      <c r="F488" s="13" t="s">
        <v>611</v>
      </c>
      <c r="G488" s="40">
        <v>202400682</v>
      </c>
      <c r="H488" s="13" t="s">
        <v>2250</v>
      </c>
      <c r="I488" s="13" t="s">
        <v>1192</v>
      </c>
      <c r="J488" s="14">
        <v>45509</v>
      </c>
      <c r="K488" s="14">
        <v>45870</v>
      </c>
      <c r="L488" s="13" t="s">
        <v>1288</v>
      </c>
      <c r="M488" s="13" t="s">
        <v>1289</v>
      </c>
      <c r="N488" s="13" t="s">
        <v>1290</v>
      </c>
      <c r="O488" s="13" t="s">
        <v>1291</v>
      </c>
      <c r="P488" s="13" t="s">
        <v>385</v>
      </c>
      <c r="Q488" s="13" t="s">
        <v>618</v>
      </c>
      <c r="R488" s="13" t="str">
        <f>VLOOKUP(P488,'Dados das Regiões '!A:B,2,0)</f>
        <v>MATINHOS CAIOBÁ</v>
      </c>
      <c r="S488" s="13" t="s">
        <v>1292</v>
      </c>
      <c r="T488" s="13"/>
      <c r="U488" s="79" t="s">
        <v>1293</v>
      </c>
      <c r="V488" s="13" t="s">
        <v>1293</v>
      </c>
      <c r="W488" s="13" t="s">
        <v>1294</v>
      </c>
      <c r="X488" s="15">
        <v>0.33333333333333331</v>
      </c>
      <c r="Y488" s="16" t="s">
        <v>1438</v>
      </c>
      <c r="Z488" s="16" t="s">
        <v>622</v>
      </c>
      <c r="AA488" s="36" t="s">
        <v>1808</v>
      </c>
      <c r="AB488" s="164">
        <v>202400682</v>
      </c>
      <c r="AC488" s="55" t="s">
        <v>14</v>
      </c>
      <c r="AD488" s="40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</row>
    <row r="489" spans="1:46">
      <c r="A489" s="14"/>
      <c r="B489" s="13" t="str">
        <f t="shared" si="37"/>
        <v>Pendente</v>
      </c>
      <c r="C489" s="14" t="str">
        <f t="shared" si="38"/>
        <v/>
      </c>
      <c r="D489" s="13" t="s">
        <v>611</v>
      </c>
      <c r="E489" s="14" t="str">
        <f t="shared" si="39"/>
        <v/>
      </c>
      <c r="F489" s="13" t="s">
        <v>611</v>
      </c>
      <c r="G489" s="40">
        <v>202400682</v>
      </c>
      <c r="H489" s="13" t="s">
        <v>2252</v>
      </c>
      <c r="I489" s="13" t="s">
        <v>1192</v>
      </c>
      <c r="J489" s="14">
        <v>45509</v>
      </c>
      <c r="K489" s="14">
        <v>45870</v>
      </c>
      <c r="L489" s="13" t="s">
        <v>2253</v>
      </c>
      <c r="M489" s="13" t="s">
        <v>2254</v>
      </c>
      <c r="N489" s="13" t="s">
        <v>2255</v>
      </c>
      <c r="O489" s="17" t="s">
        <v>2256</v>
      </c>
      <c r="P489" s="13" t="s">
        <v>258</v>
      </c>
      <c r="Q489" s="13" t="s">
        <v>618</v>
      </c>
      <c r="R489" s="13" t="str">
        <f>VLOOKUP(P489,'Dados das Regiões '!A:B,2,0)</f>
        <v>FRANCISCO BELTRÃO</v>
      </c>
      <c r="S489" s="13" t="s">
        <v>2257</v>
      </c>
      <c r="T489" s="13"/>
      <c r="U489" s="79"/>
      <c r="V489" s="13" t="s">
        <v>2258</v>
      </c>
      <c r="W489" s="13" t="s">
        <v>2259</v>
      </c>
      <c r="X489" s="15">
        <v>0.33333333333333331</v>
      </c>
      <c r="Y489" s="16" t="s">
        <v>1438</v>
      </c>
      <c r="Z489" s="16" t="s">
        <v>622</v>
      </c>
      <c r="AA489" s="36" t="s">
        <v>1808</v>
      </c>
      <c r="AB489" s="164">
        <v>202400682</v>
      </c>
      <c r="AC489" s="55" t="s">
        <v>14</v>
      </c>
      <c r="AD489" s="40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</row>
    <row r="490" spans="1:46">
      <c r="A490" s="14"/>
      <c r="B490" s="13" t="str">
        <f t="shared" si="37"/>
        <v>Pendente</v>
      </c>
      <c r="C490" s="14" t="str">
        <f t="shared" si="38"/>
        <v/>
      </c>
      <c r="D490" s="13" t="s">
        <v>611</v>
      </c>
      <c r="E490" s="14" t="str">
        <f t="shared" si="39"/>
        <v/>
      </c>
      <c r="F490" s="13" t="s">
        <v>611</v>
      </c>
      <c r="G490" s="40">
        <v>202400682</v>
      </c>
      <c r="H490" s="13" t="s">
        <v>2260</v>
      </c>
      <c r="I490" s="13" t="s">
        <v>1192</v>
      </c>
      <c r="J490" s="14">
        <v>45509</v>
      </c>
      <c r="K490" s="14">
        <v>45870</v>
      </c>
      <c r="L490" s="13" t="s">
        <v>2261</v>
      </c>
      <c r="M490" s="13" t="s">
        <v>2262</v>
      </c>
      <c r="N490" s="13" t="s">
        <v>2263</v>
      </c>
      <c r="O490" s="17" t="s">
        <v>2264</v>
      </c>
      <c r="P490" s="13" t="s">
        <v>145</v>
      </c>
      <c r="Q490" s="13" t="s">
        <v>618</v>
      </c>
      <c r="R490" s="13" t="str">
        <f>VLOOKUP(P490,'Dados das Regiões '!A:B,2,0)</f>
        <v>CAMPO MOURÃO</v>
      </c>
      <c r="S490" s="13" t="s">
        <v>2265</v>
      </c>
      <c r="T490" s="13"/>
      <c r="U490" s="79" t="s">
        <v>2266</v>
      </c>
      <c r="V490" s="13" t="s">
        <v>2267</v>
      </c>
      <c r="W490" s="13" t="s">
        <v>2268</v>
      </c>
      <c r="X490" s="15">
        <v>0.33333333333333331</v>
      </c>
      <c r="Y490" s="16" t="s">
        <v>1438</v>
      </c>
      <c r="Z490" s="16" t="s">
        <v>622</v>
      </c>
      <c r="AA490" s="36" t="s">
        <v>1808</v>
      </c>
      <c r="AB490" s="164">
        <v>202400682</v>
      </c>
      <c r="AC490" s="55" t="s">
        <v>14</v>
      </c>
      <c r="AD490" s="40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</row>
    <row r="491" spans="1:46">
      <c r="A491" s="14"/>
      <c r="B491" s="13" t="str">
        <f t="shared" si="37"/>
        <v>Pendente</v>
      </c>
      <c r="C491" s="14" t="str">
        <f t="shared" si="38"/>
        <v/>
      </c>
      <c r="D491" s="13" t="s">
        <v>611</v>
      </c>
      <c r="E491" s="14" t="str">
        <f t="shared" si="39"/>
        <v/>
      </c>
      <c r="F491" s="13" t="s">
        <v>611</v>
      </c>
      <c r="G491" s="40">
        <v>202400671</v>
      </c>
      <c r="H491" s="13" t="s">
        <v>2269</v>
      </c>
      <c r="I491" s="13" t="s">
        <v>613</v>
      </c>
      <c r="J491" s="14">
        <v>45509</v>
      </c>
      <c r="K491" s="14">
        <v>45870</v>
      </c>
      <c r="L491" s="13" t="s">
        <v>1801</v>
      </c>
      <c r="M491" s="13" t="s">
        <v>2270</v>
      </c>
      <c r="N491" s="13" t="s">
        <v>2271</v>
      </c>
      <c r="O491" s="17" t="s">
        <v>2272</v>
      </c>
      <c r="P491" s="13" t="s">
        <v>334</v>
      </c>
      <c r="Q491" s="13" t="s">
        <v>618</v>
      </c>
      <c r="R491" s="13" t="str">
        <f>VLOOKUP(P491,'Dados das Regiões '!A:B,2,0)</f>
        <v>LONDRINA CENTRO</v>
      </c>
      <c r="S491" s="13" t="s">
        <v>2273</v>
      </c>
      <c r="T491" s="13"/>
      <c r="U491" s="79"/>
      <c r="V491" s="13" t="s">
        <v>2274</v>
      </c>
      <c r="W491" s="13" t="s">
        <v>2275</v>
      </c>
      <c r="X491" s="15">
        <v>0.5625</v>
      </c>
      <c r="Y491" s="16" t="s">
        <v>1415</v>
      </c>
      <c r="Z491" s="16" t="s">
        <v>622</v>
      </c>
      <c r="AA491" s="36" t="s">
        <v>1808</v>
      </c>
      <c r="AB491" s="164">
        <v>202400671</v>
      </c>
      <c r="AC491" s="55" t="s">
        <v>6</v>
      </c>
      <c r="AD491" s="40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</row>
    <row r="492" spans="1:46">
      <c r="A492" s="14"/>
      <c r="B492" s="13" t="str">
        <f t="shared" si="37"/>
        <v>Pendente</v>
      </c>
      <c r="C492" s="14" t="str">
        <f t="shared" si="38"/>
        <v/>
      </c>
      <c r="D492" s="13" t="s">
        <v>611</v>
      </c>
      <c r="E492" s="14" t="str">
        <f t="shared" si="39"/>
        <v/>
      </c>
      <c r="F492" s="13" t="s">
        <v>611</v>
      </c>
      <c r="G492" s="40">
        <v>202400682</v>
      </c>
      <c r="H492" s="13" t="s">
        <v>2276</v>
      </c>
      <c r="I492" s="13" t="s">
        <v>1192</v>
      </c>
      <c r="J492" s="14">
        <v>45509</v>
      </c>
      <c r="K492" s="14">
        <v>45870</v>
      </c>
      <c r="L492" s="13" t="s">
        <v>2261</v>
      </c>
      <c r="M492" s="13" t="s">
        <v>2262</v>
      </c>
      <c r="N492" s="13" t="s">
        <v>2263</v>
      </c>
      <c r="O492" s="17" t="s">
        <v>2264</v>
      </c>
      <c r="P492" s="13" t="s">
        <v>145</v>
      </c>
      <c r="Q492" s="13" t="s">
        <v>618</v>
      </c>
      <c r="R492" s="13" t="str">
        <f>VLOOKUP(P492,'Dados das Regiões '!A:B,2,0)</f>
        <v>CAMPO MOURÃO</v>
      </c>
      <c r="S492" s="13" t="s">
        <v>2265</v>
      </c>
      <c r="T492" s="13"/>
      <c r="U492" s="79" t="s">
        <v>2266</v>
      </c>
      <c r="V492" s="13" t="s">
        <v>2267</v>
      </c>
      <c r="W492" s="13" t="s">
        <v>2268</v>
      </c>
      <c r="X492" s="15">
        <v>0.5625</v>
      </c>
      <c r="Y492" s="16" t="s">
        <v>1415</v>
      </c>
      <c r="Z492" s="16" t="s">
        <v>622</v>
      </c>
      <c r="AA492" s="36" t="s">
        <v>1808</v>
      </c>
      <c r="AB492" s="164">
        <v>202400682</v>
      </c>
      <c r="AC492" s="55" t="s">
        <v>14</v>
      </c>
      <c r="AD492" s="40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</row>
    <row r="493" spans="1:46">
      <c r="A493" s="29">
        <v>45757</v>
      </c>
      <c r="B493" s="18" t="str">
        <f t="shared" si="37"/>
        <v>Realizada</v>
      </c>
      <c r="C493" s="29">
        <f t="shared" si="38"/>
        <v>45848</v>
      </c>
      <c r="D493" s="18" t="s">
        <v>611</v>
      </c>
      <c r="E493" s="29">
        <f t="shared" si="39"/>
        <v>45940</v>
      </c>
      <c r="F493" s="18" t="s">
        <v>611</v>
      </c>
      <c r="G493" s="44">
        <v>202400682</v>
      </c>
      <c r="H493" s="18" t="s">
        <v>2277</v>
      </c>
      <c r="I493" s="18" t="s">
        <v>1192</v>
      </c>
      <c r="J493" s="29">
        <v>45509</v>
      </c>
      <c r="K493" s="29">
        <v>45870</v>
      </c>
      <c r="L493" s="18" t="s">
        <v>2278</v>
      </c>
      <c r="M493" s="18" t="s">
        <v>2279</v>
      </c>
      <c r="N493" s="18" t="s">
        <v>2280</v>
      </c>
      <c r="O493" s="18" t="s">
        <v>2280</v>
      </c>
      <c r="P493" s="18" t="s">
        <v>513</v>
      </c>
      <c r="Q493" s="18" t="s">
        <v>618</v>
      </c>
      <c r="R493" s="18" t="str">
        <f>VLOOKUP(P493,'Dados das Regiões '!A:B,2,0)</f>
        <v>CAMPO LARGO</v>
      </c>
      <c r="S493" s="18" t="s">
        <v>2281</v>
      </c>
      <c r="T493" s="18"/>
      <c r="U493" s="82" t="s">
        <v>2282</v>
      </c>
      <c r="V493" s="18" t="s">
        <v>2283</v>
      </c>
      <c r="W493" s="18" t="s">
        <v>2284</v>
      </c>
      <c r="X493" s="30">
        <v>0.33333333333333331</v>
      </c>
      <c r="Y493" s="31" t="s">
        <v>1438</v>
      </c>
      <c r="Z493" s="31" t="s">
        <v>622</v>
      </c>
      <c r="AA493" s="36" t="s">
        <v>1808</v>
      </c>
      <c r="AB493" s="166">
        <v>202400682</v>
      </c>
      <c r="AC493" s="55" t="s">
        <v>14</v>
      </c>
      <c r="AD493" s="40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</row>
    <row r="494" spans="1:46">
      <c r="A494" s="14"/>
      <c r="B494" s="13" t="str">
        <f t="shared" ref="B494:B525" si="40">IF(ISBLANK(A494), "Pendente", "Realizada")</f>
        <v>Pendente</v>
      </c>
      <c r="C494" s="14" t="str">
        <f t="shared" ref="C494:C525" si="41">IF(A494="", "", EDATE(A494, 3))</f>
        <v/>
      </c>
      <c r="D494" s="13" t="s">
        <v>611</v>
      </c>
      <c r="E494" s="14" t="str">
        <f t="shared" ref="E494:E525" si="42">IF(C494="", "", EDATE(C494, 3))</f>
        <v/>
      </c>
      <c r="F494" s="13" t="s">
        <v>611</v>
      </c>
      <c r="G494" s="40">
        <v>202400671</v>
      </c>
      <c r="H494" s="13" t="s">
        <v>2285</v>
      </c>
      <c r="I494" s="13" t="s">
        <v>613</v>
      </c>
      <c r="J494" s="14">
        <v>45509</v>
      </c>
      <c r="K494" s="14">
        <v>45870</v>
      </c>
      <c r="L494" s="13" t="s">
        <v>2286</v>
      </c>
      <c r="M494" s="13" t="s">
        <v>2287</v>
      </c>
      <c r="N494" s="13" t="s">
        <v>2288</v>
      </c>
      <c r="O494" s="17" t="s">
        <v>2289</v>
      </c>
      <c r="P494" s="13" t="s">
        <v>373</v>
      </c>
      <c r="Q494" s="13" t="s">
        <v>618</v>
      </c>
      <c r="R494" s="13" t="str">
        <f>VLOOKUP(P494,'Dados das Regiões '!A:B,2,0)</f>
        <v>MARINGÁ</v>
      </c>
      <c r="S494" s="13" t="s">
        <v>2290</v>
      </c>
      <c r="T494" s="13"/>
      <c r="U494" s="79"/>
      <c r="V494" s="13" t="s">
        <v>2291</v>
      </c>
      <c r="W494" s="13" t="s">
        <v>2292</v>
      </c>
      <c r="X494" s="15">
        <v>0.58333333333333337</v>
      </c>
      <c r="Y494" s="16" t="s">
        <v>1200</v>
      </c>
      <c r="Z494" s="16" t="s">
        <v>622</v>
      </c>
      <c r="AA494" s="36" t="s">
        <v>1808</v>
      </c>
      <c r="AB494" s="164">
        <v>202400671</v>
      </c>
      <c r="AC494" s="55" t="s">
        <v>6</v>
      </c>
      <c r="AD494" s="40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</row>
    <row r="495" spans="1:46">
      <c r="A495" s="14"/>
      <c r="B495" s="13" t="str">
        <f t="shared" si="40"/>
        <v>Pendente</v>
      </c>
      <c r="C495" s="14" t="str">
        <f t="shared" si="41"/>
        <v/>
      </c>
      <c r="D495" s="13" t="s">
        <v>611</v>
      </c>
      <c r="E495" s="14" t="str">
        <f t="shared" si="42"/>
        <v/>
      </c>
      <c r="F495" s="13" t="s">
        <v>611</v>
      </c>
      <c r="G495" s="40">
        <v>202400671</v>
      </c>
      <c r="H495" s="13" t="s">
        <v>2293</v>
      </c>
      <c r="I495" s="13" t="s">
        <v>613</v>
      </c>
      <c r="J495" s="14">
        <v>45509</v>
      </c>
      <c r="K495" s="14">
        <v>45870</v>
      </c>
      <c r="L495" s="13" t="s">
        <v>2294</v>
      </c>
      <c r="M495" s="13" t="s">
        <v>2295</v>
      </c>
      <c r="N495" s="13" t="s">
        <v>2296</v>
      </c>
      <c r="O495" s="17" t="s">
        <v>2297</v>
      </c>
      <c r="P495" s="13" t="s">
        <v>233</v>
      </c>
      <c r="Q495" s="13" t="s">
        <v>618</v>
      </c>
      <c r="R495" s="13" t="str">
        <f>VLOOKUP(P495,'Dados das Regiões '!A:B,2,0)</f>
        <v>CORNÉLIO PROCÓPIO</v>
      </c>
      <c r="S495" s="13" t="s">
        <v>2298</v>
      </c>
      <c r="T495" s="13"/>
      <c r="U495" s="79"/>
      <c r="V495" s="13" t="s">
        <v>2299</v>
      </c>
      <c r="W495" s="13" t="s">
        <v>2300</v>
      </c>
      <c r="X495" s="15">
        <v>0.5625</v>
      </c>
      <c r="Y495" s="16" t="s">
        <v>1415</v>
      </c>
      <c r="Z495" s="16" t="s">
        <v>622</v>
      </c>
      <c r="AA495" s="36" t="s">
        <v>1808</v>
      </c>
      <c r="AB495" s="164">
        <v>202400671</v>
      </c>
      <c r="AC495" s="55" t="s">
        <v>6</v>
      </c>
      <c r="AD495" s="40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</row>
    <row r="496" spans="1:46">
      <c r="A496" s="14"/>
      <c r="B496" s="13" t="str">
        <f t="shared" si="40"/>
        <v>Pendente</v>
      </c>
      <c r="C496" s="14" t="str">
        <f t="shared" si="41"/>
        <v/>
      </c>
      <c r="D496" s="13" t="s">
        <v>611</v>
      </c>
      <c r="E496" s="14" t="str">
        <f t="shared" si="42"/>
        <v/>
      </c>
      <c r="F496" s="13" t="s">
        <v>611</v>
      </c>
      <c r="G496" s="40">
        <v>202400671</v>
      </c>
      <c r="H496" s="13" t="s">
        <v>2301</v>
      </c>
      <c r="I496" s="13" t="s">
        <v>613</v>
      </c>
      <c r="J496" s="14">
        <v>45509</v>
      </c>
      <c r="K496" s="14">
        <v>45870</v>
      </c>
      <c r="L496" s="13" t="s">
        <v>2302</v>
      </c>
      <c r="M496" s="13" t="s">
        <v>2303</v>
      </c>
      <c r="N496" s="13" t="s">
        <v>2296</v>
      </c>
      <c r="O496" s="17" t="s">
        <v>2304</v>
      </c>
      <c r="P496" s="13" t="s">
        <v>337</v>
      </c>
      <c r="Q496" s="13" t="s">
        <v>618</v>
      </c>
      <c r="R496" s="13" t="str">
        <f>VLOOKUP(P496,'Dados das Regiões '!A:B,2,0)</f>
        <v>LONDRINA CENTRO</v>
      </c>
      <c r="S496" s="13" t="s">
        <v>2305</v>
      </c>
      <c r="T496" s="13"/>
      <c r="U496" s="79"/>
      <c r="V496" s="13" t="s">
        <v>2306</v>
      </c>
      <c r="W496" s="13" t="s">
        <v>2307</v>
      </c>
      <c r="X496" s="15">
        <v>0.64583333333333337</v>
      </c>
      <c r="Y496" s="16" t="s">
        <v>1415</v>
      </c>
      <c r="Z496" s="16" t="s">
        <v>622</v>
      </c>
      <c r="AA496" s="36" t="s">
        <v>1808</v>
      </c>
      <c r="AB496" s="164">
        <v>202400671</v>
      </c>
      <c r="AC496" s="55" t="s">
        <v>6</v>
      </c>
      <c r="AD496" s="40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</row>
    <row r="497" spans="1:46">
      <c r="A497" s="14">
        <v>45854</v>
      </c>
      <c r="B497" s="13" t="str">
        <f t="shared" si="40"/>
        <v>Realizada</v>
      </c>
      <c r="C497" s="14">
        <f t="shared" si="41"/>
        <v>45946</v>
      </c>
      <c r="D497" s="13" t="s">
        <v>611</v>
      </c>
      <c r="E497" s="14">
        <f t="shared" si="42"/>
        <v>46038</v>
      </c>
      <c r="F497" s="13" t="s">
        <v>611</v>
      </c>
      <c r="G497" s="40">
        <v>202400681</v>
      </c>
      <c r="H497" s="13" t="s">
        <v>2308</v>
      </c>
      <c r="I497" s="13" t="s">
        <v>1192</v>
      </c>
      <c r="J497" s="14">
        <v>45509</v>
      </c>
      <c r="K497" s="14">
        <v>45870</v>
      </c>
      <c r="L497" s="13" t="s">
        <v>2176</v>
      </c>
      <c r="M497" s="13" t="s">
        <v>2309</v>
      </c>
      <c r="N497" s="13" t="s">
        <v>2310</v>
      </c>
      <c r="O497" s="17" t="s">
        <v>2311</v>
      </c>
      <c r="P497" s="13" t="s">
        <v>294</v>
      </c>
      <c r="Q497" s="13" t="s">
        <v>618</v>
      </c>
      <c r="R497" s="13" t="str">
        <f>VLOOKUP(P497,'Dados das Regiões '!A:B,2,0)</f>
        <v>GUARAPUAVA</v>
      </c>
      <c r="S497" s="13" t="s">
        <v>2228</v>
      </c>
      <c r="T497" s="13"/>
      <c r="U497" s="79" t="s">
        <v>2223</v>
      </c>
      <c r="V497" s="13" t="s">
        <v>2224</v>
      </c>
      <c r="W497" s="13" t="s">
        <v>2225</v>
      </c>
      <c r="X497" s="15">
        <v>0.58333333333333337</v>
      </c>
      <c r="Y497" s="16" t="s">
        <v>1200</v>
      </c>
      <c r="Z497" s="16" t="s">
        <v>622</v>
      </c>
      <c r="AA497" s="36" t="s">
        <v>2029</v>
      </c>
      <c r="AB497" s="164">
        <v>202400681</v>
      </c>
      <c r="AC497" s="55" t="s">
        <v>12</v>
      </c>
      <c r="AS497" s="13"/>
      <c r="AT497" s="13"/>
    </row>
    <row r="498" spans="1:46">
      <c r="A498" s="14"/>
      <c r="B498" s="13" t="str">
        <f t="shared" si="40"/>
        <v>Pendente</v>
      </c>
      <c r="C498" s="14" t="str">
        <f t="shared" si="41"/>
        <v/>
      </c>
      <c r="D498" s="13" t="s">
        <v>611</v>
      </c>
      <c r="E498" s="14" t="str">
        <f t="shared" si="42"/>
        <v/>
      </c>
      <c r="F498" s="13" t="s">
        <v>611</v>
      </c>
      <c r="G498" s="40">
        <v>202400681</v>
      </c>
      <c r="H498" s="13" t="s">
        <v>2313</v>
      </c>
      <c r="I498" s="13" t="s">
        <v>1192</v>
      </c>
      <c r="J498" s="14">
        <v>45509</v>
      </c>
      <c r="K498" s="14">
        <v>45870</v>
      </c>
      <c r="L498" s="13" t="s">
        <v>2176</v>
      </c>
      <c r="M498" s="13" t="s">
        <v>2314</v>
      </c>
      <c r="N498" s="13" t="s">
        <v>2315</v>
      </c>
      <c r="O498" s="17" t="s">
        <v>2316</v>
      </c>
      <c r="P498" s="13" t="s">
        <v>203</v>
      </c>
      <c r="Q498" s="13" t="s">
        <v>618</v>
      </c>
      <c r="R498" s="13" t="str">
        <f>VLOOKUP(P498,'Dados das Regiões '!A:B,2,0)</f>
        <v>CASCAVEL</v>
      </c>
      <c r="S498" s="13" t="s">
        <v>2317</v>
      </c>
      <c r="T498" s="13"/>
      <c r="U498" s="79" t="s">
        <v>2318</v>
      </c>
      <c r="V498" s="13" t="s">
        <v>2319</v>
      </c>
      <c r="W498" s="13" t="s">
        <v>2320</v>
      </c>
      <c r="X498" s="15">
        <v>0.58333333333333337</v>
      </c>
      <c r="Y498" s="16" t="s">
        <v>2321</v>
      </c>
      <c r="Z498" s="16" t="s">
        <v>622</v>
      </c>
      <c r="AA498" s="36" t="s">
        <v>1808</v>
      </c>
      <c r="AB498" s="164">
        <v>202400681</v>
      </c>
      <c r="AC498" s="55" t="s">
        <v>12</v>
      </c>
      <c r="AD498" s="40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</row>
    <row r="499" spans="1:46">
      <c r="A499" s="14"/>
      <c r="B499" s="13" t="str">
        <f t="shared" si="40"/>
        <v>Pendente</v>
      </c>
      <c r="C499" s="14" t="str">
        <f t="shared" si="41"/>
        <v/>
      </c>
      <c r="D499" s="13" t="s">
        <v>611</v>
      </c>
      <c r="E499" s="14" t="str">
        <f t="shared" si="42"/>
        <v/>
      </c>
      <c r="F499" s="13" t="s">
        <v>611</v>
      </c>
      <c r="G499" s="40">
        <v>202400681</v>
      </c>
      <c r="H499" s="13" t="s">
        <v>2322</v>
      </c>
      <c r="I499" s="13" t="s">
        <v>1192</v>
      </c>
      <c r="J499" s="14">
        <v>45509</v>
      </c>
      <c r="K499" s="14">
        <v>45870</v>
      </c>
      <c r="L499" s="13" t="s">
        <v>2176</v>
      </c>
      <c r="M499" s="13" t="s">
        <v>2323</v>
      </c>
      <c r="N499" s="13" t="s">
        <v>2324</v>
      </c>
      <c r="O499" s="17" t="s">
        <v>2325</v>
      </c>
      <c r="P499" s="13" t="s">
        <v>436</v>
      </c>
      <c r="Q499" s="13" t="s">
        <v>618</v>
      </c>
      <c r="R499" s="13" t="str">
        <f>VLOOKUP(P499,'Dados das Regiões '!A:B,2,0)</f>
        <v>PATO BRANCO</v>
      </c>
      <c r="S499" s="41" t="s">
        <v>2326</v>
      </c>
      <c r="T499" s="13"/>
      <c r="U499" s="79" t="s">
        <v>2327</v>
      </c>
      <c r="V499" s="13" t="s">
        <v>2328</v>
      </c>
      <c r="W499" s="13" t="s">
        <v>2329</v>
      </c>
      <c r="X499" s="15">
        <v>0.54166666666666663</v>
      </c>
      <c r="Y499" s="16" t="s">
        <v>1824</v>
      </c>
      <c r="Z499" s="16" t="s">
        <v>622</v>
      </c>
      <c r="AA499" s="36" t="s">
        <v>1808</v>
      </c>
      <c r="AB499" s="164">
        <v>202400681</v>
      </c>
      <c r="AC499" s="55" t="s">
        <v>12</v>
      </c>
      <c r="AD499" s="40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</row>
    <row r="500" spans="1:46">
      <c r="A500" s="29">
        <v>45757</v>
      </c>
      <c r="B500" s="18" t="str">
        <f t="shared" si="40"/>
        <v>Realizada</v>
      </c>
      <c r="C500" s="29">
        <f t="shared" si="41"/>
        <v>45848</v>
      </c>
      <c r="D500" s="18" t="s">
        <v>611</v>
      </c>
      <c r="E500" s="29">
        <f t="shared" si="42"/>
        <v>45940</v>
      </c>
      <c r="F500" s="18" t="s">
        <v>611</v>
      </c>
      <c r="G500" s="44">
        <v>202400682</v>
      </c>
      <c r="H500" s="18" t="s">
        <v>2330</v>
      </c>
      <c r="I500" s="18" t="s">
        <v>1192</v>
      </c>
      <c r="J500" s="29">
        <v>45509</v>
      </c>
      <c r="K500" s="29">
        <v>45870</v>
      </c>
      <c r="L500" s="18" t="s">
        <v>2278</v>
      </c>
      <c r="M500" s="18" t="s">
        <v>2331</v>
      </c>
      <c r="N500" s="18" t="s">
        <v>2280</v>
      </c>
      <c r="O500" s="18" t="s">
        <v>2280</v>
      </c>
      <c r="P500" s="18" t="s">
        <v>513</v>
      </c>
      <c r="Q500" s="18" t="s">
        <v>618</v>
      </c>
      <c r="R500" s="39" t="str">
        <f>VLOOKUP(P500,'Dados das Regiões '!A:B,2,0)</f>
        <v>CAMPO LARGO</v>
      </c>
      <c r="S500" s="18" t="s">
        <v>2332</v>
      </c>
      <c r="T500" s="44"/>
      <c r="U500" s="82" t="s">
        <v>2282</v>
      </c>
      <c r="V500" s="18" t="s">
        <v>2283</v>
      </c>
      <c r="W500" s="18" t="s">
        <v>2284</v>
      </c>
      <c r="X500" s="30">
        <v>0.58333333333333337</v>
      </c>
      <c r="Y500" s="31" t="s">
        <v>1200</v>
      </c>
      <c r="Z500" s="31" t="s">
        <v>622</v>
      </c>
      <c r="AA500" s="36" t="s">
        <v>1808</v>
      </c>
      <c r="AB500" s="166">
        <v>202400682</v>
      </c>
      <c r="AC500" s="55" t="s">
        <v>14</v>
      </c>
      <c r="AD500" s="40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</row>
    <row r="501" spans="1:46">
      <c r="A501" s="29">
        <v>45757</v>
      </c>
      <c r="B501" s="18" t="str">
        <f t="shared" si="40"/>
        <v>Realizada</v>
      </c>
      <c r="C501" s="29">
        <f t="shared" si="41"/>
        <v>45848</v>
      </c>
      <c r="D501" s="18" t="s">
        <v>611</v>
      </c>
      <c r="E501" s="29">
        <f t="shared" si="42"/>
        <v>45940</v>
      </c>
      <c r="F501" s="18" t="s">
        <v>611</v>
      </c>
      <c r="G501" s="44">
        <v>202400682</v>
      </c>
      <c r="H501" s="18" t="s">
        <v>2333</v>
      </c>
      <c r="I501" s="18" t="s">
        <v>1192</v>
      </c>
      <c r="J501" s="29">
        <v>45509</v>
      </c>
      <c r="K501" s="29">
        <v>45870</v>
      </c>
      <c r="L501" s="18" t="s">
        <v>2278</v>
      </c>
      <c r="M501" s="18" t="s">
        <v>2331</v>
      </c>
      <c r="N501" s="18" t="s">
        <v>2280</v>
      </c>
      <c r="O501" s="18" t="s">
        <v>2280</v>
      </c>
      <c r="P501" s="18" t="s">
        <v>513</v>
      </c>
      <c r="Q501" s="18" t="s">
        <v>618</v>
      </c>
      <c r="R501" s="18" t="str">
        <f>VLOOKUP(P501,'Dados das Regiões '!A:B,2,0)</f>
        <v>CAMPO LARGO</v>
      </c>
      <c r="S501" s="502" t="s">
        <v>2332</v>
      </c>
      <c r="T501" s="18"/>
      <c r="U501" s="82" t="s">
        <v>2282</v>
      </c>
      <c r="V501" s="18" t="s">
        <v>2283</v>
      </c>
      <c r="W501" s="18" t="s">
        <v>2284</v>
      </c>
      <c r="X501" s="30">
        <v>0.58333333333333337</v>
      </c>
      <c r="Y501" s="31" t="s">
        <v>1200</v>
      </c>
      <c r="Z501" s="31" t="s">
        <v>622</v>
      </c>
      <c r="AA501" s="36" t="s">
        <v>1808</v>
      </c>
      <c r="AB501" s="166">
        <v>202400682</v>
      </c>
      <c r="AC501" s="55" t="s">
        <v>14</v>
      </c>
      <c r="AD501" s="40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</row>
    <row r="502" spans="1:46">
      <c r="A502" s="29">
        <v>45757</v>
      </c>
      <c r="B502" s="18" t="str">
        <f t="shared" si="40"/>
        <v>Realizada</v>
      </c>
      <c r="C502" s="29">
        <f t="shared" si="41"/>
        <v>45848</v>
      </c>
      <c r="D502" s="18" t="s">
        <v>611</v>
      </c>
      <c r="E502" s="29">
        <f t="shared" si="42"/>
        <v>45940</v>
      </c>
      <c r="F502" s="18" t="s">
        <v>611</v>
      </c>
      <c r="G502" s="44">
        <v>202400682</v>
      </c>
      <c r="H502" s="18" t="s">
        <v>2334</v>
      </c>
      <c r="I502" s="18" t="s">
        <v>1192</v>
      </c>
      <c r="J502" s="29">
        <v>45509</v>
      </c>
      <c r="K502" s="29">
        <v>45870</v>
      </c>
      <c r="L502" s="18" t="s">
        <v>2278</v>
      </c>
      <c r="M502" s="18" t="s">
        <v>2331</v>
      </c>
      <c r="N502" s="18" t="s">
        <v>2280</v>
      </c>
      <c r="O502" s="18" t="s">
        <v>2280</v>
      </c>
      <c r="P502" s="18" t="s">
        <v>513</v>
      </c>
      <c r="Q502" s="18" t="s">
        <v>618</v>
      </c>
      <c r="R502" s="18" t="str">
        <f>VLOOKUP(P502,'Dados das Regiões '!A:B,2,0)</f>
        <v>CAMPO LARGO</v>
      </c>
      <c r="S502" s="18" t="s">
        <v>2332</v>
      </c>
      <c r="T502" s="18"/>
      <c r="U502" s="82" t="s">
        <v>2282</v>
      </c>
      <c r="V502" s="18" t="s">
        <v>2283</v>
      </c>
      <c r="W502" s="18" t="s">
        <v>2284</v>
      </c>
      <c r="X502" s="30">
        <v>0.58333333333333337</v>
      </c>
      <c r="Y502" s="31" t="s">
        <v>1200</v>
      </c>
      <c r="Z502" s="31" t="s">
        <v>622</v>
      </c>
      <c r="AA502" s="36" t="s">
        <v>1808</v>
      </c>
      <c r="AB502" s="166">
        <v>202400682</v>
      </c>
      <c r="AC502" s="55" t="s">
        <v>14</v>
      </c>
      <c r="AD502" s="40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</row>
    <row r="503" spans="1:46">
      <c r="A503" s="29">
        <v>45757</v>
      </c>
      <c r="B503" s="18" t="str">
        <f t="shared" si="40"/>
        <v>Realizada</v>
      </c>
      <c r="C503" s="29">
        <f t="shared" si="41"/>
        <v>45848</v>
      </c>
      <c r="D503" s="18" t="s">
        <v>611</v>
      </c>
      <c r="E503" s="29">
        <f t="shared" si="42"/>
        <v>45940</v>
      </c>
      <c r="F503" s="18" t="s">
        <v>611</v>
      </c>
      <c r="G503" s="44">
        <v>202400682</v>
      </c>
      <c r="H503" s="18" t="s">
        <v>2335</v>
      </c>
      <c r="I503" s="18" t="s">
        <v>1192</v>
      </c>
      <c r="J503" s="29">
        <v>45509</v>
      </c>
      <c r="K503" s="29">
        <v>45870</v>
      </c>
      <c r="L503" s="18" t="s">
        <v>2278</v>
      </c>
      <c r="M503" s="18" t="s">
        <v>2336</v>
      </c>
      <c r="N503" s="18" t="s">
        <v>2280</v>
      </c>
      <c r="O503" s="18" t="s">
        <v>2280</v>
      </c>
      <c r="P503" s="18" t="s">
        <v>513</v>
      </c>
      <c r="Q503" s="18" t="s">
        <v>618</v>
      </c>
      <c r="R503" s="18" t="str">
        <f>VLOOKUP(P503,'Dados das Regiões '!A:B,2,0)</f>
        <v>CAMPO LARGO</v>
      </c>
      <c r="S503" s="18" t="s">
        <v>2281</v>
      </c>
      <c r="T503" s="18"/>
      <c r="U503" s="82" t="s">
        <v>2282</v>
      </c>
      <c r="V503" s="18" t="s">
        <v>2283</v>
      </c>
      <c r="W503" s="18" t="s">
        <v>2284</v>
      </c>
      <c r="X503" s="30">
        <v>0.33333333333333331</v>
      </c>
      <c r="Y503" s="31" t="s">
        <v>1438</v>
      </c>
      <c r="Z503" s="31" t="s">
        <v>622</v>
      </c>
      <c r="AA503" s="36" t="s">
        <v>1808</v>
      </c>
      <c r="AB503" s="166">
        <v>202400682</v>
      </c>
      <c r="AC503" s="55" t="s">
        <v>14</v>
      </c>
      <c r="AD503" s="40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</row>
    <row r="504" spans="1:46">
      <c r="A504" s="29">
        <v>45757</v>
      </c>
      <c r="B504" s="18" t="str">
        <f t="shared" si="40"/>
        <v>Realizada</v>
      </c>
      <c r="C504" s="29">
        <f t="shared" si="41"/>
        <v>45848</v>
      </c>
      <c r="D504" s="18" t="s">
        <v>611</v>
      </c>
      <c r="E504" s="29">
        <f t="shared" si="42"/>
        <v>45940</v>
      </c>
      <c r="F504" s="18" t="s">
        <v>611</v>
      </c>
      <c r="G504" s="44">
        <v>202400682</v>
      </c>
      <c r="H504" s="18" t="s">
        <v>2337</v>
      </c>
      <c r="I504" s="18" t="s">
        <v>1192</v>
      </c>
      <c r="J504" s="29">
        <v>45509</v>
      </c>
      <c r="K504" s="29">
        <v>45870</v>
      </c>
      <c r="L504" s="18" t="s">
        <v>2278</v>
      </c>
      <c r="M504" s="18" t="s">
        <v>2336</v>
      </c>
      <c r="N504" s="18" t="s">
        <v>2280</v>
      </c>
      <c r="O504" s="18" t="s">
        <v>2280</v>
      </c>
      <c r="P504" s="18" t="s">
        <v>513</v>
      </c>
      <c r="Q504" s="18" t="s">
        <v>618</v>
      </c>
      <c r="R504" s="18" t="str">
        <f>VLOOKUP(P504,'Dados das Regiões '!A:B,2,0)</f>
        <v>CAMPO LARGO</v>
      </c>
      <c r="S504" s="18" t="s">
        <v>2332</v>
      </c>
      <c r="T504" s="18"/>
      <c r="U504" s="82" t="s">
        <v>2282</v>
      </c>
      <c r="V504" s="18" t="s">
        <v>2283</v>
      </c>
      <c r="W504" s="18" t="s">
        <v>2284</v>
      </c>
      <c r="X504" s="30">
        <v>0.58333333333333337</v>
      </c>
      <c r="Y504" s="31" t="s">
        <v>1200</v>
      </c>
      <c r="Z504" s="31" t="s">
        <v>622</v>
      </c>
      <c r="AA504" s="36" t="s">
        <v>1808</v>
      </c>
      <c r="AB504" s="166">
        <v>202400682</v>
      </c>
      <c r="AC504" s="55" t="s">
        <v>14</v>
      </c>
      <c r="AD504" s="40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</row>
    <row r="505" spans="1:46">
      <c r="A505" s="14"/>
      <c r="B505" s="13" t="str">
        <f t="shared" si="40"/>
        <v>Pendente</v>
      </c>
      <c r="C505" s="14" t="str">
        <f t="shared" si="41"/>
        <v/>
      </c>
      <c r="D505" s="13" t="s">
        <v>611</v>
      </c>
      <c r="E505" s="14" t="str">
        <f t="shared" si="42"/>
        <v/>
      </c>
      <c r="F505" s="13" t="s">
        <v>611</v>
      </c>
      <c r="G505" s="40">
        <v>202400682</v>
      </c>
      <c r="H505" s="13" t="s">
        <v>2355</v>
      </c>
      <c r="I505" s="13" t="s">
        <v>1192</v>
      </c>
      <c r="J505" s="14">
        <v>45509</v>
      </c>
      <c r="K505" s="14">
        <v>45870</v>
      </c>
      <c r="L505" s="13" t="s">
        <v>2356</v>
      </c>
      <c r="M505" s="13" t="s">
        <v>2357</v>
      </c>
      <c r="N505" s="13" t="s">
        <v>2358</v>
      </c>
      <c r="O505" s="17" t="s">
        <v>2359</v>
      </c>
      <c r="P505" s="13" t="s">
        <v>435</v>
      </c>
      <c r="Q505" s="13" t="s">
        <v>618</v>
      </c>
      <c r="R505" s="13" t="str">
        <f>VLOOKUP(P505,'Dados das Regiões '!A:B,2,0)</f>
        <v>PATO BRANCO</v>
      </c>
      <c r="S505" s="13" t="s">
        <v>2360</v>
      </c>
      <c r="T505" s="13"/>
      <c r="U505" s="79" t="s">
        <v>2361</v>
      </c>
      <c r="V505" s="13" t="s">
        <v>2362</v>
      </c>
      <c r="W505" s="13" t="s">
        <v>2363</v>
      </c>
      <c r="X505" s="15">
        <v>0.33333333333333331</v>
      </c>
      <c r="Y505" s="16" t="s">
        <v>2364</v>
      </c>
      <c r="Z505" s="16" t="s">
        <v>622</v>
      </c>
      <c r="AA505" s="36" t="s">
        <v>1808</v>
      </c>
      <c r="AB505" s="164">
        <v>202400682</v>
      </c>
      <c r="AC505" s="55" t="s">
        <v>14</v>
      </c>
      <c r="AD505" s="40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</row>
    <row r="506" spans="1:46">
      <c r="A506" s="14"/>
      <c r="B506" s="13" t="str">
        <f t="shared" si="40"/>
        <v>Pendente</v>
      </c>
      <c r="C506" s="14" t="str">
        <f t="shared" si="41"/>
        <v/>
      </c>
      <c r="D506" s="13" t="s">
        <v>611</v>
      </c>
      <c r="E506" s="14" t="str">
        <f t="shared" si="42"/>
        <v/>
      </c>
      <c r="F506" s="13" t="s">
        <v>611</v>
      </c>
      <c r="G506" s="40">
        <v>202400679</v>
      </c>
      <c r="H506" s="13" t="s">
        <v>2365</v>
      </c>
      <c r="I506" s="13" t="s">
        <v>1176</v>
      </c>
      <c r="J506" s="14">
        <v>45509</v>
      </c>
      <c r="K506" s="14">
        <v>45870</v>
      </c>
      <c r="L506" s="13" t="s">
        <v>1185</v>
      </c>
      <c r="M506" s="13" t="s">
        <v>2366</v>
      </c>
      <c r="N506" s="13" t="s">
        <v>2367</v>
      </c>
      <c r="O506" s="17" t="s">
        <v>2368</v>
      </c>
      <c r="P506" s="13" t="s">
        <v>276</v>
      </c>
      <c r="Q506" s="13" t="s">
        <v>618</v>
      </c>
      <c r="R506" s="13" t="str">
        <f>VLOOKUP(P506,'Dados das Regiões '!A:B,2,0)</f>
        <v>FRANCISCO BELTRÃO</v>
      </c>
      <c r="S506" s="13" t="s">
        <v>2369</v>
      </c>
      <c r="T506" s="13"/>
      <c r="U506" s="79" t="s">
        <v>2370</v>
      </c>
      <c r="V506" s="13" t="s">
        <v>2371</v>
      </c>
      <c r="W506" s="13" t="s">
        <v>2372</v>
      </c>
      <c r="X506" s="15">
        <v>0.5625</v>
      </c>
      <c r="Y506" s="16" t="s">
        <v>1415</v>
      </c>
      <c r="Z506" s="16" t="s">
        <v>622</v>
      </c>
      <c r="AA506" s="36" t="s">
        <v>1808</v>
      </c>
      <c r="AB506" s="164">
        <v>202400679</v>
      </c>
      <c r="AC506" s="55" t="s">
        <v>9</v>
      </c>
      <c r="AD506" s="40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</row>
    <row r="507" spans="1:46">
      <c r="A507" s="14"/>
      <c r="B507" s="13" t="str">
        <f t="shared" si="40"/>
        <v>Pendente</v>
      </c>
      <c r="C507" s="14" t="str">
        <f t="shared" si="41"/>
        <v/>
      </c>
      <c r="D507" s="13" t="s">
        <v>611</v>
      </c>
      <c r="E507" s="14" t="str">
        <f t="shared" si="42"/>
        <v/>
      </c>
      <c r="F507" s="13" t="s">
        <v>611</v>
      </c>
      <c r="G507" s="40">
        <v>202400682</v>
      </c>
      <c r="H507" s="13" t="s">
        <v>2373</v>
      </c>
      <c r="I507" s="13" t="s">
        <v>1192</v>
      </c>
      <c r="J507" s="14">
        <v>45509</v>
      </c>
      <c r="K507" s="14">
        <v>45870</v>
      </c>
      <c r="L507" s="13" t="s">
        <v>2374</v>
      </c>
      <c r="M507" s="13" t="s">
        <v>2375</v>
      </c>
      <c r="N507" s="13" t="s">
        <v>2376</v>
      </c>
      <c r="O507" s="17" t="s">
        <v>2377</v>
      </c>
      <c r="P507" s="13" t="s">
        <v>154</v>
      </c>
      <c r="Q507" s="13" t="s">
        <v>618</v>
      </c>
      <c r="R507" s="13" t="str">
        <f>VLOOKUP(P507,'Dados das Regiões '!A:B,2,0)</f>
        <v>CAMPO MOURÃO</v>
      </c>
      <c r="S507" s="41" t="s">
        <v>2378</v>
      </c>
      <c r="T507" s="13"/>
      <c r="U507" s="79" t="s">
        <v>2379</v>
      </c>
      <c r="V507" s="13" t="s">
        <v>2379</v>
      </c>
      <c r="W507" s="13" t="s">
        <v>2380</v>
      </c>
      <c r="X507" s="15">
        <v>0.41666666666666669</v>
      </c>
      <c r="Y507" s="16" t="s">
        <v>1696</v>
      </c>
      <c r="Z507" s="16" t="s">
        <v>622</v>
      </c>
      <c r="AA507" s="36" t="s">
        <v>1808</v>
      </c>
      <c r="AB507" s="164">
        <v>202400682</v>
      </c>
      <c r="AC507" s="55" t="s">
        <v>14</v>
      </c>
      <c r="AD507" s="40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</row>
    <row r="508" spans="1:46">
      <c r="A508" s="14"/>
      <c r="B508" s="13" t="str">
        <f t="shared" si="40"/>
        <v>Pendente</v>
      </c>
      <c r="C508" s="14" t="str">
        <f t="shared" si="41"/>
        <v/>
      </c>
      <c r="D508" s="13" t="s">
        <v>611</v>
      </c>
      <c r="E508" s="14" t="str">
        <f t="shared" si="42"/>
        <v/>
      </c>
      <c r="F508" s="13" t="s">
        <v>611</v>
      </c>
      <c r="G508" s="40">
        <v>202400682</v>
      </c>
      <c r="H508" s="13" t="s">
        <v>2381</v>
      </c>
      <c r="I508" s="13" t="s">
        <v>1192</v>
      </c>
      <c r="J508" s="14">
        <v>45509</v>
      </c>
      <c r="K508" s="14">
        <v>45870</v>
      </c>
      <c r="L508" s="13" t="s">
        <v>2374</v>
      </c>
      <c r="M508" s="13" t="s">
        <v>2375</v>
      </c>
      <c r="N508" s="13" t="s">
        <v>2376</v>
      </c>
      <c r="O508" s="17" t="s">
        <v>2377</v>
      </c>
      <c r="P508" s="13" t="s">
        <v>154</v>
      </c>
      <c r="Q508" s="13" t="s">
        <v>618</v>
      </c>
      <c r="R508" s="13" t="str">
        <f>VLOOKUP(P508,'Dados das Regiões '!A:B,2,0)</f>
        <v>CAMPO MOURÃO</v>
      </c>
      <c r="S508" s="34" t="s">
        <v>2378</v>
      </c>
      <c r="T508" s="13"/>
      <c r="U508" s="79" t="s">
        <v>2379</v>
      </c>
      <c r="V508" s="13" t="s">
        <v>2379</v>
      </c>
      <c r="W508" s="13" t="s">
        <v>2380</v>
      </c>
      <c r="X508" s="15">
        <v>0.33333333333333331</v>
      </c>
      <c r="Y508" s="16" t="s">
        <v>1438</v>
      </c>
      <c r="Z508" s="16" t="s">
        <v>622</v>
      </c>
      <c r="AA508" s="36" t="s">
        <v>1808</v>
      </c>
      <c r="AB508" s="164">
        <v>202400682</v>
      </c>
      <c r="AC508" s="55" t="s">
        <v>14</v>
      </c>
      <c r="AD508" s="40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</row>
    <row r="509" spans="1:46">
      <c r="A509" s="14"/>
      <c r="B509" s="13" t="str">
        <f t="shared" si="40"/>
        <v>Pendente</v>
      </c>
      <c r="C509" s="14" t="str">
        <f t="shared" si="41"/>
        <v/>
      </c>
      <c r="D509" s="13" t="s">
        <v>611</v>
      </c>
      <c r="E509" s="14" t="str">
        <f t="shared" si="42"/>
        <v/>
      </c>
      <c r="F509" s="13" t="s">
        <v>611</v>
      </c>
      <c r="G509" s="40">
        <v>202400682</v>
      </c>
      <c r="H509" s="13" t="s">
        <v>2382</v>
      </c>
      <c r="I509" s="13" t="s">
        <v>1192</v>
      </c>
      <c r="J509" s="14">
        <v>45509</v>
      </c>
      <c r="K509" s="14">
        <v>45870</v>
      </c>
      <c r="L509" s="13" t="s">
        <v>2374</v>
      </c>
      <c r="M509" s="13" t="s">
        <v>2383</v>
      </c>
      <c r="N509" s="13" t="s">
        <v>2384</v>
      </c>
      <c r="O509" s="17" t="s">
        <v>2385</v>
      </c>
      <c r="P509" s="13" t="s">
        <v>154</v>
      </c>
      <c r="Q509" s="13" t="s">
        <v>618</v>
      </c>
      <c r="R509" s="13" t="str">
        <f>VLOOKUP(P509,'Dados das Regiões '!A:B,2,0)</f>
        <v>CAMPO MOURÃO</v>
      </c>
      <c r="S509" s="13" t="s">
        <v>2386</v>
      </c>
      <c r="T509" s="13"/>
      <c r="U509" s="79"/>
      <c r="V509" s="13" t="s">
        <v>2379</v>
      </c>
      <c r="W509" s="13" t="s">
        <v>2380</v>
      </c>
      <c r="X509" s="15">
        <v>0.5625</v>
      </c>
      <c r="Y509" s="16" t="s">
        <v>1415</v>
      </c>
      <c r="Z509" s="16" t="s">
        <v>622</v>
      </c>
      <c r="AA509" s="36" t="s">
        <v>1808</v>
      </c>
      <c r="AB509" s="164">
        <v>202400682</v>
      </c>
      <c r="AC509" s="55" t="s">
        <v>14</v>
      </c>
      <c r="AD509" s="40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</row>
    <row r="510" spans="1:46">
      <c r="A510" s="14"/>
      <c r="B510" s="13" t="str">
        <f t="shared" si="40"/>
        <v>Pendente</v>
      </c>
      <c r="C510" s="14" t="str">
        <f t="shared" si="41"/>
        <v/>
      </c>
      <c r="D510" s="13" t="s">
        <v>611</v>
      </c>
      <c r="E510" s="14" t="str">
        <f t="shared" si="42"/>
        <v/>
      </c>
      <c r="F510" s="13" t="s">
        <v>611</v>
      </c>
      <c r="G510" s="40">
        <v>202400682</v>
      </c>
      <c r="H510" s="13" t="s">
        <v>2387</v>
      </c>
      <c r="I510" s="13" t="s">
        <v>1192</v>
      </c>
      <c r="J510" s="14">
        <v>45509</v>
      </c>
      <c r="K510" s="14">
        <v>45870</v>
      </c>
      <c r="L510" s="13" t="s">
        <v>2374</v>
      </c>
      <c r="M510" s="13" t="s">
        <v>2383</v>
      </c>
      <c r="N510" s="13" t="s">
        <v>2384</v>
      </c>
      <c r="O510" s="17" t="s">
        <v>2385</v>
      </c>
      <c r="P510" s="13" t="s">
        <v>154</v>
      </c>
      <c r="Q510" s="13" t="s">
        <v>618</v>
      </c>
      <c r="R510" s="13" t="str">
        <f>VLOOKUP(P510,'Dados das Regiões '!A:B,2,0)</f>
        <v>CAMPO MOURÃO</v>
      </c>
      <c r="S510" s="13" t="s">
        <v>2378</v>
      </c>
      <c r="T510" s="13"/>
      <c r="U510" s="79"/>
      <c r="V510" s="13" t="s">
        <v>2379</v>
      </c>
      <c r="W510" s="13" t="s">
        <v>2380</v>
      </c>
      <c r="X510" s="15">
        <v>0.64583333333333337</v>
      </c>
      <c r="Y510" s="16" t="s">
        <v>1451</v>
      </c>
      <c r="Z510" s="16" t="s">
        <v>622</v>
      </c>
      <c r="AA510" s="36" t="s">
        <v>1808</v>
      </c>
      <c r="AB510" s="164">
        <v>202400682</v>
      </c>
      <c r="AC510" s="55" t="s">
        <v>14</v>
      </c>
      <c r="AD510" s="40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</row>
    <row r="511" spans="1:46">
      <c r="A511" s="14"/>
      <c r="B511" s="13" t="str">
        <f t="shared" si="40"/>
        <v>Pendente</v>
      </c>
      <c r="C511" s="14" t="str">
        <f t="shared" si="41"/>
        <v/>
      </c>
      <c r="D511" s="13" t="s">
        <v>611</v>
      </c>
      <c r="E511" s="14" t="str">
        <f t="shared" si="42"/>
        <v/>
      </c>
      <c r="F511" s="13" t="s">
        <v>611</v>
      </c>
      <c r="G511" s="40">
        <v>202400682</v>
      </c>
      <c r="H511" s="13" t="s">
        <v>2388</v>
      </c>
      <c r="I511" s="13" t="s">
        <v>1192</v>
      </c>
      <c r="J511" s="14">
        <v>45509</v>
      </c>
      <c r="K511" s="14">
        <v>45870</v>
      </c>
      <c r="L511" s="13" t="s">
        <v>2374</v>
      </c>
      <c r="M511" s="13" t="s">
        <v>2389</v>
      </c>
      <c r="N511" s="13" t="s">
        <v>2390</v>
      </c>
      <c r="O511" s="17" t="s">
        <v>2391</v>
      </c>
      <c r="P511" s="13" t="s">
        <v>169</v>
      </c>
      <c r="Q511" s="13" t="s">
        <v>618</v>
      </c>
      <c r="R511" s="13" t="str">
        <f>VLOOKUP(P511,'Dados das Regiões '!A:B,2,0)</f>
        <v>CAMPO MOURÃO</v>
      </c>
      <c r="S511" s="13" t="s">
        <v>2386</v>
      </c>
      <c r="T511" s="13"/>
      <c r="U511" s="79"/>
      <c r="V511" s="13" t="s">
        <v>2379</v>
      </c>
      <c r="W511" s="13" t="s">
        <v>2380</v>
      </c>
      <c r="X511" s="15">
        <v>0.5625</v>
      </c>
      <c r="Y511" s="16" t="s">
        <v>1415</v>
      </c>
      <c r="Z511" s="16" t="s">
        <v>622</v>
      </c>
      <c r="AA511" s="36" t="s">
        <v>1808</v>
      </c>
      <c r="AB511" s="164">
        <v>202400682</v>
      </c>
      <c r="AC511" s="55" t="s">
        <v>14</v>
      </c>
      <c r="AD511" s="40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</row>
    <row r="512" spans="1:46">
      <c r="A512" s="14"/>
      <c r="B512" s="13" t="str">
        <f t="shared" si="40"/>
        <v>Pendente</v>
      </c>
      <c r="C512" s="14" t="str">
        <f t="shared" si="41"/>
        <v/>
      </c>
      <c r="D512" s="13" t="s">
        <v>611</v>
      </c>
      <c r="E512" s="14" t="str">
        <f t="shared" si="42"/>
        <v/>
      </c>
      <c r="F512" s="13" t="s">
        <v>611</v>
      </c>
      <c r="G512" s="40">
        <v>202400680</v>
      </c>
      <c r="H512" s="13" t="s">
        <v>2392</v>
      </c>
      <c r="I512" s="13" t="s">
        <v>1176</v>
      </c>
      <c r="J512" s="14">
        <v>45509</v>
      </c>
      <c r="K512" s="14">
        <v>45870</v>
      </c>
      <c r="L512" s="13" t="s">
        <v>1864</v>
      </c>
      <c r="M512" s="13" t="s">
        <v>2393</v>
      </c>
      <c r="N512" s="13" t="s">
        <v>2394</v>
      </c>
      <c r="O512" s="17" t="s">
        <v>2395</v>
      </c>
      <c r="P512" s="13" t="s">
        <v>136</v>
      </c>
      <c r="Q512" s="13" t="s">
        <v>618</v>
      </c>
      <c r="R512" s="13" t="str">
        <f>VLOOKUP(P512,'Dados das Regiões '!A:B,2,0)</f>
        <v>ARAPONGAS</v>
      </c>
      <c r="S512" s="13" t="s">
        <v>2396</v>
      </c>
      <c r="T512" s="13"/>
      <c r="U512" s="79" t="s">
        <v>2397</v>
      </c>
      <c r="V512" s="13" t="s">
        <v>2398</v>
      </c>
      <c r="W512" s="13" t="s">
        <v>2399</v>
      </c>
      <c r="X512" s="15">
        <v>0.5625</v>
      </c>
      <c r="Y512" s="16" t="s">
        <v>1415</v>
      </c>
      <c r="Z512" s="16" t="s">
        <v>622</v>
      </c>
      <c r="AA512" s="36" t="s">
        <v>1808</v>
      </c>
      <c r="AB512" s="164">
        <v>202400680</v>
      </c>
      <c r="AC512" s="55" t="s">
        <v>10</v>
      </c>
      <c r="AD512" s="40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</row>
    <row r="513" spans="1:46">
      <c r="A513" s="14"/>
      <c r="B513" s="13" t="str">
        <f t="shared" si="40"/>
        <v>Pendente</v>
      </c>
      <c r="C513" s="14" t="str">
        <f t="shared" si="41"/>
        <v/>
      </c>
      <c r="D513" s="13" t="s">
        <v>611</v>
      </c>
      <c r="E513" s="14" t="str">
        <f t="shared" si="42"/>
        <v/>
      </c>
      <c r="F513" s="13" t="s">
        <v>611</v>
      </c>
      <c r="G513" s="40">
        <v>202400682</v>
      </c>
      <c r="H513" s="13" t="s">
        <v>2400</v>
      </c>
      <c r="I513" s="13" t="s">
        <v>1192</v>
      </c>
      <c r="J513" s="14">
        <v>45509</v>
      </c>
      <c r="K513" s="14">
        <v>45870</v>
      </c>
      <c r="L513" s="13" t="s">
        <v>2374</v>
      </c>
      <c r="M513" s="13" t="s">
        <v>2389</v>
      </c>
      <c r="N513" s="13" t="s">
        <v>2390</v>
      </c>
      <c r="O513" s="17" t="s">
        <v>2391</v>
      </c>
      <c r="P513" s="13" t="s">
        <v>169</v>
      </c>
      <c r="Q513" s="13" t="s">
        <v>618</v>
      </c>
      <c r="R513" s="13" t="str">
        <f>VLOOKUP(P513,'Dados das Regiões '!A:B,2,0)</f>
        <v>CAMPO MOURÃO</v>
      </c>
      <c r="S513" s="13" t="s">
        <v>2378</v>
      </c>
      <c r="T513" s="13"/>
      <c r="U513" s="79"/>
      <c r="V513" s="13" t="s">
        <v>2379</v>
      </c>
      <c r="W513" s="13" t="s">
        <v>2380</v>
      </c>
      <c r="X513" s="15">
        <v>0.41666666666666669</v>
      </c>
      <c r="Y513" s="16" t="s">
        <v>1696</v>
      </c>
      <c r="Z513" s="16" t="s">
        <v>622</v>
      </c>
      <c r="AA513" s="36" t="s">
        <v>1808</v>
      </c>
      <c r="AB513" s="164">
        <v>202400682</v>
      </c>
      <c r="AC513" s="55" t="s">
        <v>14</v>
      </c>
      <c r="AD513" s="40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</row>
    <row r="514" spans="1:46">
      <c r="A514" s="14"/>
      <c r="B514" s="13" t="str">
        <f t="shared" si="40"/>
        <v>Pendente</v>
      </c>
      <c r="C514" s="14" t="str">
        <f t="shared" si="41"/>
        <v/>
      </c>
      <c r="D514" s="13" t="s">
        <v>611</v>
      </c>
      <c r="E514" s="14" t="str">
        <f t="shared" si="42"/>
        <v/>
      </c>
      <c r="F514" s="13" t="s">
        <v>611</v>
      </c>
      <c r="G514" s="40">
        <v>202400682</v>
      </c>
      <c r="H514" s="13" t="s">
        <v>2401</v>
      </c>
      <c r="I514" s="13" t="s">
        <v>1192</v>
      </c>
      <c r="J514" s="14">
        <v>45509</v>
      </c>
      <c r="K514" s="14">
        <v>45870</v>
      </c>
      <c r="L514" s="13" t="s">
        <v>2374</v>
      </c>
      <c r="M514" s="13" t="s">
        <v>2402</v>
      </c>
      <c r="N514" s="13" t="s">
        <v>2403</v>
      </c>
      <c r="O514" s="13" t="s">
        <v>2404</v>
      </c>
      <c r="P514" s="13" t="s">
        <v>145</v>
      </c>
      <c r="Q514" s="13" t="s">
        <v>618</v>
      </c>
      <c r="R514" s="13" t="str">
        <f>VLOOKUP(P514,'Dados das Regiões '!A:B,2,0)</f>
        <v>CAMPO MOURÃO</v>
      </c>
      <c r="S514" s="13" t="s">
        <v>2386</v>
      </c>
      <c r="T514" s="13"/>
      <c r="U514" s="79"/>
      <c r="V514" s="13" t="s">
        <v>2379</v>
      </c>
      <c r="W514" s="13" t="s">
        <v>2380</v>
      </c>
      <c r="X514" s="15">
        <v>0.64583333333333337</v>
      </c>
      <c r="Y514" s="16" t="s">
        <v>1451</v>
      </c>
      <c r="Z514" s="16" t="s">
        <v>622</v>
      </c>
      <c r="AA514" s="36" t="s">
        <v>1808</v>
      </c>
      <c r="AB514" s="164">
        <v>202400682</v>
      </c>
      <c r="AC514" s="55" t="s">
        <v>14</v>
      </c>
      <c r="AD514" s="40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</row>
    <row r="515" spans="1:46">
      <c r="A515" s="14"/>
      <c r="B515" s="13" t="str">
        <f t="shared" si="40"/>
        <v>Pendente</v>
      </c>
      <c r="C515" s="14" t="str">
        <f t="shared" si="41"/>
        <v/>
      </c>
      <c r="D515" s="13" t="s">
        <v>611</v>
      </c>
      <c r="E515" s="14" t="str">
        <f t="shared" si="42"/>
        <v/>
      </c>
      <c r="F515" s="13" t="s">
        <v>611</v>
      </c>
      <c r="G515" s="40">
        <v>202400672</v>
      </c>
      <c r="H515" s="13" t="s">
        <v>2405</v>
      </c>
      <c r="I515" t="s">
        <v>1176</v>
      </c>
      <c r="J515" s="14">
        <v>45509</v>
      </c>
      <c r="K515" s="14">
        <v>45870</v>
      </c>
      <c r="L515" s="13" t="s">
        <v>1185</v>
      </c>
      <c r="M515" s="13" t="s">
        <v>2406</v>
      </c>
      <c r="N515" s="13" t="s">
        <v>2407</v>
      </c>
      <c r="O515" s="17" t="s">
        <v>2408</v>
      </c>
      <c r="P515" s="13" t="s">
        <v>495</v>
      </c>
      <c r="Q515" s="13" t="s">
        <v>618</v>
      </c>
      <c r="R515" s="13" t="str">
        <f>VLOOKUP(P515,'Dados das Regiões '!A:B,2,0)</f>
        <v>UMUARAMA</v>
      </c>
      <c r="S515" s="13" t="s">
        <v>2409</v>
      </c>
      <c r="T515" s="13"/>
      <c r="U515" s="79" t="s">
        <v>2410</v>
      </c>
      <c r="V515" s="13" t="s">
        <v>2411</v>
      </c>
      <c r="W515" s="13" t="s">
        <v>2412</v>
      </c>
      <c r="X515" s="15">
        <v>0.54166666666666663</v>
      </c>
      <c r="Y515" s="16" t="s">
        <v>2413</v>
      </c>
      <c r="Z515" s="16" t="s">
        <v>622</v>
      </c>
      <c r="AA515" s="36" t="s">
        <v>1808</v>
      </c>
      <c r="AB515" s="164">
        <v>202400672</v>
      </c>
      <c r="AC515" s="55" t="s">
        <v>8</v>
      </c>
      <c r="AS515" s="181"/>
      <c r="AT515" s="181"/>
    </row>
    <row r="516" spans="1:46">
      <c r="A516" s="14"/>
      <c r="B516" s="13" t="str">
        <f t="shared" si="40"/>
        <v>Pendente</v>
      </c>
      <c r="C516" s="14" t="str">
        <f t="shared" si="41"/>
        <v/>
      </c>
      <c r="D516" s="13" t="s">
        <v>611</v>
      </c>
      <c r="E516" s="14" t="str">
        <f t="shared" si="42"/>
        <v/>
      </c>
      <c r="F516" s="13" t="s">
        <v>611</v>
      </c>
      <c r="G516" s="40">
        <v>202400672</v>
      </c>
      <c r="H516" s="13" t="s">
        <v>2414</v>
      </c>
      <c r="I516" t="s">
        <v>1176</v>
      </c>
      <c r="J516" s="14">
        <v>45509</v>
      </c>
      <c r="K516" s="14">
        <v>45870</v>
      </c>
      <c r="L516" s="13" t="s">
        <v>1185</v>
      </c>
      <c r="M516" s="13" t="s">
        <v>2415</v>
      </c>
      <c r="N516" s="13" t="s">
        <v>2416</v>
      </c>
      <c r="O516" s="17" t="s">
        <v>2417</v>
      </c>
      <c r="P516" s="13" t="s">
        <v>499</v>
      </c>
      <c r="Q516" s="13" t="s">
        <v>618</v>
      </c>
      <c r="R516" s="13" t="str">
        <f>VLOOKUP(P516,'Dados das Regiões '!A:B,2,0)</f>
        <v>UMUARAMA</v>
      </c>
      <c r="S516" s="13" t="s">
        <v>2418</v>
      </c>
      <c r="T516" s="13"/>
      <c r="U516" s="79"/>
      <c r="V516" s="13" t="s">
        <v>2419</v>
      </c>
      <c r="W516" s="13" t="s">
        <v>2420</v>
      </c>
      <c r="X516" s="15">
        <v>0.58333333333333337</v>
      </c>
      <c r="Y516" s="16" t="s">
        <v>2321</v>
      </c>
      <c r="Z516" s="16" t="s">
        <v>622</v>
      </c>
      <c r="AA516" s="36" t="s">
        <v>1808</v>
      </c>
      <c r="AB516" s="164">
        <v>202400672</v>
      </c>
      <c r="AC516" s="55" t="s">
        <v>8</v>
      </c>
      <c r="AS516" s="181"/>
      <c r="AT516" s="181"/>
    </row>
    <row r="517" spans="1:46">
      <c r="A517" s="14"/>
      <c r="B517" s="13" t="str">
        <f t="shared" si="40"/>
        <v>Pendente</v>
      </c>
      <c r="C517" s="14" t="str">
        <f t="shared" si="41"/>
        <v/>
      </c>
      <c r="D517" s="13" t="s">
        <v>611</v>
      </c>
      <c r="E517" s="14" t="str">
        <f t="shared" si="42"/>
        <v/>
      </c>
      <c r="F517" s="13" t="s">
        <v>611</v>
      </c>
      <c r="G517" s="40">
        <v>202400672</v>
      </c>
      <c r="H517" s="41" t="s">
        <v>2421</v>
      </c>
      <c r="I517" t="s">
        <v>1176</v>
      </c>
      <c r="J517" s="91">
        <v>45509</v>
      </c>
      <c r="K517" s="91">
        <v>45870</v>
      </c>
      <c r="L517" s="41" t="s">
        <v>1185</v>
      </c>
      <c r="M517" s="41" t="s">
        <v>2422</v>
      </c>
      <c r="N517" s="41" t="s">
        <v>2423</v>
      </c>
      <c r="O517" s="75" t="s">
        <v>2424</v>
      </c>
      <c r="P517" s="41" t="s">
        <v>435</v>
      </c>
      <c r="Q517" s="41" t="s">
        <v>618</v>
      </c>
      <c r="R517" s="41" t="str">
        <f>VLOOKUP(P517,'Dados das Regiões '!A:B,2,0)</f>
        <v>PATO BRANCO</v>
      </c>
      <c r="S517" s="41" t="s">
        <v>2425</v>
      </c>
      <c r="T517" s="41"/>
      <c r="U517" s="86" t="s">
        <v>2426</v>
      </c>
      <c r="V517" s="41" t="s">
        <v>2427</v>
      </c>
      <c r="W517" s="41" t="s">
        <v>2428</v>
      </c>
      <c r="X517" s="505">
        <v>0.5625</v>
      </c>
      <c r="Y517" s="506" t="s">
        <v>1535</v>
      </c>
      <c r="Z517" s="16" t="s">
        <v>622</v>
      </c>
      <c r="AA517" s="36" t="s">
        <v>1808</v>
      </c>
      <c r="AB517" s="164">
        <v>202400672</v>
      </c>
      <c r="AC517" s="55" t="s">
        <v>8</v>
      </c>
      <c r="AS517" s="181"/>
      <c r="AT517" s="181"/>
    </row>
    <row r="518" spans="1:46">
      <c r="A518" s="14"/>
      <c r="B518" s="13" t="str">
        <f t="shared" si="40"/>
        <v>Pendente</v>
      </c>
      <c r="C518" s="14" t="str">
        <f t="shared" si="41"/>
        <v/>
      </c>
      <c r="D518" s="13" t="s">
        <v>611</v>
      </c>
      <c r="E518" s="14" t="str">
        <f t="shared" si="42"/>
        <v/>
      </c>
      <c r="F518" s="13" t="s">
        <v>611</v>
      </c>
      <c r="G518">
        <v>202400672</v>
      </c>
      <c r="H518" s="13" t="s">
        <v>2429</v>
      </c>
      <c r="I518" s="13" t="s">
        <v>1176</v>
      </c>
      <c r="J518" s="14">
        <v>45509</v>
      </c>
      <c r="K518" s="14">
        <v>45870</v>
      </c>
      <c r="L518" s="13" t="s">
        <v>1185</v>
      </c>
      <c r="M518" s="13" t="s">
        <v>2430</v>
      </c>
      <c r="N518" s="13" t="s">
        <v>2431</v>
      </c>
      <c r="O518" s="17" t="s">
        <v>2432</v>
      </c>
      <c r="P518" t="s">
        <v>286</v>
      </c>
      <c r="Q518" s="13" t="s">
        <v>618</v>
      </c>
      <c r="R518" s="13" t="str">
        <f>VLOOKUP(P518,'Dados das Regiões '!A:B,2,0)</f>
        <v>GUARAPUAVA</v>
      </c>
      <c r="S518" s="40" t="s">
        <v>2433</v>
      </c>
      <c r="T518" s="40"/>
      <c r="U518" s="79" t="s">
        <v>2434</v>
      </c>
      <c r="V518" s="13" t="s">
        <v>2435</v>
      </c>
      <c r="W518" s="13" t="s">
        <v>2436</v>
      </c>
      <c r="X518" s="15">
        <v>0.54166666666666663</v>
      </c>
      <c r="Y518" s="16" t="s">
        <v>2437</v>
      </c>
      <c r="Z518" s="73" t="s">
        <v>622</v>
      </c>
      <c r="AA518" s="36" t="s">
        <v>1808</v>
      </c>
      <c r="AB518">
        <v>202400672</v>
      </c>
      <c r="AC518" s="55" t="s">
        <v>8</v>
      </c>
      <c r="AS518" s="13"/>
      <c r="AT518" s="13"/>
    </row>
    <row r="519" spans="1:46">
      <c r="A519" s="14">
        <v>45840</v>
      </c>
      <c r="B519" s="13" t="str">
        <f t="shared" si="40"/>
        <v>Realizada</v>
      </c>
      <c r="C519" s="14">
        <f t="shared" si="41"/>
        <v>45932</v>
      </c>
      <c r="D519" s="13" t="s">
        <v>611</v>
      </c>
      <c r="E519" s="14">
        <f t="shared" si="42"/>
        <v>46024</v>
      </c>
      <c r="F519" s="13" t="s">
        <v>611</v>
      </c>
      <c r="G519">
        <v>202400672</v>
      </c>
      <c r="H519" s="13" t="s">
        <v>2438</v>
      </c>
      <c r="I519" s="13" t="s">
        <v>1176</v>
      </c>
      <c r="J519" s="14">
        <v>45509</v>
      </c>
      <c r="K519" s="14">
        <v>45870</v>
      </c>
      <c r="L519" s="13" t="s">
        <v>1185</v>
      </c>
      <c r="M519" s="13" t="s">
        <v>2439</v>
      </c>
      <c r="N519" s="13" t="s">
        <v>2440</v>
      </c>
      <c r="O519" s="17" t="s">
        <v>2441</v>
      </c>
      <c r="P519" t="s">
        <v>208</v>
      </c>
      <c r="Q519" s="13" t="s">
        <v>618</v>
      </c>
      <c r="R519" s="13" t="str">
        <f>VLOOKUP(P519,'Dados das Regiões '!A:B,2,0)</f>
        <v>CASTRO</v>
      </c>
      <c r="S519" s="40" t="s">
        <v>2442</v>
      </c>
      <c r="T519" s="40"/>
      <c r="U519" s="79" t="s">
        <v>2443</v>
      </c>
      <c r="V519" s="13" t="s">
        <v>2444</v>
      </c>
      <c r="W519" s="13" t="s">
        <v>2445</v>
      </c>
      <c r="X519" s="15">
        <v>0.54166666666666663</v>
      </c>
      <c r="Y519" s="16" t="s">
        <v>1941</v>
      </c>
      <c r="Z519" s="73" t="s">
        <v>622</v>
      </c>
      <c r="AA519" s="36" t="s">
        <v>1808</v>
      </c>
      <c r="AB519">
        <v>202400672</v>
      </c>
      <c r="AC519" s="55" t="s">
        <v>8</v>
      </c>
      <c r="AS519" s="13"/>
      <c r="AT519" s="13"/>
    </row>
    <row r="520" spans="1:46">
      <c r="A520" s="14"/>
      <c r="B520" s="13" t="str">
        <f t="shared" si="40"/>
        <v>Pendente</v>
      </c>
      <c r="C520" s="14" t="str">
        <f t="shared" si="41"/>
        <v/>
      </c>
      <c r="D520" s="13" t="s">
        <v>611</v>
      </c>
      <c r="E520" s="14" t="str">
        <f t="shared" si="42"/>
        <v/>
      </c>
      <c r="F520" s="13" t="s">
        <v>611</v>
      </c>
      <c r="G520">
        <v>202400672</v>
      </c>
      <c r="H520" s="13" t="s">
        <v>2446</v>
      </c>
      <c r="I520" s="13" t="s">
        <v>1176</v>
      </c>
      <c r="J520" s="14">
        <v>45509</v>
      </c>
      <c r="K520" s="14">
        <v>45870</v>
      </c>
      <c r="L520" s="13" t="s">
        <v>1185</v>
      </c>
      <c r="M520" s="13" t="s">
        <v>2447</v>
      </c>
      <c r="N520" s="13" t="s">
        <v>2448</v>
      </c>
      <c r="O520" s="17" t="s">
        <v>2449</v>
      </c>
      <c r="P520" t="s">
        <v>287</v>
      </c>
      <c r="Q520" s="13" t="s">
        <v>618</v>
      </c>
      <c r="R520" s="13" t="str">
        <f>VLOOKUP(P520,'Dados das Regiões '!A:B,2,0)</f>
        <v>GUARAPUAVA</v>
      </c>
      <c r="S520" s="40" t="s">
        <v>2450</v>
      </c>
      <c r="T520" s="40"/>
      <c r="U520" s="79" t="s">
        <v>2451</v>
      </c>
      <c r="V520" s="13" t="s">
        <v>2452</v>
      </c>
      <c r="W520" s="13" t="s">
        <v>2453</v>
      </c>
      <c r="X520" s="15">
        <v>0.5625</v>
      </c>
      <c r="Y520" s="16" t="s">
        <v>1535</v>
      </c>
      <c r="Z520" s="73" t="s">
        <v>622</v>
      </c>
      <c r="AA520" s="36" t="s">
        <v>1808</v>
      </c>
      <c r="AB520">
        <v>202400672</v>
      </c>
      <c r="AC520" s="55" t="s">
        <v>8</v>
      </c>
      <c r="AS520" s="13"/>
      <c r="AT520" s="13"/>
    </row>
    <row r="521" spans="1:46">
      <c r="A521" s="14"/>
      <c r="B521" s="41" t="str">
        <f t="shared" si="40"/>
        <v>Pendente</v>
      </c>
      <c r="C521" s="14" t="str">
        <f t="shared" si="41"/>
        <v/>
      </c>
      <c r="D521" s="41" t="s">
        <v>611</v>
      </c>
      <c r="E521" s="91" t="str">
        <f t="shared" si="42"/>
        <v/>
      </c>
      <c r="F521" s="41" t="s">
        <v>611</v>
      </c>
      <c r="G521">
        <v>202400672</v>
      </c>
      <c r="H521" s="41" t="s">
        <v>2454</v>
      </c>
      <c r="I521" s="41" t="s">
        <v>1176</v>
      </c>
      <c r="J521" s="91">
        <v>45509</v>
      </c>
      <c r="K521" s="91">
        <v>45870</v>
      </c>
      <c r="L521" s="41" t="s">
        <v>1185</v>
      </c>
      <c r="M521" s="41" t="s">
        <v>2455</v>
      </c>
      <c r="N521" s="41" t="s">
        <v>2456</v>
      </c>
      <c r="O521" s="75" t="s">
        <v>2457</v>
      </c>
      <c r="P521" t="s">
        <v>388</v>
      </c>
      <c r="Q521" s="41" t="s">
        <v>618</v>
      </c>
      <c r="R521" s="41" t="str">
        <f>VLOOKUP(P521,'Dados das Regiões '!A:B,2,0)</f>
        <v>MEDIANEIRA</v>
      </c>
      <c r="S521" s="40" t="s">
        <v>2458</v>
      </c>
      <c r="T521" s="40"/>
      <c r="U521" s="86" t="s">
        <v>2459</v>
      </c>
      <c r="V521" s="13" t="s">
        <v>2460</v>
      </c>
      <c r="W521" s="41" t="s">
        <v>2461</v>
      </c>
      <c r="X521" s="505">
        <v>0.33333333333333331</v>
      </c>
      <c r="Y521" s="506" t="s">
        <v>1438</v>
      </c>
      <c r="Z521" s="93" t="s">
        <v>622</v>
      </c>
      <c r="AA521" s="49" t="s">
        <v>1808</v>
      </c>
      <c r="AB521">
        <v>202400672</v>
      </c>
      <c r="AC521" s="55" t="s">
        <v>8</v>
      </c>
      <c r="AD521" s="172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</row>
    <row r="522" spans="1:46">
      <c r="A522" s="14"/>
      <c r="B522" s="13" t="str">
        <f t="shared" si="40"/>
        <v>Pendente</v>
      </c>
      <c r="C522" s="14" t="str">
        <f t="shared" si="41"/>
        <v/>
      </c>
      <c r="D522" s="13" t="s">
        <v>611</v>
      </c>
      <c r="E522" s="14" t="str">
        <f t="shared" si="42"/>
        <v/>
      </c>
      <c r="F522" s="13" t="s">
        <v>611</v>
      </c>
      <c r="G522">
        <v>202400672</v>
      </c>
      <c r="H522" t="s">
        <v>2462</v>
      </c>
      <c r="I522" t="s">
        <v>1176</v>
      </c>
      <c r="J522" s="323">
        <v>45509</v>
      </c>
      <c r="K522" s="323">
        <v>45870</v>
      </c>
      <c r="L522" t="s">
        <v>1185</v>
      </c>
      <c r="M522" t="s">
        <v>2463</v>
      </c>
      <c r="N522" s="13" t="s">
        <v>2464</v>
      </c>
      <c r="O522" s="17" t="s">
        <v>2465</v>
      </c>
      <c r="P522" t="s">
        <v>185</v>
      </c>
      <c r="Q522" s="13" t="s">
        <v>618</v>
      </c>
      <c r="R522" s="36" t="str">
        <f>VLOOKUP(P522,'Dados das Regiões '!A:B,2,0)</f>
        <v>CASCAVEL</v>
      </c>
      <c r="S522" s="13" t="s">
        <v>2466</v>
      </c>
      <c r="T522" s="40"/>
      <c r="U522" s="57" t="s">
        <v>2467</v>
      </c>
      <c r="V522" t="s">
        <v>2468</v>
      </c>
      <c r="W522" t="s">
        <v>2469</v>
      </c>
      <c r="X522" s="325">
        <v>0.5625</v>
      </c>
      <c r="Y522" s="326" t="s">
        <v>1415</v>
      </c>
      <c r="Z522" s="326" t="s">
        <v>622</v>
      </c>
      <c r="AA522" s="36" t="s">
        <v>1808</v>
      </c>
      <c r="AB522" s="508">
        <v>202400672</v>
      </c>
      <c r="AC522" s="55" t="s">
        <v>8</v>
      </c>
      <c r="AS522" s="13"/>
      <c r="AT522" s="13"/>
    </row>
    <row r="523" spans="1:46">
      <c r="A523" s="14"/>
      <c r="B523" s="13" t="str">
        <f t="shared" si="40"/>
        <v>Pendente</v>
      </c>
      <c r="C523" s="14" t="str">
        <f t="shared" si="41"/>
        <v/>
      </c>
      <c r="D523" s="13" t="s">
        <v>611</v>
      </c>
      <c r="E523" s="14" t="str">
        <f t="shared" si="42"/>
        <v/>
      </c>
      <c r="F523" s="13" t="s">
        <v>611</v>
      </c>
      <c r="G523" s="13">
        <v>202400672</v>
      </c>
      <c r="H523" s="13" t="s">
        <v>2470</v>
      </c>
      <c r="I523" s="13" t="s">
        <v>1176</v>
      </c>
      <c r="J523" s="14">
        <v>45509</v>
      </c>
      <c r="K523" s="14">
        <v>45870</v>
      </c>
      <c r="L523" s="13" t="s">
        <v>1185</v>
      </c>
      <c r="M523" s="13" t="s">
        <v>2471</v>
      </c>
      <c r="N523" s="13" t="s">
        <v>2472</v>
      </c>
      <c r="O523" s="17" t="s">
        <v>2473</v>
      </c>
      <c r="P523" s="13" t="s">
        <v>111</v>
      </c>
      <c r="Q523" s="13" t="s">
        <v>618</v>
      </c>
      <c r="R523" s="13" t="str">
        <f>VLOOKUP(P523,'Dados das Regiões '!A:B,2,0)</f>
        <v>APUCARANA</v>
      </c>
      <c r="S523" s="13" t="s">
        <v>2474</v>
      </c>
      <c r="T523" s="13"/>
      <c r="U523" s="79"/>
      <c r="V523" s="13" t="s">
        <v>2475</v>
      </c>
      <c r="W523" s="13" t="s">
        <v>2476</v>
      </c>
      <c r="X523" s="15">
        <v>0.33333333333333331</v>
      </c>
      <c r="Y523" s="16" t="s">
        <v>1438</v>
      </c>
      <c r="Z523" s="16" t="s">
        <v>622</v>
      </c>
      <c r="AA523" s="36" t="s">
        <v>1808</v>
      </c>
      <c r="AB523" s="13">
        <v>202400672</v>
      </c>
      <c r="AC523" s="55" t="s">
        <v>8</v>
      </c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</row>
    <row r="524" spans="1:46">
      <c r="A524" s="14"/>
      <c r="B524" s="13" t="str">
        <f t="shared" si="40"/>
        <v>Pendente</v>
      </c>
      <c r="C524" s="14" t="str">
        <f t="shared" si="41"/>
        <v/>
      </c>
      <c r="D524" s="13" t="s">
        <v>611</v>
      </c>
      <c r="E524" s="14" t="str">
        <f t="shared" si="42"/>
        <v/>
      </c>
      <c r="F524" s="13" t="s">
        <v>611</v>
      </c>
      <c r="G524" s="40">
        <v>202400672</v>
      </c>
      <c r="H524" s="13" t="s">
        <v>2477</v>
      </c>
      <c r="I524" s="13" t="s">
        <v>1176</v>
      </c>
      <c r="J524" s="14">
        <v>45509</v>
      </c>
      <c r="K524" s="14">
        <v>45870</v>
      </c>
      <c r="L524" s="13" t="s">
        <v>1185</v>
      </c>
      <c r="M524" s="13" t="s">
        <v>2478</v>
      </c>
      <c r="N524" s="13" t="s">
        <v>2479</v>
      </c>
      <c r="O524" s="17" t="s">
        <v>2480</v>
      </c>
      <c r="P524" s="13" t="s">
        <v>436</v>
      </c>
      <c r="Q524" s="13" t="s">
        <v>618</v>
      </c>
      <c r="R524" s="13" t="str">
        <f>VLOOKUP(P524,'Dados das Regiões '!A:B,2,0)</f>
        <v>PATO BRANCO</v>
      </c>
      <c r="S524" s="13" t="s">
        <v>2481</v>
      </c>
      <c r="T524" s="13"/>
      <c r="U524" s="79" t="s">
        <v>2482</v>
      </c>
      <c r="V524" s="13" t="s">
        <v>2483</v>
      </c>
      <c r="W524" s="13" t="s">
        <v>2484</v>
      </c>
      <c r="X524" s="15">
        <v>0.5625</v>
      </c>
      <c r="Y524" s="16" t="s">
        <v>1415</v>
      </c>
      <c r="Z524" s="16" t="s">
        <v>622</v>
      </c>
      <c r="AA524" s="36" t="s">
        <v>1808</v>
      </c>
      <c r="AB524" s="164">
        <v>202400672</v>
      </c>
      <c r="AC524" s="55" t="s">
        <v>8</v>
      </c>
      <c r="AD524" s="40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</row>
    <row r="525" spans="1:46">
      <c r="A525" s="14"/>
      <c r="B525" s="13" t="str">
        <f t="shared" si="40"/>
        <v>Pendente</v>
      </c>
      <c r="C525" s="14" t="str">
        <f t="shared" si="41"/>
        <v/>
      </c>
      <c r="D525" s="13" t="s">
        <v>611</v>
      </c>
      <c r="E525" s="14" t="str">
        <f t="shared" si="42"/>
        <v/>
      </c>
      <c r="F525" s="13" t="s">
        <v>611</v>
      </c>
      <c r="G525" s="40">
        <v>202400672</v>
      </c>
      <c r="H525" s="13" t="s">
        <v>2485</v>
      </c>
      <c r="I525" s="13" t="s">
        <v>1176</v>
      </c>
      <c r="J525" s="14">
        <v>45509</v>
      </c>
      <c r="K525" s="14">
        <v>45870</v>
      </c>
      <c r="L525" s="13" t="s">
        <v>1185</v>
      </c>
      <c r="M525" s="13" t="s">
        <v>2486</v>
      </c>
      <c r="N525" s="13" t="s">
        <v>2487</v>
      </c>
      <c r="O525" s="17" t="s">
        <v>2488</v>
      </c>
      <c r="P525" s="13" t="s">
        <v>452</v>
      </c>
      <c r="Q525" s="13" t="s">
        <v>618</v>
      </c>
      <c r="R525" s="13" t="str">
        <f>VLOOKUP(P525,'Dados das Regiões '!A:B,2,0)</f>
        <v>PRUDENTÓPOLIS</v>
      </c>
      <c r="S525" s="13" t="s">
        <v>2489</v>
      </c>
      <c r="T525" s="13"/>
      <c r="U525" s="79" t="s">
        <v>2490</v>
      </c>
      <c r="V525" s="13" t="s">
        <v>2491</v>
      </c>
      <c r="W525" s="13" t="s">
        <v>2492</v>
      </c>
      <c r="X525" s="15">
        <v>0.54166666666666663</v>
      </c>
      <c r="Y525" s="16" t="s">
        <v>1824</v>
      </c>
      <c r="Z525" s="16" t="s">
        <v>622</v>
      </c>
      <c r="AA525" s="36" t="s">
        <v>1808</v>
      </c>
      <c r="AB525" s="164">
        <v>202400672</v>
      </c>
      <c r="AC525" s="55" t="s">
        <v>8</v>
      </c>
      <c r="AD525" s="40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</row>
    <row r="526" spans="1:46">
      <c r="A526" s="14"/>
      <c r="B526" s="13" t="str">
        <f t="shared" ref="B526:B557" si="43">IF(ISBLANK(A526), "Pendente", "Realizada")</f>
        <v>Pendente</v>
      </c>
      <c r="C526" s="14" t="str">
        <f t="shared" ref="C526:C557" si="44">IF(A526="", "", EDATE(A526, 3))</f>
        <v/>
      </c>
      <c r="D526" s="13" t="s">
        <v>611</v>
      </c>
      <c r="E526" s="14" t="str">
        <f t="shared" ref="E526:E557" si="45">IF(C526="", "", EDATE(C526, 3))</f>
        <v/>
      </c>
      <c r="F526" s="13" t="s">
        <v>611</v>
      </c>
      <c r="G526" s="40">
        <v>202400672</v>
      </c>
      <c r="H526" s="13" t="s">
        <v>2493</v>
      </c>
      <c r="I526" s="13" t="s">
        <v>1176</v>
      </c>
      <c r="J526" s="14">
        <v>45509</v>
      </c>
      <c r="K526" s="14">
        <v>45870</v>
      </c>
      <c r="L526" s="13" t="s">
        <v>1185</v>
      </c>
      <c r="M526" s="13" t="s">
        <v>2494</v>
      </c>
      <c r="N526" s="13" t="s">
        <v>2495</v>
      </c>
      <c r="O526" s="17" t="s">
        <v>2496</v>
      </c>
      <c r="P526" s="13" t="s">
        <v>460</v>
      </c>
      <c r="Q526" s="13" t="s">
        <v>618</v>
      </c>
      <c r="R526" s="13" t="str">
        <f>VLOOKUP(P526,'Dados das Regiões '!A:B,2,0)</f>
        <v>SANTO ANTONIO DA PLATINA</v>
      </c>
      <c r="S526" s="13" t="s">
        <v>2497</v>
      </c>
      <c r="T526" s="13"/>
      <c r="U526" s="79" t="s">
        <v>2498</v>
      </c>
      <c r="V526" s="13" t="s">
        <v>2499</v>
      </c>
      <c r="W526" s="13" t="s">
        <v>2500</v>
      </c>
      <c r="X526" s="15">
        <v>0.54166666666666663</v>
      </c>
      <c r="Y526" s="16" t="s">
        <v>1824</v>
      </c>
      <c r="Z526" s="16" t="s">
        <v>622</v>
      </c>
      <c r="AA526" s="36" t="s">
        <v>1808</v>
      </c>
      <c r="AB526" s="164">
        <v>202400672</v>
      </c>
      <c r="AC526" s="55" t="s">
        <v>8</v>
      </c>
      <c r="AD526" s="40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</row>
    <row r="527" spans="1:46">
      <c r="A527" s="14"/>
      <c r="B527" s="13" t="str">
        <f t="shared" si="43"/>
        <v>Pendente</v>
      </c>
      <c r="C527" s="14" t="str">
        <f t="shared" si="44"/>
        <v/>
      </c>
      <c r="D527" s="13" t="s">
        <v>611</v>
      </c>
      <c r="E527" s="14" t="str">
        <f t="shared" si="45"/>
        <v/>
      </c>
      <c r="F527" s="13" t="s">
        <v>611</v>
      </c>
      <c r="G527" s="40">
        <v>202400672</v>
      </c>
      <c r="H527" s="13" t="s">
        <v>2501</v>
      </c>
      <c r="I527" s="13" t="s">
        <v>1176</v>
      </c>
      <c r="J527" s="14">
        <v>45509</v>
      </c>
      <c r="K527" s="14">
        <v>45870</v>
      </c>
      <c r="L527" s="13" t="s">
        <v>1185</v>
      </c>
      <c r="M527" s="13" t="s">
        <v>2502</v>
      </c>
      <c r="N527" s="13" t="s">
        <v>2503</v>
      </c>
      <c r="O527" s="17" t="s">
        <v>2504</v>
      </c>
      <c r="P527" s="13" t="s">
        <v>509</v>
      </c>
      <c r="Q527" s="13" t="s">
        <v>618</v>
      </c>
      <c r="R527" s="13" t="str">
        <f>VLOOKUP(P527,'Dados das Regiões '!A:B,2,0)</f>
        <v>UNIÃO DA VITÓRIA</v>
      </c>
      <c r="S527" s="13" t="s">
        <v>2505</v>
      </c>
      <c r="T527" s="13"/>
      <c r="U527" s="79"/>
      <c r="V527" s="13" t="s">
        <v>2506</v>
      </c>
      <c r="W527" s="13" t="s">
        <v>2507</v>
      </c>
      <c r="X527" s="15">
        <v>0.375</v>
      </c>
      <c r="Y527" s="16" t="s">
        <v>2039</v>
      </c>
      <c r="Z527" s="16" t="s">
        <v>622</v>
      </c>
      <c r="AA527" s="36" t="s">
        <v>1808</v>
      </c>
      <c r="AB527" s="164">
        <v>202400672</v>
      </c>
      <c r="AC527" s="55" t="s">
        <v>8</v>
      </c>
      <c r="AD527" s="40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</row>
    <row r="528" spans="1:46">
      <c r="A528" s="14"/>
      <c r="B528" s="13" t="str">
        <f t="shared" si="43"/>
        <v>Pendente</v>
      </c>
      <c r="C528" s="14" t="str">
        <f t="shared" si="44"/>
        <v/>
      </c>
      <c r="D528" s="13" t="s">
        <v>611</v>
      </c>
      <c r="E528" s="14" t="str">
        <f t="shared" si="45"/>
        <v/>
      </c>
      <c r="F528" s="13" t="s">
        <v>611</v>
      </c>
      <c r="G528" s="40">
        <v>202400672</v>
      </c>
      <c r="H528" s="13" t="s">
        <v>2508</v>
      </c>
      <c r="I528" s="13" t="s">
        <v>1176</v>
      </c>
      <c r="J528" s="14">
        <v>45509</v>
      </c>
      <c r="K528" s="323">
        <v>45870</v>
      </c>
      <c r="L528" s="13" t="s">
        <v>1185</v>
      </c>
      <c r="M528" s="13" t="s">
        <v>2509</v>
      </c>
      <c r="N528" s="13" t="s">
        <v>2510</v>
      </c>
      <c r="O528" s="17" t="s">
        <v>2511</v>
      </c>
      <c r="P528" s="13" t="s">
        <v>396</v>
      </c>
      <c r="Q528" s="13" t="s">
        <v>618</v>
      </c>
      <c r="R528" s="13" t="str">
        <f>VLOOKUP(P528,'Dados das Regiões '!A:B,2,0)</f>
        <v>NOVA LONDRINA</v>
      </c>
      <c r="S528" s="13" t="s">
        <v>2512</v>
      </c>
      <c r="T528" s="13"/>
      <c r="U528" s="79"/>
      <c r="V528" s="13" t="s">
        <v>2513</v>
      </c>
      <c r="W528" s="13" t="s">
        <v>2514</v>
      </c>
      <c r="X528" s="15">
        <v>0.54166666666666663</v>
      </c>
      <c r="Y528" s="16" t="s">
        <v>1824</v>
      </c>
      <c r="Z528" s="16" t="s">
        <v>622</v>
      </c>
      <c r="AA528" s="36" t="s">
        <v>1808</v>
      </c>
      <c r="AB528" s="164">
        <v>202400672</v>
      </c>
      <c r="AC528" s="55" t="s">
        <v>8</v>
      </c>
      <c r="AD528" s="40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</row>
    <row r="529" spans="1:44">
      <c r="A529" s="14"/>
      <c r="B529" s="13" t="str">
        <f t="shared" si="43"/>
        <v>Pendente</v>
      </c>
      <c r="C529" s="14" t="str">
        <f t="shared" si="44"/>
        <v/>
      </c>
      <c r="D529" s="13" t="s">
        <v>611</v>
      </c>
      <c r="E529" s="14" t="str">
        <f t="shared" si="45"/>
        <v/>
      </c>
      <c r="F529" s="13" t="s">
        <v>611</v>
      </c>
      <c r="G529" s="40">
        <v>202400672</v>
      </c>
      <c r="H529" s="13" t="s">
        <v>2515</v>
      </c>
      <c r="I529" s="13" t="s">
        <v>1176</v>
      </c>
      <c r="J529" s="14">
        <v>45509</v>
      </c>
      <c r="K529" s="14">
        <v>45870</v>
      </c>
      <c r="L529" s="13" t="s">
        <v>1185</v>
      </c>
      <c r="M529" s="13" t="s">
        <v>2516</v>
      </c>
      <c r="N529" s="13" t="s">
        <v>2517</v>
      </c>
      <c r="O529" s="17" t="s">
        <v>2518</v>
      </c>
      <c r="P529" s="13" t="s">
        <v>258</v>
      </c>
      <c r="Q529" s="13" t="s">
        <v>618</v>
      </c>
      <c r="R529" s="13" t="str">
        <f>VLOOKUP(P529,'Dados das Regiões '!A:B,2,0)</f>
        <v>FRANCISCO BELTRÃO</v>
      </c>
      <c r="S529" s="13" t="s">
        <v>2519</v>
      </c>
      <c r="T529" s="13"/>
      <c r="U529" s="79" t="s">
        <v>2520</v>
      </c>
      <c r="V529" s="13" t="s">
        <v>2521</v>
      </c>
      <c r="W529" s="13" t="s">
        <v>2522</v>
      </c>
      <c r="X529" s="15">
        <v>0.54166666666666663</v>
      </c>
      <c r="Y529" s="16" t="s">
        <v>1824</v>
      </c>
      <c r="Z529" s="16" t="s">
        <v>622</v>
      </c>
      <c r="AA529" s="36" t="s">
        <v>1808</v>
      </c>
      <c r="AB529" s="164">
        <v>202400672</v>
      </c>
      <c r="AC529" s="55" t="s">
        <v>8</v>
      </c>
      <c r="AD529" s="40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</row>
    <row r="530" spans="1:44">
      <c r="A530" s="14"/>
      <c r="B530" s="13" t="str">
        <f t="shared" si="43"/>
        <v>Pendente</v>
      </c>
      <c r="C530" s="14" t="str">
        <f t="shared" si="44"/>
        <v/>
      </c>
      <c r="D530" s="13" t="s">
        <v>611</v>
      </c>
      <c r="E530" s="14" t="str">
        <f t="shared" si="45"/>
        <v/>
      </c>
      <c r="F530" s="13" t="s">
        <v>611</v>
      </c>
      <c r="G530" s="40">
        <v>202400672</v>
      </c>
      <c r="H530" s="13" t="s">
        <v>2523</v>
      </c>
      <c r="I530" s="13" t="s">
        <v>1176</v>
      </c>
      <c r="J530" s="14">
        <v>45509</v>
      </c>
      <c r="K530" s="14">
        <v>45870</v>
      </c>
      <c r="L530" s="13" t="s">
        <v>1185</v>
      </c>
      <c r="M530" s="13" t="s">
        <v>2524</v>
      </c>
      <c r="N530" t="s">
        <v>2525</v>
      </c>
      <c r="O530" s="17" t="s">
        <v>2526</v>
      </c>
      <c r="P530" s="13" t="s">
        <v>317</v>
      </c>
      <c r="Q530" s="13" t="s">
        <v>618</v>
      </c>
      <c r="R530" s="13" t="str">
        <f>VLOOKUP(P530,'Dados das Regiões '!A:B,2,0)</f>
        <v>IVAIPORÃ</v>
      </c>
      <c r="S530" s="501" t="s">
        <v>2527</v>
      </c>
      <c r="T530" s="13"/>
      <c r="U530" s="503" t="s">
        <v>2528</v>
      </c>
      <c r="V530" s="501" t="s">
        <v>2528</v>
      </c>
      <c r="W530" s="501" t="s">
        <v>2529</v>
      </c>
      <c r="X530" s="15">
        <v>0.54166666666666663</v>
      </c>
      <c r="Y530" s="16" t="s">
        <v>1824</v>
      </c>
      <c r="Z530" s="16" t="s">
        <v>622</v>
      </c>
      <c r="AA530" s="36" t="s">
        <v>1808</v>
      </c>
      <c r="AB530" s="164">
        <v>202400672</v>
      </c>
      <c r="AC530" s="55" t="s">
        <v>8</v>
      </c>
      <c r="AD530" s="40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</row>
    <row r="531" spans="1:44">
      <c r="A531" s="14"/>
      <c r="B531" s="13" t="str">
        <f t="shared" si="43"/>
        <v>Pendente</v>
      </c>
      <c r="C531" s="14" t="str">
        <f t="shared" si="44"/>
        <v/>
      </c>
      <c r="D531" s="13" t="s">
        <v>611</v>
      </c>
      <c r="E531" s="14" t="str">
        <f t="shared" si="45"/>
        <v/>
      </c>
      <c r="F531" s="13" t="s">
        <v>611</v>
      </c>
      <c r="G531" s="40">
        <v>202400672</v>
      </c>
      <c r="H531" s="13" t="s">
        <v>2530</v>
      </c>
      <c r="I531" s="13" t="s">
        <v>1176</v>
      </c>
      <c r="J531" s="14">
        <v>45509</v>
      </c>
      <c r="K531" s="14">
        <v>45870</v>
      </c>
      <c r="L531" s="13" t="s">
        <v>1185</v>
      </c>
      <c r="M531" s="13" t="s">
        <v>2531</v>
      </c>
      <c r="N531" s="13" t="s">
        <v>2532</v>
      </c>
      <c r="O531" s="17" t="s">
        <v>2533</v>
      </c>
      <c r="P531" s="13" t="s">
        <v>146</v>
      </c>
      <c r="Q531" s="13" t="s">
        <v>618</v>
      </c>
      <c r="R531" s="13" t="str">
        <f>VLOOKUP(P531,'Dados das Regiões '!A:B,2,0)</f>
        <v>CAMPO MOURÃO</v>
      </c>
      <c r="S531" s="13" t="s">
        <v>2534</v>
      </c>
      <c r="T531" s="13"/>
      <c r="U531" s="79" t="s">
        <v>2535</v>
      </c>
      <c r="V531" s="13" t="s">
        <v>2536</v>
      </c>
      <c r="W531" s="13" t="s">
        <v>2537</v>
      </c>
      <c r="X531" s="15">
        <v>0.34375</v>
      </c>
      <c r="Y531" s="16" t="s">
        <v>2538</v>
      </c>
      <c r="Z531" s="16" t="s">
        <v>622</v>
      </c>
      <c r="AA531" s="36" t="s">
        <v>1808</v>
      </c>
      <c r="AB531" s="164">
        <v>202400672</v>
      </c>
      <c r="AC531" s="55" t="s">
        <v>8</v>
      </c>
      <c r="AD531" s="40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</row>
    <row r="532" spans="1:44">
      <c r="A532" s="14"/>
      <c r="B532" s="13" t="str">
        <f t="shared" si="43"/>
        <v>Pendente</v>
      </c>
      <c r="C532" s="14" t="str">
        <f t="shared" si="44"/>
        <v/>
      </c>
      <c r="D532" s="13" t="s">
        <v>611</v>
      </c>
      <c r="E532" s="14" t="str">
        <f t="shared" si="45"/>
        <v/>
      </c>
      <c r="F532" s="13" t="s">
        <v>611</v>
      </c>
      <c r="G532" s="40">
        <v>202400672</v>
      </c>
      <c r="H532" s="13" t="s">
        <v>2539</v>
      </c>
      <c r="I532" s="13" t="s">
        <v>1176</v>
      </c>
      <c r="J532" s="14">
        <v>45509</v>
      </c>
      <c r="K532" s="14">
        <v>45870</v>
      </c>
      <c r="L532" s="13" t="s">
        <v>1185</v>
      </c>
      <c r="M532" s="13" t="s">
        <v>2540</v>
      </c>
      <c r="N532" t="s">
        <v>2541</v>
      </c>
      <c r="O532" s="17" t="s">
        <v>2542</v>
      </c>
      <c r="P532" s="13" t="s">
        <v>303</v>
      </c>
      <c r="Q532" s="13" t="s">
        <v>618</v>
      </c>
      <c r="R532" s="13" t="str">
        <f>VLOOKUP(P532,'Dados das Regiões '!A:B,2,0)</f>
        <v>IRATI</v>
      </c>
      <c r="S532" s="13" t="s">
        <v>2543</v>
      </c>
      <c r="T532" s="13"/>
      <c r="U532" s="79"/>
      <c r="V532" s="13" t="s">
        <v>2544</v>
      </c>
      <c r="W532" s="13" t="s">
        <v>2545</v>
      </c>
      <c r="X532" s="15">
        <v>0.5</v>
      </c>
      <c r="Y532" s="16" t="s">
        <v>1841</v>
      </c>
      <c r="Z532" s="16" t="s">
        <v>622</v>
      </c>
      <c r="AA532" s="36" t="s">
        <v>1808</v>
      </c>
      <c r="AB532" s="164">
        <v>202400672</v>
      </c>
      <c r="AC532" s="55" t="s">
        <v>8</v>
      </c>
      <c r="AD532" s="40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</row>
    <row r="533" spans="1:44">
      <c r="A533" s="14"/>
      <c r="B533" s="13" t="str">
        <f t="shared" si="43"/>
        <v>Pendente</v>
      </c>
      <c r="C533" s="14" t="str">
        <f t="shared" si="44"/>
        <v/>
      </c>
      <c r="D533" s="13" t="s">
        <v>611</v>
      </c>
      <c r="E533" s="14" t="str">
        <f t="shared" si="45"/>
        <v/>
      </c>
      <c r="F533" s="13" t="s">
        <v>611</v>
      </c>
      <c r="G533" s="40">
        <v>202400672</v>
      </c>
      <c r="H533" s="13" t="s">
        <v>2546</v>
      </c>
      <c r="I533" s="13" t="s">
        <v>1176</v>
      </c>
      <c r="J533" s="14">
        <v>45509</v>
      </c>
      <c r="K533" s="14">
        <v>45870</v>
      </c>
      <c r="L533" s="13" t="s">
        <v>1185</v>
      </c>
      <c r="M533" s="13" t="s">
        <v>2547</v>
      </c>
      <c r="N533" s="13" t="s">
        <v>2548</v>
      </c>
      <c r="O533" s="17" t="s">
        <v>2549</v>
      </c>
      <c r="P533" s="13" t="s">
        <v>406</v>
      </c>
      <c r="Q533" s="13" t="s">
        <v>618</v>
      </c>
      <c r="R533" s="13" t="str">
        <f>VLOOKUP(P533,'Dados das Regiões '!A:B,2,0)</f>
        <v>PALMAS</v>
      </c>
      <c r="S533" s="13" t="s">
        <v>2550</v>
      </c>
      <c r="T533" s="13"/>
      <c r="U533" s="79" t="s">
        <v>2551</v>
      </c>
      <c r="V533" s="13" t="s">
        <v>2552</v>
      </c>
      <c r="W533" s="13" t="s">
        <v>2553</v>
      </c>
      <c r="X533" s="15">
        <v>0.5625</v>
      </c>
      <c r="Y533" s="16" t="s">
        <v>1415</v>
      </c>
      <c r="Z533" s="16" t="s">
        <v>622</v>
      </c>
      <c r="AA533" s="36" t="s">
        <v>1808</v>
      </c>
      <c r="AB533" s="164">
        <v>202400672</v>
      </c>
      <c r="AC533" s="55" t="s">
        <v>8</v>
      </c>
      <c r="AD533" s="40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</row>
    <row r="534" spans="1:44">
      <c r="A534" s="14"/>
      <c r="B534" s="13" t="str">
        <f t="shared" si="43"/>
        <v>Pendente</v>
      </c>
      <c r="C534" s="14" t="str">
        <f t="shared" si="44"/>
        <v/>
      </c>
      <c r="D534" s="13" t="s">
        <v>611</v>
      </c>
      <c r="E534" s="14" t="str">
        <f t="shared" si="45"/>
        <v/>
      </c>
      <c r="F534" s="13" t="s">
        <v>611</v>
      </c>
      <c r="G534" s="40">
        <v>202400678</v>
      </c>
      <c r="H534" s="13" t="s">
        <v>2554</v>
      </c>
      <c r="I534" s="13" t="s">
        <v>613</v>
      </c>
      <c r="J534" s="14">
        <v>45509</v>
      </c>
      <c r="K534" s="14">
        <v>45870</v>
      </c>
      <c r="L534" s="13" t="s">
        <v>2555</v>
      </c>
      <c r="M534" s="13" t="s">
        <v>2556</v>
      </c>
      <c r="N534" s="13" t="s">
        <v>2557</v>
      </c>
      <c r="O534" s="77" t="s">
        <v>2558</v>
      </c>
      <c r="P534" s="13" t="s">
        <v>274</v>
      </c>
      <c r="Q534" s="13" t="s">
        <v>618</v>
      </c>
      <c r="R534" s="13" t="str">
        <f>VLOOKUP(P534,'Dados das Regiões '!A:B,2,0)</f>
        <v>FRANCISCO BELTRÃO</v>
      </c>
      <c r="S534" s="13" t="s">
        <v>2559</v>
      </c>
      <c r="T534" s="13"/>
      <c r="U534" s="79"/>
      <c r="V534" s="13" t="s">
        <v>2560</v>
      </c>
      <c r="W534" s="13" t="s">
        <v>2561</v>
      </c>
      <c r="X534" s="15">
        <v>0.5625</v>
      </c>
      <c r="Y534" s="16" t="s">
        <v>1415</v>
      </c>
      <c r="Z534" s="16" t="s">
        <v>622</v>
      </c>
      <c r="AA534" s="36" t="s">
        <v>1808</v>
      </c>
      <c r="AB534" s="164">
        <v>202400678</v>
      </c>
      <c r="AC534" s="55" t="s">
        <v>6</v>
      </c>
      <c r="AD534" s="40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</row>
    <row r="535" spans="1:44">
      <c r="A535" s="14"/>
      <c r="B535" s="13" t="str">
        <f t="shared" si="43"/>
        <v>Pendente</v>
      </c>
      <c r="C535" s="14" t="str">
        <f t="shared" si="44"/>
        <v/>
      </c>
      <c r="D535" s="13" t="s">
        <v>611</v>
      </c>
      <c r="E535" s="14" t="str">
        <f t="shared" si="45"/>
        <v/>
      </c>
      <c r="F535" s="13" t="s">
        <v>611</v>
      </c>
      <c r="G535" s="40">
        <v>202400672</v>
      </c>
      <c r="H535" s="13" t="s">
        <v>2562</v>
      </c>
      <c r="I535" s="13" t="s">
        <v>1176</v>
      </c>
      <c r="J535" s="14">
        <v>45509</v>
      </c>
      <c r="K535" s="14">
        <v>45870</v>
      </c>
      <c r="L535" s="13" t="s">
        <v>1185</v>
      </c>
      <c r="M535" s="13" t="s">
        <v>2563</v>
      </c>
      <c r="N535" s="13" t="s">
        <v>2564</v>
      </c>
      <c r="O535" s="17" t="s">
        <v>2565</v>
      </c>
      <c r="P535" s="13" t="s">
        <v>304</v>
      </c>
      <c r="Q535" s="13" t="s">
        <v>618</v>
      </c>
      <c r="R535" s="13" t="str">
        <f>VLOOKUP(P535,'Dados das Regiões '!A:B,2,0)</f>
        <v>IRATI</v>
      </c>
      <c r="S535" s="13" t="s">
        <v>2566</v>
      </c>
      <c r="T535" s="13"/>
      <c r="U535" s="79" t="s">
        <v>2567</v>
      </c>
      <c r="V535" s="13" t="s">
        <v>2568</v>
      </c>
      <c r="W535" s="13" t="s">
        <v>2569</v>
      </c>
      <c r="X535" s="15">
        <v>0.58333333333333337</v>
      </c>
      <c r="Y535" s="16" t="s">
        <v>1200</v>
      </c>
      <c r="Z535" s="16" t="s">
        <v>622</v>
      </c>
      <c r="AA535" s="36" t="s">
        <v>1808</v>
      </c>
      <c r="AB535" s="164">
        <v>202400672</v>
      </c>
      <c r="AC535" s="55" t="s">
        <v>8</v>
      </c>
      <c r="AD535" s="40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</row>
    <row r="536" spans="1:44">
      <c r="A536" s="14"/>
      <c r="B536" s="13" t="str">
        <f t="shared" si="43"/>
        <v>Pendente</v>
      </c>
      <c r="C536" s="14" t="str">
        <f t="shared" si="44"/>
        <v/>
      </c>
      <c r="D536" s="13" t="s">
        <v>611</v>
      </c>
      <c r="E536" s="14" t="str">
        <f t="shared" si="45"/>
        <v/>
      </c>
      <c r="F536" s="13" t="s">
        <v>611</v>
      </c>
      <c r="G536" s="40">
        <v>202400672</v>
      </c>
      <c r="H536" s="13" t="s">
        <v>2570</v>
      </c>
      <c r="I536" s="13" t="s">
        <v>1176</v>
      </c>
      <c r="J536" s="14">
        <v>45509</v>
      </c>
      <c r="K536" s="14">
        <v>45870</v>
      </c>
      <c r="L536" s="13" t="s">
        <v>2571</v>
      </c>
      <c r="M536" s="13" t="s">
        <v>2572</v>
      </c>
      <c r="N536" s="13" t="s">
        <v>2573</v>
      </c>
      <c r="O536" s="17" t="s">
        <v>2574</v>
      </c>
      <c r="P536" s="13" t="s">
        <v>489</v>
      </c>
      <c r="Q536" s="13" t="s">
        <v>618</v>
      </c>
      <c r="R536" s="13" t="str">
        <f>VLOOKUP(P536,'Dados das Regiões '!A:B,2,0)</f>
        <v>UMUARAMA</v>
      </c>
      <c r="S536" s="13" t="s">
        <v>2575</v>
      </c>
      <c r="T536" s="13"/>
      <c r="U536" s="79" t="s">
        <v>2576</v>
      </c>
      <c r="V536" s="13" t="s">
        <v>2577</v>
      </c>
      <c r="W536" s="13" t="s">
        <v>2578</v>
      </c>
      <c r="X536" s="15">
        <v>0.54166666666666663</v>
      </c>
      <c r="Y536" s="16" t="s">
        <v>1824</v>
      </c>
      <c r="Z536" s="16" t="s">
        <v>622</v>
      </c>
      <c r="AA536" s="36" t="s">
        <v>1808</v>
      </c>
      <c r="AB536" s="164">
        <v>202400672</v>
      </c>
      <c r="AC536" s="55" t="s">
        <v>8</v>
      </c>
      <c r="AD536" s="40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</row>
    <row r="537" spans="1:44">
      <c r="A537" s="14"/>
      <c r="B537" s="13" t="str">
        <f t="shared" si="43"/>
        <v>Pendente</v>
      </c>
      <c r="C537" s="14" t="str">
        <f t="shared" si="44"/>
        <v/>
      </c>
      <c r="D537" s="13" t="s">
        <v>611</v>
      </c>
      <c r="E537" s="14" t="str">
        <f t="shared" si="45"/>
        <v/>
      </c>
      <c r="F537" s="13" t="s">
        <v>611</v>
      </c>
      <c r="G537" s="40">
        <v>202400678</v>
      </c>
      <c r="H537" s="13" t="s">
        <v>2579</v>
      </c>
      <c r="I537" s="13" t="s">
        <v>613</v>
      </c>
      <c r="J537" s="14">
        <v>45509</v>
      </c>
      <c r="K537" s="14">
        <v>45870</v>
      </c>
      <c r="L537" s="13" t="s">
        <v>2555</v>
      </c>
      <c r="M537" s="13" t="s">
        <v>2556</v>
      </c>
      <c r="N537" s="13" t="s">
        <v>2557</v>
      </c>
      <c r="O537" s="77" t="s">
        <v>2558</v>
      </c>
      <c r="P537" s="13" t="s">
        <v>274</v>
      </c>
      <c r="Q537" s="13" t="s">
        <v>618</v>
      </c>
      <c r="R537" s="13" t="str">
        <f>VLOOKUP(P537,'Dados das Regiões '!A:B,2,0)</f>
        <v>FRANCISCO BELTRÃO</v>
      </c>
      <c r="S537" s="13" t="s">
        <v>2580</v>
      </c>
      <c r="T537" s="13"/>
      <c r="U537" s="79"/>
      <c r="V537" s="13" t="s">
        <v>2560</v>
      </c>
      <c r="W537" s="13" t="s">
        <v>2561</v>
      </c>
      <c r="X537" s="15">
        <v>0.5625</v>
      </c>
      <c r="Y537" s="16" t="s">
        <v>1415</v>
      </c>
      <c r="Z537" s="16" t="s">
        <v>622</v>
      </c>
      <c r="AA537" s="36" t="s">
        <v>1808</v>
      </c>
      <c r="AB537" s="164">
        <v>202400678</v>
      </c>
      <c r="AC537" s="55" t="s">
        <v>6</v>
      </c>
      <c r="AD537" s="40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</row>
    <row r="538" spans="1:44">
      <c r="A538" s="14"/>
      <c r="B538" s="13" t="str">
        <f t="shared" si="43"/>
        <v>Pendente</v>
      </c>
      <c r="C538" s="14" t="str">
        <f t="shared" si="44"/>
        <v/>
      </c>
      <c r="D538" s="13" t="s">
        <v>611</v>
      </c>
      <c r="E538" s="14" t="str">
        <f t="shared" si="45"/>
        <v/>
      </c>
      <c r="F538" s="13" t="s">
        <v>611</v>
      </c>
      <c r="G538" s="40">
        <v>202400678</v>
      </c>
      <c r="H538" s="13" t="s">
        <v>2581</v>
      </c>
      <c r="I538" s="13" t="s">
        <v>613</v>
      </c>
      <c r="J538" s="14">
        <v>45509</v>
      </c>
      <c r="K538" s="14">
        <v>45870</v>
      </c>
      <c r="L538" s="13" t="s">
        <v>2555</v>
      </c>
      <c r="M538" s="13" t="s">
        <v>2556</v>
      </c>
      <c r="N538" s="13" t="s">
        <v>2557</v>
      </c>
      <c r="O538" s="77" t="s">
        <v>2558</v>
      </c>
      <c r="P538" s="13" t="s">
        <v>274</v>
      </c>
      <c r="Q538" s="13" t="s">
        <v>618</v>
      </c>
      <c r="R538" s="13" t="str">
        <f>VLOOKUP(P538,'Dados das Regiões '!A:B,2,0)</f>
        <v>FRANCISCO BELTRÃO</v>
      </c>
      <c r="S538" s="13" t="s">
        <v>2580</v>
      </c>
      <c r="T538" s="13"/>
      <c r="U538" s="79"/>
      <c r="V538" s="13" t="s">
        <v>2560</v>
      </c>
      <c r="W538" s="13" t="s">
        <v>2561</v>
      </c>
      <c r="X538" s="15">
        <v>0.5625</v>
      </c>
      <c r="Y538" s="16" t="s">
        <v>1415</v>
      </c>
      <c r="Z538" s="16" t="s">
        <v>622</v>
      </c>
      <c r="AA538" s="36" t="s">
        <v>1808</v>
      </c>
      <c r="AB538" s="164">
        <v>202400678</v>
      </c>
      <c r="AC538" s="55" t="s">
        <v>6</v>
      </c>
      <c r="AD538" s="40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</row>
    <row r="539" spans="1:44">
      <c r="A539" s="14"/>
      <c r="B539" s="13" t="str">
        <f t="shared" si="43"/>
        <v>Pendente</v>
      </c>
      <c r="C539" s="14" t="str">
        <f t="shared" si="44"/>
        <v/>
      </c>
      <c r="D539" s="13" t="s">
        <v>611</v>
      </c>
      <c r="E539" s="14" t="str">
        <f t="shared" si="45"/>
        <v/>
      </c>
      <c r="F539" s="13" t="s">
        <v>611</v>
      </c>
      <c r="G539" s="40">
        <v>202400678</v>
      </c>
      <c r="H539" s="13" t="s">
        <v>2582</v>
      </c>
      <c r="I539" s="13" t="s">
        <v>613</v>
      </c>
      <c r="J539" s="14">
        <v>45509</v>
      </c>
      <c r="K539" s="14">
        <v>45870</v>
      </c>
      <c r="L539" s="13" t="s">
        <v>2555</v>
      </c>
      <c r="M539" s="13" t="s">
        <v>2556</v>
      </c>
      <c r="N539" s="13" t="s">
        <v>2557</v>
      </c>
      <c r="O539" s="77" t="s">
        <v>2558</v>
      </c>
      <c r="P539" s="13" t="s">
        <v>274</v>
      </c>
      <c r="Q539" s="13" t="s">
        <v>618</v>
      </c>
      <c r="R539" s="13" t="str">
        <f>VLOOKUP(P539,'Dados das Regiões '!A:B,2,0)</f>
        <v>FRANCISCO BELTRÃO</v>
      </c>
      <c r="S539" s="13" t="s">
        <v>2580</v>
      </c>
      <c r="T539" s="13"/>
      <c r="U539" s="79"/>
      <c r="V539" s="13" t="s">
        <v>2560</v>
      </c>
      <c r="W539" s="13" t="s">
        <v>2561</v>
      </c>
      <c r="X539" s="15">
        <v>0.5625</v>
      </c>
      <c r="Y539" s="16" t="s">
        <v>1415</v>
      </c>
      <c r="Z539" s="16" t="s">
        <v>622</v>
      </c>
      <c r="AA539" s="36" t="s">
        <v>1808</v>
      </c>
      <c r="AB539" s="164">
        <v>202400678</v>
      </c>
      <c r="AC539" s="55" t="s">
        <v>6</v>
      </c>
      <c r="AD539" s="40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</row>
    <row r="540" spans="1:44">
      <c r="A540" s="14"/>
      <c r="B540" s="13" t="str">
        <f t="shared" si="43"/>
        <v>Pendente</v>
      </c>
      <c r="C540" s="14" t="str">
        <f t="shared" si="44"/>
        <v/>
      </c>
      <c r="D540" s="13" t="s">
        <v>611</v>
      </c>
      <c r="E540" s="14" t="str">
        <f t="shared" si="45"/>
        <v/>
      </c>
      <c r="F540" s="13" t="s">
        <v>611</v>
      </c>
      <c r="G540" s="40">
        <v>202400679</v>
      </c>
      <c r="H540" s="13" t="s">
        <v>2583</v>
      </c>
      <c r="I540" s="13" t="s">
        <v>1176</v>
      </c>
      <c r="J540" s="14">
        <v>45509</v>
      </c>
      <c r="K540" s="14">
        <v>45870</v>
      </c>
      <c r="L540" s="13" t="s">
        <v>1185</v>
      </c>
      <c r="M540" s="70" t="s">
        <v>2584</v>
      </c>
      <c r="N540" s="13" t="s">
        <v>2585</v>
      </c>
      <c r="O540" s="17" t="s">
        <v>2586</v>
      </c>
      <c r="P540" s="13" t="s">
        <v>200</v>
      </c>
      <c r="Q540" s="13" t="s">
        <v>618</v>
      </c>
      <c r="R540" s="13" t="str">
        <f>VLOOKUP(P540,'Dados das Regiões '!A:B,2,0)</f>
        <v>CASCAVEL</v>
      </c>
      <c r="S540" s="13" t="s">
        <v>2587</v>
      </c>
      <c r="T540" s="13"/>
      <c r="U540" s="79" t="s">
        <v>2588</v>
      </c>
      <c r="V540" s="13" t="s">
        <v>2589</v>
      </c>
      <c r="W540" s="13" t="s">
        <v>2590</v>
      </c>
      <c r="X540" s="15">
        <v>0.33333333333333331</v>
      </c>
      <c r="Y540" s="16" t="s">
        <v>2591</v>
      </c>
      <c r="Z540" s="16" t="s">
        <v>622</v>
      </c>
      <c r="AA540" s="36" t="s">
        <v>1808</v>
      </c>
      <c r="AB540" s="164">
        <v>202400679</v>
      </c>
      <c r="AC540" s="55" t="s">
        <v>9</v>
      </c>
      <c r="AD540" s="40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</row>
    <row r="541" spans="1:44">
      <c r="A541" s="14"/>
      <c r="B541" s="13" t="str">
        <f t="shared" si="43"/>
        <v>Pendente</v>
      </c>
      <c r="C541" s="14" t="str">
        <f t="shared" si="44"/>
        <v/>
      </c>
      <c r="D541" s="13" t="s">
        <v>611</v>
      </c>
      <c r="E541" s="14" t="str">
        <f t="shared" si="45"/>
        <v/>
      </c>
      <c r="F541" s="13" t="s">
        <v>611</v>
      </c>
      <c r="G541" s="40">
        <v>202400678</v>
      </c>
      <c r="H541" s="13" t="s">
        <v>2592</v>
      </c>
      <c r="I541" s="13" t="s">
        <v>613</v>
      </c>
      <c r="J541" s="14">
        <v>45509</v>
      </c>
      <c r="K541" s="14">
        <v>45870</v>
      </c>
      <c r="L541" s="13" t="s">
        <v>2593</v>
      </c>
      <c r="M541" s="13" t="s">
        <v>2594</v>
      </c>
      <c r="N541" s="13" t="s">
        <v>2595</v>
      </c>
      <c r="O541" s="17" t="s">
        <v>2596</v>
      </c>
      <c r="P541" s="13" t="s">
        <v>274</v>
      </c>
      <c r="Q541" s="13" t="s">
        <v>618</v>
      </c>
      <c r="R541" s="13" t="str">
        <f>VLOOKUP(P541,'Dados das Regiões '!A:B,2,0)</f>
        <v>FRANCISCO BELTRÃO</v>
      </c>
      <c r="S541" s="13" t="s">
        <v>2559</v>
      </c>
      <c r="T541" s="13"/>
      <c r="U541" s="79"/>
      <c r="V541" s="13" t="s">
        <v>2560</v>
      </c>
      <c r="W541" s="13" t="s">
        <v>2561</v>
      </c>
      <c r="X541" s="15">
        <v>0.5625</v>
      </c>
      <c r="Y541" s="16" t="s">
        <v>1415</v>
      </c>
      <c r="Z541" s="16" t="s">
        <v>622</v>
      </c>
      <c r="AA541" s="36" t="s">
        <v>1808</v>
      </c>
      <c r="AB541" s="164">
        <v>202400678</v>
      </c>
      <c r="AC541" s="55" t="s">
        <v>6</v>
      </c>
      <c r="AD541" s="40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</row>
    <row r="542" spans="1:44">
      <c r="A542" s="14"/>
      <c r="B542" s="13" t="str">
        <f t="shared" si="43"/>
        <v>Pendente</v>
      </c>
      <c r="C542" s="14" t="str">
        <f t="shared" si="44"/>
        <v/>
      </c>
      <c r="D542" s="13" t="s">
        <v>611</v>
      </c>
      <c r="E542" s="14" t="str">
        <f t="shared" si="45"/>
        <v/>
      </c>
      <c r="F542" s="13" t="s">
        <v>611</v>
      </c>
      <c r="G542" s="40">
        <v>202400678</v>
      </c>
      <c r="H542" s="13" t="s">
        <v>2597</v>
      </c>
      <c r="I542" s="13" t="s">
        <v>613</v>
      </c>
      <c r="J542" s="14">
        <v>45509</v>
      </c>
      <c r="K542" s="14">
        <v>45870</v>
      </c>
      <c r="L542" s="13" t="s">
        <v>1810</v>
      </c>
      <c r="M542" s="13" t="s">
        <v>1811</v>
      </c>
      <c r="N542" s="13" t="s">
        <v>1812</v>
      </c>
      <c r="O542" s="17" t="s">
        <v>1813</v>
      </c>
      <c r="P542" s="13" t="s">
        <v>53</v>
      </c>
      <c r="Q542" s="13" t="s">
        <v>618</v>
      </c>
      <c r="R542" s="13" t="str">
        <f>VLOOKUP(P542,'Dados das Regiões '!A:B,2,0)</f>
        <v>GOIOERÊ</v>
      </c>
      <c r="S542" s="13" t="s">
        <v>2598</v>
      </c>
      <c r="T542" s="13"/>
      <c r="U542" s="79"/>
      <c r="V542" s="13" t="s">
        <v>2599</v>
      </c>
      <c r="W542" s="13" t="s">
        <v>1816</v>
      </c>
      <c r="X542" s="15">
        <v>0.33333333333333331</v>
      </c>
      <c r="Y542" s="16" t="s">
        <v>1438</v>
      </c>
      <c r="Z542" s="16" t="s">
        <v>622</v>
      </c>
      <c r="AA542" s="36" t="s">
        <v>1808</v>
      </c>
      <c r="AB542" s="164">
        <v>202400678</v>
      </c>
      <c r="AC542" s="55" t="s">
        <v>6</v>
      </c>
      <c r="AD542" s="40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</row>
    <row r="543" spans="1:44">
      <c r="A543" s="14"/>
      <c r="B543" s="13" t="str">
        <f t="shared" si="43"/>
        <v>Pendente</v>
      </c>
      <c r="C543" s="14" t="str">
        <f t="shared" si="44"/>
        <v/>
      </c>
      <c r="D543" s="13" t="s">
        <v>611</v>
      </c>
      <c r="E543" s="14" t="str">
        <f t="shared" si="45"/>
        <v/>
      </c>
      <c r="F543" s="13" t="s">
        <v>611</v>
      </c>
      <c r="G543" s="40">
        <v>202400678</v>
      </c>
      <c r="H543" s="13" t="s">
        <v>2600</v>
      </c>
      <c r="I543" s="13" t="s">
        <v>613</v>
      </c>
      <c r="J543" s="14">
        <v>45509</v>
      </c>
      <c r="K543" s="14">
        <v>45870</v>
      </c>
      <c r="L543" s="13" t="s">
        <v>1810</v>
      </c>
      <c r="M543" s="13" t="s">
        <v>2601</v>
      </c>
      <c r="N543" s="13" t="s">
        <v>2602</v>
      </c>
      <c r="O543" s="17" t="s">
        <v>2603</v>
      </c>
      <c r="P543" s="13" t="s">
        <v>480</v>
      </c>
      <c r="Q543" s="13" t="s">
        <v>618</v>
      </c>
      <c r="R543" s="13" t="str">
        <f>VLOOKUP(P543,'Dados das Regiões '!A:B,2,0)</f>
        <v>TOLEDO</v>
      </c>
      <c r="S543" s="13" t="s">
        <v>2604</v>
      </c>
      <c r="T543" s="13"/>
      <c r="U543" s="79"/>
      <c r="V543" s="13" t="s">
        <v>2605</v>
      </c>
      <c r="W543" s="13" t="s">
        <v>2606</v>
      </c>
      <c r="X543" s="15">
        <v>0.33333333333333331</v>
      </c>
      <c r="Y543" s="16" t="s">
        <v>1438</v>
      </c>
      <c r="Z543" s="16" t="s">
        <v>622</v>
      </c>
      <c r="AA543" s="36" t="s">
        <v>1808</v>
      </c>
      <c r="AB543" s="164">
        <v>202400678</v>
      </c>
      <c r="AC543" s="55" t="s">
        <v>6</v>
      </c>
      <c r="AD543" s="40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</row>
    <row r="544" spans="1:44">
      <c r="A544" s="14"/>
      <c r="B544" s="13" t="str">
        <f t="shared" si="43"/>
        <v>Pendente</v>
      </c>
      <c r="C544" s="14" t="str">
        <f t="shared" si="44"/>
        <v/>
      </c>
      <c r="D544" s="13" t="s">
        <v>611</v>
      </c>
      <c r="E544" s="14" t="str">
        <f t="shared" si="45"/>
        <v/>
      </c>
      <c r="F544" s="13" t="s">
        <v>611</v>
      </c>
      <c r="G544" s="40">
        <v>202400678</v>
      </c>
      <c r="H544" s="13" t="s">
        <v>2607</v>
      </c>
      <c r="I544" s="13" t="s">
        <v>613</v>
      </c>
      <c r="J544" s="14">
        <v>45509</v>
      </c>
      <c r="K544" s="14">
        <v>45870</v>
      </c>
      <c r="L544" s="13" t="s">
        <v>1810</v>
      </c>
      <c r="M544" s="13" t="s">
        <v>2601</v>
      </c>
      <c r="N544" s="13" t="s">
        <v>2602</v>
      </c>
      <c r="O544" s="13"/>
      <c r="P544" s="13" t="s">
        <v>480</v>
      </c>
      <c r="Q544" s="13" t="s">
        <v>618</v>
      </c>
      <c r="R544" s="13" t="str">
        <f>VLOOKUP(P544,'Dados das Regiões '!A:B,2,0)</f>
        <v>TOLEDO</v>
      </c>
      <c r="S544" s="13" t="s">
        <v>2608</v>
      </c>
      <c r="T544" s="13"/>
      <c r="U544" s="79"/>
      <c r="V544" s="13" t="s">
        <v>2605</v>
      </c>
      <c r="W544" s="13" t="s">
        <v>2606</v>
      </c>
      <c r="X544" s="15">
        <v>0.5625</v>
      </c>
      <c r="Y544" s="16" t="s">
        <v>1415</v>
      </c>
      <c r="Z544" s="16" t="s">
        <v>622</v>
      </c>
      <c r="AA544" s="36" t="s">
        <v>1808</v>
      </c>
      <c r="AB544" s="164">
        <v>202400678</v>
      </c>
      <c r="AC544" s="55" t="s">
        <v>6</v>
      </c>
      <c r="AD544" s="40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</row>
    <row r="545" spans="1:44">
      <c r="A545" s="14"/>
      <c r="B545" s="13" t="str">
        <f t="shared" si="43"/>
        <v>Pendente</v>
      </c>
      <c r="C545" s="14" t="str">
        <f t="shared" si="44"/>
        <v/>
      </c>
      <c r="D545" s="13" t="s">
        <v>611</v>
      </c>
      <c r="E545" s="14" t="str">
        <f t="shared" si="45"/>
        <v/>
      </c>
      <c r="F545" s="13" t="s">
        <v>611</v>
      </c>
      <c r="G545" s="40">
        <v>202400678</v>
      </c>
      <c r="H545" s="13" t="s">
        <v>2609</v>
      </c>
      <c r="I545" s="13" t="s">
        <v>613</v>
      </c>
      <c r="J545" s="14">
        <v>45509</v>
      </c>
      <c r="K545" s="14">
        <v>45870</v>
      </c>
      <c r="L545" s="13" t="s">
        <v>1810</v>
      </c>
      <c r="M545" s="13" t="s">
        <v>2601</v>
      </c>
      <c r="N545" s="13" t="s">
        <v>2602</v>
      </c>
      <c r="O545" s="17" t="s">
        <v>2603</v>
      </c>
      <c r="P545" s="13" t="s">
        <v>480</v>
      </c>
      <c r="Q545" s="13" t="s">
        <v>618</v>
      </c>
      <c r="R545" s="13" t="str">
        <f>VLOOKUP(P545,'Dados das Regiões '!A:B,2,0)</f>
        <v>TOLEDO</v>
      </c>
      <c r="S545" s="13" t="s">
        <v>2608</v>
      </c>
      <c r="T545" s="13"/>
      <c r="U545" s="79"/>
      <c r="V545" s="13" t="s">
        <v>2605</v>
      </c>
      <c r="W545" s="13" t="s">
        <v>2606</v>
      </c>
      <c r="X545" s="15">
        <v>0.5625</v>
      </c>
      <c r="Y545" s="16" t="s">
        <v>1415</v>
      </c>
      <c r="Z545" s="16" t="s">
        <v>622</v>
      </c>
      <c r="AA545" s="36" t="s">
        <v>1808</v>
      </c>
      <c r="AB545" s="164">
        <v>202400678</v>
      </c>
      <c r="AC545" s="55" t="s">
        <v>6</v>
      </c>
      <c r="AD545" s="40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</row>
    <row r="546" spans="1:44">
      <c r="A546" s="14"/>
      <c r="B546" s="13" t="str">
        <f t="shared" si="43"/>
        <v>Pendente</v>
      </c>
      <c r="C546" s="14" t="str">
        <f t="shared" si="44"/>
        <v/>
      </c>
      <c r="D546" s="13" t="s">
        <v>611</v>
      </c>
      <c r="E546" s="14" t="str">
        <f t="shared" si="45"/>
        <v/>
      </c>
      <c r="F546" s="13" t="s">
        <v>611</v>
      </c>
      <c r="G546" s="40">
        <v>202400678</v>
      </c>
      <c r="H546" s="13" t="s">
        <v>2610</v>
      </c>
      <c r="I546" s="13" t="s">
        <v>613</v>
      </c>
      <c r="J546" s="14">
        <v>45509</v>
      </c>
      <c r="K546" s="14">
        <v>45870</v>
      </c>
      <c r="L546" s="13" t="s">
        <v>1810</v>
      </c>
      <c r="M546" s="13" t="s">
        <v>2611</v>
      </c>
      <c r="N546" s="13" t="s">
        <v>2612</v>
      </c>
      <c r="O546" s="17" t="s">
        <v>2613</v>
      </c>
      <c r="P546" s="13" t="s">
        <v>150</v>
      </c>
      <c r="Q546" s="13" t="s">
        <v>618</v>
      </c>
      <c r="R546" s="13" t="str">
        <f>VLOOKUP(P546,'Dados das Regiões '!A:B,2,0)</f>
        <v>CAMPO MOURÃO</v>
      </c>
      <c r="S546" s="13" t="s">
        <v>2614</v>
      </c>
      <c r="T546" s="13"/>
      <c r="U546" s="79"/>
      <c r="V546" s="13" t="s">
        <v>2615</v>
      </c>
      <c r="W546" s="13" t="s">
        <v>2616</v>
      </c>
      <c r="X546" s="15">
        <v>0.5625</v>
      </c>
      <c r="Y546" s="16" t="s">
        <v>1415</v>
      </c>
      <c r="Z546" s="16" t="s">
        <v>622</v>
      </c>
      <c r="AA546" s="36" t="s">
        <v>1808</v>
      </c>
      <c r="AB546" s="164">
        <v>202400678</v>
      </c>
      <c r="AC546" s="55" t="s">
        <v>6</v>
      </c>
      <c r="AD546" s="40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</row>
    <row r="547" spans="1:44">
      <c r="A547" s="14"/>
      <c r="B547" s="13" t="str">
        <f t="shared" si="43"/>
        <v>Pendente</v>
      </c>
      <c r="C547" s="14" t="str">
        <f t="shared" si="44"/>
        <v/>
      </c>
      <c r="D547" s="13" t="s">
        <v>611</v>
      </c>
      <c r="E547" s="14" t="str">
        <f t="shared" si="45"/>
        <v/>
      </c>
      <c r="F547" s="13" t="s">
        <v>611</v>
      </c>
      <c r="G547" s="40">
        <v>202400678</v>
      </c>
      <c r="H547" s="13" t="s">
        <v>2617</v>
      </c>
      <c r="I547" s="13" t="s">
        <v>613</v>
      </c>
      <c r="J547" s="14">
        <v>45509</v>
      </c>
      <c r="K547" s="14">
        <v>45870</v>
      </c>
      <c r="L547" s="13" t="s">
        <v>2618</v>
      </c>
      <c r="M547" s="13" t="s">
        <v>2619</v>
      </c>
      <c r="N547" s="13" t="s">
        <v>2620</v>
      </c>
      <c r="O547" s="13" t="s">
        <v>2621</v>
      </c>
      <c r="P547" s="13" t="s">
        <v>491</v>
      </c>
      <c r="Q547" s="13" t="s">
        <v>618</v>
      </c>
      <c r="R547" s="13" t="str">
        <f>VLOOKUP(P547,'Dados das Regiões '!A:B,2,0)</f>
        <v>UMUARAMA</v>
      </c>
      <c r="S547" s="13" t="s">
        <v>2622</v>
      </c>
      <c r="T547" s="13"/>
      <c r="U547" s="79"/>
      <c r="V547" s="13" t="s">
        <v>2623</v>
      </c>
      <c r="W547" s="13" t="s">
        <v>2624</v>
      </c>
      <c r="X547" s="15">
        <v>0.58333333333333337</v>
      </c>
      <c r="Y547" s="16" t="s">
        <v>1200</v>
      </c>
      <c r="Z547" s="16" t="s">
        <v>622</v>
      </c>
      <c r="AA547" s="36" t="s">
        <v>1808</v>
      </c>
      <c r="AB547" s="164">
        <v>202400678</v>
      </c>
      <c r="AC547" s="55" t="s">
        <v>6</v>
      </c>
      <c r="AD547" s="40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</row>
    <row r="548" spans="1:44">
      <c r="A548" s="29">
        <v>45757</v>
      </c>
      <c r="B548" s="18" t="str">
        <f t="shared" si="43"/>
        <v>Realizada</v>
      </c>
      <c r="C548" s="29">
        <f t="shared" si="44"/>
        <v>45848</v>
      </c>
      <c r="D548" s="18" t="s">
        <v>611</v>
      </c>
      <c r="E548" s="29">
        <f t="shared" si="45"/>
        <v>45940</v>
      </c>
      <c r="F548" s="18" t="s">
        <v>611</v>
      </c>
      <c r="G548" s="44">
        <v>202400682</v>
      </c>
      <c r="H548" s="18" t="s">
        <v>2625</v>
      </c>
      <c r="I548" s="18" t="s">
        <v>1192</v>
      </c>
      <c r="J548" s="29">
        <v>45509</v>
      </c>
      <c r="K548" s="29">
        <v>45870</v>
      </c>
      <c r="L548" s="18" t="s">
        <v>2278</v>
      </c>
      <c r="M548" s="18" t="s">
        <v>2279</v>
      </c>
      <c r="N548" s="18" t="s">
        <v>2280</v>
      </c>
      <c r="O548" s="18" t="s">
        <v>2280</v>
      </c>
      <c r="P548" s="18" t="s">
        <v>513</v>
      </c>
      <c r="Q548" s="18" t="s">
        <v>618</v>
      </c>
      <c r="R548" s="18" t="str">
        <f>VLOOKUP(P548,'Dados das Regiões '!A:B,2,0)</f>
        <v>CAMPO LARGO</v>
      </c>
      <c r="S548" s="18" t="s">
        <v>2332</v>
      </c>
      <c r="T548" s="18"/>
      <c r="U548" s="82" t="s">
        <v>2282</v>
      </c>
      <c r="V548" s="18" t="s">
        <v>2283</v>
      </c>
      <c r="W548" s="18" t="s">
        <v>2284</v>
      </c>
      <c r="X548" s="30">
        <v>0.58333333333333337</v>
      </c>
      <c r="Y548" s="31" t="s">
        <v>1200</v>
      </c>
      <c r="Z548" s="31" t="s">
        <v>622</v>
      </c>
      <c r="AA548" s="36" t="s">
        <v>1808</v>
      </c>
      <c r="AB548" s="166">
        <v>202400682</v>
      </c>
      <c r="AC548" s="55" t="s">
        <v>14</v>
      </c>
      <c r="AD548" s="40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</row>
    <row r="549" spans="1:44">
      <c r="A549" s="29">
        <v>45757</v>
      </c>
      <c r="B549" s="18" t="str">
        <f t="shared" si="43"/>
        <v>Realizada</v>
      </c>
      <c r="C549" s="29">
        <f t="shared" si="44"/>
        <v>45848</v>
      </c>
      <c r="D549" s="18" t="s">
        <v>611</v>
      </c>
      <c r="E549" s="29">
        <f t="shared" si="45"/>
        <v>45940</v>
      </c>
      <c r="F549" s="18" t="s">
        <v>611</v>
      </c>
      <c r="G549" s="44">
        <v>202400682</v>
      </c>
      <c r="H549" s="18" t="s">
        <v>2626</v>
      </c>
      <c r="I549" s="18" t="s">
        <v>1192</v>
      </c>
      <c r="J549" s="29">
        <v>45509</v>
      </c>
      <c r="K549" s="29">
        <v>45870</v>
      </c>
      <c r="L549" s="18" t="s">
        <v>2278</v>
      </c>
      <c r="M549" s="18" t="s">
        <v>2279</v>
      </c>
      <c r="N549" s="18" t="s">
        <v>2280</v>
      </c>
      <c r="O549" s="18" t="s">
        <v>2280</v>
      </c>
      <c r="P549" s="18" t="s">
        <v>513</v>
      </c>
      <c r="Q549" s="18" t="s">
        <v>618</v>
      </c>
      <c r="R549" s="18" t="str">
        <f>VLOOKUP(P549,'Dados das Regiões '!A:B,2,0)</f>
        <v>CAMPO LARGO</v>
      </c>
      <c r="S549" s="18" t="s">
        <v>2332</v>
      </c>
      <c r="T549" s="18"/>
      <c r="U549" s="82" t="s">
        <v>2282</v>
      </c>
      <c r="V549" s="18" t="s">
        <v>2283</v>
      </c>
      <c r="W549" s="18" t="s">
        <v>2284</v>
      </c>
      <c r="X549" s="30">
        <v>0.58333333333333337</v>
      </c>
      <c r="Y549" s="31" t="s">
        <v>1200</v>
      </c>
      <c r="Z549" s="31" t="s">
        <v>622</v>
      </c>
      <c r="AA549" s="36" t="s">
        <v>1808</v>
      </c>
      <c r="AB549" s="166">
        <v>202400682</v>
      </c>
      <c r="AC549" s="55" t="s">
        <v>14</v>
      </c>
      <c r="AD549" s="40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</row>
    <row r="550" spans="1:44">
      <c r="A550" s="14"/>
      <c r="B550" s="13" t="str">
        <f t="shared" si="43"/>
        <v>Pendente</v>
      </c>
      <c r="C550" s="14" t="str">
        <f t="shared" si="44"/>
        <v/>
      </c>
      <c r="D550" s="13" t="s">
        <v>611</v>
      </c>
      <c r="E550" s="14" t="str">
        <f t="shared" si="45"/>
        <v/>
      </c>
      <c r="F550" s="13" t="s">
        <v>611</v>
      </c>
      <c r="G550" s="40">
        <v>202400671</v>
      </c>
      <c r="H550" s="13" t="s">
        <v>2627</v>
      </c>
      <c r="I550" s="13" t="s">
        <v>613</v>
      </c>
      <c r="J550" s="14">
        <v>45509</v>
      </c>
      <c r="K550" s="14">
        <v>45870</v>
      </c>
      <c r="L550" s="13" t="s">
        <v>1801</v>
      </c>
      <c r="M550" s="13" t="s">
        <v>2628</v>
      </c>
      <c r="N550" s="13" t="s">
        <v>2629</v>
      </c>
      <c r="O550" s="17" t="s">
        <v>2630</v>
      </c>
      <c r="P550" s="13" t="s">
        <v>136</v>
      </c>
      <c r="Q550" s="13" t="s">
        <v>618</v>
      </c>
      <c r="R550" s="13" t="str">
        <f>VLOOKUP(P550,'Dados das Regiões '!A:B,2,0)</f>
        <v>ARAPONGAS</v>
      </c>
      <c r="S550" s="13" t="s">
        <v>2631</v>
      </c>
      <c r="T550" s="13"/>
      <c r="U550" s="79"/>
      <c r="V550" s="13" t="s">
        <v>2632</v>
      </c>
      <c r="W550" s="13" t="s">
        <v>2633</v>
      </c>
      <c r="X550" s="15">
        <v>0.5625</v>
      </c>
      <c r="Y550" s="16" t="s">
        <v>1415</v>
      </c>
      <c r="Z550" s="16" t="s">
        <v>622</v>
      </c>
      <c r="AA550" s="36" t="s">
        <v>1808</v>
      </c>
      <c r="AB550" s="164">
        <v>202400671</v>
      </c>
      <c r="AC550" s="55" t="s">
        <v>6</v>
      </c>
      <c r="AD550" s="40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</row>
    <row r="551" spans="1:44">
      <c r="A551" s="29">
        <v>45757</v>
      </c>
      <c r="B551" s="18" t="str">
        <f t="shared" si="43"/>
        <v>Realizada</v>
      </c>
      <c r="C551" s="29">
        <f t="shared" si="44"/>
        <v>45848</v>
      </c>
      <c r="D551" s="18" t="s">
        <v>611</v>
      </c>
      <c r="E551" s="29">
        <f t="shared" si="45"/>
        <v>45940</v>
      </c>
      <c r="F551" s="18" t="s">
        <v>611</v>
      </c>
      <c r="G551" s="44">
        <v>202400682</v>
      </c>
      <c r="H551" s="18" t="s">
        <v>2634</v>
      </c>
      <c r="I551" s="18" t="s">
        <v>1192</v>
      </c>
      <c r="J551" s="29">
        <v>45509</v>
      </c>
      <c r="K551" s="29">
        <v>45870</v>
      </c>
      <c r="L551" s="18" t="s">
        <v>2278</v>
      </c>
      <c r="M551" s="18" t="s">
        <v>2635</v>
      </c>
      <c r="N551" s="18" t="s">
        <v>2280</v>
      </c>
      <c r="O551" s="18" t="s">
        <v>2280</v>
      </c>
      <c r="P551" s="18" t="s">
        <v>513</v>
      </c>
      <c r="Q551" s="18" t="s">
        <v>618</v>
      </c>
      <c r="R551" s="18" t="str">
        <f>VLOOKUP(P551,'Dados das Regiões '!A:B,2,0)</f>
        <v>CAMPO LARGO</v>
      </c>
      <c r="S551" s="18" t="s">
        <v>2332</v>
      </c>
      <c r="T551" s="18"/>
      <c r="U551" s="82" t="s">
        <v>2282</v>
      </c>
      <c r="V551" s="18" t="s">
        <v>2283</v>
      </c>
      <c r="W551" s="18" t="s">
        <v>2284</v>
      </c>
      <c r="X551" s="30">
        <v>0.58333333333333337</v>
      </c>
      <c r="Y551" s="31" t="s">
        <v>1200</v>
      </c>
      <c r="Z551" s="31" t="s">
        <v>622</v>
      </c>
      <c r="AA551" s="36" t="s">
        <v>1808</v>
      </c>
      <c r="AB551" s="166">
        <v>202400682</v>
      </c>
      <c r="AC551" s="55" t="s">
        <v>14</v>
      </c>
      <c r="AD551" s="40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</row>
    <row r="552" spans="1:44">
      <c r="A552" s="14"/>
      <c r="B552" s="13" t="str">
        <f t="shared" si="43"/>
        <v>Pendente</v>
      </c>
      <c r="C552" s="14" t="str">
        <f t="shared" si="44"/>
        <v/>
      </c>
      <c r="D552" s="13" t="s">
        <v>611</v>
      </c>
      <c r="E552" s="14" t="str">
        <f t="shared" si="45"/>
        <v/>
      </c>
      <c r="F552" s="13" t="s">
        <v>611</v>
      </c>
      <c r="G552" s="40">
        <v>202400671</v>
      </c>
      <c r="H552" s="13" t="s">
        <v>2636</v>
      </c>
      <c r="I552" s="13" t="s">
        <v>613</v>
      </c>
      <c r="J552" s="14">
        <v>45509</v>
      </c>
      <c r="K552" s="14">
        <v>45870</v>
      </c>
      <c r="L552" s="13" t="s">
        <v>2637</v>
      </c>
      <c r="M552" s="13" t="s">
        <v>2638</v>
      </c>
      <c r="N552" s="13" t="s">
        <v>2639</v>
      </c>
      <c r="O552" s="17" t="s">
        <v>2640</v>
      </c>
      <c r="P552" s="13" t="s">
        <v>422</v>
      </c>
      <c r="Q552" s="13" t="s">
        <v>618</v>
      </c>
      <c r="R552" s="13" t="str">
        <f>VLOOKUP(P552,'Dados das Regiões '!A:B,2,0)</f>
        <v>PARANAVAÍ</v>
      </c>
      <c r="S552" s="13" t="s">
        <v>2641</v>
      </c>
      <c r="T552" s="13"/>
      <c r="U552" s="79"/>
      <c r="V552" s="13" t="s">
        <v>2642</v>
      </c>
      <c r="W552" s="13" t="s">
        <v>2643</v>
      </c>
      <c r="X552" s="15">
        <v>0.54166666666666663</v>
      </c>
      <c r="Y552" s="16" t="s">
        <v>1824</v>
      </c>
      <c r="Z552" s="16" t="s">
        <v>622</v>
      </c>
      <c r="AA552" s="36" t="s">
        <v>1808</v>
      </c>
      <c r="AB552" s="164">
        <v>202400671</v>
      </c>
      <c r="AC552" s="55" t="s">
        <v>6</v>
      </c>
      <c r="AD552" s="40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</row>
    <row r="553" spans="1:44">
      <c r="A553" s="14"/>
      <c r="B553" s="13" t="str">
        <f t="shared" si="43"/>
        <v>Pendente</v>
      </c>
      <c r="C553" s="14" t="str">
        <f t="shared" si="44"/>
        <v/>
      </c>
      <c r="D553" s="13" t="s">
        <v>611</v>
      </c>
      <c r="E553" s="14" t="str">
        <f t="shared" si="45"/>
        <v/>
      </c>
      <c r="F553" s="13" t="s">
        <v>611</v>
      </c>
      <c r="G553" s="40">
        <v>202400671</v>
      </c>
      <c r="H553" s="13" t="s">
        <v>2644</v>
      </c>
      <c r="I553" s="13" t="s">
        <v>613</v>
      </c>
      <c r="J553" s="14">
        <v>45509</v>
      </c>
      <c r="K553" s="14">
        <v>45870</v>
      </c>
      <c r="L553" s="13" t="s">
        <v>2645</v>
      </c>
      <c r="M553" s="13" t="s">
        <v>2646</v>
      </c>
      <c r="N553" s="13" t="s">
        <v>2647</v>
      </c>
      <c r="O553" s="17" t="s">
        <v>2648</v>
      </c>
      <c r="P553" s="13" t="s">
        <v>382</v>
      </c>
      <c r="Q553" s="13" t="s">
        <v>618</v>
      </c>
      <c r="R553" s="13" t="str">
        <f>VLOOKUP(P553,'Dados das Regiões '!A:B,2,0)</f>
        <v>MARINGÁ</v>
      </c>
      <c r="S553" s="13" t="s">
        <v>2649</v>
      </c>
      <c r="T553" s="13"/>
      <c r="U553" s="79"/>
      <c r="V553" s="13" t="s">
        <v>2650</v>
      </c>
      <c r="W553" s="13" t="s">
        <v>2651</v>
      </c>
      <c r="X553" s="15">
        <v>0.33333333333333331</v>
      </c>
      <c r="Y553" s="16" t="s">
        <v>1438</v>
      </c>
      <c r="Z553" s="16" t="s">
        <v>622</v>
      </c>
      <c r="AA553" s="36" t="s">
        <v>1808</v>
      </c>
      <c r="AB553" s="164">
        <v>202400671</v>
      </c>
      <c r="AC553" s="55" t="s">
        <v>6</v>
      </c>
      <c r="AD553" s="40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</row>
    <row r="554" spans="1:44">
      <c r="A554" s="14"/>
      <c r="B554" s="13" t="str">
        <f t="shared" si="43"/>
        <v>Pendente</v>
      </c>
      <c r="C554" s="14" t="str">
        <f t="shared" si="44"/>
        <v/>
      </c>
      <c r="D554" s="13" t="s">
        <v>611</v>
      </c>
      <c r="E554" s="14" t="str">
        <f t="shared" si="45"/>
        <v/>
      </c>
      <c r="F554" s="13" t="s">
        <v>611</v>
      </c>
      <c r="G554" s="40">
        <v>202400671</v>
      </c>
      <c r="H554" s="13" t="s">
        <v>2652</v>
      </c>
      <c r="I554" s="13" t="s">
        <v>613</v>
      </c>
      <c r="J554" s="14">
        <v>45509</v>
      </c>
      <c r="K554" s="14">
        <v>45870</v>
      </c>
      <c r="L554" s="13" t="s">
        <v>1801</v>
      </c>
      <c r="M554" s="13" t="s">
        <v>2653</v>
      </c>
      <c r="N554" s="13" t="s">
        <v>2654</v>
      </c>
      <c r="O554" s="17" t="s">
        <v>2655</v>
      </c>
      <c r="P554" s="13" t="s">
        <v>422</v>
      </c>
      <c r="Q554" s="13" t="s">
        <v>618</v>
      </c>
      <c r="R554" s="13" t="str">
        <f>VLOOKUP(P554,'Dados das Regiões '!A:B,2,0)</f>
        <v>PARANAVAÍ</v>
      </c>
      <c r="S554" s="13" t="s">
        <v>2656</v>
      </c>
      <c r="T554" s="13"/>
      <c r="U554" s="79"/>
      <c r="V554" s="13" t="s">
        <v>2657</v>
      </c>
      <c r="W554" s="13" t="s">
        <v>2658</v>
      </c>
      <c r="X554" s="15">
        <v>0.54166666666666663</v>
      </c>
      <c r="Y554" s="16" t="s">
        <v>1824</v>
      </c>
      <c r="Z554" s="16" t="s">
        <v>622</v>
      </c>
      <c r="AA554" s="36" t="s">
        <v>1808</v>
      </c>
      <c r="AB554" s="164">
        <v>202400671</v>
      </c>
      <c r="AC554" s="55" t="s">
        <v>6</v>
      </c>
      <c r="AD554" s="40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</row>
    <row r="555" spans="1:44">
      <c r="A555" s="14"/>
      <c r="B555" s="13" t="str">
        <f t="shared" si="43"/>
        <v>Pendente</v>
      </c>
      <c r="C555" s="14" t="str">
        <f t="shared" si="44"/>
        <v/>
      </c>
      <c r="D555" s="13" t="s">
        <v>611</v>
      </c>
      <c r="E555" s="14" t="str">
        <f t="shared" si="45"/>
        <v/>
      </c>
      <c r="F555" s="13" t="s">
        <v>611</v>
      </c>
      <c r="G555" s="40">
        <v>202400671</v>
      </c>
      <c r="H555" s="13" t="s">
        <v>2659</v>
      </c>
      <c r="I555" s="13" t="s">
        <v>613</v>
      </c>
      <c r="J555" s="14">
        <v>45509</v>
      </c>
      <c r="K555" s="14">
        <v>45870</v>
      </c>
      <c r="L555" s="13" t="s">
        <v>1801</v>
      </c>
      <c r="M555" s="13" t="s">
        <v>2660</v>
      </c>
      <c r="N555" s="13" t="s">
        <v>2661</v>
      </c>
      <c r="O555" s="17" t="s">
        <v>2662</v>
      </c>
      <c r="P555" s="13" t="s">
        <v>396</v>
      </c>
      <c r="Q555" s="13" t="s">
        <v>618</v>
      </c>
      <c r="R555" s="13" t="str">
        <f>VLOOKUP(P555,'Dados das Regiões '!A:B,2,0)</f>
        <v>NOVA LONDRINA</v>
      </c>
      <c r="S555" s="13" t="s">
        <v>2663</v>
      </c>
      <c r="T555" s="13"/>
      <c r="U555" s="79"/>
      <c r="V555" s="13" t="s">
        <v>2664</v>
      </c>
      <c r="W555" s="13" t="s">
        <v>2665</v>
      </c>
      <c r="X555" s="15">
        <v>0.54166666666666663</v>
      </c>
      <c r="Y555" s="16" t="s">
        <v>1824</v>
      </c>
      <c r="Z555" s="16" t="s">
        <v>622</v>
      </c>
      <c r="AA555" s="36" t="s">
        <v>1808</v>
      </c>
      <c r="AB555" s="164">
        <v>202400671</v>
      </c>
      <c r="AC555" s="55" t="s">
        <v>6</v>
      </c>
      <c r="AD555" s="40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</row>
    <row r="556" spans="1:44">
      <c r="A556" s="14"/>
      <c r="B556" s="13" t="str">
        <f t="shared" si="43"/>
        <v>Pendente</v>
      </c>
      <c r="C556" s="14" t="str">
        <f t="shared" si="44"/>
        <v/>
      </c>
      <c r="D556" s="13" t="s">
        <v>611</v>
      </c>
      <c r="E556" s="14" t="str">
        <f t="shared" si="45"/>
        <v/>
      </c>
      <c r="F556" s="13" t="s">
        <v>611</v>
      </c>
      <c r="G556" s="40">
        <v>202400671</v>
      </c>
      <c r="H556" s="13" t="s">
        <v>2666</v>
      </c>
      <c r="I556" s="13" t="s">
        <v>613</v>
      </c>
      <c r="J556" s="14">
        <v>45509</v>
      </c>
      <c r="K556" s="14">
        <v>45870</v>
      </c>
      <c r="L556" s="13" t="s">
        <v>1801</v>
      </c>
      <c r="M556" s="13" t="s">
        <v>2667</v>
      </c>
      <c r="N556" s="13" t="s">
        <v>2668</v>
      </c>
      <c r="O556" s="17" t="s">
        <v>2669</v>
      </c>
      <c r="P556" s="13" t="s">
        <v>452</v>
      </c>
      <c r="Q556" s="13" t="s">
        <v>618</v>
      </c>
      <c r="R556" s="13" t="str">
        <f>VLOOKUP(P556,'Dados das Regiões '!A:B,2,0)</f>
        <v>PRUDENTÓPOLIS</v>
      </c>
      <c r="S556" s="13" t="s">
        <v>2670</v>
      </c>
      <c r="T556" s="13"/>
      <c r="U556" s="79"/>
      <c r="V556" s="13" t="s">
        <v>2671</v>
      </c>
      <c r="W556" s="13" t="s">
        <v>2672</v>
      </c>
      <c r="X556" s="15">
        <v>0.54166666666666663</v>
      </c>
      <c r="Y556" s="16" t="s">
        <v>1824</v>
      </c>
      <c r="Z556" s="16" t="s">
        <v>622</v>
      </c>
      <c r="AA556" s="36" t="s">
        <v>1808</v>
      </c>
      <c r="AB556" s="164">
        <v>202400671</v>
      </c>
      <c r="AC556" s="55" t="s">
        <v>6</v>
      </c>
      <c r="AD556" s="40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</row>
    <row r="557" spans="1:44">
      <c r="A557" s="14"/>
      <c r="B557" s="13" t="str">
        <f t="shared" si="43"/>
        <v>Pendente</v>
      </c>
      <c r="C557" s="14" t="str">
        <f t="shared" si="44"/>
        <v/>
      </c>
      <c r="D557" s="13" t="s">
        <v>611</v>
      </c>
      <c r="E557" s="14" t="str">
        <f t="shared" si="45"/>
        <v/>
      </c>
      <c r="F557" s="13" t="s">
        <v>611</v>
      </c>
      <c r="G557" s="40">
        <v>202400679</v>
      </c>
      <c r="H557" s="13" t="s">
        <v>2673</v>
      </c>
      <c r="I557" s="13" t="s">
        <v>1176</v>
      </c>
      <c r="J557" s="14">
        <v>45509</v>
      </c>
      <c r="K557" s="14">
        <v>45870</v>
      </c>
      <c r="L557" s="13" t="s">
        <v>1185</v>
      </c>
      <c r="M557" s="13" t="s">
        <v>2674</v>
      </c>
      <c r="N557" s="13" t="s">
        <v>2675</v>
      </c>
      <c r="O557" s="17" t="s">
        <v>2676</v>
      </c>
      <c r="P557" s="13" t="s">
        <v>376</v>
      </c>
      <c r="Q557" s="13" t="s">
        <v>618</v>
      </c>
      <c r="R557" s="13" t="str">
        <f>VLOOKUP(P557,'Dados das Regiões '!A:B,2,0)</f>
        <v>MARINGÁ</v>
      </c>
      <c r="S557" s="13" t="s">
        <v>2677</v>
      </c>
      <c r="T557" s="13"/>
      <c r="U557" s="79" t="s">
        <v>2678</v>
      </c>
      <c r="V557" s="13" t="s">
        <v>2679</v>
      </c>
      <c r="W557" s="13" t="s">
        <v>2680</v>
      </c>
      <c r="X557" s="15">
        <v>0.5625</v>
      </c>
      <c r="Y557" s="16" t="s">
        <v>1415</v>
      </c>
      <c r="Z557" s="16" t="s">
        <v>622</v>
      </c>
      <c r="AA557" s="36" t="s">
        <v>1808</v>
      </c>
      <c r="AB557" s="164">
        <v>202400679</v>
      </c>
      <c r="AC557" s="55" t="s">
        <v>9</v>
      </c>
      <c r="AD557" s="40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</row>
    <row r="558" spans="1:44">
      <c r="A558" s="14"/>
      <c r="B558" s="13" t="str">
        <f t="shared" ref="B558:B589" si="46">IF(ISBLANK(A558), "Pendente", "Realizada")</f>
        <v>Pendente</v>
      </c>
      <c r="C558" s="14" t="str">
        <f t="shared" ref="C558:C589" si="47">IF(A558="", "", EDATE(A558, 3))</f>
        <v/>
      </c>
      <c r="D558" s="13" t="s">
        <v>611</v>
      </c>
      <c r="E558" s="14" t="str">
        <f t="shared" ref="E558:E589" si="48">IF(C558="", "", EDATE(C558, 3))</f>
        <v/>
      </c>
      <c r="F558" s="13" t="s">
        <v>611</v>
      </c>
      <c r="G558" s="40">
        <v>202400679</v>
      </c>
      <c r="H558" s="13" t="s">
        <v>2681</v>
      </c>
      <c r="I558" s="13" t="s">
        <v>1176</v>
      </c>
      <c r="J558" s="14">
        <v>45509</v>
      </c>
      <c r="K558" s="14">
        <v>45870</v>
      </c>
      <c r="L558" s="13" t="s">
        <v>1185</v>
      </c>
      <c r="M558" s="13" t="s">
        <v>2682</v>
      </c>
      <c r="N558" s="13" t="s">
        <v>2683</v>
      </c>
      <c r="O558" s="17" t="s">
        <v>2684</v>
      </c>
      <c r="P558" s="13" t="s">
        <v>280</v>
      </c>
      <c r="Q558" s="13" t="s">
        <v>618</v>
      </c>
      <c r="R558" s="13" t="str">
        <f>VLOOKUP(P558,'Dados das Regiões '!A:B,2,0)</f>
        <v>FRANCISCO BELTRÃO</v>
      </c>
      <c r="S558" s="13" t="s">
        <v>2685</v>
      </c>
      <c r="T558" s="13"/>
      <c r="U558" s="79" t="s">
        <v>2686</v>
      </c>
      <c r="V558" s="13" t="s">
        <v>2687</v>
      </c>
      <c r="W558" s="13" t="s">
        <v>2688</v>
      </c>
      <c r="X558" s="15">
        <v>0.5625</v>
      </c>
      <c r="Y558" s="16" t="s">
        <v>1415</v>
      </c>
      <c r="Z558" s="16" t="s">
        <v>622</v>
      </c>
      <c r="AA558" s="36" t="s">
        <v>1808</v>
      </c>
      <c r="AB558" s="164">
        <v>202400679</v>
      </c>
      <c r="AC558" s="55" t="s">
        <v>9</v>
      </c>
      <c r="AD558" s="40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</row>
    <row r="559" spans="1:44">
      <c r="A559" s="29">
        <v>45819</v>
      </c>
      <c r="B559" s="18" t="str">
        <f t="shared" si="46"/>
        <v>Realizada</v>
      </c>
      <c r="C559" s="29">
        <f t="shared" si="47"/>
        <v>45911</v>
      </c>
      <c r="D559" s="18" t="s">
        <v>611</v>
      </c>
      <c r="E559" s="29">
        <f t="shared" si="48"/>
        <v>46002</v>
      </c>
      <c r="F559" s="18" t="s">
        <v>611</v>
      </c>
      <c r="G559" s="44">
        <v>202400679</v>
      </c>
      <c r="H559" s="18" t="s">
        <v>2689</v>
      </c>
      <c r="I559" s="18" t="s">
        <v>1176</v>
      </c>
      <c r="J559" s="29">
        <v>45509</v>
      </c>
      <c r="K559" s="29">
        <v>45870</v>
      </c>
      <c r="L559" s="18" t="s">
        <v>1185</v>
      </c>
      <c r="M559" s="18" t="s">
        <v>2690</v>
      </c>
      <c r="N559" s="18" t="s">
        <v>2691</v>
      </c>
      <c r="O559" s="28" t="s">
        <v>2692</v>
      </c>
      <c r="P559" s="18" t="s">
        <v>457</v>
      </c>
      <c r="Q559" s="18" t="s">
        <v>618</v>
      </c>
      <c r="R559" s="18" t="str">
        <f>VLOOKUP(P559,'Dados das Regiões '!A:B,2,0)</f>
        <v>RIO NEGRO</v>
      </c>
      <c r="S559" s="18" t="s">
        <v>2693</v>
      </c>
      <c r="T559" s="18"/>
      <c r="U559" s="82"/>
      <c r="V559" s="18">
        <v>41992686561</v>
      </c>
      <c r="W559" s="28" t="s">
        <v>2694</v>
      </c>
      <c r="X559" s="30">
        <v>0.54166666666666663</v>
      </c>
      <c r="Y559" s="31" t="s">
        <v>1824</v>
      </c>
      <c r="Z559" s="31" t="s">
        <v>622</v>
      </c>
      <c r="AA559" s="36" t="s">
        <v>1808</v>
      </c>
      <c r="AB559" s="166">
        <v>202400679</v>
      </c>
      <c r="AC559" s="55" t="s">
        <v>9</v>
      </c>
      <c r="AD559" s="40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</row>
    <row r="560" spans="1:44">
      <c r="A560" s="14"/>
      <c r="B560" s="13" t="str">
        <f t="shared" si="46"/>
        <v>Pendente</v>
      </c>
      <c r="C560" s="14" t="str">
        <f t="shared" si="47"/>
        <v/>
      </c>
      <c r="D560" s="13" t="s">
        <v>611</v>
      </c>
      <c r="E560" s="14" t="str">
        <f t="shared" si="48"/>
        <v/>
      </c>
      <c r="F560" s="13" t="s">
        <v>611</v>
      </c>
      <c r="G560" s="40">
        <v>202400679</v>
      </c>
      <c r="H560" s="13" t="s">
        <v>2695</v>
      </c>
      <c r="I560" s="13" t="s">
        <v>1176</v>
      </c>
      <c r="J560" s="14">
        <v>45509</v>
      </c>
      <c r="K560" s="14">
        <v>45870</v>
      </c>
      <c r="L560" s="13" t="s">
        <v>1185</v>
      </c>
      <c r="M560" s="13" t="s">
        <v>2696</v>
      </c>
      <c r="N560" s="13" t="s">
        <v>2697</v>
      </c>
      <c r="O560" s="17" t="s">
        <v>2698</v>
      </c>
      <c r="P560" s="13" t="s">
        <v>423</v>
      </c>
      <c r="Q560" s="13" t="s">
        <v>618</v>
      </c>
      <c r="R560" s="13" t="str">
        <f>VLOOKUP(P560,'Dados das Regiões '!A:B,2,0)</f>
        <v>PARANAVAÍ</v>
      </c>
      <c r="S560" s="13" t="s">
        <v>2699</v>
      </c>
      <c r="T560" s="13"/>
      <c r="U560" s="79" t="s">
        <v>2700</v>
      </c>
      <c r="V560" s="13" t="s">
        <v>2701</v>
      </c>
      <c r="W560" s="13" t="s">
        <v>2702</v>
      </c>
      <c r="X560" s="15">
        <v>0.54166666666666663</v>
      </c>
      <c r="Y560" s="16" t="s">
        <v>1824</v>
      </c>
      <c r="Z560" s="16" t="s">
        <v>622</v>
      </c>
      <c r="AA560" s="36" t="s">
        <v>1808</v>
      </c>
      <c r="AB560" s="164">
        <v>202400679</v>
      </c>
      <c r="AC560" s="55" t="s">
        <v>9</v>
      </c>
      <c r="AD560" s="40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</row>
    <row r="561" spans="1:44">
      <c r="A561" s="14"/>
      <c r="B561" s="13" t="str">
        <f t="shared" si="46"/>
        <v>Pendente</v>
      </c>
      <c r="C561" s="14" t="str">
        <f t="shared" si="47"/>
        <v/>
      </c>
      <c r="D561" s="13" t="s">
        <v>611</v>
      </c>
      <c r="E561" s="14" t="str">
        <f t="shared" si="48"/>
        <v/>
      </c>
      <c r="F561" s="13" t="s">
        <v>611</v>
      </c>
      <c r="G561" s="40">
        <v>202400678</v>
      </c>
      <c r="H561" s="13" t="s">
        <v>2703</v>
      </c>
      <c r="I561" s="13" t="s">
        <v>613</v>
      </c>
      <c r="J561" s="14">
        <v>45509</v>
      </c>
      <c r="K561" s="14">
        <v>45870</v>
      </c>
      <c r="L561" s="13" t="s">
        <v>2618</v>
      </c>
      <c r="M561" s="13" t="s">
        <v>2619</v>
      </c>
      <c r="N561" s="13" t="s">
        <v>2620</v>
      </c>
      <c r="O561" s="13" t="s">
        <v>2621</v>
      </c>
      <c r="P561" s="13" t="s">
        <v>491</v>
      </c>
      <c r="Q561" s="13" t="s">
        <v>618</v>
      </c>
      <c r="R561" s="13" t="str">
        <f>VLOOKUP(P561,'Dados das Regiões '!A:B,2,0)</f>
        <v>UMUARAMA</v>
      </c>
      <c r="S561" s="13" t="s">
        <v>2704</v>
      </c>
      <c r="T561" s="13"/>
      <c r="U561" s="79"/>
      <c r="V561" s="13" t="s">
        <v>2705</v>
      </c>
      <c r="W561" s="13" t="s">
        <v>2706</v>
      </c>
      <c r="X561" s="15">
        <v>0.66666666666666663</v>
      </c>
      <c r="Y561" s="16" t="s">
        <v>2707</v>
      </c>
      <c r="Z561" s="16" t="s">
        <v>622</v>
      </c>
      <c r="AA561" s="36" t="s">
        <v>1808</v>
      </c>
      <c r="AB561" s="164">
        <v>202400678</v>
      </c>
      <c r="AC561" s="55" t="s">
        <v>6</v>
      </c>
      <c r="AD561" s="40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</row>
    <row r="562" spans="1:44">
      <c r="A562" s="14">
        <v>45868</v>
      </c>
      <c r="B562" s="13" t="str">
        <f t="shared" si="46"/>
        <v>Realizada</v>
      </c>
      <c r="C562" s="14">
        <f t="shared" si="47"/>
        <v>45960</v>
      </c>
      <c r="D562" s="13" t="s">
        <v>611</v>
      </c>
      <c r="E562" s="14">
        <f t="shared" si="48"/>
        <v>46052</v>
      </c>
      <c r="F562" s="13" t="s">
        <v>611</v>
      </c>
      <c r="G562" s="40">
        <v>202400679</v>
      </c>
      <c r="H562" s="13" t="s">
        <v>2708</v>
      </c>
      <c r="I562" s="13" t="s">
        <v>1176</v>
      </c>
      <c r="J562" s="14">
        <v>45509</v>
      </c>
      <c r="K562" s="14">
        <v>45870</v>
      </c>
      <c r="L562" s="13" t="s">
        <v>1185</v>
      </c>
      <c r="M562" s="13" t="s">
        <v>2709</v>
      </c>
      <c r="N562" s="13" t="s">
        <v>2710</v>
      </c>
      <c r="O562" s="17" t="s">
        <v>2711</v>
      </c>
      <c r="P562" s="13" t="s">
        <v>450</v>
      </c>
      <c r="Q562" s="13" t="s">
        <v>618</v>
      </c>
      <c r="R562" s="13" t="str">
        <f>VLOOKUP(P562,'Dados das Regiões '!A:B,2,0)</f>
        <v>PONTA GROSSA</v>
      </c>
      <c r="S562" s="13" t="s">
        <v>2712</v>
      </c>
      <c r="T562" s="13"/>
      <c r="U562" s="79"/>
      <c r="V562" s="13" t="s">
        <v>2713</v>
      </c>
      <c r="W562" s="13"/>
      <c r="X562" s="15">
        <v>0.54166666666666663</v>
      </c>
      <c r="Y562" s="16" t="s">
        <v>1824</v>
      </c>
      <c r="Z562" s="16" t="s">
        <v>622</v>
      </c>
      <c r="AA562" s="36"/>
      <c r="AB562" s="164">
        <v>202400679</v>
      </c>
      <c r="AC562" s="55" t="s">
        <v>9</v>
      </c>
      <c r="AD562" s="40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</row>
    <row r="563" spans="1:44">
      <c r="A563" s="14"/>
      <c r="B563" s="13" t="str">
        <f t="shared" si="46"/>
        <v>Pendente</v>
      </c>
      <c r="C563" s="14" t="str">
        <f t="shared" si="47"/>
        <v/>
      </c>
      <c r="D563" s="13" t="s">
        <v>611</v>
      </c>
      <c r="E563" s="14" t="str">
        <f t="shared" si="48"/>
        <v/>
      </c>
      <c r="F563" s="13" t="s">
        <v>611</v>
      </c>
      <c r="G563" s="40">
        <v>202400678</v>
      </c>
      <c r="H563" s="13" t="s">
        <v>2714</v>
      </c>
      <c r="I563" s="13" t="s">
        <v>613</v>
      </c>
      <c r="J563" s="14">
        <v>45509</v>
      </c>
      <c r="K563" s="14">
        <v>45870</v>
      </c>
      <c r="L563" s="13" t="s">
        <v>2618</v>
      </c>
      <c r="M563" s="13" t="s">
        <v>2619</v>
      </c>
      <c r="N563" s="13" t="s">
        <v>2620</v>
      </c>
      <c r="O563" s="13" t="s">
        <v>2621</v>
      </c>
      <c r="P563" s="13" t="s">
        <v>491</v>
      </c>
      <c r="Q563" s="13" t="s">
        <v>618</v>
      </c>
      <c r="R563" s="13" t="str">
        <f>VLOOKUP(P563,'Dados das Regiões '!A:B,2,0)</f>
        <v>UMUARAMA</v>
      </c>
      <c r="S563" s="13" t="s">
        <v>2715</v>
      </c>
      <c r="T563" s="13"/>
      <c r="U563" s="79"/>
      <c r="V563" s="13" t="s">
        <v>2716</v>
      </c>
      <c r="W563" s="13" t="s">
        <v>2717</v>
      </c>
      <c r="X563" s="15">
        <v>0.66666666666666663</v>
      </c>
      <c r="Y563" s="16" t="s">
        <v>2707</v>
      </c>
      <c r="Z563" s="16" t="s">
        <v>622</v>
      </c>
      <c r="AA563" s="36" t="s">
        <v>1808</v>
      </c>
      <c r="AB563" s="164">
        <v>202400678</v>
      </c>
      <c r="AC563" s="55" t="s">
        <v>6</v>
      </c>
      <c r="AD563" s="40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</row>
    <row r="564" spans="1:44">
      <c r="A564" s="14"/>
      <c r="B564" s="13" t="str">
        <f t="shared" si="46"/>
        <v>Pendente</v>
      </c>
      <c r="C564" s="14" t="str">
        <f t="shared" si="47"/>
        <v/>
      </c>
      <c r="D564" s="13" t="s">
        <v>611</v>
      </c>
      <c r="E564" s="14" t="str">
        <f t="shared" si="48"/>
        <v/>
      </c>
      <c r="F564" s="13" t="s">
        <v>611</v>
      </c>
      <c r="G564" s="40">
        <v>202400679</v>
      </c>
      <c r="H564" s="13" t="s">
        <v>2718</v>
      </c>
      <c r="I564" s="13" t="s">
        <v>1176</v>
      </c>
      <c r="J564" s="14">
        <v>45509</v>
      </c>
      <c r="K564" s="14">
        <v>45870</v>
      </c>
      <c r="L564" s="13" t="s">
        <v>1185</v>
      </c>
      <c r="M564" s="13" t="s">
        <v>2719</v>
      </c>
      <c r="N564" s="13" t="s">
        <v>2720</v>
      </c>
      <c r="O564" s="17" t="s">
        <v>2721</v>
      </c>
      <c r="P564" s="13" t="s">
        <v>357</v>
      </c>
      <c r="Q564" s="13" t="s">
        <v>618</v>
      </c>
      <c r="R564" s="13" t="str">
        <f>VLOOKUP(P564,'Dados das Regiões '!A:B,2,0)</f>
        <v>MARECHAL CÂNDIDO RONDON</v>
      </c>
      <c r="S564" s="13" t="s">
        <v>2722</v>
      </c>
      <c r="T564" s="13"/>
      <c r="U564" s="79" t="s">
        <v>2723</v>
      </c>
      <c r="V564" s="13" t="s">
        <v>2724</v>
      </c>
      <c r="W564" s="13" t="s">
        <v>2725</v>
      </c>
      <c r="X564" s="15">
        <v>0.5625</v>
      </c>
      <c r="Y564" s="16" t="s">
        <v>1415</v>
      </c>
      <c r="Z564" s="16" t="s">
        <v>622</v>
      </c>
      <c r="AA564" s="36" t="s">
        <v>1808</v>
      </c>
      <c r="AB564" s="164">
        <v>202400679</v>
      </c>
      <c r="AC564" s="55" t="s">
        <v>9</v>
      </c>
      <c r="AD564" s="40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</row>
    <row r="565" spans="1:44">
      <c r="A565" s="14"/>
      <c r="B565" s="13" t="str">
        <f t="shared" si="46"/>
        <v>Pendente</v>
      </c>
      <c r="C565" s="14" t="str">
        <f t="shared" si="47"/>
        <v/>
      </c>
      <c r="D565" s="13" t="s">
        <v>611</v>
      </c>
      <c r="E565" s="14" t="str">
        <f t="shared" si="48"/>
        <v/>
      </c>
      <c r="F565" s="13" t="s">
        <v>611</v>
      </c>
      <c r="G565" s="40">
        <v>202400679</v>
      </c>
      <c r="H565" s="13" t="s">
        <v>2726</v>
      </c>
      <c r="I565" s="13" t="s">
        <v>1176</v>
      </c>
      <c r="J565" s="14">
        <v>45509</v>
      </c>
      <c r="K565" s="14">
        <v>45870</v>
      </c>
      <c r="L565" s="13" t="s">
        <v>1185</v>
      </c>
      <c r="M565" s="13" t="s">
        <v>2727</v>
      </c>
      <c r="N565" s="13" t="s">
        <v>2728</v>
      </c>
      <c r="O565" s="17" t="s">
        <v>2729</v>
      </c>
      <c r="P565" s="13" t="s">
        <v>281</v>
      </c>
      <c r="Q565" s="13" t="s">
        <v>618</v>
      </c>
      <c r="R565" s="13" t="str">
        <f>VLOOKUP(P565,'Dados das Regiões '!A:B,2,0)</f>
        <v>FRANCISCO BELTRÃO</v>
      </c>
      <c r="S565" s="13" t="s">
        <v>2730</v>
      </c>
      <c r="T565" s="13"/>
      <c r="U565" s="79"/>
      <c r="V565" s="13" t="s">
        <v>2731</v>
      </c>
      <c r="W565" s="13" t="s">
        <v>2732</v>
      </c>
      <c r="X565" s="15">
        <v>0.58333333333333337</v>
      </c>
      <c r="Y565" s="16" t="s">
        <v>1200</v>
      </c>
      <c r="Z565" s="16" t="s">
        <v>622</v>
      </c>
      <c r="AA565" s="36" t="s">
        <v>1808</v>
      </c>
      <c r="AB565" s="164">
        <v>202400679</v>
      </c>
      <c r="AC565" s="55" t="s">
        <v>9</v>
      </c>
      <c r="AD565" s="40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</row>
    <row r="566" spans="1:44">
      <c r="A566" s="14"/>
      <c r="B566" s="13" t="str">
        <f t="shared" si="46"/>
        <v>Pendente</v>
      </c>
      <c r="C566" s="14" t="str">
        <f t="shared" si="47"/>
        <v/>
      </c>
      <c r="D566" s="13" t="s">
        <v>611</v>
      </c>
      <c r="E566" s="14" t="str">
        <f t="shared" si="48"/>
        <v/>
      </c>
      <c r="F566" s="13" t="s">
        <v>611</v>
      </c>
      <c r="G566" s="40">
        <v>202400678</v>
      </c>
      <c r="H566" s="13" t="s">
        <v>2733</v>
      </c>
      <c r="I566" s="13" t="s">
        <v>613</v>
      </c>
      <c r="J566" s="14">
        <v>45509</v>
      </c>
      <c r="K566" s="14">
        <v>45870</v>
      </c>
      <c r="L566" s="13" t="s">
        <v>2734</v>
      </c>
      <c r="M566" s="13" t="s">
        <v>2735</v>
      </c>
      <c r="N566" s="13" t="s">
        <v>2736</v>
      </c>
      <c r="O566" s="17" t="s">
        <v>2737</v>
      </c>
      <c r="P566" s="13" t="s">
        <v>185</v>
      </c>
      <c r="Q566" s="13" t="s">
        <v>618</v>
      </c>
      <c r="R566" s="13" t="str">
        <f>VLOOKUP(P566,'Dados das Regiões '!A:B,2,0)</f>
        <v>CASCAVEL</v>
      </c>
      <c r="S566" s="13" t="s">
        <v>2738</v>
      </c>
      <c r="T566" s="13"/>
      <c r="U566" s="79"/>
      <c r="V566" s="13" t="s">
        <v>2739</v>
      </c>
      <c r="W566" s="13" t="s">
        <v>2740</v>
      </c>
      <c r="X566" s="15">
        <v>0.5625</v>
      </c>
      <c r="Y566" s="16" t="s">
        <v>1415</v>
      </c>
      <c r="Z566" s="16" t="s">
        <v>622</v>
      </c>
      <c r="AA566" s="36" t="s">
        <v>1808</v>
      </c>
      <c r="AB566" s="164">
        <v>202400678</v>
      </c>
      <c r="AC566" s="55" t="s">
        <v>6</v>
      </c>
      <c r="AD566" s="40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</row>
    <row r="567" spans="1:44">
      <c r="A567" s="14"/>
      <c r="B567" s="13" t="str">
        <f t="shared" si="46"/>
        <v>Pendente</v>
      </c>
      <c r="C567" s="14" t="str">
        <f t="shared" si="47"/>
        <v/>
      </c>
      <c r="D567" s="13" t="s">
        <v>611</v>
      </c>
      <c r="E567" s="14" t="str">
        <f t="shared" si="48"/>
        <v/>
      </c>
      <c r="F567" s="13" t="s">
        <v>611</v>
      </c>
      <c r="G567" s="40">
        <v>202400678</v>
      </c>
      <c r="H567" s="13" t="s">
        <v>2741</v>
      </c>
      <c r="I567" s="13" t="s">
        <v>613</v>
      </c>
      <c r="J567" s="14">
        <v>45509</v>
      </c>
      <c r="K567" s="14">
        <v>45870</v>
      </c>
      <c r="L567" s="13" t="s">
        <v>2734</v>
      </c>
      <c r="M567" s="13" t="s">
        <v>2742</v>
      </c>
      <c r="N567" s="13" t="s">
        <v>2743</v>
      </c>
      <c r="O567" s="13" t="s">
        <v>2744</v>
      </c>
      <c r="P567" t="s">
        <v>53</v>
      </c>
      <c r="Q567" s="13" t="s">
        <v>618</v>
      </c>
      <c r="R567" s="13" t="str">
        <f>VLOOKUP(P567,'Dados das Regiões '!A:B,2,0)</f>
        <v>GOIOERÊ</v>
      </c>
      <c r="S567" s="13" t="s">
        <v>2745</v>
      </c>
      <c r="T567" s="13"/>
      <c r="U567" s="79"/>
      <c r="V567" s="13" t="s">
        <v>2746</v>
      </c>
      <c r="W567" s="13" t="s">
        <v>2747</v>
      </c>
      <c r="X567" s="15">
        <v>0.5625</v>
      </c>
      <c r="Y567" s="16" t="s">
        <v>1415</v>
      </c>
      <c r="Z567" s="16" t="s">
        <v>622</v>
      </c>
      <c r="AA567" s="36" t="s">
        <v>1808</v>
      </c>
      <c r="AB567" s="164">
        <v>202400678</v>
      </c>
      <c r="AC567" s="55" t="s">
        <v>6</v>
      </c>
      <c r="AD567" s="40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</row>
    <row r="568" spans="1:44">
      <c r="A568" s="14"/>
      <c r="B568" s="13" t="str">
        <f t="shared" si="46"/>
        <v>Pendente</v>
      </c>
      <c r="C568" s="14" t="str">
        <f t="shared" si="47"/>
        <v/>
      </c>
      <c r="D568" s="13" t="s">
        <v>611</v>
      </c>
      <c r="E568" s="14" t="str">
        <f t="shared" si="48"/>
        <v/>
      </c>
      <c r="F568" s="13" t="s">
        <v>611</v>
      </c>
      <c r="G568" s="40">
        <v>202400678</v>
      </c>
      <c r="H568" s="13" t="s">
        <v>2748</v>
      </c>
      <c r="I568" s="13" t="s">
        <v>613</v>
      </c>
      <c r="J568" s="14">
        <v>45509</v>
      </c>
      <c r="K568" s="14">
        <v>45870</v>
      </c>
      <c r="L568" s="13" t="s">
        <v>2734</v>
      </c>
      <c r="M568" s="13" t="s">
        <v>2749</v>
      </c>
      <c r="N568" s="13" t="s">
        <v>2750</v>
      </c>
      <c r="O568" s="17" t="s">
        <v>2751</v>
      </c>
      <c r="P568" s="13" t="s">
        <v>201</v>
      </c>
      <c r="Q568" s="13" t="s">
        <v>618</v>
      </c>
      <c r="R568" s="13" t="str">
        <f>VLOOKUP(P568,'Dados das Regiões '!A:B,2,0)</f>
        <v>CASCAVEL</v>
      </c>
      <c r="S568" s="13" t="s">
        <v>2752</v>
      </c>
      <c r="T568" s="13"/>
      <c r="U568" s="79"/>
      <c r="V568" s="13" t="s">
        <v>2753</v>
      </c>
      <c r="W568" s="13" t="s">
        <v>2754</v>
      </c>
      <c r="X568" s="15">
        <v>0.41666666666666669</v>
      </c>
      <c r="Y568" s="16" t="s">
        <v>1438</v>
      </c>
      <c r="Z568" s="16" t="s">
        <v>622</v>
      </c>
      <c r="AA568" s="36" t="s">
        <v>1808</v>
      </c>
      <c r="AB568" s="164">
        <v>202400678</v>
      </c>
      <c r="AC568" s="55" t="s">
        <v>6</v>
      </c>
      <c r="AD568" s="40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</row>
    <row r="569" spans="1:44">
      <c r="A569" s="14"/>
      <c r="B569" s="13" t="str">
        <f t="shared" si="46"/>
        <v>Pendente</v>
      </c>
      <c r="C569" s="14" t="str">
        <f t="shared" si="47"/>
        <v/>
      </c>
      <c r="D569" s="13" t="s">
        <v>611</v>
      </c>
      <c r="E569" s="14" t="str">
        <f t="shared" si="48"/>
        <v/>
      </c>
      <c r="F569" s="13" t="s">
        <v>611</v>
      </c>
      <c r="G569" s="40">
        <v>202400678</v>
      </c>
      <c r="H569" s="13" t="s">
        <v>2755</v>
      </c>
      <c r="I569" s="13" t="s">
        <v>613</v>
      </c>
      <c r="J569" s="14">
        <v>45509</v>
      </c>
      <c r="K569" s="14">
        <v>45870</v>
      </c>
      <c r="L569" s="13" t="s">
        <v>2756</v>
      </c>
      <c r="M569" s="13" t="s">
        <v>2757</v>
      </c>
      <c r="N569" s="13" t="s">
        <v>2758</v>
      </c>
      <c r="O569" s="17" t="s">
        <v>2759</v>
      </c>
      <c r="P569" s="13" t="s">
        <v>175</v>
      </c>
      <c r="Q569" s="13" t="s">
        <v>618</v>
      </c>
      <c r="R569" s="13" t="str">
        <f>VLOOKUP(P569,'Dados das Regiões '!A:B,2,0)</f>
        <v>CAMPO MOURÃO</v>
      </c>
      <c r="S569" s="13" t="s">
        <v>2760</v>
      </c>
      <c r="T569" s="13"/>
      <c r="U569" s="79"/>
      <c r="V569" s="13" t="s">
        <v>2761</v>
      </c>
      <c r="W569" s="13" t="s">
        <v>2762</v>
      </c>
      <c r="X569" s="15">
        <v>0.33333333333333331</v>
      </c>
      <c r="Y569" s="16" t="s">
        <v>1438</v>
      </c>
      <c r="Z569" s="16" t="s">
        <v>622</v>
      </c>
      <c r="AA569" s="36" t="s">
        <v>1808</v>
      </c>
      <c r="AB569" s="164">
        <v>202400678</v>
      </c>
      <c r="AC569" s="55" t="s">
        <v>6</v>
      </c>
      <c r="AD569" s="40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</row>
    <row r="570" spans="1:44">
      <c r="A570" s="14"/>
      <c r="B570" s="13" t="str">
        <f t="shared" si="46"/>
        <v>Pendente</v>
      </c>
      <c r="C570" s="14" t="str">
        <f t="shared" si="47"/>
        <v/>
      </c>
      <c r="D570" s="13" t="s">
        <v>611</v>
      </c>
      <c r="E570" s="14" t="str">
        <f t="shared" si="48"/>
        <v/>
      </c>
      <c r="F570" s="13" t="s">
        <v>611</v>
      </c>
      <c r="G570" s="40">
        <v>202400678</v>
      </c>
      <c r="H570" s="13" t="s">
        <v>2763</v>
      </c>
      <c r="I570" s="13" t="s">
        <v>613</v>
      </c>
      <c r="J570" s="14">
        <v>45509</v>
      </c>
      <c r="K570" s="14">
        <v>45870</v>
      </c>
      <c r="L570" s="13" t="s">
        <v>2734</v>
      </c>
      <c r="M570" s="13" t="s">
        <v>2764</v>
      </c>
      <c r="N570" s="13" t="s">
        <v>2765</v>
      </c>
      <c r="O570" s="17" t="s">
        <v>2766</v>
      </c>
      <c r="P570" s="13" t="s">
        <v>207</v>
      </c>
      <c r="Q570" s="13" t="s">
        <v>618</v>
      </c>
      <c r="R570" s="13" t="str">
        <f>VLOOKUP(P570,'Dados das Regiões '!A:B,2,0)</f>
        <v>CASCAVEL</v>
      </c>
      <c r="S570" s="13" t="s">
        <v>2767</v>
      </c>
      <c r="T570" s="13"/>
      <c r="U570" s="79"/>
      <c r="V570" s="13" t="s">
        <v>2768</v>
      </c>
      <c r="W570" s="13" t="s">
        <v>2769</v>
      </c>
      <c r="X570" s="15">
        <v>0.5625</v>
      </c>
      <c r="Y570" s="16" t="s">
        <v>1415</v>
      </c>
      <c r="Z570" s="16" t="s">
        <v>622</v>
      </c>
      <c r="AA570" s="36" t="s">
        <v>1808</v>
      </c>
      <c r="AB570" s="164">
        <v>202400678</v>
      </c>
      <c r="AC570" s="55" t="s">
        <v>6</v>
      </c>
      <c r="AD570" s="40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</row>
    <row r="571" spans="1:44">
      <c r="A571" s="14"/>
      <c r="B571" s="13" t="str">
        <f t="shared" si="46"/>
        <v>Pendente</v>
      </c>
      <c r="C571" s="14" t="str">
        <f t="shared" si="47"/>
        <v/>
      </c>
      <c r="D571" s="13" t="s">
        <v>611</v>
      </c>
      <c r="E571" s="14" t="str">
        <f t="shared" si="48"/>
        <v/>
      </c>
      <c r="F571" s="13" t="s">
        <v>611</v>
      </c>
      <c r="G571" s="40">
        <v>202400678</v>
      </c>
      <c r="H571" s="13" t="s">
        <v>2770</v>
      </c>
      <c r="I571" s="13" t="s">
        <v>613</v>
      </c>
      <c r="J571" s="14">
        <v>45509</v>
      </c>
      <c r="K571" s="14">
        <v>45870</v>
      </c>
      <c r="L571" s="13" t="s">
        <v>2771</v>
      </c>
      <c r="M571" s="13" t="s">
        <v>2772</v>
      </c>
      <c r="N571" s="13" t="s">
        <v>2773</v>
      </c>
      <c r="O571" s="17" t="s">
        <v>2774</v>
      </c>
      <c r="P571" s="13" t="s">
        <v>57</v>
      </c>
      <c r="Q571" s="13" t="s">
        <v>618</v>
      </c>
      <c r="R571" s="13" t="str">
        <f>VLOOKUP(P571,'Dados das Regiões '!A:B,2,0)</f>
        <v>BELA VISTA DO PARAÍSO</v>
      </c>
      <c r="S571" s="13" t="s">
        <v>2775</v>
      </c>
      <c r="T571" s="13"/>
      <c r="U571" s="79"/>
      <c r="V571" s="13" t="s">
        <v>2776</v>
      </c>
      <c r="W571" s="13" t="s">
        <v>2777</v>
      </c>
      <c r="X571" s="15">
        <v>0.58333333333333337</v>
      </c>
      <c r="Y571" s="16" t="s">
        <v>1200</v>
      </c>
      <c r="Z571" s="16" t="s">
        <v>622</v>
      </c>
      <c r="AA571" s="36" t="s">
        <v>1808</v>
      </c>
      <c r="AB571" s="164">
        <v>202400678</v>
      </c>
      <c r="AC571" s="55" t="s">
        <v>6</v>
      </c>
      <c r="AD571" s="40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</row>
    <row r="572" spans="1:44">
      <c r="A572" s="29">
        <v>45757</v>
      </c>
      <c r="B572" s="18" t="str">
        <f t="shared" si="46"/>
        <v>Realizada</v>
      </c>
      <c r="C572" s="29">
        <f t="shared" si="47"/>
        <v>45848</v>
      </c>
      <c r="D572" s="18" t="s">
        <v>611</v>
      </c>
      <c r="E572" s="29">
        <f t="shared" si="48"/>
        <v>45940</v>
      </c>
      <c r="F572" s="18" t="s">
        <v>611</v>
      </c>
      <c r="G572" s="44">
        <v>202400678</v>
      </c>
      <c r="H572" s="18" t="s">
        <v>2778</v>
      </c>
      <c r="I572" s="18" t="s">
        <v>613</v>
      </c>
      <c r="J572" s="29">
        <v>45509</v>
      </c>
      <c r="K572" s="29">
        <v>45870</v>
      </c>
      <c r="L572" s="18" t="s">
        <v>2779</v>
      </c>
      <c r="M572" s="18" t="s">
        <v>2780</v>
      </c>
      <c r="N572" s="18" t="s">
        <v>2280</v>
      </c>
      <c r="O572" s="18" t="s">
        <v>2280</v>
      </c>
      <c r="P572" s="110" t="s">
        <v>513</v>
      </c>
      <c r="Q572" s="18" t="s">
        <v>618</v>
      </c>
      <c r="R572" s="18" t="str">
        <f>VLOOKUP(P572,'Dados das Regiões '!A:B,2,0)</f>
        <v>CAMPO LARGO</v>
      </c>
      <c r="S572" s="18" t="s">
        <v>2281</v>
      </c>
      <c r="T572" s="18"/>
      <c r="U572" s="82"/>
      <c r="V572" s="18" t="s">
        <v>2283</v>
      </c>
      <c r="W572" s="18" t="s">
        <v>2284</v>
      </c>
      <c r="X572" s="30">
        <v>0.66666666666666663</v>
      </c>
      <c r="Y572" s="31" t="s">
        <v>1200</v>
      </c>
      <c r="Z572" s="31" t="s">
        <v>622</v>
      </c>
      <c r="AA572" s="36" t="s">
        <v>1808</v>
      </c>
      <c r="AB572" s="166">
        <v>202400678</v>
      </c>
      <c r="AC572" s="55" t="s">
        <v>6</v>
      </c>
      <c r="AD572" s="40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</row>
    <row r="573" spans="1:44">
      <c r="A573" s="14"/>
      <c r="B573" s="13" t="str">
        <f t="shared" si="46"/>
        <v>Pendente</v>
      </c>
      <c r="C573" s="14" t="str">
        <f t="shared" si="47"/>
        <v/>
      </c>
      <c r="D573" s="13" t="s">
        <v>611</v>
      </c>
      <c r="E573" s="14" t="str">
        <f t="shared" si="48"/>
        <v/>
      </c>
      <c r="F573" s="13" t="s">
        <v>611</v>
      </c>
      <c r="G573" s="40">
        <v>202400678</v>
      </c>
      <c r="H573" s="13" t="s">
        <v>2781</v>
      </c>
      <c r="I573" s="13" t="s">
        <v>613</v>
      </c>
      <c r="J573" s="14">
        <v>45509</v>
      </c>
      <c r="K573" s="14">
        <v>45870</v>
      </c>
      <c r="L573" s="13" t="s">
        <v>2771</v>
      </c>
      <c r="M573" s="13" t="s">
        <v>2782</v>
      </c>
      <c r="N573" s="13" t="s">
        <v>2783</v>
      </c>
      <c r="O573" s="17" t="s">
        <v>2784</v>
      </c>
      <c r="P573" s="13" t="s">
        <v>384</v>
      </c>
      <c r="Q573" s="13" t="s">
        <v>618</v>
      </c>
      <c r="R573" s="13" t="str">
        <f>VLOOKUP(P573,'Dados das Regiões '!A:B,2,0)</f>
        <v>MATINHOS CAIOBÁ</v>
      </c>
      <c r="S573" s="13" t="s">
        <v>2785</v>
      </c>
      <c r="T573" s="13"/>
      <c r="U573" s="79"/>
      <c r="V573" s="13" t="s">
        <v>2786</v>
      </c>
      <c r="W573" s="13" t="s">
        <v>2787</v>
      </c>
      <c r="X573" s="15">
        <v>0.5625</v>
      </c>
      <c r="Y573" s="16" t="s">
        <v>1415</v>
      </c>
      <c r="Z573" s="16" t="s">
        <v>622</v>
      </c>
      <c r="AA573" s="36" t="s">
        <v>1808</v>
      </c>
      <c r="AB573" s="164">
        <v>202400678</v>
      </c>
      <c r="AC573" s="55" t="s">
        <v>6</v>
      </c>
      <c r="AD573" s="40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</row>
    <row r="574" spans="1:44">
      <c r="A574" s="14"/>
      <c r="B574" s="13" t="str">
        <f t="shared" si="46"/>
        <v>Pendente</v>
      </c>
      <c r="C574" s="14" t="str">
        <f t="shared" si="47"/>
        <v/>
      </c>
      <c r="D574" s="13" t="s">
        <v>611</v>
      </c>
      <c r="E574" s="14" t="str">
        <f t="shared" si="48"/>
        <v/>
      </c>
      <c r="F574" s="13" t="s">
        <v>611</v>
      </c>
      <c r="G574" s="40">
        <v>202400678</v>
      </c>
      <c r="H574" s="13" t="s">
        <v>2788</v>
      </c>
      <c r="I574" s="13" t="s">
        <v>613</v>
      </c>
      <c r="J574" s="14">
        <v>45509</v>
      </c>
      <c r="K574" s="14">
        <v>45870</v>
      </c>
      <c r="L574" s="13" t="s">
        <v>2771</v>
      </c>
      <c r="M574" s="13" t="s">
        <v>2782</v>
      </c>
      <c r="N574" s="13" t="s">
        <v>2783</v>
      </c>
      <c r="O574" s="17" t="s">
        <v>2784</v>
      </c>
      <c r="P574" s="13" t="s">
        <v>384</v>
      </c>
      <c r="Q574" s="13" t="s">
        <v>618</v>
      </c>
      <c r="R574" s="13" t="str">
        <f>VLOOKUP(P574,'Dados das Regiões '!A:B,2,0)</f>
        <v>MATINHOS CAIOBÁ</v>
      </c>
      <c r="S574" s="13" t="s">
        <v>2785</v>
      </c>
      <c r="T574" s="13"/>
      <c r="U574" s="79"/>
      <c r="V574" s="13" t="s">
        <v>2786</v>
      </c>
      <c r="W574" s="13" t="s">
        <v>2787</v>
      </c>
      <c r="X574" s="15">
        <v>0.5625</v>
      </c>
      <c r="Y574" s="16" t="s">
        <v>1415</v>
      </c>
      <c r="Z574" s="16" t="s">
        <v>622</v>
      </c>
      <c r="AA574" s="36" t="s">
        <v>1808</v>
      </c>
      <c r="AB574" s="164">
        <v>202400678</v>
      </c>
      <c r="AC574" s="55" t="s">
        <v>6</v>
      </c>
      <c r="AD574" s="40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</row>
    <row r="575" spans="1:44">
      <c r="A575" s="14"/>
      <c r="B575" s="13" t="str">
        <f t="shared" si="46"/>
        <v>Pendente</v>
      </c>
      <c r="C575" s="14" t="str">
        <f t="shared" si="47"/>
        <v/>
      </c>
      <c r="D575" s="13" t="s">
        <v>611</v>
      </c>
      <c r="E575" s="14" t="str">
        <f t="shared" si="48"/>
        <v/>
      </c>
      <c r="F575" s="13" t="s">
        <v>611</v>
      </c>
      <c r="G575" s="40">
        <v>202400678</v>
      </c>
      <c r="H575" s="13" t="s">
        <v>2789</v>
      </c>
      <c r="I575" s="13" t="s">
        <v>613</v>
      </c>
      <c r="J575" s="14">
        <v>45509</v>
      </c>
      <c r="K575" s="14">
        <v>45870</v>
      </c>
      <c r="L575" s="13" t="s">
        <v>2790</v>
      </c>
      <c r="M575" s="13" t="s">
        <v>2791</v>
      </c>
      <c r="N575" s="13" t="s">
        <v>2792</v>
      </c>
      <c r="O575" s="17" t="s">
        <v>2793</v>
      </c>
      <c r="P575" s="13" t="s">
        <v>166</v>
      </c>
      <c r="Q575" s="13" t="s">
        <v>618</v>
      </c>
      <c r="R575" s="13" t="str">
        <f>VLOOKUP(P575,'Dados das Regiões '!A:B,2,0)</f>
        <v>CAMPO MOURÃO</v>
      </c>
      <c r="S575" s="13" t="s">
        <v>2794</v>
      </c>
      <c r="T575" s="13"/>
      <c r="U575" s="79"/>
      <c r="V575" s="13" t="s">
        <v>2795</v>
      </c>
      <c r="W575" s="13" t="s">
        <v>2796</v>
      </c>
      <c r="X575" s="15">
        <v>0.64583333333333337</v>
      </c>
      <c r="Y575" s="16" t="s">
        <v>1451</v>
      </c>
      <c r="Z575" s="16" t="s">
        <v>622</v>
      </c>
      <c r="AA575" s="36" t="s">
        <v>1808</v>
      </c>
      <c r="AB575" s="164">
        <v>202400678</v>
      </c>
      <c r="AC575" s="55" t="s">
        <v>6</v>
      </c>
      <c r="AD575" s="40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</row>
    <row r="576" spans="1:44">
      <c r="A576" s="14"/>
      <c r="B576" s="13" t="str">
        <f t="shared" si="46"/>
        <v>Pendente</v>
      </c>
      <c r="C576" s="14" t="str">
        <f t="shared" si="47"/>
        <v/>
      </c>
      <c r="D576" s="13" t="s">
        <v>611</v>
      </c>
      <c r="E576" s="14" t="str">
        <f t="shared" si="48"/>
        <v/>
      </c>
      <c r="F576" s="13" t="s">
        <v>611</v>
      </c>
      <c r="G576" s="40">
        <v>202400679</v>
      </c>
      <c r="H576" s="13" t="s">
        <v>2797</v>
      </c>
      <c r="I576" s="13" t="s">
        <v>1176</v>
      </c>
      <c r="J576" s="14">
        <v>45509</v>
      </c>
      <c r="K576" s="14">
        <v>45870</v>
      </c>
      <c r="L576" s="13" t="s">
        <v>1185</v>
      </c>
      <c r="M576" s="13" t="s">
        <v>2798</v>
      </c>
      <c r="N576" s="13" t="s">
        <v>2799</v>
      </c>
      <c r="O576" s="17" t="s">
        <v>2800</v>
      </c>
      <c r="P576" s="13" t="s">
        <v>306</v>
      </c>
      <c r="Q576" s="13" t="s">
        <v>618</v>
      </c>
      <c r="R576" s="13" t="str">
        <f>VLOOKUP(P576,'Dados das Regiões '!A:B,2,0)</f>
        <v>IRATI</v>
      </c>
      <c r="S576" s="13" t="s">
        <v>2801</v>
      </c>
      <c r="T576" s="13"/>
      <c r="U576" s="79"/>
      <c r="V576" s="13" t="s">
        <v>2802</v>
      </c>
      <c r="W576" s="13" t="s">
        <v>2803</v>
      </c>
      <c r="X576" s="15">
        <v>0.54166666666666663</v>
      </c>
      <c r="Y576" s="16" t="s">
        <v>1943</v>
      </c>
      <c r="Z576" s="16" t="s">
        <v>622</v>
      </c>
      <c r="AA576" s="36" t="s">
        <v>1808</v>
      </c>
      <c r="AB576" s="164">
        <v>202400679</v>
      </c>
      <c r="AC576" s="55" t="s">
        <v>9</v>
      </c>
      <c r="AD576" s="40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</row>
    <row r="577" spans="1:44">
      <c r="A577" s="14"/>
      <c r="B577" s="13" t="str">
        <f t="shared" si="46"/>
        <v>Pendente</v>
      </c>
      <c r="C577" s="14" t="str">
        <f t="shared" si="47"/>
        <v/>
      </c>
      <c r="D577" s="13" t="s">
        <v>611</v>
      </c>
      <c r="E577" s="14" t="str">
        <f t="shared" si="48"/>
        <v/>
      </c>
      <c r="F577" s="13" t="s">
        <v>611</v>
      </c>
      <c r="G577" s="40">
        <v>202400679</v>
      </c>
      <c r="H577" s="13" t="s">
        <v>2804</v>
      </c>
      <c r="I577" s="13" t="s">
        <v>1176</v>
      </c>
      <c r="J577" s="14">
        <v>45509</v>
      </c>
      <c r="K577" s="14">
        <v>45870</v>
      </c>
      <c r="L577" s="13" t="s">
        <v>1185</v>
      </c>
      <c r="M577" s="13" t="s">
        <v>2805</v>
      </c>
      <c r="N577" s="13" t="s">
        <v>2806</v>
      </c>
      <c r="O577" s="17" t="s">
        <v>2807</v>
      </c>
      <c r="P577" s="13" t="s">
        <v>203</v>
      </c>
      <c r="Q577" s="13" t="s">
        <v>618</v>
      </c>
      <c r="R577" s="13" t="str">
        <f>VLOOKUP(P577,'Dados das Regiões '!A:B,2,0)</f>
        <v>CASCAVEL</v>
      </c>
      <c r="S577" s="13" t="s">
        <v>2808</v>
      </c>
      <c r="T577" s="13"/>
      <c r="U577" s="79" t="s">
        <v>2809</v>
      </c>
      <c r="V577" s="13" t="s">
        <v>2810</v>
      </c>
      <c r="W577" s="13" t="s">
        <v>2811</v>
      </c>
      <c r="X577" s="15">
        <v>0.58333333333333337</v>
      </c>
      <c r="Y577" s="16" t="s">
        <v>1200</v>
      </c>
      <c r="Z577" s="16" t="s">
        <v>622</v>
      </c>
      <c r="AA577" s="36" t="s">
        <v>1808</v>
      </c>
      <c r="AB577" s="164">
        <v>202400679</v>
      </c>
      <c r="AC577" s="55" t="s">
        <v>9</v>
      </c>
      <c r="AD577" s="40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</row>
    <row r="578" spans="1:44">
      <c r="A578" s="14"/>
      <c r="B578" s="13" t="str">
        <f t="shared" si="46"/>
        <v>Pendente</v>
      </c>
      <c r="C578" s="14" t="str">
        <f t="shared" si="47"/>
        <v/>
      </c>
      <c r="D578" s="13" t="s">
        <v>611</v>
      </c>
      <c r="E578" s="14" t="str">
        <f t="shared" si="48"/>
        <v/>
      </c>
      <c r="F578" s="13" t="s">
        <v>611</v>
      </c>
      <c r="G578" s="40">
        <v>202400679</v>
      </c>
      <c r="H578" s="13" t="s">
        <v>2812</v>
      </c>
      <c r="I578" s="13" t="s">
        <v>1176</v>
      </c>
      <c r="J578" s="14">
        <v>45509</v>
      </c>
      <c r="K578" s="14">
        <v>45870</v>
      </c>
      <c r="L578" s="13" t="s">
        <v>1185</v>
      </c>
      <c r="M578" s="13" t="s">
        <v>2813</v>
      </c>
      <c r="N578" s="13" t="s">
        <v>2814</v>
      </c>
      <c r="O578" s="17" t="s">
        <v>2815</v>
      </c>
      <c r="P578" s="13" t="s">
        <v>405</v>
      </c>
      <c r="Q578" s="13" t="s">
        <v>618</v>
      </c>
      <c r="R578" s="13" t="str">
        <f>VLOOKUP(P578,'Dados das Regiões '!A:B,2,0)</f>
        <v>NOVA LONDRINA</v>
      </c>
      <c r="S578" s="13" t="s">
        <v>2816</v>
      </c>
      <c r="T578" s="13"/>
      <c r="U578" s="79" t="s">
        <v>2817</v>
      </c>
      <c r="V578" s="13" t="s">
        <v>2818</v>
      </c>
      <c r="W578" s="13" t="s">
        <v>2819</v>
      </c>
      <c r="X578" s="15">
        <v>0.5</v>
      </c>
      <c r="Y578" s="16" t="s">
        <v>2820</v>
      </c>
      <c r="Z578" s="16" t="s">
        <v>622</v>
      </c>
      <c r="AA578" s="36" t="s">
        <v>1808</v>
      </c>
      <c r="AB578" s="164">
        <v>202400679</v>
      </c>
      <c r="AC578" s="55" t="s">
        <v>9</v>
      </c>
      <c r="AD578" s="40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</row>
    <row r="579" spans="1:44">
      <c r="A579" s="14"/>
      <c r="B579" s="13" t="str">
        <f t="shared" si="46"/>
        <v>Pendente</v>
      </c>
      <c r="C579" s="14" t="str">
        <f t="shared" si="47"/>
        <v/>
      </c>
      <c r="D579" s="13" t="s">
        <v>611</v>
      </c>
      <c r="E579" s="14" t="str">
        <f t="shared" si="48"/>
        <v/>
      </c>
      <c r="F579" s="13" t="s">
        <v>611</v>
      </c>
      <c r="G579" s="40">
        <v>202400678</v>
      </c>
      <c r="H579" s="13" t="s">
        <v>2821</v>
      </c>
      <c r="I579" s="13" t="s">
        <v>613</v>
      </c>
      <c r="J579" s="14">
        <v>45509</v>
      </c>
      <c r="K579" s="14">
        <v>45870</v>
      </c>
      <c r="L579" s="13" t="s">
        <v>2822</v>
      </c>
      <c r="M579" s="13" t="s">
        <v>2823</v>
      </c>
      <c r="N579" s="13" t="s">
        <v>2824</v>
      </c>
      <c r="O579" s="17" t="s">
        <v>2825</v>
      </c>
      <c r="P579" s="13" t="s">
        <v>298</v>
      </c>
      <c r="Q579" s="13" t="s">
        <v>618</v>
      </c>
      <c r="R579" s="13" t="str">
        <f>VLOOKUP(P579,'Dados das Regiões '!A:B,2,0)</f>
        <v>GUARAPUAVA</v>
      </c>
      <c r="S579" s="13" t="s">
        <v>2826</v>
      </c>
      <c r="T579" s="13"/>
      <c r="U579" s="79"/>
      <c r="V579" s="13" t="s">
        <v>2827</v>
      </c>
      <c r="W579" s="13" t="s">
        <v>2828</v>
      </c>
      <c r="X579" s="15">
        <v>0.5625</v>
      </c>
      <c r="Y579" s="16" t="s">
        <v>2829</v>
      </c>
      <c r="Z579" s="16" t="s">
        <v>622</v>
      </c>
      <c r="AA579" s="36" t="s">
        <v>1808</v>
      </c>
      <c r="AB579" s="164">
        <v>202400678</v>
      </c>
      <c r="AC579" s="55" t="s">
        <v>6</v>
      </c>
      <c r="AD579" s="40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</row>
    <row r="580" spans="1:44">
      <c r="A580" s="14"/>
      <c r="B580" s="13" t="str">
        <f t="shared" si="46"/>
        <v>Pendente</v>
      </c>
      <c r="C580" s="14" t="str">
        <f t="shared" si="47"/>
        <v/>
      </c>
      <c r="D580" s="13" t="s">
        <v>611</v>
      </c>
      <c r="E580" s="14" t="str">
        <f t="shared" si="48"/>
        <v/>
      </c>
      <c r="F580" s="13" t="s">
        <v>611</v>
      </c>
      <c r="G580" s="40">
        <v>202400679</v>
      </c>
      <c r="H580" s="13" t="s">
        <v>2830</v>
      </c>
      <c r="I580" s="13" t="s">
        <v>1176</v>
      </c>
      <c r="J580" s="14">
        <v>45509</v>
      </c>
      <c r="K580" s="14">
        <v>45870</v>
      </c>
      <c r="L580" s="13" t="s">
        <v>2571</v>
      </c>
      <c r="M580" s="13" t="s">
        <v>2831</v>
      </c>
      <c r="N580" s="13" t="s">
        <v>2832</v>
      </c>
      <c r="O580" s="17" t="s">
        <v>2833</v>
      </c>
      <c r="P580" s="13" t="s">
        <v>305</v>
      </c>
      <c r="Q580" s="13" t="s">
        <v>618</v>
      </c>
      <c r="R580" s="13" t="str">
        <f>VLOOKUP(P580,'Dados das Regiões '!A:B,2,0)</f>
        <v>IRATI</v>
      </c>
      <c r="S580" s="13" t="s">
        <v>2834</v>
      </c>
      <c r="T580" s="13"/>
      <c r="U580" s="79" t="s">
        <v>2835</v>
      </c>
      <c r="V580" s="13" t="s">
        <v>2836</v>
      </c>
      <c r="W580" s="13" t="s">
        <v>2837</v>
      </c>
      <c r="X580" s="15">
        <v>0.58333333333333337</v>
      </c>
      <c r="Y580" s="16" t="s">
        <v>1200</v>
      </c>
      <c r="Z580" s="16" t="s">
        <v>622</v>
      </c>
      <c r="AA580" s="36" t="s">
        <v>1808</v>
      </c>
      <c r="AB580" s="164">
        <v>202400679</v>
      </c>
      <c r="AC580" s="55" t="s">
        <v>9</v>
      </c>
      <c r="AD580" s="40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</row>
    <row r="581" spans="1:44">
      <c r="A581" s="14"/>
      <c r="B581" s="13" t="str">
        <f t="shared" si="46"/>
        <v>Pendente</v>
      </c>
      <c r="C581" s="14" t="str">
        <f t="shared" si="47"/>
        <v/>
      </c>
      <c r="D581" s="13" t="s">
        <v>611</v>
      </c>
      <c r="E581" s="14" t="str">
        <f t="shared" si="48"/>
        <v/>
      </c>
      <c r="F581" s="13" t="s">
        <v>611</v>
      </c>
      <c r="G581" s="40">
        <v>202400679</v>
      </c>
      <c r="H581" s="13" t="s">
        <v>2846</v>
      </c>
      <c r="I581" s="13" t="s">
        <v>1176</v>
      </c>
      <c r="J581" s="14">
        <v>45509</v>
      </c>
      <c r="K581" s="14">
        <v>45870</v>
      </c>
      <c r="L581" s="13" t="s">
        <v>1185</v>
      </c>
      <c r="M581" s="13" t="s">
        <v>2847</v>
      </c>
      <c r="N581" s="13" t="s">
        <v>2848</v>
      </c>
      <c r="O581" s="17" t="s">
        <v>2849</v>
      </c>
      <c r="P581" s="13" t="s">
        <v>279</v>
      </c>
      <c r="Q581" s="13" t="s">
        <v>618</v>
      </c>
      <c r="R581" s="13" t="str">
        <f>VLOOKUP(P581,'Dados das Regiões '!A:B,2,0)</f>
        <v>FRANCISCO BELTRÃO</v>
      </c>
      <c r="S581" s="13" t="s">
        <v>2850</v>
      </c>
      <c r="T581" s="13"/>
      <c r="U581" s="79" t="s">
        <v>2851</v>
      </c>
      <c r="V581" s="13" t="s">
        <v>2852</v>
      </c>
      <c r="W581" s="13" t="s">
        <v>2853</v>
      </c>
      <c r="X581" s="15">
        <v>0.58333333333333337</v>
      </c>
      <c r="Y581" s="16" t="s">
        <v>1200</v>
      </c>
      <c r="Z581" s="16" t="s">
        <v>622</v>
      </c>
      <c r="AA581" s="36" t="s">
        <v>1808</v>
      </c>
      <c r="AB581" s="164">
        <v>202400679</v>
      </c>
      <c r="AC581" s="55" t="s">
        <v>9</v>
      </c>
      <c r="AD581" s="40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</row>
    <row r="582" spans="1:44">
      <c r="A582" s="14"/>
      <c r="B582" s="13" t="str">
        <f t="shared" si="46"/>
        <v>Pendente</v>
      </c>
      <c r="C582" s="14" t="str">
        <f t="shared" si="47"/>
        <v/>
      </c>
      <c r="D582" s="13" t="s">
        <v>611</v>
      </c>
      <c r="E582" s="14" t="str">
        <f t="shared" si="48"/>
        <v/>
      </c>
      <c r="F582" s="13" t="s">
        <v>611</v>
      </c>
      <c r="G582" s="40">
        <v>202400679</v>
      </c>
      <c r="H582" s="13" t="s">
        <v>2854</v>
      </c>
      <c r="I582" s="13" t="s">
        <v>1176</v>
      </c>
      <c r="J582" s="14">
        <v>45509</v>
      </c>
      <c r="K582" s="14">
        <v>45870</v>
      </c>
      <c r="L582" s="13" t="s">
        <v>1185</v>
      </c>
      <c r="M582" s="13" t="s">
        <v>2855</v>
      </c>
      <c r="N582" s="13" t="s">
        <v>2856</v>
      </c>
      <c r="O582" s="17" t="s">
        <v>2857</v>
      </c>
      <c r="P582" s="13" t="s">
        <v>400</v>
      </c>
      <c r="Q582" s="13" t="s">
        <v>618</v>
      </c>
      <c r="R582" s="13" t="str">
        <f>VLOOKUP(P582,'Dados das Regiões '!A:B,2,0)</f>
        <v>NOVA LONDRINA</v>
      </c>
      <c r="S582" s="13" t="s">
        <v>2858</v>
      </c>
      <c r="T582" s="13"/>
      <c r="U582" s="79" t="s">
        <v>2859</v>
      </c>
      <c r="V582" s="13" t="s">
        <v>2860</v>
      </c>
      <c r="W582" s="13" t="s">
        <v>2861</v>
      </c>
      <c r="X582" s="15">
        <v>0.33333333333333331</v>
      </c>
      <c r="Y582" s="16" t="s">
        <v>1438</v>
      </c>
      <c r="Z582" s="16" t="s">
        <v>622</v>
      </c>
      <c r="AA582" s="36" t="s">
        <v>1808</v>
      </c>
      <c r="AB582" s="164">
        <v>202400679</v>
      </c>
      <c r="AC582" s="55" t="s">
        <v>9</v>
      </c>
      <c r="AD582" s="40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</row>
    <row r="583" spans="1:44">
      <c r="A583" s="14">
        <v>45825</v>
      </c>
      <c r="B583" s="13" t="str">
        <f t="shared" si="46"/>
        <v>Realizada</v>
      </c>
      <c r="C583" s="14">
        <f t="shared" si="47"/>
        <v>45917</v>
      </c>
      <c r="D583" s="13" t="s">
        <v>611</v>
      </c>
      <c r="E583" s="14">
        <f t="shared" si="48"/>
        <v>46008</v>
      </c>
      <c r="F583" s="13" t="s">
        <v>611</v>
      </c>
      <c r="G583" s="40">
        <v>202400679</v>
      </c>
      <c r="H583" s="13" t="s">
        <v>2862</v>
      </c>
      <c r="I583" s="13" t="s">
        <v>1176</v>
      </c>
      <c r="J583" s="14">
        <v>45509</v>
      </c>
      <c r="K583" s="14">
        <v>45870</v>
      </c>
      <c r="L583" s="13" t="s">
        <v>1185</v>
      </c>
      <c r="M583" s="13" t="s">
        <v>2863</v>
      </c>
      <c r="N583" s="13" t="s">
        <v>2864</v>
      </c>
      <c r="O583" s="13" t="s">
        <v>586</v>
      </c>
      <c r="P583" s="13" t="s">
        <v>76</v>
      </c>
      <c r="Q583" s="13" t="s">
        <v>618</v>
      </c>
      <c r="R583" s="13" t="str">
        <f>VLOOKUP(P583,'Dados das Regiões '!A:B,2,0)</f>
        <v>SÃO MATEUS DO SUL</v>
      </c>
      <c r="S583" s="13" t="s">
        <v>2865</v>
      </c>
      <c r="T583" s="13"/>
      <c r="U583" s="79" t="s">
        <v>2866</v>
      </c>
      <c r="V583" s="13" t="s">
        <v>2867</v>
      </c>
      <c r="W583" s="13" t="s">
        <v>2868</v>
      </c>
      <c r="X583" s="15">
        <v>0.54166666666666663</v>
      </c>
      <c r="Y583" s="16" t="s">
        <v>1824</v>
      </c>
      <c r="Z583" s="16" t="s">
        <v>622</v>
      </c>
      <c r="AA583" s="36" t="s">
        <v>1808</v>
      </c>
      <c r="AB583" s="164">
        <v>202400679</v>
      </c>
      <c r="AC583" s="55" t="s">
        <v>9</v>
      </c>
      <c r="AD583" s="40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</row>
    <row r="584" spans="1:44">
      <c r="A584" s="14"/>
      <c r="B584" s="13" t="str">
        <f t="shared" si="46"/>
        <v>Pendente</v>
      </c>
      <c r="C584" s="14" t="str">
        <f t="shared" si="47"/>
        <v/>
      </c>
      <c r="D584" s="13" t="s">
        <v>611</v>
      </c>
      <c r="E584" s="14" t="str">
        <f t="shared" si="48"/>
        <v/>
      </c>
      <c r="F584" s="13" t="s">
        <v>611</v>
      </c>
      <c r="G584" s="40">
        <v>202400678</v>
      </c>
      <c r="H584" s="13" t="s">
        <v>2869</v>
      </c>
      <c r="I584" s="13" t="s">
        <v>613</v>
      </c>
      <c r="J584" s="14">
        <v>45509</v>
      </c>
      <c r="K584" s="14">
        <v>45870</v>
      </c>
      <c r="L584" s="13" t="s">
        <v>2870</v>
      </c>
      <c r="M584" s="13" t="s">
        <v>2871</v>
      </c>
      <c r="N584" s="13" t="s">
        <v>2872</v>
      </c>
      <c r="O584" s="17" t="s">
        <v>2873</v>
      </c>
      <c r="P584" s="13" t="s">
        <v>286</v>
      </c>
      <c r="Q584" s="13" t="s">
        <v>618</v>
      </c>
      <c r="R584" s="13" t="str">
        <f>VLOOKUP(P584,'Dados das Regiões '!A:B,2,0)</f>
        <v>GUARAPUAVA</v>
      </c>
      <c r="S584" s="13" t="s">
        <v>2874</v>
      </c>
      <c r="T584" s="13"/>
      <c r="U584" s="79"/>
      <c r="V584" s="13" t="s">
        <v>2875</v>
      </c>
      <c r="W584" s="13" t="s">
        <v>2876</v>
      </c>
      <c r="X584" s="15">
        <v>0.54166666666666663</v>
      </c>
      <c r="Y584" s="16" t="s">
        <v>1941</v>
      </c>
      <c r="Z584" s="16" t="s">
        <v>622</v>
      </c>
      <c r="AA584" s="36" t="s">
        <v>1808</v>
      </c>
      <c r="AB584" s="164">
        <v>202400678</v>
      </c>
      <c r="AC584" s="55" t="s">
        <v>6</v>
      </c>
      <c r="AD584" s="40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</row>
    <row r="585" spans="1:44">
      <c r="A585" s="14"/>
      <c r="B585" s="13" t="str">
        <f t="shared" si="46"/>
        <v>Pendente</v>
      </c>
      <c r="C585" s="14" t="str">
        <f t="shared" si="47"/>
        <v/>
      </c>
      <c r="D585" s="13" t="s">
        <v>611</v>
      </c>
      <c r="E585" s="14" t="str">
        <f t="shared" si="48"/>
        <v/>
      </c>
      <c r="F585" s="13" t="s">
        <v>611</v>
      </c>
      <c r="G585" s="40">
        <v>202400678</v>
      </c>
      <c r="H585" s="13" t="s">
        <v>2877</v>
      </c>
      <c r="I585" s="13" t="s">
        <v>613</v>
      </c>
      <c r="J585" s="14">
        <v>45509</v>
      </c>
      <c r="K585" s="14">
        <v>45870</v>
      </c>
      <c r="L585" s="13" t="s">
        <v>2878</v>
      </c>
      <c r="M585" s="13" t="s">
        <v>2879</v>
      </c>
      <c r="N585" s="13" t="s">
        <v>2880</v>
      </c>
      <c r="O585" s="17" t="s">
        <v>2881</v>
      </c>
      <c r="P585" s="13" t="s">
        <v>258</v>
      </c>
      <c r="Q585" s="13" t="s">
        <v>618</v>
      </c>
      <c r="R585" s="13" t="str">
        <f>VLOOKUP(P585,'Dados das Regiões '!A:B,2,0)</f>
        <v>FRANCISCO BELTRÃO</v>
      </c>
      <c r="S585" s="13" t="s">
        <v>2882</v>
      </c>
      <c r="T585" s="13"/>
      <c r="U585" s="79"/>
      <c r="V585" s="13" t="s">
        <v>2883</v>
      </c>
      <c r="W585" s="13" t="s">
        <v>2884</v>
      </c>
      <c r="X585" s="15">
        <v>0.66666666666666663</v>
      </c>
      <c r="Y585" s="16" t="s">
        <v>1967</v>
      </c>
      <c r="Z585" s="16" t="s">
        <v>622</v>
      </c>
      <c r="AA585" s="36" t="s">
        <v>1808</v>
      </c>
      <c r="AB585" s="164">
        <v>202400678</v>
      </c>
      <c r="AC585" s="55" t="s">
        <v>6</v>
      </c>
      <c r="AD585" s="40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</row>
    <row r="586" spans="1:44">
      <c r="A586" s="14"/>
      <c r="B586" s="13" t="str">
        <f t="shared" si="46"/>
        <v>Pendente</v>
      </c>
      <c r="C586" s="14" t="str">
        <f t="shared" si="47"/>
        <v/>
      </c>
      <c r="D586" s="13" t="s">
        <v>611</v>
      </c>
      <c r="E586" s="14" t="str">
        <f t="shared" si="48"/>
        <v/>
      </c>
      <c r="F586" s="13" t="s">
        <v>611</v>
      </c>
      <c r="G586" s="40">
        <v>202400680</v>
      </c>
      <c r="H586" s="13" t="s">
        <v>2885</v>
      </c>
      <c r="I586" s="13" t="s">
        <v>1176</v>
      </c>
      <c r="J586" s="14">
        <v>45509</v>
      </c>
      <c r="K586" s="14">
        <v>45870</v>
      </c>
      <c r="L586" s="13" t="s">
        <v>2618</v>
      </c>
      <c r="M586" s="13" t="s">
        <v>2619</v>
      </c>
      <c r="N586" s="13" t="s">
        <v>2620</v>
      </c>
      <c r="O586" s="13" t="s">
        <v>2621</v>
      </c>
      <c r="P586" s="13" t="s">
        <v>491</v>
      </c>
      <c r="Q586" s="13" t="s">
        <v>618</v>
      </c>
      <c r="R586" s="13" t="str">
        <f>VLOOKUP(P586,'Dados das Regiões '!A:B,2,0)</f>
        <v>UMUARAMA</v>
      </c>
      <c r="S586" s="13" t="s">
        <v>2886</v>
      </c>
      <c r="T586" s="13"/>
      <c r="U586" s="79"/>
      <c r="V586" s="13" t="s">
        <v>2887</v>
      </c>
      <c r="W586" s="13" t="s">
        <v>2888</v>
      </c>
      <c r="X586" s="15">
        <v>0.33333333333333331</v>
      </c>
      <c r="Y586" s="16" t="s">
        <v>1438</v>
      </c>
      <c r="Z586" s="16" t="s">
        <v>622</v>
      </c>
      <c r="AA586" s="36" t="s">
        <v>1808</v>
      </c>
      <c r="AB586" s="164">
        <v>202400680</v>
      </c>
      <c r="AC586" s="55" t="s">
        <v>10</v>
      </c>
      <c r="AD586" s="40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</row>
    <row r="587" spans="1:44">
      <c r="A587" s="14"/>
      <c r="B587" s="13" t="str">
        <f t="shared" si="46"/>
        <v>Pendente</v>
      </c>
      <c r="C587" s="14" t="str">
        <f t="shared" si="47"/>
        <v/>
      </c>
      <c r="D587" s="13" t="s">
        <v>611</v>
      </c>
      <c r="E587" s="14" t="str">
        <f t="shared" si="48"/>
        <v/>
      </c>
      <c r="F587" s="13" t="s">
        <v>611</v>
      </c>
      <c r="G587" s="40">
        <v>202400680</v>
      </c>
      <c r="H587" s="13" t="s">
        <v>2889</v>
      </c>
      <c r="I587" s="13" t="s">
        <v>1176</v>
      </c>
      <c r="J587" s="14">
        <v>45509</v>
      </c>
      <c r="K587" s="14">
        <v>45870</v>
      </c>
      <c r="L587" s="13" t="s">
        <v>2618</v>
      </c>
      <c r="M587" s="13" t="s">
        <v>2619</v>
      </c>
      <c r="N587" s="13" t="s">
        <v>2620</v>
      </c>
      <c r="O587" s="13" t="s">
        <v>2621</v>
      </c>
      <c r="P587" s="13" t="s">
        <v>491</v>
      </c>
      <c r="Q587" s="13" t="s">
        <v>618</v>
      </c>
      <c r="R587" s="13" t="str">
        <f>VLOOKUP(P587,'Dados das Regiões '!A:B,2,0)</f>
        <v>UMUARAMA</v>
      </c>
      <c r="S587" s="13" t="s">
        <v>2886</v>
      </c>
      <c r="T587" s="13"/>
      <c r="U587" s="79"/>
      <c r="V587" s="13" t="s">
        <v>2887</v>
      </c>
      <c r="W587" s="13" t="s">
        <v>2888</v>
      </c>
      <c r="X587" s="15">
        <v>0.58333333333333337</v>
      </c>
      <c r="Y587" s="16" t="s">
        <v>1200</v>
      </c>
      <c r="Z587" s="16" t="s">
        <v>622</v>
      </c>
      <c r="AA587" s="36" t="s">
        <v>1808</v>
      </c>
      <c r="AB587" s="164">
        <v>202400680</v>
      </c>
      <c r="AC587" s="55" t="s">
        <v>10</v>
      </c>
      <c r="AD587" s="40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</row>
    <row r="588" spans="1:44">
      <c r="A588" s="14"/>
      <c r="B588" s="13" t="str">
        <f t="shared" si="46"/>
        <v>Pendente</v>
      </c>
      <c r="C588" s="14" t="str">
        <f t="shared" si="47"/>
        <v/>
      </c>
      <c r="D588" s="13" t="s">
        <v>611</v>
      </c>
      <c r="E588" s="14" t="str">
        <f t="shared" si="48"/>
        <v/>
      </c>
      <c r="F588" s="13" t="s">
        <v>611</v>
      </c>
      <c r="G588" s="40">
        <v>202400679</v>
      </c>
      <c r="H588" s="13" t="s">
        <v>2890</v>
      </c>
      <c r="I588" s="13" t="s">
        <v>1176</v>
      </c>
      <c r="J588" s="14">
        <v>45509</v>
      </c>
      <c r="K588" s="14">
        <v>45870</v>
      </c>
      <c r="L588" s="13" t="s">
        <v>2891</v>
      </c>
      <c r="M588" s="13" t="s">
        <v>2892</v>
      </c>
      <c r="N588" s="13" t="s">
        <v>2893</v>
      </c>
      <c r="O588" s="17" t="s">
        <v>2894</v>
      </c>
      <c r="P588" s="13" t="s">
        <v>339</v>
      </c>
      <c r="Q588" s="13" t="s">
        <v>618</v>
      </c>
      <c r="R588" s="13" t="str">
        <f>VLOOKUP(P588,'Dados das Regiões '!A:B,2,0)</f>
        <v>LONDRINA CENTRO</v>
      </c>
      <c r="S588" s="13" t="s">
        <v>2895</v>
      </c>
      <c r="T588" s="13"/>
      <c r="U588" s="79" t="s">
        <v>2896</v>
      </c>
      <c r="V588" s="13" t="s">
        <v>2897</v>
      </c>
      <c r="W588" s="13" t="s">
        <v>2898</v>
      </c>
      <c r="X588" s="15">
        <v>0.58333333333333337</v>
      </c>
      <c r="Y588" s="16" t="s">
        <v>1200</v>
      </c>
      <c r="Z588" s="16" t="s">
        <v>622</v>
      </c>
      <c r="AA588" s="36" t="s">
        <v>1808</v>
      </c>
      <c r="AB588" s="164">
        <v>202400679</v>
      </c>
      <c r="AC588" s="55" t="s">
        <v>9</v>
      </c>
      <c r="AD588" s="40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</row>
    <row r="589" spans="1:44">
      <c r="A589" s="14"/>
      <c r="B589" s="13" t="str">
        <f t="shared" si="46"/>
        <v>Pendente</v>
      </c>
      <c r="C589" s="14" t="str">
        <f t="shared" si="47"/>
        <v/>
      </c>
      <c r="D589" s="13" t="s">
        <v>611</v>
      </c>
      <c r="E589" s="14" t="str">
        <f t="shared" si="48"/>
        <v/>
      </c>
      <c r="F589" s="13" t="s">
        <v>611</v>
      </c>
      <c r="G589" s="40">
        <v>202400680</v>
      </c>
      <c r="H589" s="13" t="s">
        <v>2899</v>
      </c>
      <c r="I589" s="13" t="s">
        <v>1176</v>
      </c>
      <c r="J589" s="14">
        <v>45509</v>
      </c>
      <c r="K589" s="14">
        <v>45870</v>
      </c>
      <c r="L589" s="13" t="s">
        <v>2618</v>
      </c>
      <c r="M589" s="13" t="s">
        <v>2619</v>
      </c>
      <c r="N589" s="13" t="s">
        <v>2620</v>
      </c>
      <c r="O589" s="13" t="s">
        <v>2621</v>
      </c>
      <c r="P589" s="13" t="s">
        <v>491</v>
      </c>
      <c r="Q589" s="13" t="s">
        <v>618</v>
      </c>
      <c r="R589" s="13" t="str">
        <f>VLOOKUP(P589,'Dados das Regiões '!A:B,2,0)</f>
        <v>UMUARAMA</v>
      </c>
      <c r="S589" s="13" t="s">
        <v>2704</v>
      </c>
      <c r="T589" s="13"/>
      <c r="U589" s="79"/>
      <c r="V589" s="13" t="s">
        <v>2705</v>
      </c>
      <c r="W589" s="13" t="s">
        <v>2706</v>
      </c>
      <c r="X589" s="15">
        <v>0.33333333333333331</v>
      </c>
      <c r="Y589" s="16" t="s">
        <v>1438</v>
      </c>
      <c r="Z589" s="16" t="s">
        <v>622</v>
      </c>
      <c r="AA589" s="36" t="s">
        <v>1808</v>
      </c>
      <c r="AB589" s="164">
        <v>202400680</v>
      </c>
      <c r="AC589" s="55" t="s">
        <v>10</v>
      </c>
      <c r="AD589" s="40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</row>
    <row r="590" spans="1:44">
      <c r="A590" s="14"/>
      <c r="B590" s="13" t="str">
        <f t="shared" ref="B590:B621" si="49">IF(ISBLANK(A590), "Pendente", "Realizada")</f>
        <v>Pendente</v>
      </c>
      <c r="C590" s="14" t="str">
        <f t="shared" ref="C590:C613" si="50">IF(A590="", "", EDATE(A590, 3))</f>
        <v/>
      </c>
      <c r="D590" s="13" t="s">
        <v>611</v>
      </c>
      <c r="E590" s="14" t="str">
        <f t="shared" ref="E590:E613" si="51">IF(C590="", "", EDATE(C590, 3))</f>
        <v/>
      </c>
      <c r="F590" s="13" t="s">
        <v>611</v>
      </c>
      <c r="G590" s="40">
        <v>202400680</v>
      </c>
      <c r="H590" s="13" t="s">
        <v>2900</v>
      </c>
      <c r="I590" s="13" t="s">
        <v>1176</v>
      </c>
      <c r="J590" s="14">
        <v>45509</v>
      </c>
      <c r="K590" s="14">
        <v>45870</v>
      </c>
      <c r="L590" s="13" t="s">
        <v>2618</v>
      </c>
      <c r="M590" s="13" t="s">
        <v>2619</v>
      </c>
      <c r="N590" s="13" t="s">
        <v>2620</v>
      </c>
      <c r="O590" s="13" t="s">
        <v>2621</v>
      </c>
      <c r="P590" s="13" t="s">
        <v>491</v>
      </c>
      <c r="Q590" s="13" t="s">
        <v>618</v>
      </c>
      <c r="R590" s="13" t="str">
        <f>VLOOKUP(P590,'Dados das Regiões '!A:B,2,0)</f>
        <v>UMUARAMA</v>
      </c>
      <c r="S590" s="13" t="s">
        <v>2901</v>
      </c>
      <c r="T590" s="13"/>
      <c r="U590" s="79"/>
      <c r="V590" s="13" t="s">
        <v>2902</v>
      </c>
      <c r="W590" s="13" t="s">
        <v>2903</v>
      </c>
      <c r="X590" s="15">
        <v>0.33333333333333331</v>
      </c>
      <c r="Y590" s="16" t="s">
        <v>1438</v>
      </c>
      <c r="Z590" s="16" t="s">
        <v>622</v>
      </c>
      <c r="AA590" s="36" t="s">
        <v>1808</v>
      </c>
      <c r="AB590" s="164">
        <v>202400680</v>
      </c>
      <c r="AC590" s="55" t="s">
        <v>10</v>
      </c>
      <c r="AD590" s="40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</row>
    <row r="591" spans="1:44">
      <c r="A591" s="14">
        <v>45840</v>
      </c>
      <c r="B591" s="13" t="str">
        <f t="shared" si="49"/>
        <v>Realizada</v>
      </c>
      <c r="C591" s="14">
        <f t="shared" si="50"/>
        <v>45932</v>
      </c>
      <c r="D591" s="13" t="s">
        <v>611</v>
      </c>
      <c r="E591" s="14">
        <f t="shared" si="51"/>
        <v>46024</v>
      </c>
      <c r="F591" s="13" t="s">
        <v>611</v>
      </c>
      <c r="G591" s="40">
        <v>202400680</v>
      </c>
      <c r="H591" s="13" t="s">
        <v>2904</v>
      </c>
      <c r="I591" s="13" t="s">
        <v>1176</v>
      </c>
      <c r="J591" s="14">
        <v>45509</v>
      </c>
      <c r="K591" s="14">
        <v>45870</v>
      </c>
      <c r="L591" s="13" t="s">
        <v>1864</v>
      </c>
      <c r="M591" s="13" t="s">
        <v>2905</v>
      </c>
      <c r="N591" s="13" t="s">
        <v>2906</v>
      </c>
      <c r="O591" s="17" t="s">
        <v>2907</v>
      </c>
      <c r="P591" s="13" t="s">
        <v>208</v>
      </c>
      <c r="Q591" s="13" t="s">
        <v>618</v>
      </c>
      <c r="R591" s="13" t="str">
        <f>VLOOKUP(P591,'Dados das Regiões '!A:B,2,0)</f>
        <v>CASTRO</v>
      </c>
      <c r="S591" s="13" t="s">
        <v>2908</v>
      </c>
      <c r="T591" s="13"/>
      <c r="U591" s="79"/>
      <c r="V591" s="13" t="s">
        <v>2909</v>
      </c>
      <c r="W591" s="13" t="s">
        <v>2910</v>
      </c>
      <c r="X591" s="15">
        <v>0.5625</v>
      </c>
      <c r="Y591" s="16" t="s">
        <v>1415</v>
      </c>
      <c r="Z591" s="16" t="s">
        <v>622</v>
      </c>
      <c r="AA591" s="36" t="s">
        <v>1808</v>
      </c>
      <c r="AB591" s="164">
        <v>202400680</v>
      </c>
      <c r="AC591" s="55" t="s">
        <v>10</v>
      </c>
      <c r="AD591" s="40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</row>
    <row r="592" spans="1:44">
      <c r="A592" s="14"/>
      <c r="B592" s="13" t="str">
        <f t="shared" si="49"/>
        <v>Pendente</v>
      </c>
      <c r="C592" s="14" t="str">
        <f t="shared" si="50"/>
        <v/>
      </c>
      <c r="D592" s="13" t="s">
        <v>611</v>
      </c>
      <c r="E592" s="14" t="str">
        <f t="shared" si="51"/>
        <v/>
      </c>
      <c r="F592" s="13" t="s">
        <v>611</v>
      </c>
      <c r="G592" s="40">
        <v>202400680</v>
      </c>
      <c r="H592" s="13" t="s">
        <v>2911</v>
      </c>
      <c r="I592" s="13" t="s">
        <v>1176</v>
      </c>
      <c r="J592" s="14">
        <v>45509</v>
      </c>
      <c r="K592" s="14">
        <v>45870</v>
      </c>
      <c r="L592" s="13" t="s">
        <v>2912</v>
      </c>
      <c r="M592" s="13" t="s">
        <v>2913</v>
      </c>
      <c r="N592" s="13" t="s">
        <v>2914</v>
      </c>
      <c r="O592" s="17" t="s">
        <v>2915</v>
      </c>
      <c r="P592" s="13" t="s">
        <v>396</v>
      </c>
      <c r="Q592" s="13" t="s">
        <v>618</v>
      </c>
      <c r="R592" s="13" t="str">
        <f>VLOOKUP(P592,'Dados das Regiões '!A:B,2,0)</f>
        <v>NOVA LONDRINA</v>
      </c>
      <c r="S592" s="13" t="s">
        <v>2916</v>
      </c>
      <c r="T592" s="13"/>
      <c r="U592" s="79"/>
      <c r="V592" s="13" t="s">
        <v>2917</v>
      </c>
      <c r="W592" s="13" t="s">
        <v>2918</v>
      </c>
      <c r="X592" s="15">
        <v>0.54166666666666663</v>
      </c>
      <c r="Y592" s="16" t="s">
        <v>1824</v>
      </c>
      <c r="Z592" s="16" t="s">
        <v>622</v>
      </c>
      <c r="AA592" s="36" t="s">
        <v>1808</v>
      </c>
      <c r="AB592" s="164">
        <v>202400680</v>
      </c>
      <c r="AC592" s="55" t="s">
        <v>10</v>
      </c>
      <c r="AD592" s="40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</row>
    <row r="593" spans="1:44">
      <c r="A593" s="14"/>
      <c r="B593" s="13" t="str">
        <f t="shared" si="49"/>
        <v>Pendente</v>
      </c>
      <c r="C593" s="14" t="str">
        <f t="shared" si="50"/>
        <v/>
      </c>
      <c r="D593" s="13" t="s">
        <v>611</v>
      </c>
      <c r="E593" s="14" t="str">
        <f t="shared" si="51"/>
        <v/>
      </c>
      <c r="F593" s="13" t="s">
        <v>611</v>
      </c>
      <c r="G593" s="40">
        <v>202400680</v>
      </c>
      <c r="H593" s="13" t="s">
        <v>2919</v>
      </c>
      <c r="I593" s="13" t="s">
        <v>1176</v>
      </c>
      <c r="J593" s="14">
        <v>45509</v>
      </c>
      <c r="K593" s="14">
        <v>45870</v>
      </c>
      <c r="L593" s="13" t="s">
        <v>2920</v>
      </c>
      <c r="M593" s="13" t="s">
        <v>2921</v>
      </c>
      <c r="N593" s="13" t="s">
        <v>2922</v>
      </c>
      <c r="O593" s="17" t="s">
        <v>2923</v>
      </c>
      <c r="P593" s="13" t="s">
        <v>150</v>
      </c>
      <c r="Q593" s="13" t="s">
        <v>618</v>
      </c>
      <c r="R593" s="13" t="str">
        <f>VLOOKUP(P593,'Dados das Regiões '!A:B,2,0)</f>
        <v>CAMPO MOURÃO</v>
      </c>
      <c r="S593" s="13" t="s">
        <v>2924</v>
      </c>
      <c r="T593" s="13"/>
      <c r="U593" s="79"/>
      <c r="V593" s="13" t="s">
        <v>2925</v>
      </c>
      <c r="W593" s="13" t="s">
        <v>2926</v>
      </c>
      <c r="X593" s="15">
        <v>0.5625</v>
      </c>
      <c r="Y593" s="16" t="s">
        <v>1415</v>
      </c>
      <c r="Z593" s="16" t="s">
        <v>622</v>
      </c>
      <c r="AA593" s="36" t="s">
        <v>1808</v>
      </c>
      <c r="AB593" s="164">
        <v>202400680</v>
      </c>
      <c r="AC593" s="55" t="s">
        <v>10</v>
      </c>
      <c r="AD593" s="40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</row>
    <row r="594" spans="1:44">
      <c r="A594" s="14"/>
      <c r="B594" s="13" t="str">
        <f t="shared" si="49"/>
        <v>Pendente</v>
      </c>
      <c r="C594" s="14" t="str">
        <f t="shared" si="50"/>
        <v/>
      </c>
      <c r="D594" s="13" t="s">
        <v>611</v>
      </c>
      <c r="E594" s="14" t="str">
        <f t="shared" si="51"/>
        <v/>
      </c>
      <c r="F594" s="13" t="s">
        <v>611</v>
      </c>
      <c r="G594" s="40">
        <v>202400680</v>
      </c>
      <c r="H594" s="13" t="s">
        <v>2927</v>
      </c>
      <c r="I594" s="13" t="s">
        <v>1176</v>
      </c>
      <c r="J594" s="14">
        <v>45509</v>
      </c>
      <c r="K594" s="14">
        <v>45870</v>
      </c>
      <c r="L594" s="13" t="s">
        <v>1833</v>
      </c>
      <c r="M594" s="13" t="s">
        <v>2928</v>
      </c>
      <c r="N594" s="13" t="s">
        <v>2929</v>
      </c>
      <c r="O594" s="17" t="s">
        <v>2930</v>
      </c>
      <c r="P594" s="13" t="s">
        <v>217</v>
      </c>
      <c r="Q594" s="13" t="s">
        <v>618</v>
      </c>
      <c r="R594" s="13" t="str">
        <f>VLOOKUP(P594,'Dados das Regiões '!A:B,2,0)</f>
        <v>CORNÉLIO PROCÓPIO</v>
      </c>
      <c r="S594" s="13" t="s">
        <v>2931</v>
      </c>
      <c r="T594" s="13"/>
      <c r="U594" s="79"/>
      <c r="V594" s="13" t="s">
        <v>2932</v>
      </c>
      <c r="W594" s="13" t="s">
        <v>2933</v>
      </c>
      <c r="X594" s="15">
        <v>0.5625</v>
      </c>
      <c r="Y594" s="16" t="s">
        <v>1415</v>
      </c>
      <c r="Z594" s="16" t="s">
        <v>622</v>
      </c>
      <c r="AA594" s="36" t="s">
        <v>1808</v>
      </c>
      <c r="AB594" s="164">
        <v>202400680</v>
      </c>
      <c r="AC594" s="55" t="s">
        <v>10</v>
      </c>
      <c r="AD594" s="40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</row>
    <row r="595" spans="1:44">
      <c r="A595" s="14"/>
      <c r="B595" s="13" t="str">
        <f t="shared" si="49"/>
        <v>Pendente</v>
      </c>
      <c r="C595" s="14" t="str">
        <f t="shared" si="50"/>
        <v/>
      </c>
      <c r="D595" s="13" t="s">
        <v>611</v>
      </c>
      <c r="E595" s="14" t="str">
        <f t="shared" si="51"/>
        <v/>
      </c>
      <c r="F595" s="13" t="s">
        <v>611</v>
      </c>
      <c r="G595" s="40">
        <v>202400680</v>
      </c>
      <c r="H595" s="13" t="s">
        <v>2934</v>
      </c>
      <c r="I595" s="13" t="s">
        <v>1176</v>
      </c>
      <c r="J595" s="14">
        <v>45509</v>
      </c>
      <c r="K595" s="14">
        <v>45870</v>
      </c>
      <c r="L595" s="13" t="s">
        <v>2935</v>
      </c>
      <c r="M595" s="13" t="s">
        <v>2936</v>
      </c>
      <c r="N595" s="13" t="s">
        <v>2937</v>
      </c>
      <c r="O595" s="17" t="s">
        <v>2938</v>
      </c>
      <c r="P595" s="13" t="s">
        <v>219</v>
      </c>
      <c r="Q595" s="13" t="s">
        <v>618</v>
      </c>
      <c r="R595" s="13" t="str">
        <f>VLOOKUP(P595,'Dados das Regiões '!A:B,2,0)</f>
        <v>CORNÉLIO PROCÓPIO</v>
      </c>
      <c r="S595" s="13" t="s">
        <v>2939</v>
      </c>
      <c r="T595" s="13"/>
      <c r="U595" s="79" t="s">
        <v>2940</v>
      </c>
      <c r="V595" s="13" t="s">
        <v>2941</v>
      </c>
      <c r="W595" s="13" t="s">
        <v>2942</v>
      </c>
      <c r="X595" s="15">
        <v>0.5625</v>
      </c>
      <c r="Y595" s="16" t="s">
        <v>1415</v>
      </c>
      <c r="Z595" s="16" t="s">
        <v>622</v>
      </c>
      <c r="AA595" s="36" t="s">
        <v>1808</v>
      </c>
      <c r="AB595" s="164">
        <v>202400680</v>
      </c>
      <c r="AC595" s="55" t="s">
        <v>10</v>
      </c>
      <c r="AD595" s="40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</row>
    <row r="596" spans="1:44">
      <c r="A596" s="14">
        <v>45840</v>
      </c>
      <c r="B596" s="13" t="str">
        <f t="shared" si="49"/>
        <v>Realizada</v>
      </c>
      <c r="C596" s="14">
        <f t="shared" si="50"/>
        <v>45932</v>
      </c>
      <c r="D596" s="13" t="s">
        <v>611</v>
      </c>
      <c r="E596" s="14">
        <f t="shared" si="51"/>
        <v>46024</v>
      </c>
      <c r="F596" s="13" t="s">
        <v>611</v>
      </c>
      <c r="G596" s="40">
        <v>202400680</v>
      </c>
      <c r="H596" s="13" t="s">
        <v>2943</v>
      </c>
      <c r="I596" s="13" t="s">
        <v>1176</v>
      </c>
      <c r="J596" s="14">
        <v>45509</v>
      </c>
      <c r="K596" s="14">
        <v>45870</v>
      </c>
      <c r="L596" s="13" t="s">
        <v>1833</v>
      </c>
      <c r="M596" s="13" t="s">
        <v>2944</v>
      </c>
      <c r="N596" s="13" t="s">
        <v>2945</v>
      </c>
      <c r="O596" s="17" t="s">
        <v>2946</v>
      </c>
      <c r="P596" s="13" t="s">
        <v>216</v>
      </c>
      <c r="Q596" s="13" t="s">
        <v>618</v>
      </c>
      <c r="R596" s="13" t="str">
        <f>VLOOKUP(P596,'Dados das Regiões '!A:B,2,0)</f>
        <v>CASTRO</v>
      </c>
      <c r="S596" s="13" t="s">
        <v>2947</v>
      </c>
      <c r="T596" s="13"/>
      <c r="U596" s="79" t="s">
        <v>2948</v>
      </c>
      <c r="V596" s="13"/>
      <c r="W596" s="13" t="s">
        <v>2949</v>
      </c>
      <c r="X596" s="15">
        <v>0.5625</v>
      </c>
      <c r="Y596" s="16" t="s">
        <v>1415</v>
      </c>
      <c r="Z596" s="16" t="s">
        <v>622</v>
      </c>
      <c r="AA596" s="36" t="s">
        <v>1808</v>
      </c>
      <c r="AB596" s="164">
        <v>202400680</v>
      </c>
      <c r="AC596" s="55" t="s">
        <v>10</v>
      </c>
      <c r="AD596" s="40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</row>
    <row r="597" spans="1:44">
      <c r="A597" s="14"/>
      <c r="B597" s="13" t="str">
        <f t="shared" si="49"/>
        <v>Pendente</v>
      </c>
      <c r="C597" s="14" t="str">
        <f t="shared" si="50"/>
        <v/>
      </c>
      <c r="D597" s="13" t="s">
        <v>611</v>
      </c>
      <c r="E597" s="14" t="str">
        <f t="shared" si="51"/>
        <v/>
      </c>
      <c r="F597" s="13" t="s">
        <v>611</v>
      </c>
      <c r="G597" s="40">
        <v>202400680</v>
      </c>
      <c r="H597" s="13" t="s">
        <v>2950</v>
      </c>
      <c r="I597" s="13" t="s">
        <v>1176</v>
      </c>
      <c r="J597" s="14">
        <v>45509</v>
      </c>
      <c r="K597" s="14">
        <v>45870</v>
      </c>
      <c r="L597" s="13" t="s">
        <v>2951</v>
      </c>
      <c r="M597" s="13" t="s">
        <v>2952</v>
      </c>
      <c r="N597" s="13" t="s">
        <v>2953</v>
      </c>
      <c r="O597" s="17" t="s">
        <v>2954</v>
      </c>
      <c r="P597" s="13" t="s">
        <v>340</v>
      </c>
      <c r="Q597" s="13" t="s">
        <v>618</v>
      </c>
      <c r="R597" s="13" t="str">
        <f>VLOOKUP(P597,'Dados das Regiões '!A:B,2,0)</f>
        <v>LONDRINA CENTRO</v>
      </c>
      <c r="S597" s="13" t="s">
        <v>2955</v>
      </c>
      <c r="T597" s="13"/>
      <c r="U597" s="79"/>
      <c r="V597" s="13" t="s">
        <v>2956</v>
      </c>
      <c r="W597" s="13" t="s">
        <v>2957</v>
      </c>
      <c r="X597" s="15">
        <v>0.5625</v>
      </c>
      <c r="Y597" s="16" t="s">
        <v>1415</v>
      </c>
      <c r="Z597" s="16" t="s">
        <v>622</v>
      </c>
      <c r="AA597" s="36" t="s">
        <v>1808</v>
      </c>
      <c r="AB597" s="164">
        <v>202400680</v>
      </c>
      <c r="AC597" s="55" t="s">
        <v>10</v>
      </c>
      <c r="AD597" s="40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</row>
    <row r="598" spans="1:44">
      <c r="A598" s="14"/>
      <c r="B598" s="13" t="str">
        <f t="shared" si="49"/>
        <v>Pendente</v>
      </c>
      <c r="C598" s="14" t="str">
        <f t="shared" si="50"/>
        <v/>
      </c>
      <c r="D598" s="13" t="s">
        <v>611</v>
      </c>
      <c r="E598" s="14" t="str">
        <f t="shared" si="51"/>
        <v/>
      </c>
      <c r="F598" s="13" t="s">
        <v>611</v>
      </c>
      <c r="G598" s="40">
        <v>202400680</v>
      </c>
      <c r="H598" s="13" t="s">
        <v>2958</v>
      </c>
      <c r="I598" s="13" t="s">
        <v>1176</v>
      </c>
      <c r="J598" s="14">
        <v>45509</v>
      </c>
      <c r="K598" s="14">
        <v>45870</v>
      </c>
      <c r="L598" s="13" t="s">
        <v>2959</v>
      </c>
      <c r="M598" s="13" t="s">
        <v>2960</v>
      </c>
      <c r="N598" s="13" t="s">
        <v>2961</v>
      </c>
      <c r="O598" s="17" t="s">
        <v>2962</v>
      </c>
      <c r="P598" s="13" t="s">
        <v>265</v>
      </c>
      <c r="Q598" s="13" t="s">
        <v>618</v>
      </c>
      <c r="R598" s="13" t="str">
        <f>VLOOKUP(P598,'Dados das Regiões '!A:B,2,0)</f>
        <v>FRANCISCO BELTRÃO</v>
      </c>
      <c r="S598" s="13" t="s">
        <v>2963</v>
      </c>
      <c r="T598" s="13"/>
      <c r="U598" s="79" t="s">
        <v>2964</v>
      </c>
      <c r="V598" s="13" t="s">
        <v>2965</v>
      </c>
      <c r="W598" s="13" t="s">
        <v>2966</v>
      </c>
      <c r="X598" s="15">
        <v>0.54166666666666663</v>
      </c>
      <c r="Y598" s="16" t="s">
        <v>1824</v>
      </c>
      <c r="Z598" s="16" t="s">
        <v>622</v>
      </c>
      <c r="AA598" s="36" t="s">
        <v>1808</v>
      </c>
      <c r="AB598" s="164">
        <v>202400680</v>
      </c>
      <c r="AC598" s="55" t="s">
        <v>10</v>
      </c>
      <c r="AD598" s="40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</row>
    <row r="599" spans="1:44">
      <c r="A599" s="14"/>
      <c r="B599" s="13" t="str">
        <f t="shared" si="49"/>
        <v>Pendente</v>
      </c>
      <c r="C599" s="14" t="str">
        <f t="shared" si="50"/>
        <v/>
      </c>
      <c r="D599" s="13" t="s">
        <v>611</v>
      </c>
      <c r="E599" s="14" t="str">
        <f t="shared" si="51"/>
        <v/>
      </c>
      <c r="F599" s="13" t="s">
        <v>611</v>
      </c>
      <c r="G599" s="40">
        <v>202400680</v>
      </c>
      <c r="H599" s="13" t="s">
        <v>2967</v>
      </c>
      <c r="I599" s="13" t="s">
        <v>1176</v>
      </c>
      <c r="J599" s="14">
        <v>45509</v>
      </c>
      <c r="K599" s="14">
        <v>45870</v>
      </c>
      <c r="L599" s="13" t="s">
        <v>1864</v>
      </c>
      <c r="M599" s="13" t="s">
        <v>2968</v>
      </c>
      <c r="N599" s="13" t="s">
        <v>2969</v>
      </c>
      <c r="O599" s="17" t="s">
        <v>2970</v>
      </c>
      <c r="P599" s="13" t="s">
        <v>146</v>
      </c>
      <c r="Q599" s="13" t="s">
        <v>618</v>
      </c>
      <c r="R599" s="13" t="str">
        <f>VLOOKUP(P599,'Dados das Regiões '!A:B,2,0)</f>
        <v>CAMPO MOURÃO</v>
      </c>
      <c r="S599" s="13" t="s">
        <v>2971</v>
      </c>
      <c r="T599" s="13"/>
      <c r="U599" s="79"/>
      <c r="V599" s="13" t="s">
        <v>2972</v>
      </c>
      <c r="W599" s="13" t="s">
        <v>2973</v>
      </c>
      <c r="X599" s="15">
        <v>0.5625</v>
      </c>
      <c r="Y599" s="16" t="s">
        <v>1415</v>
      </c>
      <c r="Z599" s="16" t="s">
        <v>622</v>
      </c>
      <c r="AA599" s="36" t="s">
        <v>1808</v>
      </c>
      <c r="AB599" s="164">
        <v>202400680</v>
      </c>
      <c r="AC599" s="55" t="s">
        <v>10</v>
      </c>
      <c r="AD599" s="40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</row>
    <row r="600" spans="1:44">
      <c r="A600" s="14"/>
      <c r="B600" s="13" t="str">
        <f t="shared" si="49"/>
        <v>Pendente</v>
      </c>
      <c r="C600" s="14" t="str">
        <f t="shared" si="50"/>
        <v/>
      </c>
      <c r="D600" s="13" t="s">
        <v>611</v>
      </c>
      <c r="E600" s="14" t="str">
        <f t="shared" si="51"/>
        <v/>
      </c>
      <c r="F600" s="13" t="s">
        <v>611</v>
      </c>
      <c r="G600" s="40">
        <v>202400680</v>
      </c>
      <c r="H600" s="13" t="s">
        <v>2982</v>
      </c>
      <c r="I600" s="13" t="s">
        <v>1176</v>
      </c>
      <c r="J600" s="14">
        <v>45509</v>
      </c>
      <c r="K600" s="14">
        <v>45870</v>
      </c>
      <c r="L600" s="13" t="s">
        <v>1864</v>
      </c>
      <c r="M600" s="13" t="s">
        <v>2983</v>
      </c>
      <c r="N600" s="13" t="s">
        <v>2984</v>
      </c>
      <c r="O600" s="17" t="s">
        <v>2985</v>
      </c>
      <c r="P600" s="13" t="s">
        <v>53</v>
      </c>
      <c r="Q600" s="13" t="s">
        <v>618</v>
      </c>
      <c r="R600" s="13" t="str">
        <f>VLOOKUP(P600,'Dados das Regiões '!A:B,2,0)</f>
        <v>GOIOERÊ</v>
      </c>
      <c r="S600" s="13" t="s">
        <v>2986</v>
      </c>
      <c r="T600" s="13"/>
      <c r="U600" s="79" t="s">
        <v>2987</v>
      </c>
      <c r="V600" s="13" t="s">
        <v>2988</v>
      </c>
      <c r="W600" s="13" t="s">
        <v>2989</v>
      </c>
      <c r="X600" s="15">
        <v>0.5625</v>
      </c>
      <c r="Y600" s="16" t="s">
        <v>1415</v>
      </c>
      <c r="Z600" s="16" t="s">
        <v>622</v>
      </c>
      <c r="AA600" s="36" t="s">
        <v>1808</v>
      </c>
      <c r="AB600" s="164">
        <v>202400680</v>
      </c>
      <c r="AC600" s="55" t="s">
        <v>10</v>
      </c>
      <c r="AD600" s="40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</row>
    <row r="601" spans="1:44">
      <c r="A601" s="14">
        <v>45868</v>
      </c>
      <c r="B601" s="13" t="str">
        <f t="shared" si="49"/>
        <v>Realizada</v>
      </c>
      <c r="C601" s="14">
        <f t="shared" si="50"/>
        <v>45960</v>
      </c>
      <c r="D601" s="13" t="s">
        <v>611</v>
      </c>
      <c r="E601" s="14">
        <f t="shared" si="51"/>
        <v>46052</v>
      </c>
      <c r="F601" s="13" t="s">
        <v>611</v>
      </c>
      <c r="G601" s="40">
        <v>202400680</v>
      </c>
      <c r="H601" s="13" t="s">
        <v>2990</v>
      </c>
      <c r="I601" s="13" t="s">
        <v>1176</v>
      </c>
      <c r="J601" s="14">
        <v>45509</v>
      </c>
      <c r="K601" s="14">
        <v>45870</v>
      </c>
      <c r="L601" s="13" t="s">
        <v>2991</v>
      </c>
      <c r="M601" s="13" t="s">
        <v>2992</v>
      </c>
      <c r="N601" s="13" t="s">
        <v>2993</v>
      </c>
      <c r="O601" s="17" t="s">
        <v>2994</v>
      </c>
      <c r="P601" s="13" t="s">
        <v>450</v>
      </c>
      <c r="Q601" s="13" t="s">
        <v>618</v>
      </c>
      <c r="R601" s="13" t="str">
        <f>VLOOKUP(P601,'Dados das Regiões '!A:B,2,0)</f>
        <v>PONTA GROSSA</v>
      </c>
      <c r="S601" s="13" t="s">
        <v>2995</v>
      </c>
      <c r="T601" s="13"/>
      <c r="U601" s="79" t="s">
        <v>2996</v>
      </c>
      <c r="V601" s="13" t="s">
        <v>2997</v>
      </c>
      <c r="W601" s="13" t="s">
        <v>2998</v>
      </c>
      <c r="X601" s="15">
        <v>0.375</v>
      </c>
      <c r="Y601" s="16" t="s">
        <v>2999</v>
      </c>
      <c r="Z601" s="16" t="s">
        <v>622</v>
      </c>
      <c r="AA601" s="36"/>
      <c r="AB601" s="164">
        <v>202400680</v>
      </c>
      <c r="AC601" s="55" t="s">
        <v>10</v>
      </c>
      <c r="AD601" s="40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</row>
    <row r="602" spans="1:44">
      <c r="A602" s="14">
        <v>45841</v>
      </c>
      <c r="B602" s="13" t="str">
        <f t="shared" si="49"/>
        <v>Realizada</v>
      </c>
      <c r="C602" s="14">
        <f t="shared" si="50"/>
        <v>45933</v>
      </c>
      <c r="D602" s="13" t="s">
        <v>611</v>
      </c>
      <c r="E602" s="14">
        <f t="shared" si="51"/>
        <v>46025</v>
      </c>
      <c r="F602" s="13" t="s">
        <v>611</v>
      </c>
      <c r="G602" s="40">
        <v>202400680</v>
      </c>
      <c r="H602" s="13" t="s">
        <v>3000</v>
      </c>
      <c r="I602" s="13" t="s">
        <v>1176</v>
      </c>
      <c r="J602" s="14">
        <v>45509</v>
      </c>
      <c r="K602" s="14">
        <v>45870</v>
      </c>
      <c r="L602" s="13" t="s">
        <v>1889</v>
      </c>
      <c r="M602" s="13" t="s">
        <v>3001</v>
      </c>
      <c r="N602" s="13" t="s">
        <v>3002</v>
      </c>
      <c r="O602" s="17" t="s">
        <v>3003</v>
      </c>
      <c r="P602" s="13" t="s">
        <v>210</v>
      </c>
      <c r="Q602" s="13" t="s">
        <v>618</v>
      </c>
      <c r="R602" s="13" t="str">
        <f>VLOOKUP(P602,'Dados das Regiões '!A:B,2,0)</f>
        <v>CASTRO</v>
      </c>
      <c r="S602" s="13" t="s">
        <v>3004</v>
      </c>
      <c r="T602" s="13"/>
      <c r="U602" s="79"/>
      <c r="V602" s="13" t="s">
        <v>3005</v>
      </c>
      <c r="W602" s="13" t="s">
        <v>3006</v>
      </c>
      <c r="X602" s="15">
        <v>0.60416666666666663</v>
      </c>
      <c r="Y602" s="16" t="s">
        <v>3007</v>
      </c>
      <c r="Z602" s="16" t="s">
        <v>622</v>
      </c>
      <c r="AA602" s="36" t="s">
        <v>1808</v>
      </c>
      <c r="AB602" s="164">
        <v>202400680</v>
      </c>
      <c r="AC602" s="55" t="s">
        <v>10</v>
      </c>
      <c r="AD602" s="40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</row>
    <row r="603" spans="1:44">
      <c r="A603" s="14">
        <v>45820</v>
      </c>
      <c r="B603" s="13" t="str">
        <f t="shared" si="49"/>
        <v>Realizada</v>
      </c>
      <c r="C603" s="14">
        <f t="shared" si="50"/>
        <v>45912</v>
      </c>
      <c r="D603" s="13" t="s">
        <v>611</v>
      </c>
      <c r="E603" s="14">
        <f t="shared" si="51"/>
        <v>46003</v>
      </c>
      <c r="F603" s="13" t="s">
        <v>611</v>
      </c>
      <c r="G603" s="40">
        <v>202400680</v>
      </c>
      <c r="H603" s="13" t="s">
        <v>3008</v>
      </c>
      <c r="I603" s="13" t="s">
        <v>1176</v>
      </c>
      <c r="J603" s="14">
        <v>45509</v>
      </c>
      <c r="K603" s="14">
        <v>45870</v>
      </c>
      <c r="L603" s="13" t="s">
        <v>2991</v>
      </c>
      <c r="M603" s="13" t="s">
        <v>3009</v>
      </c>
      <c r="N603" s="13" t="s">
        <v>3010</v>
      </c>
      <c r="O603" s="17" t="s">
        <v>3011</v>
      </c>
      <c r="P603" s="13" t="s">
        <v>455</v>
      </c>
      <c r="Q603" s="13" t="s">
        <v>618</v>
      </c>
      <c r="R603" s="13" t="str">
        <f>VLOOKUP(P603,'Dados das Regiões '!A:B,2,0)</f>
        <v>RIO NEGRO</v>
      </c>
      <c r="S603" s="13" t="s">
        <v>3012</v>
      </c>
      <c r="T603" s="13"/>
      <c r="U603" s="79"/>
      <c r="V603" s="13" t="s">
        <v>3013</v>
      </c>
      <c r="W603" s="13" t="s">
        <v>3014</v>
      </c>
      <c r="X603" s="15">
        <v>0.58333333333333337</v>
      </c>
      <c r="Y603" s="16" t="s">
        <v>1200</v>
      </c>
      <c r="Z603" s="16" t="s">
        <v>622</v>
      </c>
      <c r="AA603" s="36" t="s">
        <v>1808</v>
      </c>
      <c r="AB603" s="164">
        <v>202400680</v>
      </c>
      <c r="AC603" s="55" t="s">
        <v>10</v>
      </c>
      <c r="AD603" s="40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</row>
    <row r="604" spans="1:44">
      <c r="A604" s="58"/>
      <c r="B604" s="59" t="str">
        <f t="shared" si="49"/>
        <v>Pendente</v>
      </c>
      <c r="C604" s="58" t="str">
        <f t="shared" si="50"/>
        <v/>
      </c>
      <c r="D604" s="59" t="s">
        <v>611</v>
      </c>
      <c r="E604" s="58" t="str">
        <f t="shared" si="51"/>
        <v/>
      </c>
      <c r="F604" s="59" t="s">
        <v>611</v>
      </c>
      <c r="G604" s="60">
        <v>202400680</v>
      </c>
      <c r="H604" s="59" t="s">
        <v>3015</v>
      </c>
      <c r="I604" s="59" t="s">
        <v>1176</v>
      </c>
      <c r="J604" s="58">
        <v>45509</v>
      </c>
      <c r="K604" s="58">
        <v>45870</v>
      </c>
      <c r="L604" s="59" t="s">
        <v>2991</v>
      </c>
      <c r="M604" s="59" t="s">
        <v>3016</v>
      </c>
      <c r="N604" s="59" t="s">
        <v>3017</v>
      </c>
      <c r="O604" s="61" t="s">
        <v>3018</v>
      </c>
      <c r="P604" s="59" t="s">
        <v>211</v>
      </c>
      <c r="Q604" s="59" t="s">
        <v>618</v>
      </c>
      <c r="R604" s="59" t="str">
        <f>VLOOKUP(P604,'Dados das Regiões '!A:B,2,0)</f>
        <v>CASTRO</v>
      </c>
      <c r="S604" s="59" t="s">
        <v>3019</v>
      </c>
      <c r="T604" s="59"/>
      <c r="U604" s="81"/>
      <c r="V604" s="59" t="s">
        <v>3020</v>
      </c>
      <c r="W604" s="59" t="s">
        <v>3021</v>
      </c>
      <c r="X604" s="62">
        <v>0.36458333333333331</v>
      </c>
      <c r="Y604" s="63" t="s">
        <v>3022</v>
      </c>
      <c r="Z604" s="63" t="s">
        <v>622</v>
      </c>
      <c r="AA604" s="64" t="s">
        <v>1218</v>
      </c>
      <c r="AB604" s="168">
        <v>202400680</v>
      </c>
      <c r="AC604" s="55" t="s">
        <v>10</v>
      </c>
      <c r="AD604" s="40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</row>
    <row r="605" spans="1:44">
      <c r="A605" s="100"/>
      <c r="B605" s="101" t="str">
        <f t="shared" si="49"/>
        <v>Pendente</v>
      </c>
      <c r="C605" s="100" t="str">
        <f t="shared" si="50"/>
        <v/>
      </c>
      <c r="D605" s="101" t="s">
        <v>611</v>
      </c>
      <c r="E605" s="100" t="str">
        <f t="shared" si="51"/>
        <v/>
      </c>
      <c r="F605" s="101" t="s">
        <v>611</v>
      </c>
      <c r="G605" s="107">
        <v>202400680</v>
      </c>
      <c r="H605" s="101" t="s">
        <v>3023</v>
      </c>
      <c r="I605" s="101" t="s">
        <v>1176</v>
      </c>
      <c r="J605" s="100">
        <v>45509</v>
      </c>
      <c r="K605" s="100">
        <v>45870</v>
      </c>
      <c r="L605" s="101" t="s">
        <v>1889</v>
      </c>
      <c r="M605" s="101" t="s">
        <v>3024</v>
      </c>
      <c r="N605" s="101" t="s">
        <v>3025</v>
      </c>
      <c r="O605" s="102" t="s">
        <v>3026</v>
      </c>
      <c r="P605" s="101" t="s">
        <v>447</v>
      </c>
      <c r="Q605" s="101" t="s">
        <v>618</v>
      </c>
      <c r="R605" s="101" t="str">
        <f>VLOOKUP(P605,'Dados das Regiões '!A:B,2,0)</f>
        <v>PONTA GROSSA</v>
      </c>
      <c r="S605" s="101" t="s">
        <v>3027</v>
      </c>
      <c r="T605" s="101"/>
      <c r="U605" s="108"/>
      <c r="V605" s="101" t="s">
        <v>3028</v>
      </c>
      <c r="W605" s="101" t="s">
        <v>3029</v>
      </c>
      <c r="X605" s="103">
        <v>0.35416666666666669</v>
      </c>
      <c r="Y605" s="104" t="s">
        <v>3030</v>
      </c>
      <c r="Z605" s="104" t="s">
        <v>622</v>
      </c>
      <c r="AA605" s="105"/>
      <c r="AB605" s="165">
        <v>202400680</v>
      </c>
      <c r="AC605" s="120" t="s">
        <v>10</v>
      </c>
      <c r="AD605" s="40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</row>
    <row r="606" spans="1:44">
      <c r="A606" s="14"/>
      <c r="B606" s="13" t="str">
        <f t="shared" si="49"/>
        <v>Pendente</v>
      </c>
      <c r="C606" s="14" t="str">
        <f t="shared" si="50"/>
        <v/>
      </c>
      <c r="D606" s="13" t="s">
        <v>611</v>
      </c>
      <c r="E606" s="14" t="str">
        <f t="shared" si="51"/>
        <v/>
      </c>
      <c r="F606" s="13" t="s">
        <v>611</v>
      </c>
      <c r="G606" s="40">
        <v>202400680</v>
      </c>
      <c r="H606" s="13" t="s">
        <v>3031</v>
      </c>
      <c r="I606" s="13" t="s">
        <v>1176</v>
      </c>
      <c r="J606" s="14">
        <v>45509</v>
      </c>
      <c r="K606" s="14">
        <v>45870</v>
      </c>
      <c r="L606" s="13" t="s">
        <v>3032</v>
      </c>
      <c r="M606" s="13" t="s">
        <v>3033</v>
      </c>
      <c r="N606" s="13" t="s">
        <v>3034</v>
      </c>
      <c r="O606" s="17" t="s">
        <v>3035</v>
      </c>
      <c r="P606" s="13" t="s">
        <v>452</v>
      </c>
      <c r="Q606" s="13" t="s">
        <v>618</v>
      </c>
      <c r="R606" s="13" t="str">
        <f>VLOOKUP(P606,'Dados das Regiões '!A:B,2,0)</f>
        <v>PRUDENTÓPOLIS</v>
      </c>
      <c r="S606" s="13" t="s">
        <v>3036</v>
      </c>
      <c r="T606" s="13"/>
      <c r="U606" s="79"/>
      <c r="V606" s="13" t="s">
        <v>3037</v>
      </c>
      <c r="W606" s="13" t="s">
        <v>3038</v>
      </c>
      <c r="X606" s="15">
        <v>0.375</v>
      </c>
      <c r="Y606" s="16" t="s">
        <v>1896</v>
      </c>
      <c r="Z606" s="16" t="s">
        <v>622</v>
      </c>
      <c r="AA606" s="36" t="s">
        <v>1808</v>
      </c>
      <c r="AB606" s="164">
        <v>202400680</v>
      </c>
      <c r="AC606" s="55" t="s">
        <v>10</v>
      </c>
      <c r="AD606" s="40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</row>
    <row r="607" spans="1:44">
      <c r="A607" s="14"/>
      <c r="B607" s="13" t="str">
        <f t="shared" si="49"/>
        <v>Pendente</v>
      </c>
      <c r="C607" s="14" t="str">
        <f t="shared" si="50"/>
        <v/>
      </c>
      <c r="D607" s="13" t="s">
        <v>611</v>
      </c>
      <c r="E607" s="14" t="str">
        <f t="shared" si="51"/>
        <v/>
      </c>
      <c r="F607" s="13" t="s">
        <v>611</v>
      </c>
      <c r="G607" s="40">
        <v>202400679</v>
      </c>
      <c r="H607" s="13" t="s">
        <v>3039</v>
      </c>
      <c r="I607" s="13" t="s">
        <v>1176</v>
      </c>
      <c r="J607" s="14">
        <v>45509</v>
      </c>
      <c r="K607" s="14">
        <v>45870</v>
      </c>
      <c r="L607" s="13" t="s">
        <v>2891</v>
      </c>
      <c r="M607" s="13" t="s">
        <v>3040</v>
      </c>
      <c r="N607" s="13" t="s">
        <v>3041</v>
      </c>
      <c r="O607" s="17" t="s">
        <v>3042</v>
      </c>
      <c r="P607" s="13" t="s">
        <v>293</v>
      </c>
      <c r="Q607" s="13" t="s">
        <v>618</v>
      </c>
      <c r="R607" s="13" t="str">
        <f>VLOOKUP(P607,'Dados das Regiões '!A:B,2,0)</f>
        <v>GUARAPUAVA</v>
      </c>
      <c r="S607" s="13" t="s">
        <v>3043</v>
      </c>
      <c r="T607" s="13"/>
      <c r="U607" s="79" t="s">
        <v>3044</v>
      </c>
      <c r="V607" s="13" t="s">
        <v>3045</v>
      </c>
      <c r="W607" s="13" t="s">
        <v>3046</v>
      </c>
      <c r="X607" s="15">
        <v>0.54166666666666663</v>
      </c>
      <c r="Y607" s="16" t="s">
        <v>1824</v>
      </c>
      <c r="Z607" s="16" t="s">
        <v>622</v>
      </c>
      <c r="AA607" s="36" t="s">
        <v>1808</v>
      </c>
      <c r="AB607" s="164">
        <v>202400679</v>
      </c>
      <c r="AC607" s="55" t="s">
        <v>9</v>
      </c>
      <c r="AD607" s="40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</row>
    <row r="608" spans="1:44">
      <c r="A608" s="14"/>
      <c r="B608" s="13" t="str">
        <f t="shared" si="49"/>
        <v>Pendente</v>
      </c>
      <c r="C608" s="14" t="str">
        <f t="shared" si="50"/>
        <v/>
      </c>
      <c r="D608" s="13" t="s">
        <v>611</v>
      </c>
      <c r="E608" s="14" t="str">
        <f t="shared" si="51"/>
        <v/>
      </c>
      <c r="F608" s="13" t="s">
        <v>611</v>
      </c>
      <c r="G608" s="40">
        <v>202400679</v>
      </c>
      <c r="H608" s="13" t="s">
        <v>3047</v>
      </c>
      <c r="I608" s="13" t="s">
        <v>1176</v>
      </c>
      <c r="J608" s="14">
        <v>45509</v>
      </c>
      <c r="K608" s="14">
        <v>45870</v>
      </c>
      <c r="L608" s="13" t="s">
        <v>2891</v>
      </c>
      <c r="M608" s="13" t="s">
        <v>2892</v>
      </c>
      <c r="N608" s="13" t="s">
        <v>2893</v>
      </c>
      <c r="O608" s="17" t="s">
        <v>2894</v>
      </c>
      <c r="P608" s="13" t="s">
        <v>339</v>
      </c>
      <c r="Q608" s="13" t="s">
        <v>618</v>
      </c>
      <c r="R608" s="13" t="str">
        <f>VLOOKUP(P608,'Dados das Regiões '!A:B,2,0)</f>
        <v>LONDRINA CENTRO</v>
      </c>
      <c r="S608" s="13" t="s">
        <v>3048</v>
      </c>
      <c r="T608" s="13"/>
      <c r="U608" s="79" t="s">
        <v>3049</v>
      </c>
      <c r="V608" s="13" t="s">
        <v>3050</v>
      </c>
      <c r="W608" s="13" t="s">
        <v>3051</v>
      </c>
      <c r="X608" s="15">
        <v>0.5625</v>
      </c>
      <c r="Y608" s="16" t="s">
        <v>1415</v>
      </c>
      <c r="Z608" s="16" t="s">
        <v>622</v>
      </c>
      <c r="AA608" s="36" t="s">
        <v>1808</v>
      </c>
      <c r="AB608" s="164">
        <v>202400679</v>
      </c>
      <c r="AC608" s="55" t="s">
        <v>9</v>
      </c>
      <c r="AD608" s="40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</row>
    <row r="609" spans="1:44">
      <c r="A609" s="100"/>
      <c r="B609" s="101" t="str">
        <f t="shared" si="49"/>
        <v>Pendente</v>
      </c>
      <c r="C609" s="100" t="str">
        <f t="shared" si="50"/>
        <v/>
      </c>
      <c r="D609" s="101" t="s">
        <v>611</v>
      </c>
      <c r="E609" s="100" t="str">
        <f t="shared" si="51"/>
        <v/>
      </c>
      <c r="F609" s="101" t="s">
        <v>611</v>
      </c>
      <c r="G609" s="107">
        <v>202400679</v>
      </c>
      <c r="H609" s="101" t="s">
        <v>3052</v>
      </c>
      <c r="I609" s="101" t="s">
        <v>1176</v>
      </c>
      <c r="J609" s="100">
        <v>45509</v>
      </c>
      <c r="K609" s="100">
        <v>45870</v>
      </c>
      <c r="L609" s="101" t="s">
        <v>1185</v>
      </c>
      <c r="M609" s="101" t="s">
        <v>3053</v>
      </c>
      <c r="N609" s="101" t="s">
        <v>3054</v>
      </c>
      <c r="O609" s="101" t="s">
        <v>2204</v>
      </c>
      <c r="P609" s="101" t="s">
        <v>295</v>
      </c>
      <c r="Q609" s="101" t="s">
        <v>618</v>
      </c>
      <c r="R609" s="101" t="str">
        <f>VLOOKUP(P609,'Dados das Regiões '!A:B,2,0)</f>
        <v>GUARAPUAVA</v>
      </c>
      <c r="S609" s="101" t="s">
        <v>3055</v>
      </c>
      <c r="T609" s="101"/>
      <c r="U609" s="108" t="s">
        <v>3056</v>
      </c>
      <c r="V609" s="101" t="s">
        <v>3057</v>
      </c>
      <c r="W609" s="101" t="s">
        <v>3058</v>
      </c>
      <c r="X609" s="103">
        <v>0.33333333333333331</v>
      </c>
      <c r="Y609" s="104" t="s">
        <v>1438</v>
      </c>
      <c r="Z609" s="104" t="s">
        <v>622</v>
      </c>
      <c r="AA609" s="105" t="s">
        <v>1808</v>
      </c>
      <c r="AB609" s="165">
        <v>202400679</v>
      </c>
      <c r="AC609" s="120" t="s">
        <v>9</v>
      </c>
      <c r="AD609" s="40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</row>
    <row r="610" spans="1:44">
      <c r="A610" s="14"/>
      <c r="B610" s="13" t="str">
        <f t="shared" si="49"/>
        <v>Pendente</v>
      </c>
      <c r="C610" s="14" t="str">
        <f t="shared" si="50"/>
        <v/>
      </c>
      <c r="D610" s="13" t="s">
        <v>611</v>
      </c>
      <c r="E610" s="14" t="str">
        <f t="shared" si="51"/>
        <v/>
      </c>
      <c r="F610" s="13" t="s">
        <v>611</v>
      </c>
      <c r="G610" s="40">
        <v>202400671</v>
      </c>
      <c r="H610" s="13" t="s">
        <v>3059</v>
      </c>
      <c r="I610" s="13" t="s">
        <v>613</v>
      </c>
      <c r="J610" s="14">
        <v>45509</v>
      </c>
      <c r="K610" s="14">
        <v>45870</v>
      </c>
      <c r="L610" s="13" t="s">
        <v>1801</v>
      </c>
      <c r="M610" s="13" t="s">
        <v>3060</v>
      </c>
      <c r="N610" s="13" t="s">
        <v>3061</v>
      </c>
      <c r="O610" s="17" t="s">
        <v>3062</v>
      </c>
      <c r="P610" s="13" t="s">
        <v>120</v>
      </c>
      <c r="Q610" s="13" t="s">
        <v>618</v>
      </c>
      <c r="R610" s="13" t="str">
        <f>VLOOKUP(P610,'Dados das Regiões '!A:B,2,0)</f>
        <v>APUCARANA</v>
      </c>
      <c r="S610" s="13" t="s">
        <v>3063</v>
      </c>
      <c r="T610" s="13"/>
      <c r="U610" s="79"/>
      <c r="V610" s="13" t="s">
        <v>3064</v>
      </c>
      <c r="W610" s="13" t="s">
        <v>3065</v>
      </c>
      <c r="X610" s="15">
        <v>0.64583333333333337</v>
      </c>
      <c r="Y610" s="16" t="s">
        <v>1415</v>
      </c>
      <c r="Z610" s="16" t="s">
        <v>622</v>
      </c>
      <c r="AA610" s="36" t="s">
        <v>1808</v>
      </c>
      <c r="AB610" s="164">
        <v>202400671</v>
      </c>
      <c r="AC610" s="55" t="s">
        <v>6</v>
      </c>
      <c r="AD610" s="40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</row>
    <row r="611" spans="1:44">
      <c r="A611" s="100"/>
      <c r="B611" s="101" t="str">
        <f t="shared" si="49"/>
        <v>Pendente</v>
      </c>
      <c r="C611" s="100" t="str">
        <f t="shared" si="50"/>
        <v/>
      </c>
      <c r="D611" s="101" t="s">
        <v>611</v>
      </c>
      <c r="E611" s="100" t="str">
        <f t="shared" si="51"/>
        <v/>
      </c>
      <c r="F611" s="101" t="s">
        <v>611</v>
      </c>
      <c r="G611" s="107">
        <v>202400679</v>
      </c>
      <c r="H611" s="101" t="s">
        <v>3066</v>
      </c>
      <c r="I611" s="101" t="s">
        <v>1176</v>
      </c>
      <c r="J611" s="100">
        <v>45509</v>
      </c>
      <c r="K611" s="100">
        <v>45870</v>
      </c>
      <c r="L611" s="101" t="s">
        <v>2891</v>
      </c>
      <c r="M611" s="101" t="s">
        <v>3067</v>
      </c>
      <c r="N611" s="101" t="s">
        <v>3068</v>
      </c>
      <c r="O611" s="102" t="s">
        <v>3069</v>
      </c>
      <c r="P611" s="101" t="s">
        <v>295</v>
      </c>
      <c r="Q611" s="101" t="s">
        <v>618</v>
      </c>
      <c r="R611" s="101" t="str">
        <f>VLOOKUP(P611,'Dados das Regiões '!A:B,2,0)</f>
        <v>GUARAPUAVA</v>
      </c>
      <c r="S611" s="101" t="s">
        <v>3070</v>
      </c>
      <c r="T611" s="101"/>
      <c r="U611" s="108" t="s">
        <v>3071</v>
      </c>
      <c r="V611" s="101" t="s">
        <v>3072</v>
      </c>
      <c r="W611" s="101" t="s">
        <v>3073</v>
      </c>
      <c r="X611" s="103">
        <v>0.625</v>
      </c>
      <c r="Y611" s="104" t="s">
        <v>3074</v>
      </c>
      <c r="Z611" s="104" t="s">
        <v>622</v>
      </c>
      <c r="AA611" s="105" t="s">
        <v>1808</v>
      </c>
      <c r="AB611" s="165">
        <v>202400679</v>
      </c>
      <c r="AC611" s="120" t="s">
        <v>9</v>
      </c>
      <c r="AD611" s="40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</row>
    <row r="612" spans="1:44">
      <c r="A612" s="14">
        <v>45866</v>
      </c>
      <c r="B612" s="13" t="str">
        <f t="shared" si="49"/>
        <v>Realizada</v>
      </c>
      <c r="C612" s="14">
        <f t="shared" si="50"/>
        <v>45958</v>
      </c>
      <c r="D612" s="13" t="s">
        <v>611</v>
      </c>
      <c r="E612" s="14">
        <f t="shared" si="51"/>
        <v>46050</v>
      </c>
      <c r="F612" s="13" t="s">
        <v>611</v>
      </c>
      <c r="G612" s="40">
        <v>202400673</v>
      </c>
      <c r="H612" s="13" t="s">
        <v>3075</v>
      </c>
      <c r="I612" s="13" t="s">
        <v>1192</v>
      </c>
      <c r="J612" s="14">
        <v>45509</v>
      </c>
      <c r="K612" s="14">
        <v>45870</v>
      </c>
      <c r="L612" s="13" t="s">
        <v>1932</v>
      </c>
      <c r="M612" s="13" t="s">
        <v>1933</v>
      </c>
      <c r="N612" s="13" t="s">
        <v>1934</v>
      </c>
      <c r="O612" s="13" t="s">
        <v>1935</v>
      </c>
      <c r="P612" s="13" t="s">
        <v>446</v>
      </c>
      <c r="Q612" s="13" t="s">
        <v>618</v>
      </c>
      <c r="R612" s="13" t="str">
        <f>VLOOKUP(P612,'Dados das Regiões '!A:B,2,0)</f>
        <v>PONTA GROSSA</v>
      </c>
      <c r="S612" s="13" t="s">
        <v>1936</v>
      </c>
      <c r="T612" s="13"/>
      <c r="U612" s="79" t="s">
        <v>1937</v>
      </c>
      <c r="V612" s="13" t="s">
        <v>1937</v>
      </c>
      <c r="W612" s="13" t="s">
        <v>1938</v>
      </c>
      <c r="X612" s="15">
        <v>0.45833333333333331</v>
      </c>
      <c r="Y612" s="16" t="s">
        <v>3076</v>
      </c>
      <c r="Z612" s="16" t="s">
        <v>622</v>
      </c>
      <c r="AA612" s="36"/>
      <c r="AB612" s="164">
        <v>202400673</v>
      </c>
      <c r="AC612" s="55" t="s">
        <v>13</v>
      </c>
      <c r="AD612" s="40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</row>
    <row r="613" spans="1:44">
      <c r="A613" s="14">
        <v>45820</v>
      </c>
      <c r="B613" s="13" t="str">
        <f t="shared" si="49"/>
        <v>Realizada</v>
      </c>
      <c r="C613" s="14">
        <f t="shared" si="50"/>
        <v>45912</v>
      </c>
      <c r="D613" s="13" t="s">
        <v>611</v>
      </c>
      <c r="E613" s="14">
        <f t="shared" si="51"/>
        <v>46003</v>
      </c>
      <c r="F613" s="13" t="s">
        <v>611</v>
      </c>
      <c r="G613" s="40">
        <v>202400672</v>
      </c>
      <c r="H613" s="13" t="s">
        <v>3078</v>
      </c>
      <c r="I613" s="13" t="s">
        <v>1176</v>
      </c>
      <c r="J613" s="14">
        <v>45509</v>
      </c>
      <c r="K613" s="14">
        <v>45870</v>
      </c>
      <c r="L613" s="13" t="s">
        <v>1185</v>
      </c>
      <c r="M613" s="13" t="s">
        <v>3079</v>
      </c>
      <c r="N613" t="s">
        <v>3080</v>
      </c>
      <c r="O613" s="17" t="s">
        <v>3081</v>
      </c>
      <c r="P613" s="13" t="s">
        <v>455</v>
      </c>
      <c r="Q613" s="13" t="s">
        <v>618</v>
      </c>
      <c r="R613" s="13" t="str">
        <f>VLOOKUP(P613,'Dados das Regiões '!A:B,2,0)</f>
        <v>RIO NEGRO</v>
      </c>
      <c r="S613" s="13" t="s">
        <v>3082</v>
      </c>
      <c r="T613" s="13"/>
      <c r="U613" s="79" t="s">
        <v>3083</v>
      </c>
      <c r="V613" s="13" t="s">
        <v>3084</v>
      </c>
      <c r="W613" s="13" t="s">
        <v>3085</v>
      </c>
      <c r="X613" s="15">
        <v>0.58333333333333337</v>
      </c>
      <c r="Y613" s="16" t="s">
        <v>1200</v>
      </c>
      <c r="Z613" s="16" t="s">
        <v>622</v>
      </c>
      <c r="AA613" s="36" t="s">
        <v>1808</v>
      </c>
      <c r="AB613" s="164">
        <v>202400672</v>
      </c>
      <c r="AC613" s="55" t="s">
        <v>8</v>
      </c>
      <c r="AD613" s="40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</row>
    <row r="614" spans="1:44">
      <c r="A614" s="14">
        <v>45797</v>
      </c>
      <c r="B614" s="13" t="str">
        <f t="shared" ref="B614:B622" si="52">IF(ISBLANK(A614), "Pendente", "Realizada")</f>
        <v>Realizada</v>
      </c>
      <c r="C614" s="14">
        <f t="shared" ref="C614:C622" si="53">IF(A614="", "", EDATE(A614, 3))</f>
        <v>45889</v>
      </c>
      <c r="D614" s="13" t="s">
        <v>104</v>
      </c>
      <c r="E614" s="14">
        <v>45974</v>
      </c>
      <c r="F614" s="13" t="s">
        <v>104</v>
      </c>
      <c r="G614" s="40">
        <v>202500031</v>
      </c>
      <c r="H614" s="13" t="s">
        <v>3086</v>
      </c>
      <c r="I614" s="13" t="s">
        <v>1192</v>
      </c>
      <c r="J614" s="14">
        <v>45705</v>
      </c>
      <c r="K614" s="14">
        <v>46064</v>
      </c>
      <c r="L614" s="13" t="s">
        <v>565</v>
      </c>
      <c r="M614" s="13" t="s">
        <v>3087</v>
      </c>
      <c r="N614" s="13" t="s">
        <v>1913</v>
      </c>
      <c r="O614" s="13" t="s">
        <v>1914</v>
      </c>
      <c r="P614" s="79" t="s">
        <v>254</v>
      </c>
      <c r="Q614" s="13" t="s">
        <v>618</v>
      </c>
      <c r="R614" s="13" t="str">
        <f>VLOOKUP(P614,'Dados das Regiões '!A:B,2,0)</f>
        <v>CURITIBA PORTÃO</v>
      </c>
      <c r="S614" s="13" t="s">
        <v>3088</v>
      </c>
      <c r="T614" s="42"/>
      <c r="U614" s="79" t="s">
        <v>3089</v>
      </c>
      <c r="V614" s="13" t="s">
        <v>3090</v>
      </c>
      <c r="W614" s="13" t="s">
        <v>3091</v>
      </c>
      <c r="X614" s="15">
        <v>0.54166666666666663</v>
      </c>
      <c r="Y614" s="15">
        <v>0.625</v>
      </c>
      <c r="Z614" s="16" t="s">
        <v>622</v>
      </c>
      <c r="AA614" s="36"/>
      <c r="AB614" s="164">
        <v>202500031</v>
      </c>
      <c r="AC614" s="55" t="s">
        <v>23</v>
      </c>
    </row>
    <row r="615" spans="1:44">
      <c r="A615" s="14">
        <v>45797</v>
      </c>
      <c r="B615" s="13" t="str">
        <f t="shared" si="52"/>
        <v>Realizada</v>
      </c>
      <c r="C615" s="14">
        <f t="shared" si="53"/>
        <v>45889</v>
      </c>
      <c r="D615" s="13" t="s">
        <v>104</v>
      </c>
      <c r="E615" s="14">
        <v>45974</v>
      </c>
      <c r="F615" s="13" t="s">
        <v>104</v>
      </c>
      <c r="G615" s="40">
        <v>202500031</v>
      </c>
      <c r="H615" s="13" t="s">
        <v>3092</v>
      </c>
      <c r="I615" s="13" t="s">
        <v>1192</v>
      </c>
      <c r="J615" s="14">
        <v>45705</v>
      </c>
      <c r="K615" s="14">
        <v>46064</v>
      </c>
      <c r="L615" s="13" t="s">
        <v>565</v>
      </c>
      <c r="M615" s="13" t="s">
        <v>3087</v>
      </c>
      <c r="N615" s="13" t="s">
        <v>1913</v>
      </c>
      <c r="O615" s="13" t="s">
        <v>1914</v>
      </c>
      <c r="P615" s="79" t="s">
        <v>254</v>
      </c>
      <c r="Q615" s="13" t="s">
        <v>618</v>
      </c>
      <c r="R615" s="13" t="str">
        <f>VLOOKUP(P615,'Dados das Regiões '!A:B,2,0)</f>
        <v>CURITIBA PORTÃO</v>
      </c>
      <c r="S615" s="13" t="s">
        <v>3093</v>
      </c>
      <c r="T615" s="34"/>
      <c r="U615" s="79" t="s">
        <v>3089</v>
      </c>
      <c r="V615" s="13" t="s">
        <v>3090</v>
      </c>
      <c r="W615" s="13" t="s">
        <v>3091</v>
      </c>
      <c r="X615" s="15">
        <v>0.33333333333333331</v>
      </c>
      <c r="Y615" s="15">
        <v>0.41666666666666669</v>
      </c>
      <c r="Z615" s="16" t="s">
        <v>622</v>
      </c>
      <c r="AA615" s="36"/>
      <c r="AB615" s="164">
        <v>202500031</v>
      </c>
      <c r="AC615" s="55" t="s">
        <v>23</v>
      </c>
    </row>
    <row r="616" spans="1:44">
      <c r="A616" s="14">
        <v>45792</v>
      </c>
      <c r="B616" s="13" t="str">
        <f t="shared" si="52"/>
        <v>Realizada</v>
      </c>
      <c r="C616" s="14">
        <f t="shared" si="53"/>
        <v>45884</v>
      </c>
      <c r="D616" s="13" t="s">
        <v>104</v>
      </c>
      <c r="E616" s="14">
        <v>45978</v>
      </c>
      <c r="F616" s="13" t="s">
        <v>104</v>
      </c>
      <c r="G616" s="40">
        <v>202500031</v>
      </c>
      <c r="H616" s="13" t="s">
        <v>3094</v>
      </c>
      <c r="I616" s="13" t="s">
        <v>1192</v>
      </c>
      <c r="J616" s="14">
        <v>45705</v>
      </c>
      <c r="K616" s="14">
        <v>46064</v>
      </c>
      <c r="L616" s="13" t="s">
        <v>1278</v>
      </c>
      <c r="M616" s="13" t="s">
        <v>1279</v>
      </c>
      <c r="N616" s="13" t="s">
        <v>1280</v>
      </c>
      <c r="O616" s="13" t="s">
        <v>1281</v>
      </c>
      <c r="P616" s="79" t="s">
        <v>411</v>
      </c>
      <c r="Q616" s="13" t="s">
        <v>618</v>
      </c>
      <c r="R616" s="13" t="str">
        <f>VLOOKUP(P616,'Dados das Regiões '!A:B,2,0)</f>
        <v>PARANAGUÁ</v>
      </c>
      <c r="S616" s="13" t="s">
        <v>1282</v>
      </c>
      <c r="T616" s="34"/>
      <c r="U616" s="79" t="s">
        <v>1283</v>
      </c>
      <c r="V616" s="13" t="s">
        <v>3095</v>
      </c>
      <c r="W616" s="13" t="s">
        <v>1284</v>
      </c>
      <c r="X616" s="15">
        <v>0.58333333333333337</v>
      </c>
      <c r="Y616" s="15">
        <v>0.66666666666666663</v>
      </c>
      <c r="Z616" s="16" t="s">
        <v>622</v>
      </c>
      <c r="AA616" s="36"/>
      <c r="AB616" s="164">
        <v>202500031</v>
      </c>
      <c r="AC616" s="55" t="s">
        <v>23</v>
      </c>
    </row>
    <row r="617" spans="1:44">
      <c r="A617" s="14">
        <v>45792</v>
      </c>
      <c r="B617" s="13" t="str">
        <f t="shared" si="52"/>
        <v>Realizada</v>
      </c>
      <c r="C617" s="14">
        <f t="shared" si="53"/>
        <v>45884</v>
      </c>
      <c r="D617" s="13" t="s">
        <v>104</v>
      </c>
      <c r="E617" s="14">
        <v>45978</v>
      </c>
      <c r="F617" s="13" t="s">
        <v>104</v>
      </c>
      <c r="G617" s="40">
        <v>202500031</v>
      </c>
      <c r="H617" s="13" t="s">
        <v>3096</v>
      </c>
      <c r="I617" s="13" t="s">
        <v>1192</v>
      </c>
      <c r="J617" s="14">
        <v>45705</v>
      </c>
      <c r="K617" s="14">
        <v>46064</v>
      </c>
      <c r="L617" s="13" t="s">
        <v>1278</v>
      </c>
      <c r="M617" s="13" t="s">
        <v>1279</v>
      </c>
      <c r="N617" s="13" t="s">
        <v>1280</v>
      </c>
      <c r="O617" s="13" t="s">
        <v>1281</v>
      </c>
      <c r="P617" s="79" t="s">
        <v>411</v>
      </c>
      <c r="Q617" s="13" t="s">
        <v>618</v>
      </c>
      <c r="R617" s="13" t="str">
        <f>VLOOKUP(P617,'Dados das Regiões '!A:B,2,0)</f>
        <v>PARANAGUÁ</v>
      </c>
      <c r="S617" s="13" t="s">
        <v>1282</v>
      </c>
      <c r="T617" s="13"/>
      <c r="U617" s="79" t="s">
        <v>1283</v>
      </c>
      <c r="V617" s="13" t="s">
        <v>3095</v>
      </c>
      <c r="W617" s="13" t="s">
        <v>1284</v>
      </c>
      <c r="X617" s="15">
        <v>0.58333333333333337</v>
      </c>
      <c r="Y617" s="15">
        <v>0.66666666666666663</v>
      </c>
      <c r="Z617" s="16" t="s">
        <v>622</v>
      </c>
      <c r="AA617" s="36"/>
      <c r="AB617" s="164">
        <v>202500031</v>
      </c>
      <c r="AC617" s="55" t="s">
        <v>23</v>
      </c>
    </row>
    <row r="618" spans="1:44">
      <c r="A618" s="14">
        <v>45793</v>
      </c>
      <c r="B618" s="13" t="str">
        <f t="shared" si="52"/>
        <v>Realizada</v>
      </c>
      <c r="C618" s="14">
        <f t="shared" si="53"/>
        <v>45885</v>
      </c>
      <c r="D618" s="13" t="s">
        <v>104</v>
      </c>
      <c r="E618" s="14">
        <v>45979</v>
      </c>
      <c r="F618" s="13" t="s">
        <v>104</v>
      </c>
      <c r="G618" s="40">
        <v>202500031</v>
      </c>
      <c r="H618" s="13" t="s">
        <v>3097</v>
      </c>
      <c r="I618" s="13" t="s">
        <v>1192</v>
      </c>
      <c r="J618" s="14">
        <v>45705</v>
      </c>
      <c r="K618" s="14">
        <v>46064</v>
      </c>
      <c r="L618" s="13" t="s">
        <v>1288</v>
      </c>
      <c r="M618" s="13" t="s">
        <v>1289</v>
      </c>
      <c r="N618" s="13" t="s">
        <v>1290</v>
      </c>
      <c r="O618" s="13" t="s">
        <v>1291</v>
      </c>
      <c r="P618" s="79" t="s">
        <v>385</v>
      </c>
      <c r="Q618" s="13" t="s">
        <v>618</v>
      </c>
      <c r="R618" s="13" t="str">
        <f>VLOOKUP(P618,'Dados das Regiões '!A:B,2,0)</f>
        <v>MATINHOS CAIOBÁ</v>
      </c>
      <c r="S618" s="13" t="s">
        <v>1292</v>
      </c>
      <c r="T618" s="13"/>
      <c r="U618" s="79" t="s">
        <v>1293</v>
      </c>
      <c r="V618" s="13" t="s">
        <v>3098</v>
      </c>
      <c r="W618" s="13" t="s">
        <v>3099</v>
      </c>
      <c r="X618" s="15">
        <v>0.58333333333333337</v>
      </c>
      <c r="Y618" s="15">
        <v>0.66666666666666663</v>
      </c>
      <c r="Z618" s="16" t="s">
        <v>622</v>
      </c>
      <c r="AA618" s="36"/>
      <c r="AB618" s="164">
        <v>202500031</v>
      </c>
      <c r="AC618" s="55" t="s">
        <v>23</v>
      </c>
    </row>
    <row r="619" spans="1:44">
      <c r="A619" s="14">
        <v>45793</v>
      </c>
      <c r="B619" s="13" t="str">
        <f t="shared" si="52"/>
        <v>Realizada</v>
      </c>
      <c r="C619" s="14">
        <f t="shared" si="53"/>
        <v>45885</v>
      </c>
      <c r="D619" s="13" t="s">
        <v>104</v>
      </c>
      <c r="E619" s="14">
        <v>45979</v>
      </c>
      <c r="F619" s="13" t="s">
        <v>104</v>
      </c>
      <c r="G619" s="40">
        <v>202500031</v>
      </c>
      <c r="H619" s="13" t="s">
        <v>3100</v>
      </c>
      <c r="I619" s="13" t="s">
        <v>1192</v>
      </c>
      <c r="J619" s="14">
        <v>45705</v>
      </c>
      <c r="K619" s="14">
        <v>46064</v>
      </c>
      <c r="L619" s="13" t="s">
        <v>1288</v>
      </c>
      <c r="M619" s="13" t="s">
        <v>1289</v>
      </c>
      <c r="N619" s="13" t="s">
        <v>1290</v>
      </c>
      <c r="O619" s="13" t="s">
        <v>1291</v>
      </c>
      <c r="P619" s="79" t="s">
        <v>385</v>
      </c>
      <c r="Q619" s="13" t="s">
        <v>618</v>
      </c>
      <c r="R619" s="13" t="str">
        <f>VLOOKUP(P619,'Dados das Regiões '!A:B,2,0)</f>
        <v>MATINHOS CAIOBÁ</v>
      </c>
      <c r="S619" s="13" t="s">
        <v>1292</v>
      </c>
      <c r="T619" s="13"/>
      <c r="U619" s="79" t="s">
        <v>1293</v>
      </c>
      <c r="V619" s="13" t="s">
        <v>3098</v>
      </c>
      <c r="W619" s="13" t="s">
        <v>3099</v>
      </c>
      <c r="X619" s="15">
        <v>0.66666666666666663</v>
      </c>
      <c r="Y619" s="15">
        <v>0.58333333333333337</v>
      </c>
      <c r="Z619" s="16" t="s">
        <v>622</v>
      </c>
      <c r="AA619" s="36"/>
      <c r="AB619" s="164">
        <v>202500031</v>
      </c>
      <c r="AC619" s="55" t="s">
        <v>23</v>
      </c>
    </row>
    <row r="620" spans="1:44">
      <c r="A620" s="14">
        <v>45793</v>
      </c>
      <c r="B620" s="13" t="str">
        <f t="shared" si="52"/>
        <v>Realizada</v>
      </c>
      <c r="C620" s="14">
        <f t="shared" si="53"/>
        <v>45885</v>
      </c>
      <c r="D620" s="13" t="s">
        <v>104</v>
      </c>
      <c r="E620" s="14">
        <v>45979</v>
      </c>
      <c r="F620" s="13" t="s">
        <v>104</v>
      </c>
      <c r="G620" s="40">
        <v>202500031</v>
      </c>
      <c r="H620" s="13" t="s">
        <v>3101</v>
      </c>
      <c r="I620" s="13" t="s">
        <v>1192</v>
      </c>
      <c r="J620" s="14">
        <v>45705</v>
      </c>
      <c r="K620" s="14">
        <v>46064</v>
      </c>
      <c r="L620" s="13" t="s">
        <v>1288</v>
      </c>
      <c r="M620" s="13" t="s">
        <v>1289</v>
      </c>
      <c r="N620" s="13" t="s">
        <v>1290</v>
      </c>
      <c r="O620" s="13" t="s">
        <v>1291</v>
      </c>
      <c r="P620" s="79" t="s">
        <v>385</v>
      </c>
      <c r="Q620" s="13" t="s">
        <v>618</v>
      </c>
      <c r="R620" s="13" t="str">
        <f>VLOOKUP(P620,'Dados das Regiões '!A:B,2,0)</f>
        <v>MATINHOS CAIOBÁ</v>
      </c>
      <c r="S620" s="13" t="s">
        <v>1292</v>
      </c>
      <c r="T620" s="13"/>
      <c r="U620" s="79" t="s">
        <v>1293</v>
      </c>
      <c r="V620" s="13" t="s">
        <v>3098</v>
      </c>
      <c r="W620" s="13" t="s">
        <v>3099</v>
      </c>
      <c r="X620" s="15">
        <v>0.66666666666666663</v>
      </c>
      <c r="Y620" s="15">
        <v>0.58333333333333337</v>
      </c>
      <c r="Z620" s="16" t="s">
        <v>622</v>
      </c>
      <c r="AA620" s="36"/>
      <c r="AB620" s="164">
        <v>202500031</v>
      </c>
      <c r="AC620" s="55" t="s">
        <v>23</v>
      </c>
    </row>
    <row r="621" spans="1:44">
      <c r="A621" s="14">
        <v>45793</v>
      </c>
      <c r="B621" s="13" t="str">
        <f t="shared" si="52"/>
        <v>Realizada</v>
      </c>
      <c r="C621" s="14">
        <f t="shared" si="53"/>
        <v>45885</v>
      </c>
      <c r="D621" s="13" t="s">
        <v>104</v>
      </c>
      <c r="E621" s="14">
        <v>45979</v>
      </c>
      <c r="F621" s="13" t="s">
        <v>104</v>
      </c>
      <c r="G621" s="40">
        <v>202500031</v>
      </c>
      <c r="H621" s="13" t="s">
        <v>3102</v>
      </c>
      <c r="I621" s="13" t="s">
        <v>1192</v>
      </c>
      <c r="J621" s="14">
        <v>45705</v>
      </c>
      <c r="K621" s="14">
        <v>46064</v>
      </c>
      <c r="L621" s="13" t="s">
        <v>1288</v>
      </c>
      <c r="M621" s="13" t="s">
        <v>1289</v>
      </c>
      <c r="N621" s="13" t="s">
        <v>1290</v>
      </c>
      <c r="O621" s="13" t="s">
        <v>1291</v>
      </c>
      <c r="P621" s="79" t="s">
        <v>385</v>
      </c>
      <c r="Q621" s="13" t="s">
        <v>618</v>
      </c>
      <c r="R621" s="13" t="str">
        <f>VLOOKUP(P621,'Dados das Regiões '!A:B,2,0)</f>
        <v>MATINHOS CAIOBÁ</v>
      </c>
      <c r="S621" s="13" t="s">
        <v>1292</v>
      </c>
      <c r="T621" s="13"/>
      <c r="U621" s="79" t="s">
        <v>1293</v>
      </c>
      <c r="V621" s="13" t="s">
        <v>3098</v>
      </c>
      <c r="W621" s="13" t="s">
        <v>3099</v>
      </c>
      <c r="X621" s="15">
        <v>0.58333333333333337</v>
      </c>
      <c r="Y621" s="15">
        <v>0.66666666666666663</v>
      </c>
      <c r="Z621" s="16" t="s">
        <v>622</v>
      </c>
      <c r="AA621" s="36"/>
      <c r="AB621" s="164">
        <v>202500031</v>
      </c>
      <c r="AC621" s="55" t="s">
        <v>23</v>
      </c>
    </row>
    <row r="622" spans="1:44">
      <c r="A622" s="14">
        <v>45793</v>
      </c>
      <c r="B622" s="13" t="str">
        <f t="shared" si="52"/>
        <v>Realizada</v>
      </c>
      <c r="C622" s="14">
        <f t="shared" si="53"/>
        <v>45885</v>
      </c>
      <c r="D622" s="13" t="s">
        <v>104</v>
      </c>
      <c r="E622" s="14">
        <v>45979</v>
      </c>
      <c r="F622" s="13" t="s">
        <v>104</v>
      </c>
      <c r="G622" s="40">
        <v>202500120</v>
      </c>
      <c r="H622" s="13" t="s">
        <v>3103</v>
      </c>
      <c r="I622" s="13" t="s">
        <v>1176</v>
      </c>
      <c r="J622" s="14">
        <v>45705</v>
      </c>
      <c r="K622" s="14">
        <v>46064</v>
      </c>
      <c r="L622" s="13" t="s">
        <v>2891</v>
      </c>
      <c r="M622" s="13" t="s">
        <v>3104</v>
      </c>
      <c r="N622" s="13" t="s">
        <v>3105</v>
      </c>
      <c r="O622" s="13" t="s">
        <v>1291</v>
      </c>
      <c r="P622" s="79" t="s">
        <v>385</v>
      </c>
      <c r="Q622" s="13" t="s">
        <v>618</v>
      </c>
      <c r="R622" s="13" t="str">
        <f>VLOOKUP(P622,'Dados das Regiões '!A:B,2,0)</f>
        <v>MATINHOS CAIOBÁ</v>
      </c>
      <c r="S622" s="13" t="s">
        <v>3106</v>
      </c>
      <c r="T622" s="13"/>
      <c r="U622" s="79" t="s">
        <v>3107</v>
      </c>
      <c r="V622" s="13" t="s">
        <v>3108</v>
      </c>
      <c r="W622" s="13" t="s">
        <v>3109</v>
      </c>
      <c r="X622" s="15">
        <v>0.58333333333333337</v>
      </c>
      <c r="Y622" s="15">
        <v>0.66666666666666663</v>
      </c>
      <c r="Z622" s="16" t="s">
        <v>622</v>
      </c>
      <c r="AA622" s="36"/>
      <c r="AB622" s="164">
        <v>202500120</v>
      </c>
      <c r="AC622" s="55" t="s">
        <v>27</v>
      </c>
    </row>
  </sheetData>
  <protectedRanges>
    <protectedRange sqref="A6:AC7" name="Range1_3"/>
    <protectedRange sqref="A8:AC15" name="Range1_4"/>
    <protectedRange sqref="O38:O141 O143:O144 P38:Z40 P41:AB43 AA39:AB40 AC39:AC43 A16:AC36 A37:Z37 A38:N144 AA37:AC38 P44:AC209 A145:O209" name="Range1_5"/>
    <protectedRange sqref="A210:AC212" name="Range1_6"/>
    <protectedRange sqref="A213:AC213" name="Range1_7"/>
    <protectedRange sqref="A214:AC214" name="Range1_8"/>
    <protectedRange sqref="A215:AC215 AE215:AK215" name="Range1_20"/>
    <protectedRange sqref="A216:AC217 AE216:AK217" name="Range1_21"/>
    <protectedRange sqref="A218:AC219 AE218:AK219" name="Range1_22"/>
    <protectedRange sqref="A220:AC227 AE220:AK227" name="Range1_23"/>
    <protectedRange sqref="A228:AC230 AE228:AK230" name="Range1_24"/>
    <protectedRange sqref="O349:O350 P249:Z251 P252:AB254 AA250:AB251 AC250:AC254 A248:Z248 AA248:AC249 O309:O347 A309:N350 A385:AC413 P255:AC283 A249:O283 A284:AC308 A351:O384 P309:AC384 A231:AC247 AE231:AK413" name="Range1_25"/>
    <protectedRange sqref="A414:AC416 AE414:AK416" name="Range1_26"/>
    <protectedRange sqref="A417:AC417 AE417:AK417" name="Range1_27"/>
    <protectedRange sqref="A418:AC481" name="Range1_9"/>
    <protectedRange sqref="A482:AC482" name="Range1_10"/>
    <protectedRange sqref="AD483:AD484" name="Range1_13"/>
    <protectedRange sqref="A483:AC483" name="Range1_12"/>
    <protectedRange sqref="A484:AC484" name="Range1_15"/>
    <protectedRange sqref="A485:AJ486" name="Range1"/>
    <protectedRange sqref="A487:AJ507" name="Range1_1"/>
    <protectedRange sqref="A508:AJ514" name="Range1_2_1"/>
    <protectedRange sqref="U518:AJ521 A518:R521 A515:AJ517" name="Range1_3_1"/>
    <protectedRange sqref="A522:AJ522" name="Range1_4_1"/>
    <protectedRange sqref="AE523:AJ523 A523:AC523" name="Range1_5_1"/>
    <protectedRange sqref="A524:AJ613" name="Range1_14"/>
    <protectedRange sqref="A614:AJ614" name="Range1_16"/>
    <protectedRange sqref="A615:AJ615" name="Range1_17"/>
    <protectedRange sqref="A616:AJ617" name="Range1_18"/>
    <protectedRange sqref="A618:AJ618" name="Range1_19"/>
    <protectedRange sqref="A619:AJ621" name="Range1_28"/>
    <protectedRange sqref="A622:AJ622" name="Range1_29"/>
  </protectedRanges>
  <autoFilter ref="A1:AC613" xr:uid="{4DC9FBE2-7A90-46EF-9C02-C6827873DBE5}">
    <sortState xmlns:xlrd2="http://schemas.microsoft.com/office/spreadsheetml/2017/richdata2" ref="A2:AC613">
      <sortCondition descending="1" ref="K1:K613"/>
    </sortState>
  </autoFilter>
  <conditionalFormatting sqref="B1:B18 D1:D18 F1:F18 B20:B53 D20:D53 F20:F53 B55:B214 D55:D214 F55:F214 B418:B482 D418:D482 F418:F482 B524:B613 D524:D613 F524:F613">
    <cfRule type="containsBlanks" dxfId="426" priority="243">
      <formula>LEN(TRIM(B1))=0</formula>
    </cfRule>
    <cfRule type="containsText" dxfId="425" priority="244" operator="containsText" text="Pendente">
      <formula>NOT(ISERROR(SEARCH("Pendente",B1)))</formula>
    </cfRule>
    <cfRule type="containsText" dxfId="424" priority="245" operator="containsText" text="Realizada">
      <formula>NOT(ISERROR(SEARCH("Realizada",B1)))</formula>
    </cfRule>
  </conditionalFormatting>
  <conditionalFormatting sqref="H1:H214">
    <cfRule type="duplicateValues" dxfId="423" priority="239"/>
  </conditionalFormatting>
  <conditionalFormatting sqref="J1:J214 J418:J482 J524:J613">
    <cfRule type="cellIs" dxfId="422" priority="246" operator="equal">
      <formula>45733</formula>
    </cfRule>
  </conditionalFormatting>
  <conditionalFormatting sqref="M1:M214">
    <cfRule type="duplicateValues" dxfId="421" priority="240"/>
  </conditionalFormatting>
  <conditionalFormatting sqref="M139:M214 M1:M137">
    <cfRule type="duplicateValues" dxfId="420" priority="241"/>
  </conditionalFormatting>
  <conditionalFormatting sqref="N1:N214">
    <cfRule type="duplicateValues" dxfId="419" priority="248"/>
  </conditionalFormatting>
  <conditionalFormatting sqref="N1:O141 N142 N143:O214 N524:O529">
    <cfRule type="cellIs" dxfId="418" priority="247" operator="equal">
      <formula>0</formula>
    </cfRule>
  </conditionalFormatting>
  <conditionalFormatting sqref="AA1:AA214 AA418:AA482 AA524:AA613">
    <cfRule type="notContainsBlanks" dxfId="417" priority="242" stopIfTrue="1">
      <formula>LEN(TRIM(AA1))&gt;0</formula>
    </cfRule>
  </conditionalFormatting>
  <conditionalFormatting sqref="B215 D215 F215">
    <cfRule type="containsBlanks" dxfId="416" priority="233">
      <formula>LEN(TRIM(B215))=0</formula>
    </cfRule>
    <cfRule type="containsText" dxfId="415" priority="234" operator="containsText" text="Pendente">
      <formula>NOT(ISERROR(SEARCH("Pendente",B215)))</formula>
    </cfRule>
    <cfRule type="containsText" dxfId="414" priority="235" operator="containsText" text="Realizada">
      <formula>NOT(ISERROR(SEARCH("Realizada",B215)))</formula>
    </cfRule>
  </conditionalFormatting>
  <conditionalFormatting sqref="H215">
    <cfRule type="duplicateValues" dxfId="413" priority="230"/>
  </conditionalFormatting>
  <conditionalFormatting sqref="J215">
    <cfRule type="cellIs" dxfId="412" priority="236" operator="equal">
      <formula>45733</formula>
    </cfRule>
  </conditionalFormatting>
  <conditionalFormatting sqref="K215 K418:K482">
    <cfRule type="cellIs" dxfId="411" priority="228" operator="equal">
      <formula>45870</formula>
    </cfRule>
  </conditionalFormatting>
  <conditionalFormatting sqref="M215">
    <cfRule type="duplicateValues" dxfId="410" priority="231"/>
  </conditionalFormatting>
  <conditionalFormatting sqref="M215">
    <cfRule type="duplicateValues" dxfId="409" priority="232"/>
  </conditionalFormatting>
  <conditionalFormatting sqref="N215:O215">
    <cfRule type="cellIs" dxfId="408" priority="237" operator="equal">
      <formula>0</formula>
    </cfRule>
  </conditionalFormatting>
  <conditionalFormatting sqref="AA215">
    <cfRule type="notContainsBlanks" dxfId="407" priority="229" stopIfTrue="1">
      <formula>LEN(TRIM(AA215))&gt;0</formula>
    </cfRule>
  </conditionalFormatting>
  <conditionalFormatting sqref="N215">
    <cfRule type="duplicateValues" dxfId="406" priority="238"/>
  </conditionalFormatting>
  <conditionalFormatting sqref="B216:B217 D216:D217 F216:F217">
    <cfRule type="containsBlanks" dxfId="405" priority="219">
      <formula>LEN(TRIM(B216))=0</formula>
    </cfRule>
    <cfRule type="containsText" dxfId="404" priority="220" operator="containsText" text="Pendente">
      <formula>NOT(ISERROR(SEARCH("Pendente",B216)))</formula>
    </cfRule>
    <cfRule type="containsText" dxfId="403" priority="221" operator="containsText" text="Realizada">
      <formula>NOT(ISERROR(SEARCH("Realizada",B216)))</formula>
    </cfRule>
  </conditionalFormatting>
  <conditionalFormatting sqref="H216:H217">
    <cfRule type="duplicateValues" dxfId="402" priority="216"/>
  </conditionalFormatting>
  <conditionalFormatting sqref="J216:J217">
    <cfRule type="cellIs" dxfId="401" priority="222" operator="equal">
      <formula>45733</formula>
    </cfRule>
  </conditionalFormatting>
  <conditionalFormatting sqref="K216:K217">
    <cfRule type="cellIs" dxfId="400" priority="214" operator="equal">
      <formula>45870</formula>
    </cfRule>
  </conditionalFormatting>
  <conditionalFormatting sqref="M216:M217">
    <cfRule type="duplicateValues" dxfId="399" priority="217"/>
  </conditionalFormatting>
  <conditionalFormatting sqref="M216:M217">
    <cfRule type="duplicateValues" dxfId="398" priority="218"/>
  </conditionalFormatting>
  <conditionalFormatting sqref="N216:O217">
    <cfRule type="cellIs" dxfId="397" priority="223" operator="equal">
      <formula>0</formula>
    </cfRule>
  </conditionalFormatting>
  <conditionalFormatting sqref="AA216:AA217">
    <cfRule type="notContainsBlanks" dxfId="396" priority="215" stopIfTrue="1">
      <formula>LEN(TRIM(AA216))&gt;0</formula>
    </cfRule>
  </conditionalFormatting>
  <conditionalFormatting sqref="N216:N217">
    <cfRule type="duplicateValues" dxfId="395" priority="224"/>
  </conditionalFormatting>
  <conditionalFormatting sqref="B218:B219 D218:D219 F218:F219">
    <cfRule type="containsBlanks" dxfId="394" priority="205">
      <formula>LEN(TRIM(B218))=0</formula>
    </cfRule>
    <cfRule type="containsText" dxfId="393" priority="206" operator="containsText" text="Pendente">
      <formula>NOT(ISERROR(SEARCH("Pendente",B218)))</formula>
    </cfRule>
    <cfRule type="containsText" dxfId="392" priority="207" operator="containsText" text="Realizada">
      <formula>NOT(ISERROR(SEARCH("Realizada",B218)))</formula>
    </cfRule>
  </conditionalFormatting>
  <conditionalFormatting sqref="H218:H219">
    <cfRule type="duplicateValues" dxfId="391" priority="202"/>
  </conditionalFormatting>
  <conditionalFormatting sqref="J218:J219">
    <cfRule type="cellIs" dxfId="390" priority="208" operator="equal">
      <formula>45733</formula>
    </cfRule>
  </conditionalFormatting>
  <conditionalFormatting sqref="K218:K219">
    <cfRule type="cellIs" dxfId="389" priority="200" operator="equal">
      <formula>45870</formula>
    </cfRule>
  </conditionalFormatting>
  <conditionalFormatting sqref="M218:M219">
    <cfRule type="duplicateValues" dxfId="388" priority="203"/>
  </conditionalFormatting>
  <conditionalFormatting sqref="M218:M219">
    <cfRule type="duplicateValues" dxfId="387" priority="204"/>
  </conditionalFormatting>
  <conditionalFormatting sqref="N218:O219">
    <cfRule type="cellIs" dxfId="386" priority="209" operator="equal">
      <formula>0</formula>
    </cfRule>
  </conditionalFormatting>
  <conditionalFormatting sqref="AA218:AA219">
    <cfRule type="notContainsBlanks" dxfId="385" priority="201" stopIfTrue="1">
      <formula>LEN(TRIM(AA218))&gt;0</formula>
    </cfRule>
  </conditionalFormatting>
  <conditionalFormatting sqref="N218:N219">
    <cfRule type="duplicateValues" dxfId="384" priority="210"/>
  </conditionalFormatting>
  <conditionalFormatting sqref="B220:B227 D220:D227 F220:F227">
    <cfRule type="containsBlanks" dxfId="383" priority="191">
      <formula>LEN(TRIM(B220))=0</formula>
    </cfRule>
    <cfRule type="containsText" dxfId="382" priority="192" operator="containsText" text="Pendente">
      <formula>NOT(ISERROR(SEARCH("Pendente",B220)))</formula>
    </cfRule>
    <cfRule type="containsText" dxfId="381" priority="193" operator="containsText" text="Realizada">
      <formula>NOT(ISERROR(SEARCH("Realizada",B220)))</formula>
    </cfRule>
  </conditionalFormatting>
  <conditionalFormatting sqref="H220:H227">
    <cfRule type="duplicateValues" dxfId="380" priority="188"/>
  </conditionalFormatting>
  <conditionalFormatting sqref="J220:J227">
    <cfRule type="cellIs" dxfId="379" priority="194" operator="equal">
      <formula>45733</formula>
    </cfRule>
  </conditionalFormatting>
  <conditionalFormatting sqref="K220:K227">
    <cfRule type="cellIs" dxfId="378" priority="186" operator="equal">
      <formula>45870</formula>
    </cfRule>
  </conditionalFormatting>
  <conditionalFormatting sqref="M220:M227">
    <cfRule type="duplicateValues" dxfId="377" priority="189"/>
  </conditionalFormatting>
  <conditionalFormatting sqref="M220:M227">
    <cfRule type="duplicateValues" dxfId="376" priority="190"/>
  </conditionalFormatting>
  <conditionalFormatting sqref="N220:O227">
    <cfRule type="cellIs" dxfId="375" priority="195" operator="equal">
      <formula>0</formula>
    </cfRule>
  </conditionalFormatting>
  <conditionalFormatting sqref="AA220:AA227">
    <cfRule type="notContainsBlanks" dxfId="374" priority="187" stopIfTrue="1">
      <formula>LEN(TRIM(AA220))&gt;0</formula>
    </cfRule>
  </conditionalFormatting>
  <conditionalFormatting sqref="N220:N227">
    <cfRule type="duplicateValues" dxfId="373" priority="196"/>
  </conditionalFormatting>
  <conditionalFormatting sqref="B228:B230 D228:D230 F228:F230">
    <cfRule type="containsBlanks" dxfId="372" priority="177">
      <formula>LEN(TRIM(B228))=0</formula>
    </cfRule>
    <cfRule type="containsText" dxfId="371" priority="178" operator="containsText" text="Pendente">
      <formula>NOT(ISERROR(SEARCH("Pendente",B228)))</formula>
    </cfRule>
    <cfRule type="containsText" dxfId="370" priority="179" operator="containsText" text="Realizada">
      <formula>NOT(ISERROR(SEARCH("Realizada",B228)))</formula>
    </cfRule>
  </conditionalFormatting>
  <conditionalFormatting sqref="H228:H230">
    <cfRule type="duplicateValues" dxfId="369" priority="174"/>
  </conditionalFormatting>
  <conditionalFormatting sqref="J228:J230">
    <cfRule type="cellIs" dxfId="368" priority="180" operator="equal">
      <formula>45733</formula>
    </cfRule>
  </conditionalFormatting>
  <conditionalFormatting sqref="K228:K230">
    <cfRule type="cellIs" dxfId="367" priority="172" operator="equal">
      <formula>45870</formula>
    </cfRule>
  </conditionalFormatting>
  <conditionalFormatting sqref="M228:M230">
    <cfRule type="duplicateValues" dxfId="366" priority="175"/>
  </conditionalFormatting>
  <conditionalFormatting sqref="M228:M230">
    <cfRule type="duplicateValues" dxfId="365" priority="176"/>
  </conditionalFormatting>
  <conditionalFormatting sqref="N228:O230">
    <cfRule type="cellIs" dxfId="364" priority="181" operator="equal">
      <formula>0</formula>
    </cfRule>
  </conditionalFormatting>
  <conditionalFormatting sqref="AA228:AA230">
    <cfRule type="notContainsBlanks" dxfId="363" priority="173" stopIfTrue="1">
      <formula>LEN(TRIM(AA228))&gt;0</formula>
    </cfRule>
  </conditionalFormatting>
  <conditionalFormatting sqref="N228:N230">
    <cfRule type="duplicateValues" dxfId="362" priority="182"/>
  </conditionalFormatting>
  <conditionalFormatting sqref="B266:B413 D266:D413 F266:F413 B231:B264 D231:D264 F231:F264">
    <cfRule type="containsBlanks" dxfId="361" priority="163">
      <formula>LEN(TRIM(B231))=0</formula>
    </cfRule>
    <cfRule type="containsText" dxfId="360" priority="164" operator="containsText" text="Pendente">
      <formula>NOT(ISERROR(SEARCH("Pendente",B231)))</formula>
    </cfRule>
    <cfRule type="containsText" dxfId="359" priority="165" operator="containsText" text="Realizada">
      <formula>NOT(ISERROR(SEARCH("Realizada",B231)))</formula>
    </cfRule>
  </conditionalFormatting>
  <conditionalFormatting sqref="H231:H413">
    <cfRule type="duplicateValues" dxfId="358" priority="160"/>
  </conditionalFormatting>
  <conditionalFormatting sqref="J231:J413">
    <cfRule type="cellIs" dxfId="357" priority="166" operator="equal">
      <formula>45733</formula>
    </cfRule>
  </conditionalFormatting>
  <conditionalFormatting sqref="K231:K413">
    <cfRule type="cellIs" dxfId="356" priority="158" operator="equal">
      <formula>45870</formula>
    </cfRule>
  </conditionalFormatting>
  <conditionalFormatting sqref="M231:M413">
    <cfRule type="duplicateValues" dxfId="355" priority="161"/>
  </conditionalFormatting>
  <conditionalFormatting sqref="M345:M413 M231:M343">
    <cfRule type="duplicateValues" dxfId="354" priority="162"/>
  </conditionalFormatting>
  <conditionalFormatting sqref="N348 N349:O413 N231:O347">
    <cfRule type="cellIs" dxfId="353" priority="167" operator="equal">
      <formula>0</formula>
    </cfRule>
  </conditionalFormatting>
  <conditionalFormatting sqref="AA231:AA413">
    <cfRule type="notContainsBlanks" dxfId="352" priority="159" stopIfTrue="1">
      <formula>LEN(TRIM(AA231))&gt;0</formula>
    </cfRule>
  </conditionalFormatting>
  <conditionalFormatting sqref="N231:N413">
    <cfRule type="duplicateValues" dxfId="351" priority="168"/>
  </conditionalFormatting>
  <conditionalFormatting sqref="B414:B416 D414:D416 F414:F416">
    <cfRule type="containsBlanks" dxfId="350" priority="149">
      <formula>LEN(TRIM(B414))=0</formula>
    </cfRule>
    <cfRule type="containsText" dxfId="349" priority="150" operator="containsText" text="Pendente">
      <formula>NOT(ISERROR(SEARCH("Pendente",B414)))</formula>
    </cfRule>
    <cfRule type="containsText" dxfId="348" priority="151" operator="containsText" text="Realizada">
      <formula>NOT(ISERROR(SEARCH("Realizada",B414)))</formula>
    </cfRule>
  </conditionalFormatting>
  <conditionalFormatting sqref="H414:H416">
    <cfRule type="duplicateValues" dxfId="347" priority="146"/>
  </conditionalFormatting>
  <conditionalFormatting sqref="J414:J416">
    <cfRule type="cellIs" dxfId="346" priority="152" operator="equal">
      <formula>45733</formula>
    </cfRule>
  </conditionalFormatting>
  <conditionalFormatting sqref="K414:K416">
    <cfRule type="cellIs" dxfId="345" priority="144" operator="equal">
      <formula>45870</formula>
    </cfRule>
  </conditionalFormatting>
  <conditionalFormatting sqref="M414:M416">
    <cfRule type="duplicateValues" dxfId="344" priority="147"/>
  </conditionalFormatting>
  <conditionalFormatting sqref="M414:M416">
    <cfRule type="duplicateValues" dxfId="343" priority="148"/>
  </conditionalFormatting>
  <conditionalFormatting sqref="N414:O416">
    <cfRule type="cellIs" dxfId="342" priority="153" operator="equal">
      <formula>0</formula>
    </cfRule>
  </conditionalFormatting>
  <conditionalFormatting sqref="AA414:AA416">
    <cfRule type="notContainsBlanks" dxfId="341" priority="145" stopIfTrue="1">
      <formula>LEN(TRIM(AA414))&gt;0</formula>
    </cfRule>
  </conditionalFormatting>
  <conditionalFormatting sqref="N414:N416">
    <cfRule type="duplicateValues" dxfId="340" priority="154"/>
  </conditionalFormatting>
  <conditionalFormatting sqref="B417 D417 F417">
    <cfRule type="containsBlanks" dxfId="339" priority="135">
      <formula>LEN(TRIM(B417))=0</formula>
    </cfRule>
    <cfRule type="containsText" dxfId="338" priority="136" operator="containsText" text="Pendente">
      <formula>NOT(ISERROR(SEARCH("Pendente",B417)))</formula>
    </cfRule>
    <cfRule type="containsText" dxfId="337" priority="137" operator="containsText" text="Realizada">
      <formula>NOT(ISERROR(SEARCH("Realizada",B417)))</formula>
    </cfRule>
  </conditionalFormatting>
  <conditionalFormatting sqref="H417">
    <cfRule type="duplicateValues" dxfId="336" priority="132"/>
  </conditionalFormatting>
  <conditionalFormatting sqref="J417">
    <cfRule type="cellIs" dxfId="335" priority="138" operator="equal">
      <formula>45733</formula>
    </cfRule>
  </conditionalFormatting>
  <conditionalFormatting sqref="K417">
    <cfRule type="cellIs" dxfId="334" priority="130" operator="equal">
      <formula>45870</formula>
    </cfRule>
  </conditionalFormatting>
  <conditionalFormatting sqref="M417">
    <cfRule type="duplicateValues" dxfId="333" priority="133"/>
  </conditionalFormatting>
  <conditionalFormatting sqref="M417">
    <cfRule type="duplicateValues" dxfId="332" priority="134"/>
  </conditionalFormatting>
  <conditionalFormatting sqref="N417:O417">
    <cfRule type="cellIs" dxfId="331" priority="139" operator="equal">
      <formula>0</formula>
    </cfRule>
  </conditionalFormatting>
  <conditionalFormatting sqref="AA417">
    <cfRule type="notContainsBlanks" dxfId="330" priority="131" stopIfTrue="1">
      <formula>LEN(TRIM(AA417))&gt;0</formula>
    </cfRule>
  </conditionalFormatting>
  <conditionalFormatting sqref="N417">
    <cfRule type="duplicateValues" dxfId="329" priority="140"/>
  </conditionalFormatting>
  <conditionalFormatting sqref="O419 N418:O418 N420:O482">
    <cfRule type="cellIs" dxfId="328" priority="125" operator="equal">
      <formula>0</formula>
    </cfRule>
  </conditionalFormatting>
  <conditionalFormatting sqref="H418:H482">
    <cfRule type="duplicateValues" dxfId="327" priority="1712"/>
  </conditionalFormatting>
  <conditionalFormatting sqref="M418:M482">
    <cfRule type="duplicateValues" dxfId="326" priority="1715"/>
  </conditionalFormatting>
  <conditionalFormatting sqref="N418:N482">
    <cfRule type="duplicateValues" dxfId="325" priority="1718"/>
  </conditionalFormatting>
  <conditionalFormatting sqref="F483:F484 D483:D484 B483:B484">
    <cfRule type="containsBlanks" dxfId="324" priority="79">
      <formula>LEN(TRIM(B483))=0</formula>
    </cfRule>
    <cfRule type="containsText" dxfId="323" priority="80" operator="containsText" text="Pendente">
      <formula>NOT(ISERROR(SEARCH("Pendente",B483)))</formula>
    </cfRule>
    <cfRule type="containsText" dxfId="322" priority="81" operator="containsText" text="Realizada">
      <formula>NOT(ISERROR(SEARCH("Realizada",B483)))</formula>
    </cfRule>
  </conditionalFormatting>
  <conditionalFormatting sqref="H483:H484">
    <cfRule type="duplicateValues" dxfId="321" priority="76"/>
  </conditionalFormatting>
  <conditionalFormatting sqref="J483:J484">
    <cfRule type="cellIs" dxfId="320" priority="82" operator="equal">
      <formula>45733</formula>
    </cfRule>
  </conditionalFormatting>
  <conditionalFormatting sqref="K483:K484">
    <cfRule type="cellIs" dxfId="319" priority="74" operator="equal">
      <formula>45870</formula>
    </cfRule>
  </conditionalFormatting>
  <conditionalFormatting sqref="M483:M484">
    <cfRule type="duplicateValues" dxfId="318" priority="77"/>
  </conditionalFormatting>
  <conditionalFormatting sqref="M483:M484">
    <cfRule type="duplicateValues" dxfId="317" priority="78"/>
  </conditionalFormatting>
  <conditionalFormatting sqref="N483:O484">
    <cfRule type="cellIs" dxfId="316" priority="83" operator="equal">
      <formula>0</formula>
    </cfRule>
  </conditionalFormatting>
  <conditionalFormatting sqref="AA483:AA484">
    <cfRule type="notContainsBlanks" dxfId="315" priority="75" stopIfTrue="1">
      <formula>LEN(TRIM(AA483))&gt;0</formula>
    </cfRule>
  </conditionalFormatting>
  <conditionalFormatting sqref="N483:N484">
    <cfRule type="duplicateValues" dxfId="314" priority="84"/>
  </conditionalFormatting>
  <conditionalFormatting sqref="M483:M484">
    <cfRule type="duplicateValues" dxfId="313" priority="73"/>
  </conditionalFormatting>
  <conditionalFormatting sqref="M483:M484">
    <cfRule type="duplicateValues" dxfId="312" priority="72"/>
  </conditionalFormatting>
  <conditionalFormatting sqref="M483:M484">
    <cfRule type="duplicateValues" dxfId="311" priority="71"/>
  </conditionalFormatting>
  <conditionalFormatting sqref="F489:F522 D489:D522 B489:B522 F485:F487 D485:D487 B485:B487">
    <cfRule type="containsBlanks" dxfId="310" priority="65">
      <formula>LEN(TRIM(B485))=0</formula>
    </cfRule>
    <cfRule type="containsText" dxfId="309" priority="66" operator="containsText" text="Pendente">
      <formula>NOT(ISERROR(SEARCH("Pendente",B485)))</formula>
    </cfRule>
    <cfRule type="containsText" dxfId="308" priority="67" operator="containsText" text="Realizada">
      <formula>NOT(ISERROR(SEARCH("Realizada",B485)))</formula>
    </cfRule>
  </conditionalFormatting>
  <conditionalFormatting sqref="H485:H521">
    <cfRule type="duplicateValues" dxfId="307" priority="62"/>
  </conditionalFormatting>
  <conditionalFormatting sqref="J485:J514">
    <cfRule type="cellIs" dxfId="306" priority="68" operator="equal">
      <formula>45733</formula>
    </cfRule>
  </conditionalFormatting>
  <conditionalFormatting sqref="K485:K521">
    <cfRule type="cellIs" dxfId="305" priority="60" operator="equal">
      <formula>45870</formula>
    </cfRule>
  </conditionalFormatting>
  <conditionalFormatting sqref="M485:M521">
    <cfRule type="duplicateValues" dxfId="304" priority="63"/>
  </conditionalFormatting>
  <conditionalFormatting sqref="M485:M517">
    <cfRule type="duplicateValues" dxfId="303" priority="64"/>
  </conditionalFormatting>
  <conditionalFormatting sqref="N485:O523">
    <cfRule type="cellIs" dxfId="302" priority="69" operator="equal">
      <formula>0</formula>
    </cfRule>
  </conditionalFormatting>
  <conditionalFormatting sqref="AA485:AA523">
    <cfRule type="notContainsBlanks" dxfId="301" priority="61" stopIfTrue="1">
      <formula>LEN(TRIM(AA485))&gt;0</formula>
    </cfRule>
  </conditionalFormatting>
  <conditionalFormatting sqref="N485:N522">
    <cfRule type="duplicateValues" dxfId="300" priority="70"/>
  </conditionalFormatting>
  <conditionalFormatting sqref="M485:M523">
    <cfRule type="duplicateValues" dxfId="299" priority="59"/>
  </conditionalFormatting>
  <conditionalFormatting sqref="M485:M523">
    <cfRule type="duplicateValues" dxfId="298" priority="58"/>
  </conditionalFormatting>
  <conditionalFormatting sqref="X515:X521">
    <cfRule type="cellIs" dxfId="297" priority="57" operator="lessThan">
      <formula>0.541666666666667</formula>
    </cfRule>
  </conditionalFormatting>
  <conditionalFormatting sqref="X515:X521">
    <cfRule type="cellIs" dxfId="296" priority="56" operator="greaterThan">
      <formula>0.0833333333333333</formula>
    </cfRule>
  </conditionalFormatting>
  <conditionalFormatting sqref="X515:X521">
    <cfRule type="cellIs" dxfId="295" priority="55" operator="lessThan">
      <formula>0.541666666666667</formula>
    </cfRule>
  </conditionalFormatting>
  <conditionalFormatting sqref="M523">
    <cfRule type="duplicateValues" dxfId="294" priority="52"/>
  </conditionalFormatting>
  <conditionalFormatting sqref="M523">
    <cfRule type="duplicateValues" dxfId="293" priority="53"/>
  </conditionalFormatting>
  <conditionalFormatting sqref="N523">
    <cfRule type="duplicateValues" dxfId="292" priority="54"/>
  </conditionalFormatting>
  <conditionalFormatting sqref="B523">
    <cfRule type="containsBlanks" dxfId="291" priority="49">
      <formula>LEN(TRIM(B523))=0</formula>
    </cfRule>
    <cfRule type="containsText" dxfId="290" priority="50" operator="containsText" text="Pendente">
      <formula>NOT(ISERROR(SEARCH("Pendente",B523)))</formula>
    </cfRule>
    <cfRule type="containsText" dxfId="289" priority="51" operator="containsText" text="Realizada">
      <formula>NOT(ISERROR(SEARCH("Realizada",B523)))</formula>
    </cfRule>
  </conditionalFormatting>
  <conditionalFormatting sqref="D523">
    <cfRule type="containsBlanks" dxfId="288" priority="46">
      <formula>LEN(TRIM(D523))=0</formula>
    </cfRule>
    <cfRule type="containsText" dxfId="287" priority="47" operator="containsText" text="Pendente">
      <formula>NOT(ISERROR(SEARCH("Pendente",D523)))</formula>
    </cfRule>
    <cfRule type="containsText" dxfId="286" priority="48" operator="containsText" text="Realizada">
      <formula>NOT(ISERROR(SEARCH("Realizada",D523)))</formula>
    </cfRule>
  </conditionalFormatting>
  <conditionalFormatting sqref="F523">
    <cfRule type="containsBlanks" dxfId="285" priority="43">
      <formula>LEN(TRIM(F523))=0</formula>
    </cfRule>
    <cfRule type="containsText" dxfId="284" priority="44" operator="containsText" text="Pendente">
      <formula>NOT(ISERROR(SEARCH("Pendente",F523)))</formula>
    </cfRule>
    <cfRule type="containsText" dxfId="283" priority="45" operator="containsText" text="Realizada">
      <formula>NOT(ISERROR(SEARCH("Realizada",F523)))</formula>
    </cfRule>
  </conditionalFormatting>
  <conditionalFormatting sqref="O530 N531:O531 O532 O613 N533:O612">
    <cfRule type="cellIs" dxfId="282" priority="41" operator="equal">
      <formula>0</formula>
    </cfRule>
  </conditionalFormatting>
  <conditionalFormatting sqref="O552">
    <cfRule type="duplicateValues" dxfId="281" priority="35"/>
  </conditionalFormatting>
  <conditionalFormatting sqref="O570">
    <cfRule type="duplicateValues" dxfId="280" priority="34"/>
  </conditionalFormatting>
  <conditionalFormatting sqref="H524:H613">
    <cfRule type="duplicateValues" dxfId="279" priority="1908"/>
  </conditionalFormatting>
  <conditionalFormatting sqref="M524:M613">
    <cfRule type="duplicateValues" dxfId="278" priority="1912"/>
  </conditionalFormatting>
  <conditionalFormatting sqref="M524:M613">
    <cfRule type="duplicateValues" dxfId="277" priority="1920"/>
  </conditionalFormatting>
  <conditionalFormatting sqref="N524:N613">
    <cfRule type="duplicateValues" dxfId="276" priority="1930"/>
  </conditionalFormatting>
  <conditionalFormatting sqref="B614:B622 D614:D622 F614:F622">
    <cfRule type="containsBlanks" dxfId="275" priority="16">
      <formula>LEN(TRIM(B614))=0</formula>
    </cfRule>
    <cfRule type="containsText" dxfId="274" priority="17" operator="containsText" text="Pendente">
      <formula>NOT(ISERROR(SEARCH("Pendente",B614)))</formula>
    </cfRule>
    <cfRule type="containsText" dxfId="273" priority="18" operator="containsText" text="Realizada">
      <formula>NOT(ISERROR(SEARCH("Realizada",B614)))</formula>
    </cfRule>
  </conditionalFormatting>
  <conditionalFormatting sqref="H614:H622">
    <cfRule type="duplicateValues" dxfId="272" priority="13"/>
  </conditionalFormatting>
  <conditionalFormatting sqref="J614:J622">
    <cfRule type="cellIs" dxfId="271" priority="19" operator="equal">
      <formula>45733</formula>
    </cfRule>
  </conditionalFormatting>
  <conditionalFormatting sqref="M614:M622">
    <cfRule type="duplicateValues" dxfId="270" priority="14"/>
  </conditionalFormatting>
  <conditionalFormatting sqref="M614:M622">
    <cfRule type="duplicateValues" dxfId="269" priority="15"/>
  </conditionalFormatting>
  <conditionalFormatting sqref="N614:O622">
    <cfRule type="cellIs" dxfId="268" priority="20" operator="equal">
      <formula>0</formula>
    </cfRule>
  </conditionalFormatting>
  <conditionalFormatting sqref="AA614:AA622">
    <cfRule type="notContainsBlanks" dxfId="267" priority="12" stopIfTrue="1">
      <formula>LEN(TRIM(AA614))&gt;0</formula>
    </cfRule>
  </conditionalFormatting>
  <conditionalFormatting sqref="M614:M622">
    <cfRule type="duplicateValues" dxfId="266" priority="8"/>
  </conditionalFormatting>
  <conditionalFormatting sqref="M614:M622">
    <cfRule type="duplicateValues" dxfId="265" priority="7"/>
  </conditionalFormatting>
  <conditionalFormatting sqref="M614:M622">
    <cfRule type="duplicateValues" dxfId="264" priority="6"/>
  </conditionalFormatting>
  <conditionalFormatting sqref="H614:H622">
    <cfRule type="duplicateValues" dxfId="263" priority="5"/>
  </conditionalFormatting>
  <conditionalFormatting sqref="H614:H622">
    <cfRule type="duplicateValues" dxfId="262" priority="4"/>
  </conditionalFormatting>
  <conditionalFormatting sqref="N614:N622">
    <cfRule type="duplicateValues" dxfId="261" priority="21"/>
  </conditionalFormatting>
  <conditionalFormatting sqref="H614:H622">
    <cfRule type="duplicateValues" dxfId="260" priority="3"/>
  </conditionalFormatting>
  <conditionalFormatting sqref="X622">
    <cfRule type="cellIs" dxfId="259" priority="2" operator="lessThan">
      <formula>0.541666666666667</formula>
    </cfRule>
  </conditionalFormatting>
  <conditionalFormatting sqref="X622">
    <cfRule type="cellIs" dxfId="258" priority="1" operator="greaterThan">
      <formula>0.0833333333333333</formula>
    </cfRule>
  </conditionalFormatting>
  <dataValidations count="1">
    <dataValidation allowBlank="1" showInputMessage="1" showErrorMessage="1" sqref="A1:F1 B2:B18 B20:B53 B55:B264 C488 B266:B613 AA1:AA613 AA614:AA622 B614:B622" xr:uid="{1E178208-127E-4810-977D-344B07E750C6}"/>
  </dataValidations>
  <hyperlinks>
    <hyperlink ref="O198" r:id="rId1" xr:uid="{54D82CF9-C859-4B57-8167-DC4E2B0D7BDF}"/>
    <hyperlink ref="O199" r:id="rId2" xr:uid="{93A6AFA3-05F5-4729-B881-D5EA82D4F85B}"/>
    <hyperlink ref="O200" r:id="rId3" xr:uid="{2AA91186-9331-4FCC-AAA2-31DF3B16147D}"/>
    <hyperlink ref="O201" r:id="rId4" xr:uid="{6E5091EF-1E0D-42FE-BE7A-E3BE05A51223}"/>
    <hyperlink ref="O203" r:id="rId5" xr:uid="{8DCB48BA-4FC5-42DD-B9F9-CA28FF2EFAEA}"/>
    <hyperlink ref="O202" r:id="rId6" xr:uid="{53245038-A5F8-4CA9-BE0F-5A5474F03E0F}"/>
    <hyperlink ref="O208" r:id="rId7" xr:uid="{C587B744-63C7-4B13-9D71-9FE9047CBE35}"/>
    <hyperlink ref="O211" r:id="rId8" xr:uid="{6E8792E7-A4B9-47E1-9142-961571326DDE}"/>
    <hyperlink ref="O206" r:id="rId9" xr:uid="{363EA31E-0B42-421A-A143-97395C98A02D}"/>
    <hyperlink ref="O210" r:id="rId10" xr:uid="{426272F7-BCFF-4999-9E11-3AD97186DB0C}"/>
    <hyperlink ref="O207" r:id="rId11" xr:uid="{EEAA2DCF-9119-49F4-829E-C2A55C1414FA}"/>
    <hyperlink ref="O204" r:id="rId12" xr:uid="{DB9EB45B-5D97-4608-9CE8-8796938C1CA7}"/>
    <hyperlink ref="O205" r:id="rId13" xr:uid="{EB78F022-11AC-4DBB-ABFC-31A5DEBC7A8E}"/>
    <hyperlink ref="O209" r:id="rId14" xr:uid="{89890C47-A619-4957-B853-A0A14D2826CC}"/>
    <hyperlink ref="O244" r:id="rId15" xr:uid="{7CD29F40-4507-4FC1-94A2-3845289486A4}"/>
    <hyperlink ref="O317" r:id="rId16" xr:uid="{83652637-4482-464F-B7C4-AD7F87B5966B}"/>
    <hyperlink ref="O255" r:id="rId17" xr:uid="{3A408F36-3B44-42DE-8BC4-371284A8960C}"/>
    <hyperlink ref="O256" r:id="rId18" xr:uid="{FED29F23-6B97-4069-8A8B-C92F590983B7}"/>
    <hyperlink ref="O257" r:id="rId19" xr:uid="{F2FB638A-9EE0-4142-9A98-9E47DED5E113}"/>
    <hyperlink ref="O258" r:id="rId20" xr:uid="{3B724C2C-BD3E-4C0A-884E-E4D876BFB185}"/>
    <hyperlink ref="O225" r:id="rId21" xr:uid="{D348CA0A-95CA-434E-BB62-619E6F08224E}"/>
    <hyperlink ref="O226" r:id="rId22" xr:uid="{70A25B0D-5840-4FAE-A041-A89383648772}"/>
    <hyperlink ref="O228" r:id="rId23" xr:uid="{61996345-3450-4099-8C07-DE9BABBA71CC}"/>
    <hyperlink ref="O229" r:id="rId24" xr:uid="{59F73DEE-C0DF-4522-B45D-D636E930092A}"/>
    <hyperlink ref="O230" r:id="rId25" xr:uid="{5D65E607-0B77-4584-9591-FD9A4A5F6012}"/>
    <hyperlink ref="O246" r:id="rId26" xr:uid="{7C384CF2-11C8-40A8-844F-0E6584ACBE90}"/>
    <hyperlink ref="O247" r:id="rId27" xr:uid="{5355158B-3272-45B0-ABBF-F4E8439436C9}"/>
    <hyperlink ref="O248" r:id="rId28" xr:uid="{58839655-6C02-458E-BA07-41F480804644}"/>
    <hyperlink ref="O306" r:id="rId29" xr:uid="{F9E57A81-B74D-449E-AD89-774CBCB175B6}"/>
    <hyperlink ref="O344" r:id="rId30" xr:uid="{7B78669C-F091-40AD-A3CF-189365BF56BB}"/>
    <hyperlink ref="O236" r:id="rId31" xr:uid="{18979CF6-04FB-4BE8-855C-5C7269D8C7DE}"/>
    <hyperlink ref="O365" r:id="rId32" xr:uid="{927771EC-0551-46E9-BEFC-CFC77B2B7F25}"/>
    <hyperlink ref="O281" r:id="rId33" xr:uid="{D8C4874D-AC43-4928-8CCF-48A80A3690C6}"/>
    <hyperlink ref="O283" r:id="rId34" xr:uid="{61EA13FC-B4AD-4A4C-8BBA-FA680A5DD13F}"/>
    <hyperlink ref="O301" r:id="rId35" xr:uid="{D8558AB6-A85F-4C9C-B1C2-2D6936906B38}"/>
    <hyperlink ref="O302" r:id="rId36" xr:uid="{CBA4EF13-37EA-46F3-AD3E-8300984CEF1C}"/>
    <hyperlink ref="O303" r:id="rId37" xr:uid="{C41D4BDF-D7EF-4F64-9F7C-FE7D354B0D86}"/>
    <hyperlink ref="O304" r:id="rId38" xr:uid="{15BDB4B1-262B-4379-B0EC-70BA300C401C}"/>
    <hyperlink ref="O305" r:id="rId39" xr:uid="{F2E6CEB5-47F4-49BF-8485-5EE54849601E}"/>
    <hyperlink ref="O307" r:id="rId40" xr:uid="{7680A715-BD52-4666-9237-2360250C93DD}"/>
    <hyperlink ref="O325" r:id="rId41" xr:uid="{A026E8D2-CE8D-451A-AEEB-953365FE0515}"/>
    <hyperlink ref="O340" r:id="rId42" xr:uid="{E4C5D450-2153-4C18-87CB-39C555BAC8E7}"/>
    <hyperlink ref="O363" r:id="rId43" xr:uid="{48719666-9B49-4911-8B52-A597419152D8}"/>
    <hyperlink ref="O369" r:id="rId44" xr:uid="{44C01B66-4F79-4AE3-A35C-888E7803C99E}"/>
    <hyperlink ref="O388" r:id="rId45" xr:uid="{76F25491-7C4A-464A-9975-DB6918D365E5}"/>
    <hyperlink ref="O394" r:id="rId46" xr:uid="{9781F820-2800-4F8B-8C67-ED6956844349}"/>
    <hyperlink ref="O264" r:id="rId47" xr:uid="{3131D573-518C-4826-B589-3A503381FC00}"/>
    <hyperlink ref="O265" r:id="rId48" xr:uid="{937619AB-9EC5-4F47-8A22-B6079C1BC8E4}"/>
    <hyperlink ref="O266" r:id="rId49" xr:uid="{43751029-20C9-4CD4-89DD-AF90D58A40CF}"/>
    <hyperlink ref="O290" r:id="rId50" xr:uid="{EB09248F-460B-4D27-AFD2-5FE52829873F}"/>
    <hyperlink ref="O316" r:id="rId51" xr:uid="{64578CC2-1E11-45C8-BA99-0FAA42AD9071}"/>
    <hyperlink ref="O360" r:id="rId52" xr:uid="{9560832D-2B89-4911-867F-8E866C4E4831}"/>
    <hyperlink ref="O362" r:id="rId53" xr:uid="{A1B167FC-3C38-4B14-9629-94CAB63B6C87}"/>
    <hyperlink ref="O364" r:id="rId54" xr:uid="{C13360F9-00A7-4040-ACD6-B8EC8135E9C2}"/>
    <hyperlink ref="O371" r:id="rId55" xr:uid="{14596053-9BBC-481D-913E-48BB68CAFCEC}"/>
    <hyperlink ref="O313" r:id="rId56" xr:uid="{13B9330D-B857-43C6-AD9A-F55A9D55AA41}"/>
    <hyperlink ref="O386" r:id="rId57" xr:uid="{F76F2B88-231C-45CC-AE17-74E2B35AF543}"/>
    <hyperlink ref="O391" r:id="rId58" xr:uid="{E81C487C-5585-4D55-B0F7-01EBFD8CBD7C}"/>
    <hyperlink ref="O398" r:id="rId59" xr:uid="{6ED67824-F3BC-4893-95E0-26C7417363B7}"/>
    <hyperlink ref="O400" r:id="rId60" xr:uid="{AE0DED0E-C87A-427B-A010-CDC31B861A96}"/>
    <hyperlink ref="O286" r:id="rId61" xr:uid="{80A91ECA-4207-4C18-B74D-314AEF53268F}"/>
    <hyperlink ref="O389" r:id="rId62" xr:uid="{C10995DC-EBCD-435A-88EE-5060C7A07A4C}"/>
    <hyperlink ref="O390" r:id="rId63" xr:uid="{51500E4F-EDF6-48B8-9B18-68A75931B7E7}"/>
    <hyperlink ref="O253" r:id="rId64" xr:uid="{26503818-2F30-4E4E-8ED5-EFC801471A7A}"/>
    <hyperlink ref="O215" r:id="rId65" xr:uid="{3D00FC11-17C0-4E62-AD16-455012312676}"/>
    <hyperlink ref="O278" r:id="rId66" xr:uid="{CE97B774-95DD-4D19-9359-7212AEB092EE}"/>
    <hyperlink ref="O353" r:id="rId67" xr:uid="{D1C58B28-D228-4612-A192-552185435E26}"/>
    <hyperlink ref="O399" r:id="rId68" xr:uid="{F4E3A2AB-C8AE-49D6-820A-F2F6E9032175}"/>
    <hyperlink ref="O334" r:id="rId69" xr:uid="{ED7006E0-4B22-4B60-801A-168D5009282E}"/>
    <hyperlink ref="O239" r:id="rId70" xr:uid="{F6195509-F324-40F8-8A5A-D3CC3380DB1A}"/>
    <hyperlink ref="O280" r:id="rId71" xr:uid="{C83E5170-6522-42E3-BBA6-BB145DAA9470}"/>
    <hyperlink ref="O300" r:id="rId72" xr:uid="{7EF8F3EA-458E-4C7B-BC78-6822C624DD1B}"/>
    <hyperlink ref="O323" r:id="rId73" xr:uid="{03210E00-BEB5-4E52-B35E-BB257FAD36F5}"/>
    <hyperlink ref="O335" r:id="rId74" xr:uid="{E1AB6468-7F2B-4D78-BACC-110D858B5FAF}"/>
    <hyperlink ref="O352" r:id="rId75" xr:uid="{AF4810F8-F539-48F9-B5DE-B4157FB18556}"/>
    <hyperlink ref="O359" r:id="rId76" xr:uid="{96872521-866E-4EF3-A118-0027DFDBD50F}"/>
    <hyperlink ref="O376" r:id="rId77" xr:uid="{E587A498-6E6D-4E3F-9EDE-BEB18DFE847B}"/>
    <hyperlink ref="O380" r:id="rId78" xr:uid="{91B89E9A-7E82-486D-8FB1-031EAC35398C}"/>
    <hyperlink ref="O393" r:id="rId79" xr:uid="{632511C7-8716-49E2-9312-E0406F1E3B18}"/>
    <hyperlink ref="O336" r:id="rId80" xr:uid="{40111402-F65C-4A64-A96D-65B01B09CB3B}"/>
    <hyperlink ref="O227" r:id="rId81" xr:uid="{801ED9A8-A41F-4D69-9BE7-4E2AF502711B}"/>
    <hyperlink ref="O396" r:id="rId82" xr:uid="{5B5E96EC-9F28-4E2A-B380-3BCF6CCEC5AF}"/>
    <hyperlink ref="O234" r:id="rId83" xr:uid="{F741E8FF-FFF8-4070-9046-491EDF11AFA1}"/>
    <hyperlink ref="O271" r:id="rId84" xr:uid="{CE618117-F271-498A-80B9-F10CB128F68A}"/>
    <hyperlink ref="O272" r:id="rId85" xr:uid="{61BC06FC-0B17-4ACA-BDD7-4600A33C2F1C}"/>
    <hyperlink ref="O273" r:id="rId86" xr:uid="{A1C575F3-1FA6-40C9-93CB-464CAAA76172}"/>
    <hyperlink ref="O288" r:id="rId87" xr:uid="{A9A158C1-019D-409A-B701-112DAB2595DA}"/>
    <hyperlink ref="O289" r:id="rId88" xr:uid="{5179C418-0870-471E-A200-6F253B91B6D6}"/>
    <hyperlink ref="O231" r:id="rId89" xr:uid="{7EFEED07-EC59-4C66-AB8E-8A4C8C836D31}"/>
    <hyperlink ref="O233" r:id="rId90" xr:uid="{A9B6D6F3-DAD0-4156-8D96-84A40D490AC7}"/>
    <hyperlink ref="O297" r:id="rId91" xr:uid="{27A62F2E-C34C-4429-AD02-461C02611A90}"/>
    <hyperlink ref="O250" r:id="rId92" xr:uid="{0BC0010D-EC74-4EF4-8342-7AB23F89F500}"/>
    <hyperlink ref="O312" r:id="rId93" xr:uid="{0DB293D2-6AAD-475C-9BAE-2A75B9D2CC3F}"/>
    <hyperlink ref="O314" r:id="rId94" xr:uid="{7AC7D080-F8F8-4FA1-846E-2A9180A254DE}"/>
    <hyperlink ref="O373" r:id="rId95" xr:uid="{FEB458F3-214D-49AE-959B-F8D854C5599F}"/>
    <hyperlink ref="O379" r:id="rId96" xr:uid="{622D430D-7DF2-4470-9A71-5FF63B9FC945}"/>
    <hyperlink ref="O395" r:id="rId97" xr:uid="{BB5E9258-BD66-493C-8958-A44AD5882516}"/>
    <hyperlink ref="O403" r:id="rId98" xr:uid="{A434547C-FE69-4FF0-926B-212DFCCB85C5}"/>
    <hyperlink ref="O224" r:id="rId99" xr:uid="{09493593-5E79-4C17-9A03-66D68A2CA76C}"/>
    <hyperlink ref="O238" r:id="rId100" xr:uid="{E2745A66-E4DC-4D81-98D6-77D81E250CAE}"/>
    <hyperlink ref="O326" r:id="rId101" xr:uid="{7B160B03-79F0-4EC2-953D-640ED1E2848A}"/>
    <hyperlink ref="O329" r:id="rId102" xr:uid="{146F19E6-7E86-46C3-B6C8-F40AB34FADCB}"/>
    <hyperlink ref="O370" r:id="rId103" xr:uid="{09952527-2A0D-4457-AC30-DCB2C32B7D77}"/>
    <hyperlink ref="O374" r:id="rId104" xr:uid="{73FB75F2-8A25-4191-B1B0-1A389D210CC5}"/>
    <hyperlink ref="O270" r:id="rId105" xr:uid="{DE7DB720-7871-4745-B581-FCB7C802A65F}"/>
    <hyperlink ref="O324" r:id="rId106" xr:uid="{FA8336D0-4E1D-4768-A6CE-788D72BAE45B}"/>
    <hyperlink ref="O252" r:id="rId107" xr:uid="{A777B90D-8E75-453C-A5F1-97BE5032F00A}"/>
    <hyperlink ref="O383" r:id="rId108" xr:uid="{B74A74BB-81AB-463E-9D28-AFE0C16C5E82}"/>
    <hyperlink ref="O404" r:id="rId109" xr:uid="{38E57DBB-BB83-40AE-813C-5B96E4D6549A}"/>
    <hyperlink ref="O242" r:id="rId110" xr:uid="{292324B3-EBE9-4B04-AE08-79171B5231B6}"/>
    <hyperlink ref="O245" r:id="rId111" xr:uid="{681BBC1D-19EF-43F2-AEBA-8D5F9142FDBB}"/>
    <hyperlink ref="O268" r:id="rId112" xr:uid="{195B2AC0-959B-425B-9B2E-06F4CB2DE567}"/>
    <hyperlink ref="O282" r:id="rId113" xr:uid="{DB3DE1DB-F928-4C5B-9CDC-0C760825BA95}"/>
    <hyperlink ref="O287" r:id="rId114" xr:uid="{0EAE0C44-6224-42BB-90CF-FBB1E7312ED1}"/>
    <hyperlink ref="O392" r:id="rId115" xr:uid="{8032516A-D957-456D-B9B8-D9E826737AAA}"/>
    <hyperlink ref="O220" r:id="rId116" xr:uid="{46C108BE-05CB-4211-9FE7-EA3389EA02B4}"/>
    <hyperlink ref="O358" r:id="rId117" xr:uid="{FB912167-00A9-4F2F-AE86-A8870183D2EA}"/>
    <hyperlink ref="O347" r:id="rId118" xr:uid="{58622E9C-A91F-4D8F-A61B-E01D858CEAFE}"/>
    <hyperlink ref="O351" r:id="rId119" xr:uid="{6B2F6155-3A5B-429E-9391-8C3D7634E379}"/>
    <hyperlink ref="O267" r:id="rId120" xr:uid="{37AF535D-3916-47CC-A7D0-24BE63E7FC7A}"/>
    <hyperlink ref="O285" r:id="rId121" xr:uid="{D27C4A81-CFBB-4224-9506-E10D4BF4A83D}"/>
    <hyperlink ref="O240" r:id="rId122" xr:uid="{4CBF88B3-F5A9-4399-9E62-ECC99E6D74CE}"/>
    <hyperlink ref="O241" r:id="rId123" xr:uid="{BBE9C77B-61B1-4873-9AA3-9E593CB7A810}"/>
    <hyperlink ref="O367" r:id="rId124" xr:uid="{28977B73-1D1F-47D7-80D9-AC8172DA9D61}"/>
    <hyperlink ref="O368" r:id="rId125" xr:uid="{36C99A35-4614-45E1-B0F0-A3F0CC3C37CC}"/>
    <hyperlink ref="O315" r:id="rId126" xr:uid="{6339BFBE-3784-4568-8003-3218B225C76B}"/>
    <hyperlink ref="O322" r:id="rId127" xr:uid="{A8677B56-1CB5-41C4-ADA5-A50847E09F8A}"/>
    <hyperlink ref="O349" r:id="rId128" xr:uid="{800D37C6-4BB0-42A7-A106-2B227C5A5EB7}"/>
    <hyperlink ref="O372" r:id="rId129" xr:uid="{ECA09C54-FAAD-40D7-96C5-F4E3EB723846}"/>
    <hyperlink ref="O377" r:id="rId130" xr:uid="{64EBE59F-7DAB-49B5-8ED1-75DCB3D49608}"/>
    <hyperlink ref="O387" r:id="rId131" xr:uid="{251072D1-ACB6-4CF9-BF1E-71967DC8DFE2}"/>
    <hyperlink ref="O254" r:id="rId132" xr:uid="{DDFC601C-8FAB-405E-A7CF-264FAD8D18EE}"/>
    <hyperlink ref="O327" r:id="rId133" xr:uid="{C585E9C4-58C7-41EB-BC64-7BC8EB4E849D}"/>
    <hyperlink ref="O243" r:id="rId134" xr:uid="{72808862-94ED-4070-9539-996EA9F9A29E}"/>
    <hyperlink ref="O346" r:id="rId135" xr:uid="{E6ACABA6-4B6C-47B8-9B3F-C9E9891FAC99}"/>
    <hyperlink ref="O348" r:id="rId136" xr:uid="{45DE9D93-83C3-45BD-8227-9EBEFC8C23DA}"/>
    <hyperlink ref="O354" r:id="rId137" xr:uid="{CA053023-5AAE-48B2-A15B-0EE53C77AAAA}"/>
    <hyperlink ref="O291" r:id="rId138" xr:uid="{A6512F63-6E2A-4CFA-9BBD-E3ACC03746B4}"/>
    <hyperlink ref="O299" r:id="rId139" xr:uid="{A7BCE675-840E-462B-8763-7BDBAC9D9A46}"/>
    <hyperlink ref="O311" r:id="rId140" xr:uid="{EA6C1D34-FEB4-4040-A9C5-D2E482767284}"/>
    <hyperlink ref="O318" r:id="rId141" xr:uid="{E7117BE9-E0A4-4D34-A6D6-1F71FBE56141}"/>
    <hyperlink ref="O237" r:id="rId142" xr:uid="{ACD9BF4A-08E5-4E01-92A9-ACD5113A18F5}"/>
    <hyperlink ref="O356" r:id="rId143" xr:uid="{F0BB56F3-0287-492F-BD92-219E2BB65793}"/>
    <hyperlink ref="O375" r:id="rId144" xr:uid="{F3AF1F4D-ECB6-44A2-A2DA-8807CCAB1AA4}"/>
    <hyperlink ref="O397" r:id="rId145" xr:uid="{1B4BC5AC-6531-488D-B8FA-D03FA6AC5E3D}"/>
    <hyperlink ref="O401" r:id="rId146" xr:uid="{D6DF5B15-9898-42BC-B586-770BFAA2BF91}"/>
    <hyperlink ref="O261" r:id="rId147" xr:uid="{C47A1B01-DAF7-4F51-97DA-481D01DEC6B1}"/>
    <hyperlink ref="O262" r:id="rId148" xr:uid="{BE4CCD9A-5AD0-48E1-81BE-F7AFF495EA2D}"/>
    <hyperlink ref="O263" r:id="rId149" xr:uid="{5825876C-6D1D-40FF-8039-7461717C2A32}"/>
    <hyperlink ref="O319" r:id="rId150" xr:uid="{0A852578-E3CD-4FC0-85E1-E4A3B154BA27}"/>
    <hyperlink ref="O350" r:id="rId151" xr:uid="{82D55647-2810-4DEC-85A0-7FD62DFCDD2E}"/>
    <hyperlink ref="O402" r:id="rId152" xr:uid="{E85E42E9-901A-4FB4-845D-301779764080}"/>
    <hyperlink ref="O320" r:id="rId153" xr:uid="{E195D94B-E020-4E98-9116-91927A09E124}"/>
    <hyperlink ref="O232" r:id="rId154" xr:uid="{C7B878C3-E0ED-461C-BD66-EB9B44B1C0B8}"/>
    <hyperlink ref="O337" r:id="rId155" xr:uid="{5ECE2655-8003-4FA4-B24B-3529BB20F532}"/>
    <hyperlink ref="O339" r:id="rId156" xr:uid="{89C28F19-00D6-46E0-AAD0-2B17B08B3A17}"/>
    <hyperlink ref="O219" r:id="rId157" xr:uid="{A0D83B63-AF2E-455B-8995-99CE1A7EFC40}"/>
    <hyperlink ref="O276" r:id="rId158" xr:uid="{10C3F48F-8838-46E6-AEE8-CF8C56C67BD0}"/>
    <hyperlink ref="AA400" r:id="rId159" xr:uid="{AAA32100-43B0-482B-8986-880389546563}"/>
    <hyperlink ref="W353" r:id="rId160" xr:uid="{0193306A-B6BA-477D-921E-B3C07A497E6F}"/>
    <hyperlink ref="O249" r:id="rId161" xr:uid="{BA90ECFA-0CFF-4532-8EF7-2226DED84A3D}"/>
    <hyperlink ref="O251" r:id="rId162" xr:uid="{AB0ADF85-D017-4AB9-B9EA-EAEAE5E333B3}"/>
    <hyperlink ref="O309" r:id="rId163" xr:uid="{34047176-0323-4643-85DD-4B4E542055FD}"/>
    <hyperlink ref="O310" r:id="rId164" xr:uid="{67CA164A-9745-4B12-8D2E-8FA7CA82924D}"/>
    <hyperlink ref="O330" r:id="rId165" xr:uid="{3984587E-9A93-4EFE-BAC3-2307CB14061C}"/>
    <hyperlink ref="O321" r:id="rId166" xr:uid="{6268069F-E835-4EFA-B4CB-6B35B72628B5}"/>
    <hyperlink ref="O328" r:id="rId167" xr:uid="{55760275-00A3-49C2-B2C2-F8954F81A74A}"/>
    <hyperlink ref="O331" r:id="rId168" xr:uid="{FAB4F9C2-7050-4132-9400-B8D4B9B5479A}"/>
    <hyperlink ref="O332" r:id="rId169" xr:uid="{BE1A9D68-FDD9-490D-B510-2C39921D27E0}"/>
    <hyperlink ref="O333" r:id="rId170" xr:uid="{0A8BC2B0-094B-4AEF-8E14-234E05EC8CB4}"/>
    <hyperlink ref="O406" r:id="rId171" xr:uid="{2ABBC3FC-5C87-43AA-B8A0-C3AD0C2E390A}"/>
    <hyperlink ref="O407" r:id="rId172" xr:uid="{D852EEA0-B696-4E88-A474-F8656C972CA0}"/>
    <hyperlink ref="O409" r:id="rId173" xr:uid="{90C40E5D-BF2C-49C7-A653-600AC04BDFBE}"/>
    <hyperlink ref="O410" r:id="rId174" xr:uid="{65CBB47C-EA39-47F0-BE7E-033E9C2DBFC8}"/>
    <hyperlink ref="O411" r:id="rId175" xr:uid="{0DEEE107-73BD-4722-A798-92840C1C89E4}"/>
    <hyperlink ref="O412" r:id="rId176" xr:uid="{D5B4C797-656A-40B4-A83F-1E3C2D5FE7EB}"/>
    <hyperlink ref="O413" r:id="rId177" xr:uid="{FD055A7C-A1E7-4FD2-A3FD-7407034BB125}"/>
    <hyperlink ref="O415" r:id="rId178" xr:uid="{2557EC2F-97F7-4307-8E0E-99C556057373}"/>
    <hyperlink ref="O414" r:id="rId179" xr:uid="{B746B8F8-C8ED-4DB4-9AB0-EB1D0B9B8FBC}"/>
    <hyperlink ref="O420" r:id="rId180" xr:uid="{A2E29C2B-7B6B-4F0B-9288-5E85AF524858}"/>
    <hyperlink ref="O423" r:id="rId181" xr:uid="{DE430A94-F961-44AD-A669-643D037D7242}"/>
    <hyperlink ref="O418" r:id="rId182" xr:uid="{BDC51EFF-10B9-40CB-AFEC-0BE9E7C27ABA}"/>
    <hyperlink ref="O422" r:id="rId183" xr:uid="{29FA32DB-11B8-40CB-A0D2-C34855AC26C4}"/>
    <hyperlink ref="O419" r:id="rId184" xr:uid="{1DE1F193-4B5E-4B36-80CF-FCA6B5087D6B}"/>
    <hyperlink ref="O416" r:id="rId185" xr:uid="{96803E46-B7AF-412A-8D6B-776D5FD6E66A}"/>
    <hyperlink ref="O417" r:id="rId186" xr:uid="{A6DA71CB-9E3A-4017-8521-2E76C48D9F5B}"/>
    <hyperlink ref="O421" r:id="rId187" xr:uid="{B98B4E0D-D6FA-4A10-9843-D494868246AF}"/>
    <hyperlink ref="O455" r:id="rId188" xr:uid="{6B3C69BD-1563-48B9-89E7-D44B764B158C}"/>
    <hyperlink ref="O523" r:id="rId189" xr:uid="{ED5EF4FB-9E9B-4DDE-8192-C215AC83A62B}"/>
    <hyperlink ref="O466" r:id="rId190" xr:uid="{BD122343-84A0-4649-BF37-9BA21D510CD8}"/>
    <hyperlink ref="O467" r:id="rId191" xr:uid="{3FCB1530-57C4-453F-A262-0A4A5E4E2BC2}"/>
    <hyperlink ref="O468" r:id="rId192" xr:uid="{38B038F7-F4D5-400C-8922-8249C9056BD5}"/>
    <hyperlink ref="O469" r:id="rId193" xr:uid="{4EE86804-0062-48E0-842E-1F851E70A6A9}"/>
    <hyperlink ref="O436" r:id="rId194" xr:uid="{751E779D-F594-4667-A009-0524AF8DD8C4}"/>
    <hyperlink ref="O437" r:id="rId195" xr:uid="{34F52D33-DDFC-4E04-94A9-3B4A6EBB90FD}"/>
    <hyperlink ref="O439" r:id="rId196" xr:uid="{AF615418-4F3A-42AD-902C-503CA9ED54E4}"/>
    <hyperlink ref="O440" r:id="rId197" xr:uid="{29FCC4AE-3C26-4F71-B24D-1D818AB8EA12}"/>
    <hyperlink ref="O441" r:id="rId198" xr:uid="{C5AC0ACE-7603-45F5-A5A4-0F6AF7B2E7C1}"/>
    <hyperlink ref="O457" r:id="rId199" xr:uid="{9F4E3737-D6F2-4DBE-B70A-E5AA29AFBE7B}"/>
    <hyperlink ref="O458" r:id="rId200" xr:uid="{3ECA00D7-15D8-4698-9E78-DA536EC1DA59}"/>
    <hyperlink ref="O459" r:id="rId201" xr:uid="{3E08DA3B-9754-43BC-AFA4-0A4E67B7E310}"/>
    <hyperlink ref="O512" r:id="rId202" xr:uid="{89F11F96-0020-4716-956A-DA28157CAA2F}"/>
    <hyperlink ref="O550" r:id="rId203" xr:uid="{B6B00482-0CD8-4845-BF1D-1493B58DBB74}"/>
    <hyperlink ref="O447" r:id="rId204" xr:uid="{5D27C25D-AD57-49A6-B613-5336D426F8F7}"/>
    <hyperlink ref="O571" r:id="rId205" xr:uid="{A04200D2-7619-4763-8407-848BBCF15C52}"/>
    <hyperlink ref="O490" r:id="rId206" xr:uid="{9E62A100-04E6-451E-A9F8-0A1D59A76DF9}"/>
    <hyperlink ref="O492" r:id="rId207" xr:uid="{CF873594-3B51-47BD-BE3E-BDCA3A12BC23}"/>
    <hyperlink ref="O507" r:id="rId208" xr:uid="{C419E753-57B8-4C78-A7A8-24AE0659AAAC}"/>
    <hyperlink ref="O508" r:id="rId209" xr:uid="{CB698A17-0E97-453D-AF0D-692164C8B49D}"/>
    <hyperlink ref="O509" r:id="rId210" xr:uid="{776A7EC1-F0CA-47BA-9694-2FEC6BB8539E}"/>
    <hyperlink ref="O510" r:id="rId211" xr:uid="{6BCE0422-6A3C-48F8-BCB4-38E633010A33}"/>
    <hyperlink ref="O511" r:id="rId212" xr:uid="{E2E1DE14-5486-45AB-A5D9-1F211DFEE456}"/>
    <hyperlink ref="O513" r:id="rId213" xr:uid="{CA2D0F06-6B58-46FD-8FE4-FD625F2288CE}"/>
    <hyperlink ref="O531" r:id="rId214" xr:uid="{4EA24B00-E051-4956-AD2A-4958F5F7D851}"/>
    <hyperlink ref="O546" r:id="rId215" xr:uid="{75DB938F-5425-45A6-BE83-083273572318}"/>
    <hyperlink ref="O569" r:id="rId216" xr:uid="{5868820C-D587-47AE-B187-D4E9C401FB73}"/>
    <hyperlink ref="O575" r:id="rId217" xr:uid="{165A651A-3B9D-4A2C-8D84-524117680C03}"/>
    <hyperlink ref="O593" r:id="rId218" xr:uid="{DB50CA61-7648-4312-9CCB-73414D8F758B}"/>
    <hyperlink ref="O599" r:id="rId219" xr:uid="{59D353AE-C95A-4FBB-95FA-236A74A4CBD7}"/>
    <hyperlink ref="O475" r:id="rId220" xr:uid="{EDF1B2B7-3A61-49A3-A9CB-2E0982F2BF40}"/>
    <hyperlink ref="O476" r:id="rId221" xr:uid="{659C5FA4-92C5-4817-AB44-A27433A9136B}"/>
    <hyperlink ref="O477" r:id="rId222" xr:uid="{4604E311-A0CB-4F3B-8BC7-61D6A167EAEF}"/>
    <hyperlink ref="O498" r:id="rId223" xr:uid="{A39456DD-E79D-4D46-AACF-517E1BD3ECAE}"/>
    <hyperlink ref="O522" r:id="rId224" xr:uid="{1B8B6350-935E-4A2F-9CEE-D5836ECC5A1C}"/>
    <hyperlink ref="O566" r:id="rId225" xr:uid="{20F278AB-88B0-4E58-8E4A-854F49BAF8A8}"/>
    <hyperlink ref="O568" r:id="rId226" xr:uid="{C0F0D5F3-0403-4A0F-A203-BDC3BCF8C27A}"/>
    <hyperlink ref="O570" r:id="rId227" xr:uid="{418C1732-0FF4-4BA5-B612-475D9E53C63F}"/>
    <hyperlink ref="O577" r:id="rId228" xr:uid="{6C0B3B87-762B-4350-8B08-B6BE845A753E}"/>
    <hyperlink ref="O519" r:id="rId229" xr:uid="{595D33BD-EE9E-400E-8673-342A13C93586}"/>
    <hyperlink ref="O591" r:id="rId230" xr:uid="{7FAAC0A5-86AE-4BAC-822A-99EF8EFF21CB}"/>
    <hyperlink ref="O596" r:id="rId231" xr:uid="{9BD51DE9-798A-43A4-9C06-E2807BC5A88C}"/>
    <hyperlink ref="O602" r:id="rId232" xr:uid="{2B1C828A-64FC-40A5-9F21-624DEE6BD565}"/>
    <hyperlink ref="O604" r:id="rId233" xr:uid="{1EFA6155-A808-426D-914E-21750AC86C4A}"/>
    <hyperlink ref="O495" r:id="rId234" xr:uid="{56B96C5B-0A6E-4B41-9D93-175626267A07}"/>
    <hyperlink ref="O594" r:id="rId235" xr:uid="{28CE3009-D7E9-410C-9EC9-D99763760E4F}"/>
    <hyperlink ref="O595" r:id="rId236" xr:uid="{6E21A44C-2852-4945-B31E-1DFF13A71011}"/>
    <hyperlink ref="O464" r:id="rId237" xr:uid="{E2AD5356-BAE5-4179-AD7B-701611EED279}"/>
    <hyperlink ref="O487" r:id="rId238" xr:uid="{E099A7CB-6B60-4597-84A8-C5824DC96680}"/>
    <hyperlink ref="O559" r:id="rId239" xr:uid="{16930C6B-D22F-4541-82E6-4E5F97BD88E7}"/>
    <hyperlink ref="O603" r:id="rId240" xr:uid="{E1D3236D-4465-4C6F-9A03-97EFE49ECC30}"/>
    <hyperlink ref="O540" r:id="rId241" xr:uid="{A38AE188-DB7C-4AAD-9EE0-0D9FCC267B40}"/>
    <hyperlink ref="O450" r:id="rId242" xr:uid="{F1157ECC-2383-4B17-BF0D-608761BAF434}"/>
    <hyperlink ref="O489" r:id="rId243" xr:uid="{8F210718-6767-47F6-A751-13A82F35E6F4}"/>
    <hyperlink ref="O506" r:id="rId244" xr:uid="{6D9AA719-D71A-4B3E-BE25-5CB9690E6337}"/>
    <hyperlink ref="O529" r:id="rId245" xr:uid="{946343AB-3B97-44E6-9709-F5175942BD95}"/>
    <hyperlink ref="O541" r:id="rId246" xr:uid="{5C39CFA7-9271-4E24-8770-76544BB4787D}"/>
    <hyperlink ref="O558" r:id="rId247" xr:uid="{E1B21B1F-D4AF-4E73-B6C6-84E1EAF417AA}"/>
    <hyperlink ref="O565" r:id="rId248" xr:uid="{2CDEB621-950E-4514-9819-1E96E1B42F69}"/>
    <hyperlink ref="O581" r:id="rId249" xr:uid="{BED91025-9097-4AE8-B9E3-B444D3364C18}"/>
    <hyperlink ref="O598" r:id="rId250" xr:uid="{4F7E4D21-8D3A-4845-93E2-695ED7323266}"/>
    <hyperlink ref="O542" r:id="rId251" xr:uid="{61A02B81-9D9C-48B1-94FC-956E016CA37A}"/>
    <hyperlink ref="O438" r:id="rId252" xr:uid="{FD3B9B3D-AF97-44EC-A0CC-A8B1C16910F8}"/>
    <hyperlink ref="O600" r:id="rId253" xr:uid="{30DF298E-94E0-4B56-A81B-2DDA7D87B9FC}"/>
    <hyperlink ref="O445" r:id="rId254" xr:uid="{BD4A32D2-123A-40F9-847D-BFFF83445BCD}"/>
    <hyperlink ref="O481" r:id="rId255" xr:uid="{037321E5-675A-49A8-901F-ACA4F27A733F}"/>
    <hyperlink ref="O482" r:id="rId256" xr:uid="{285CAABA-7E62-4455-A8DB-DF515F685D83}"/>
    <hyperlink ref="O497" r:id="rId257" xr:uid="{273AD197-2BDE-4292-A5AF-57E0A4F51D47}"/>
    <hyperlink ref="O442" r:id="rId258" xr:uid="{AEDFF205-76D9-4FBD-B6CB-A121D6BD7AD7}"/>
    <hyperlink ref="O444" r:id="rId259" xr:uid="{A49B3461-2192-4313-B9C8-4ABD859FF4C3}"/>
    <hyperlink ref="O461" r:id="rId260" xr:uid="{6F3D1A5E-12E0-430B-961C-4B9085A62CE4}"/>
    <hyperlink ref="O518" r:id="rId261" xr:uid="{F63610F9-240E-4892-BFF9-AEE772096AD7}"/>
    <hyperlink ref="O520" r:id="rId262" xr:uid="{6E6A0697-661D-430D-A3D5-227072656303}"/>
    <hyperlink ref="O579" r:id="rId263" xr:uid="{84569C78-5572-4EF9-BE7A-8854B47E1B56}"/>
    <hyperlink ref="O584" r:id="rId264" xr:uid="{9EFE3372-AE93-4901-A0AE-B610F041A832}"/>
    <hyperlink ref="O607" r:id="rId265" xr:uid="{54A7D069-7949-4C12-B3D6-EBCB7843F785}"/>
    <hyperlink ref="O435" r:id="rId266" xr:uid="{2F8E59FA-75D0-440B-A255-00440407F550}"/>
    <hyperlink ref="O449" r:id="rId267" xr:uid="{8E6A501E-AD7E-4BA6-9E36-2FAB4D29A73C}"/>
    <hyperlink ref="O532" r:id="rId268" xr:uid="{1E8AE4CB-3238-48B0-A387-57EBF9687CF1}"/>
    <hyperlink ref="O535" r:id="rId269" xr:uid="{8274373B-DFD9-4FD0-966D-4B838A2404B3}"/>
    <hyperlink ref="O576" r:id="rId270" xr:uid="{FDA5E49D-B383-4624-85D8-96F6D28B5EC6}"/>
    <hyperlink ref="O580" r:id="rId271" xr:uid="{1A37D32F-B561-4390-8D6B-181688AD07BC}"/>
    <hyperlink ref="O480" r:id="rId272" xr:uid="{E330F759-79C2-4EC6-982A-845F6224669A}"/>
    <hyperlink ref="O530" r:id="rId273" xr:uid="{83507261-5980-445F-9216-BE5A12EC0BB3}"/>
    <hyperlink ref="O463" r:id="rId274" xr:uid="{68389419-62E9-4EC0-9499-E2D1E90D5473}"/>
    <hyperlink ref="O588" r:id="rId275" xr:uid="{7E0B1B30-5C20-459E-810C-C66B781B7BB3}"/>
    <hyperlink ref="O608" r:id="rId276" xr:uid="{2873B1F9-B8ED-45BD-BE98-EC565CCD750A}"/>
    <hyperlink ref="O453" r:id="rId277" xr:uid="{E8683919-53C1-430D-B8A7-EF71BD03DD57}"/>
    <hyperlink ref="O456" r:id="rId278" xr:uid="{FBDDC1CB-8A4D-4EA2-A6FE-131901B3E63E}"/>
    <hyperlink ref="O479" r:id="rId279" xr:uid="{B25872D9-EE3B-4CA0-99E7-6EF7A99B93E1}"/>
    <hyperlink ref="O491" r:id="rId280" xr:uid="{446C64BC-9894-4C4B-83B3-7A08A6F51D11}"/>
    <hyperlink ref="O496" r:id="rId281" xr:uid="{BE6B970E-0D64-4BF7-93E4-180A8409F319}"/>
    <hyperlink ref="O597" r:id="rId282" xr:uid="{B3D3D853-45DF-4D93-BF5D-5686555B922C}"/>
    <hyperlink ref="O431" r:id="rId283" xr:uid="{19D35F06-8607-4606-BB1A-B4F6B118D950}"/>
    <hyperlink ref="O564" r:id="rId284" xr:uid="{BDB43032-44E8-4D4A-9C2F-BBCDCF580F4B}"/>
    <hyperlink ref="O553" r:id="rId285" xr:uid="{B885405C-A600-41BE-B5C1-8B787BE0D252}"/>
    <hyperlink ref="O557" r:id="rId286" xr:uid="{2C832226-E509-409E-930C-4D1F07253D77}"/>
    <hyperlink ref="O478" r:id="rId287" xr:uid="{EF0CFEC3-0400-4FE5-8FB4-D19F22B08FDD}"/>
    <hyperlink ref="O494" r:id="rId288" xr:uid="{2845CA86-F3C0-4716-B651-A7E5C33CC1DC}"/>
    <hyperlink ref="O451" r:id="rId289" xr:uid="{1FBF138B-6634-48D2-830E-65245A3EC36C}"/>
    <hyperlink ref="O452" r:id="rId290" xr:uid="{ED00FC89-E5D0-41CB-9C5D-2D628D5A1773}"/>
    <hyperlink ref="O573" r:id="rId291" xr:uid="{665C2F63-D9D6-4599-8DC0-19851620EE84}"/>
    <hyperlink ref="O574" r:id="rId292" xr:uid="{5862127C-C5A8-4180-BD4D-68E79A438A92}"/>
    <hyperlink ref="O521" r:id="rId293" xr:uid="{2E9A20D6-53F4-4379-9A65-E33F42403C22}"/>
    <hyperlink ref="O528" r:id="rId294" xr:uid="{19AADB2E-235E-4915-AF81-C1CD28885684}"/>
    <hyperlink ref="O555" r:id="rId295" xr:uid="{44C43C18-FBDA-405D-A629-C711A7BEF46D}"/>
    <hyperlink ref="O578" r:id="rId296" xr:uid="{1D87FEA7-F691-456A-901A-5CF0BA7D679A}"/>
    <hyperlink ref="O582" r:id="rId297" xr:uid="{383F04F1-C132-4360-9372-A79B7FD950CD}"/>
    <hyperlink ref="O592" r:id="rId298" xr:uid="{1EC6C2C8-8374-4398-B393-0E4E34849DB9}"/>
    <hyperlink ref="O465" r:id="rId299" xr:uid="{B0A148BA-7223-4605-8409-FE3116BC3A3E}"/>
    <hyperlink ref="O533" r:id="rId300" xr:uid="{B4053042-34A4-4340-A012-59AB54E52D78}"/>
    <hyperlink ref="O454" r:id="rId301" xr:uid="{928665BA-1813-4717-B003-2A3148B16CD8}"/>
    <hyperlink ref="O552" r:id="rId302" xr:uid="{3E7482F2-4219-482B-A541-B55EB3C14DC9}"/>
    <hyperlink ref="O554" r:id="rId303" xr:uid="{48F8730C-C246-459A-8342-702F6EDA8301}"/>
    <hyperlink ref="O560" r:id="rId304" xr:uid="{7C6FE878-6B3E-4B30-AFF8-8BF7921C72B1}"/>
    <hyperlink ref="O499" r:id="rId305" xr:uid="{19879FFD-59C3-4DC6-89A0-F40CEA4F16E8}"/>
    <hyperlink ref="O505" r:id="rId306" xr:uid="{CC8EC84A-05C7-4C35-BC85-DAFEFA32F803}"/>
    <hyperlink ref="O517" r:id="rId307" xr:uid="{88D9EF97-77B6-47EC-8382-8964AEF4E025}"/>
    <hyperlink ref="O524" r:id="rId308" xr:uid="{0394B9E5-A696-49FE-A90B-4ABA87F377FC}"/>
    <hyperlink ref="O448" r:id="rId309" xr:uid="{FBD258F3-6292-42B7-B0B4-6FAF100E4D8A}"/>
    <hyperlink ref="O562" r:id="rId310" xr:uid="{E3505212-EBE7-4F93-AE71-4D4D36261E47}"/>
    <hyperlink ref="O601" r:id="rId311" xr:uid="{511F16A6-B1FB-4C1D-8DB4-EDF688CEEC87}"/>
    <hyperlink ref="O605" r:id="rId312" xr:uid="{76410DB4-77C0-4A3C-BDF0-CE2B2C465DDB}"/>
    <hyperlink ref="O472" r:id="rId313" xr:uid="{2852D6B2-690C-4168-B785-7A1D12FD2078}"/>
    <hyperlink ref="O473" r:id="rId314" xr:uid="{0F0C03C6-99DC-433A-9CD1-33B6D70A2AED}"/>
    <hyperlink ref="O474" r:id="rId315" xr:uid="{1F3F8D7A-2C34-4D43-BE45-3B646577BC55}"/>
    <hyperlink ref="O525" r:id="rId316" xr:uid="{E491C79C-3162-4E99-87AD-570B549287B8}"/>
    <hyperlink ref="O556" r:id="rId317" xr:uid="{2440D31B-3E3B-499C-B077-089D83C2EE45}"/>
    <hyperlink ref="O606" r:id="rId318" xr:uid="{789CDF6E-6D2A-424F-9767-26EBBD087007}"/>
    <hyperlink ref="O526" r:id="rId319" xr:uid="{5CD8D074-9A2A-4157-AF72-D6ECD6C675CF}"/>
    <hyperlink ref="O443" r:id="rId320" xr:uid="{BF2BF7DA-840B-4B32-B648-C29911F68AF8}"/>
    <hyperlink ref="O543" r:id="rId321" xr:uid="{C450E5A6-22CC-4540-AE3B-173E904B5DBC}"/>
    <hyperlink ref="O545" r:id="rId322" xr:uid="{53B9AEA3-2F4A-4081-A71B-B3AF2D68B8E9}"/>
    <hyperlink ref="O430" r:id="rId323" xr:uid="{F9AB60C5-05DE-4C31-8D1D-B00CAA872580}"/>
    <hyperlink ref="O485" r:id="rId324" xr:uid="{72515FBC-FDEE-46AA-B6B8-BB995E2B22EF}"/>
    <hyperlink ref="AA604" r:id="rId325" xr:uid="{C1D88529-555C-46A7-A0D6-E5E0E59F8F55}"/>
    <hyperlink ref="W559" r:id="rId326" xr:uid="{27DDCC8E-DF7B-451D-AE55-A218984905D6}"/>
    <hyperlink ref="O460" r:id="rId327" xr:uid="{15145030-EEC2-42D7-9AB0-D633D898BF7F}"/>
    <hyperlink ref="O462" r:id="rId328" xr:uid="{A4F4BD2E-E7B6-4C18-92C5-A13BB86BB6DC}"/>
    <hyperlink ref="O515" r:id="rId329" xr:uid="{EA3E69C5-1DEC-4D5A-BFD2-9E55615ACC9E}"/>
    <hyperlink ref="O516" r:id="rId330" xr:uid="{7E82DDAF-352C-4A82-85A5-693738B4A200}"/>
    <hyperlink ref="O536" r:id="rId331" xr:uid="{8B22B1F0-BAEB-491D-B33A-6F80EF6F34DA}"/>
    <hyperlink ref="O527" r:id="rId332" xr:uid="{3707CCD7-D9CB-4A1F-8035-A487E3DD0C16}"/>
    <hyperlink ref="O534" r:id="rId333" xr:uid="{7C7B7337-F1C4-46CA-A7FE-F96BD283821F}"/>
    <hyperlink ref="O537" r:id="rId334" xr:uid="{7B3808CD-34B0-46CC-AB15-58C27A4DFB89}"/>
    <hyperlink ref="O538" r:id="rId335" xr:uid="{41606C4C-48B5-4819-A5A5-E452CD270988}"/>
    <hyperlink ref="O539" r:id="rId336" xr:uid="{CAFA8512-10E4-404A-95EE-C278EF15546B}"/>
    <hyperlink ref="O585" r:id="rId337" xr:uid="{9CCA19C0-BB7E-4889-9967-2AC12B4E6DD0}"/>
    <hyperlink ref="O610" r:id="rId338" xr:uid="{F9CA0241-4F5D-443E-AF9F-D791FAEF880F}"/>
    <hyperlink ref="O611" r:id="rId339" xr:uid="{F986BA28-61C7-4D0E-B38F-E6D4684AB492}"/>
    <hyperlink ref="O613" r:id="rId340" xr:uid="{003DC995-777C-4429-97C7-C25BF754DE53}"/>
    <hyperlink ref="O192" r:id="rId341" xr:uid="{A967ABE8-660B-4933-9218-178E598E4952}"/>
    <hyperlink ref="O179" r:id="rId342" xr:uid="{2A763C30-8DF6-447F-B801-4B6BD9429ED6}"/>
    <hyperlink ref="O178" r:id="rId343" xr:uid="{976D61F2-192E-429E-9C1E-F4A7485479E0}"/>
    <hyperlink ref="O174" r:id="rId344" xr:uid="{64A1B3AC-8652-4651-9943-91F9BF67E641}"/>
    <hyperlink ref="O188" r:id="rId345" xr:uid="{1B7DAB04-CDD4-49F6-942B-9D05F89165E9}"/>
    <hyperlink ref="O173" r:id="rId346" xr:uid="{4603F5A4-1C6F-4CF8-8A05-772BB387A3AA}"/>
    <hyperlink ref="O185" r:id="rId347" xr:uid="{23241312-B871-4AA6-9B21-C40276E65AA9}"/>
    <hyperlink ref="O196" r:id="rId348" xr:uid="{AB1D5C84-B355-4074-AB39-81641E58FCF4}"/>
    <hyperlink ref="O193" r:id="rId349" xr:uid="{95839185-D95F-4B3F-B43A-D094DAF7C302}"/>
    <hyperlink ref="O191" r:id="rId350" xr:uid="{9D2653A3-27BD-48D5-BBC2-8C1E16CAF915}"/>
    <hyperlink ref="O175" r:id="rId351" xr:uid="{8FEA7603-27A0-474F-9D99-71E916B4757F}"/>
    <hyperlink ref="O170" r:id="rId352" xr:uid="{94370D1D-A8C1-41D4-A5FF-6182EB3BE929}"/>
    <hyperlink ref="O181" r:id="rId353" xr:uid="{735CF40F-3EA4-44B2-81B2-88B859FE399A}"/>
    <hyperlink ref="O176" r:id="rId354" xr:uid="{F5A11026-2ED9-4116-A350-552FF040810B}"/>
    <hyperlink ref="O172" r:id="rId355" xr:uid="{16E47CAC-592A-45BB-8059-B46290E5245C}"/>
    <hyperlink ref="O133" r:id="rId356" xr:uid="{F4B42E00-3860-4986-9BB2-C149910B24E5}"/>
    <hyperlink ref="O190" r:id="rId357" xr:uid="{FB7E93BA-A2AD-474A-9D62-B481CCC9B5F2}"/>
    <hyperlink ref="O187" r:id="rId358" xr:uid="{35308E16-A06B-45F1-BC05-479722286329}"/>
    <hyperlink ref="O171" r:id="rId359" xr:uid="{E5977346-B1CE-4DD1-B2BB-E64A29688F43}"/>
    <hyperlink ref="O168" r:id="rId360" xr:uid="{32D47DAD-C874-49F7-8F37-9A4D782AAF4F}"/>
    <hyperlink ref="O195" r:id="rId361" xr:uid="{FA6409DB-0DBA-4AFC-811F-1062B0591A90}"/>
    <hyperlink ref="O194" r:id="rId362" xr:uid="{384D225D-F476-4083-8AEC-ADBD899688AB}"/>
    <hyperlink ref="O162" r:id="rId363" xr:uid="{79D060C1-44F1-42C0-B857-E67DD8CA1827}"/>
    <hyperlink ref="O184" r:id="rId364" xr:uid="{62F94C06-A5A5-4E6A-B7EE-89DF2BD863ED}"/>
    <hyperlink ref="O180" r:id="rId365" xr:uid="{F5CA4004-E9B8-4C05-A39D-173A88189737}"/>
    <hyperlink ref="O167" r:id="rId366" xr:uid="{7647E59E-3234-4799-9140-DF65438A306A}"/>
    <hyperlink ref="O160" r:id="rId367" xr:uid="{39C1B136-5C81-4889-BE9E-CC294E472EB9}"/>
    <hyperlink ref="O159" r:id="rId368" xr:uid="{F7E2B7A4-380B-466E-844D-08E79A13C34A}"/>
    <hyperlink ref="O158" r:id="rId369" xr:uid="{C1296F91-56B9-4E50-990C-E882D52A9EDD}"/>
    <hyperlink ref="O157" r:id="rId370" xr:uid="{96FB917C-CB13-44AE-8F65-4D36DF877C7F}"/>
    <hyperlink ref="O137" r:id="rId371" xr:uid="{5D875B07-F120-4D8E-B0C5-11A9740CE1B2}"/>
    <hyperlink ref="O136" r:id="rId372" xr:uid="{592C6489-4B45-4FCE-8B44-10F2B599B399}"/>
    <hyperlink ref="O163" r:id="rId373" xr:uid="{77EBE4E8-F7F6-46FB-BCFE-15BDBE317544}"/>
    <hyperlink ref="O161" r:id="rId374" xr:uid="{956A7709-E05E-4046-8C80-2FAF041D39A8}"/>
    <hyperlink ref="O183" r:id="rId375" xr:uid="{C8D05ED1-8EEF-439C-A5C4-9460A94CB772}"/>
    <hyperlink ref="O182" r:id="rId376" xr:uid="{F028D0D8-D8B0-480D-B11D-6C94A7499977}"/>
    <hyperlink ref="O177" r:id="rId377" xr:uid="{A0A87CB8-CCCB-4EDA-9484-6FD7973A4B33}"/>
    <hyperlink ref="O166" r:id="rId378" xr:uid="{62C52AC4-5C27-49FA-B5B2-D231B202B5E3}"/>
    <hyperlink ref="O164" r:id="rId379" xr:uid="{31E2022B-2870-488F-BB86-41D27CA13E6B}"/>
    <hyperlink ref="O134" r:id="rId380" xr:uid="{BBBF79D5-AE5B-43BE-B694-FFFCD61EDC9B}"/>
    <hyperlink ref="O169" r:id="rId381" xr:uid="{F4D129ED-A33A-42E1-B9E4-2001B4E78FAB}"/>
    <hyperlink ref="O165" r:id="rId382" xr:uid="{9C5B56FE-0300-4F10-90C3-2A2668D67853}"/>
    <hyperlink ref="O152" r:id="rId383" xr:uid="{2B270944-0D80-474A-A666-CCF423D0D245}"/>
    <hyperlink ref="O143" r:id="rId384" xr:uid="{DFEAF3D5-8063-4227-8F14-1B584FE799ED}"/>
    <hyperlink ref="O153" r:id="rId385" xr:uid="{190B5768-063A-488E-89CF-4F2C91B7129C}"/>
    <hyperlink ref="O147" r:id="rId386" xr:uid="{0879ED94-B68E-4430-8675-0F8251F48347}"/>
    <hyperlink ref="O145" r:id="rId387" xr:uid="{47DCD64C-1F3A-4887-A0A3-902BE7213A98}"/>
    <hyperlink ref="O144" r:id="rId388" xr:uid="{CF196534-826F-4DEC-8B12-8072885F782E}"/>
    <hyperlink ref="O146" r:id="rId389" xr:uid="{B09E83BC-8B70-4995-9989-57FF5D1312A4}"/>
    <hyperlink ref="N155:O155" r:id="rId390" display="https://maps.app.goo.gl/RsDK6sYwh2wEarJo6" xr:uid="{2A02DF77-5E8D-40EC-9794-B746659F562A}"/>
    <hyperlink ref="O155" r:id="rId391" xr:uid="{4CD64E66-0D3F-4CE5-9CEF-737B554F0845}"/>
    <hyperlink ref="O154" r:id="rId392" xr:uid="{0C4422E9-83D6-4490-BE80-776436BF940F}"/>
    <hyperlink ref="O151" r:id="rId393" xr:uid="{238CCE5A-5FDE-4BCF-B39F-64E2AB0BBEA5}"/>
    <hyperlink ref="O150" r:id="rId394" xr:uid="{2AC0BF45-4D52-4067-BB12-C678086B18B1}"/>
    <hyperlink ref="O149" r:id="rId395" xr:uid="{5C1F2E90-C59E-4669-8F71-72BAA22FAC00}"/>
    <hyperlink ref="O141" r:id="rId396" xr:uid="{3ADB9C40-2FB5-4C74-8432-E60B2595E8F9}"/>
    <hyperlink ref="O140" r:id="rId397" xr:uid="{79262DEC-10E1-41D0-A5B6-13B41016599C}"/>
    <hyperlink ref="O189" r:id="rId398" xr:uid="{3F53D330-14C5-481C-BE1E-4FBAAB3D5561}"/>
    <hyperlink ref="O197" r:id="rId399" xr:uid="{C0152C1C-BA6D-4F3E-9E2D-6583F06C8D6F}"/>
    <hyperlink ref="O92" r:id="rId400" xr:uid="{DE1A0FBB-4988-4D84-BB9F-ADE2CEFB37FA}"/>
    <hyperlink ref="O93" r:id="rId401" xr:uid="{461124BE-CD46-4417-8E98-5F497E1ED8CC}"/>
    <hyperlink ref="O95" r:id="rId402" xr:uid="{8474C4CC-584C-4ADB-8AE4-27881A2962BA}"/>
    <hyperlink ref="O94" r:id="rId403" xr:uid="{A0B5A14E-F69A-4193-9FD8-42B1E7B5FB9C}"/>
    <hyperlink ref="O110" r:id="rId404" xr:uid="{802DC5DA-984F-47A8-853B-506D5255ACCC}"/>
    <hyperlink ref="O108" r:id="rId405" xr:uid="{1D61E549-B459-44A1-968C-5A3F2136361F}"/>
    <hyperlink ref="O104" r:id="rId406" xr:uid="{174C6D47-7BF7-4FDC-948F-3043CF947FDB}"/>
    <hyperlink ref="AA106" r:id="rId407" xr:uid="{6A027DD6-BC97-4C3D-BC31-F48E02B2B140}"/>
    <hyperlink ref="O97" r:id="rId408" xr:uid="{36770D88-0C50-4539-AFC1-29AB5F309E2A}"/>
    <hyperlink ref="O109" r:id="rId409" xr:uid="{389B43F9-BE5F-4310-AC63-5BEEF000C81A}"/>
    <hyperlink ref="O96" r:id="rId410" xr:uid="{28D18BEB-D86B-4415-B149-DA4679324578}"/>
    <hyperlink ref="O103" r:id="rId411" xr:uid="{F5D4CF97-2FB0-44A1-906E-86397862522C}"/>
    <hyperlink ref="O107" r:id="rId412" xr:uid="{6B03766D-E167-405A-8930-CF8E54997796}"/>
    <hyperlink ref="O116" r:id="rId413" xr:uid="{2D937BB1-288B-430D-869B-1825BE466460}"/>
    <hyperlink ref="O105" r:id="rId414" xr:uid="{F85F2A9C-CE33-4A08-8E94-0BE9C5F5F294}"/>
    <hyperlink ref="O106" r:id="rId415" xr:uid="{7FD2A9A3-807C-4D13-AE54-94791C4A68F4}"/>
    <hyperlink ref="O115" r:id="rId416" xr:uid="{3343B9B4-ABCB-495C-BD8B-7689CEDFF781}"/>
    <hyperlink ref="O114" r:id="rId417" xr:uid="{A1DF6F1F-E89F-4CD3-8C55-6B6F198B09CF}"/>
    <hyperlink ref="O102" r:id="rId418" xr:uid="{CC10CB31-6C58-4C69-A12A-66818861E957}"/>
    <hyperlink ref="O101" r:id="rId419" xr:uid="{8232C639-EAA9-4C1E-B28C-66EB0F167A59}"/>
    <hyperlink ref="O100" r:id="rId420" xr:uid="{ED4464E4-4F59-4166-90B4-D5F563F61CA3}"/>
    <hyperlink ref="O99" r:id="rId421" xr:uid="{52F325D0-51E3-4C8D-AFD1-E109C28D1382}"/>
    <hyperlink ref="O98" r:id="rId422" xr:uid="{50E93C94-8D97-405F-864D-DCFABEB58290}"/>
    <hyperlink ref="O120" r:id="rId423" xr:uid="{D76D81DB-438F-483C-A0C8-97006250A645}"/>
    <hyperlink ref="O122" r:id="rId424" xr:uid="{D6F1C2F6-18F1-4897-916A-1CE94598576A}"/>
    <hyperlink ref="O119" r:id="rId425" xr:uid="{AC2B7ADD-29C3-480A-BE7A-B2A949E928CA}"/>
    <hyperlink ref="O118" r:id="rId426" xr:uid="{4513D6B8-7C05-4133-9E79-2EE919519063}"/>
    <hyperlink ref="O117" r:id="rId427" xr:uid="{CA56A24F-EC30-46FC-A70F-E2BCC279844B}"/>
    <hyperlink ref="O121" r:id="rId428" xr:uid="{D8D06C54-FF3D-4272-B8FC-BDDF8C2160F5}"/>
    <hyperlink ref="O123" r:id="rId429" xr:uid="{9E8B53BD-6EFF-4CA2-936E-77AA58F9FE0A}"/>
    <hyperlink ref="O130" r:id="rId430" xr:uid="{07E01F3B-2DEB-4670-B333-FB848FDFE2D5}"/>
    <hyperlink ref="O129" r:id="rId431" xr:uid="{D5155CCE-4B0F-409E-A145-759D7652946C}"/>
    <hyperlink ref="O128" r:id="rId432" xr:uid="{EF9BD73F-F96B-47A0-BB16-84303758612B}"/>
    <hyperlink ref="O127" r:id="rId433" xr:uid="{8DB911C7-23EA-4817-8698-3A8E480AB37D}"/>
    <hyperlink ref="O126" r:id="rId434" xr:uid="{4E3761E7-43FE-4598-874D-06D2899D1E07}"/>
    <hyperlink ref="O125" r:id="rId435" xr:uid="{323540E6-0382-4013-AB86-32095C567B45}"/>
    <hyperlink ref="O124" r:id="rId436" xr:uid="{5D955FB5-8F9E-457B-99FC-49F7F90E35C5}"/>
    <hyperlink ref="O131" r:id="rId437" xr:uid="{7AE502E9-E237-40E8-BAC5-CBED445F123C}"/>
    <hyperlink ref="O132" r:id="rId438" xr:uid="{413FEC4F-DBA6-4567-8962-B91192D4E00E}"/>
    <hyperlink ref="O88" r:id="rId439" xr:uid="{5EA3D9B9-E892-4BDF-B48B-EB13493720B1}"/>
    <hyperlink ref="O62" r:id="rId440" xr:uid="{7227F8E6-A761-4473-9457-4C6AB6425FA8}"/>
    <hyperlink ref="O89" r:id="rId441" xr:uid="{63F81818-D0C5-45A5-9B2B-C7171CEE493A}"/>
    <hyperlink ref="O80" r:id="rId442" xr:uid="{8D1708C1-119D-42DB-BFB1-B6E9257ADD69}"/>
    <hyperlink ref="O75" r:id="rId443" xr:uid="{1F0276EA-FD9F-4BCD-8A0F-86A09DBFDF7D}"/>
    <hyperlink ref="O70" r:id="rId444" xr:uid="{1BC62089-1174-4764-8023-B55FF93FB22C}"/>
    <hyperlink ref="O54" r:id="rId445" xr:uid="{73B7DB3F-260F-4B53-A35C-80CFC66D8067}"/>
    <hyperlink ref="O51" r:id="rId446" xr:uid="{1F5E7457-8086-4F16-A5F4-4672574D847A}"/>
    <hyperlink ref="O81" r:id="rId447" xr:uid="{8A941426-FF6A-4322-9284-86C53A842117}"/>
    <hyperlink ref="O10" r:id="rId448" xr:uid="{D0CB5A7B-216A-45AD-A564-6B10ACA9637A}"/>
    <hyperlink ref="O55" r:id="rId449" xr:uid="{844E5E0A-5114-4E82-8A41-617FEDCFF13A}"/>
    <hyperlink ref="O12" r:id="rId450" xr:uid="{583A43BA-92FD-452E-898E-189C453DE804}"/>
    <hyperlink ref="O60" r:id="rId451" xr:uid="{CB759E7F-A516-4643-B111-EA961E5B9340}"/>
    <hyperlink ref="O49" r:id="rId452" xr:uid="{C42C6ED5-6F25-471B-9936-171785059F01}"/>
    <hyperlink ref="O11" r:id="rId453" xr:uid="{C772B74C-3164-4CF5-A5F4-EA29F64CAE56}"/>
    <hyperlink ref="O63" r:id="rId454" xr:uid="{2DAE5393-F725-4DAC-B2BC-0F02DE8AEF2C}"/>
    <hyperlink ref="O59" r:id="rId455" xr:uid="{3DD62072-2E5C-48E5-9D56-B8F0ED1C9F13}"/>
    <hyperlink ref="O43" r:id="rId456" xr:uid="{7B7B1E14-5777-45A9-BC2E-16E06697FAD1}"/>
    <hyperlink ref="O79" r:id="rId457" xr:uid="{A4AE0C47-F147-4186-A0E9-17FE9836B83D}"/>
    <hyperlink ref="O78" r:id="rId458" xr:uid="{EACC2013-1ECB-4BF9-873F-A308307F4671}"/>
    <hyperlink ref="O58" r:id="rId459" xr:uid="{E8F750ED-376C-4413-B75A-F378DA43D3C8}"/>
    <hyperlink ref="O47" r:id="rId460" xr:uid="{9908E5D4-98C7-4829-A8FA-1FF95C696D69}"/>
    <hyperlink ref="O52" r:id="rId461" xr:uid="{26D2853C-B5A2-461D-B85C-69BE9C50A206}"/>
    <hyperlink ref="O40" r:id="rId462" xr:uid="{C7ABFE74-2FD3-4BA3-ABA4-D5AA1E022070}"/>
    <hyperlink ref="O36" r:id="rId463" xr:uid="{E3070B61-CD90-450C-9F7B-A94EC03CE04A}"/>
    <hyperlink ref="O13" r:id="rId464" xr:uid="{5D785DB7-0F35-4753-817B-C7F5ED260BBE}"/>
    <hyperlink ref="O84" r:id="rId465" xr:uid="{D9839143-39E3-49A2-B0BF-D87F22F535CB}"/>
    <hyperlink ref="O83" r:id="rId466" xr:uid="{F1F7948C-B2FF-4713-997E-54EA278C373B}"/>
    <hyperlink ref="O77" r:id="rId467" xr:uid="{2505155A-02B1-4A98-90E6-58D84C5BE4CE}"/>
    <hyperlink ref="O76" r:id="rId468" xr:uid="{C8E35B1B-8C28-4F9F-8A53-DE01372B9A36}"/>
    <hyperlink ref="O61" r:id="rId469" xr:uid="{C1109EFF-E091-4C5F-82C6-114D136D7E48}"/>
    <hyperlink ref="O37" r:id="rId470" xr:uid="{53B564F7-8FDB-45E1-AD26-AECD69BE9AAC}"/>
    <hyperlink ref="O34" r:id="rId471" xr:uid="{908DC369-3115-4F9D-9E60-59F11CF7A75C}"/>
    <hyperlink ref="O24" r:id="rId472" xr:uid="{712F58A4-1BC5-4A3A-B1A1-F10B45AD5954}"/>
    <hyperlink ref="O23" r:id="rId473" xr:uid="{58E46CF7-CE37-4CF6-A3F3-4F5931AFFCA6}"/>
    <hyperlink ref="O21" r:id="rId474" xr:uid="{6F8F53D8-73DD-4BF2-83E0-C5E7781AAF39}"/>
    <hyperlink ref="O20" r:id="rId475" xr:uid="{04934015-A474-4F1A-9BC1-CB14B4A008D8}"/>
    <hyperlink ref="O26" r:id="rId476" xr:uid="{199BC2EB-E7D5-4843-BD56-227F496B4D15}"/>
    <hyperlink ref="O91" r:id="rId477" xr:uid="{37E3ECC8-08D4-4618-BA4D-145A822572CF}"/>
    <hyperlink ref="O90" r:id="rId478" xr:uid="{94542914-16B8-478D-90BE-6A12905EFE95}"/>
    <hyperlink ref="O71" r:id="rId479" xr:uid="{5EFAFD46-3607-4329-BCBC-D577E714298E}"/>
    <hyperlink ref="O18" r:id="rId480" xr:uid="{6232FCE2-B03E-4626-A127-D9657DDBE895}"/>
    <hyperlink ref="O16" r:id="rId481" xr:uid="{7F67CEB0-730D-4104-BC88-B8488A7F4295}"/>
    <hyperlink ref="O74" r:id="rId482" xr:uid="{8C4F55DB-A8D5-4B75-AFA9-B9EB6D34717E}"/>
    <hyperlink ref="O73" r:id="rId483" xr:uid="{EC8B77FB-1A49-4F28-8526-3701BB5FEE92}"/>
    <hyperlink ref="O72" r:id="rId484" xr:uid="{7C0F17F0-B7B0-4C9E-96DC-399ED346B02C}"/>
    <hyperlink ref="O69" r:id="rId485" xr:uid="{4391C229-B64B-45AC-B0B2-33BB3D7C812F}"/>
    <hyperlink ref="O48" r:id="rId486" xr:uid="{5708D626-5DE7-4D5A-A48A-C6DC88ABCC3D}"/>
    <hyperlink ref="O9" r:id="rId487" xr:uid="{E71B4089-29B2-4D6E-97B9-B9F204C7D09F}"/>
    <hyperlink ref="O8" r:id="rId488" xr:uid="{95440F4B-964F-463E-8467-C7A9DAFCDE3B}"/>
    <hyperlink ref="O7" r:id="rId489" xr:uid="{FF0407CD-79EC-44BA-833E-1A009ED3CABD}"/>
    <hyperlink ref="O6" r:id="rId490" xr:uid="{C7F10B3E-F2C7-448E-AD6C-5FCFE4549B37}"/>
    <hyperlink ref="O5" r:id="rId491" xr:uid="{758535E4-A282-41A9-96B5-AE2668B09DB4}"/>
    <hyperlink ref="O4" r:id="rId492" xr:uid="{37F1B6B0-4741-427A-9B78-A15550EDC043}"/>
    <hyperlink ref="O3" r:id="rId493" xr:uid="{9CA21764-E723-4BA6-869D-769915059834}"/>
    <hyperlink ref="O46" r:id="rId494" xr:uid="{AA9F9147-299E-4D0C-879C-6AA5C5F0C3E7}"/>
    <hyperlink ref="O45" r:id="rId495" xr:uid="{B7BE512F-7635-4B03-BA98-597CAE5A50DD}"/>
    <hyperlink ref="O2" r:id="rId496" xr:uid="{9AD3E85B-04BF-485D-9436-60A3B7069A0E}"/>
    <hyperlink ref="O44" r:id="rId497" xr:uid="{1A14021A-9DB8-4D26-9746-CBCD79506470}"/>
    <hyperlink ref="O42" r:id="rId498" xr:uid="{502BFFC0-2B6E-4C76-B71E-70CE5203C30A}"/>
    <hyperlink ref="O41" r:id="rId499" xr:uid="{93628947-FA97-4182-BE0C-F62E97051416}"/>
    <hyperlink ref="O39" r:id="rId500" xr:uid="{C596A46D-21C6-46BD-A965-251D30CB6C13}"/>
    <hyperlink ref="O87" r:id="rId501" xr:uid="{70D7F281-1DB4-40BD-8460-44AA84E3EC35}"/>
    <hyperlink ref="O67" r:id="rId502" xr:uid="{E9D33EF5-C366-4F5A-A608-F02EF2E8BA60}"/>
    <hyperlink ref="O82" r:id="rId503" xr:uid="{9F9B7F66-CA8F-41B6-AC84-23577FCCDA7D}"/>
    <hyperlink ref="O68" r:id="rId504" xr:uid="{9783309D-3D57-42C8-917B-B5657DF82E53}"/>
    <hyperlink ref="O65" r:id="rId505" xr:uid="{01BF269F-3B14-4965-B207-D1919D6EA6CC}"/>
    <hyperlink ref="O64" r:id="rId506" xr:uid="{6496D624-0375-42FC-AB76-E879A0F12305}"/>
    <hyperlink ref="O57" r:id="rId507" xr:uid="{51E70978-527D-482E-94F0-01AE7DAB3E04}"/>
    <hyperlink ref="O56" r:id="rId508" xr:uid="{714F724D-BFA5-4C32-9BA8-5DEC905DAE7E}"/>
    <hyperlink ref="O53" r:id="rId509" xr:uid="{B030DA74-6517-44C9-9EF3-C8CFB8980D81}"/>
    <hyperlink ref="O50" r:id="rId510" xr:uid="{3585BAC6-26D6-47B6-ACE2-40823729B05B}"/>
    <hyperlink ref="O27" r:id="rId511" xr:uid="{B0741B8B-5EB6-4A2C-8E2B-ECF0796D7FA5}"/>
    <hyperlink ref="O25" r:id="rId512" xr:uid="{01ED4661-C652-40BF-8B04-3B3E242B7720}"/>
    <hyperlink ref="O19" r:id="rId513" xr:uid="{E5F12E66-C3F0-419F-B9E7-2914BCC5FC2A}"/>
    <hyperlink ref="O32" r:id="rId514" xr:uid="{671D64F3-2710-479E-AAB3-8104A1DD59D3}"/>
    <hyperlink ref="O22" r:id="rId515" xr:uid="{4EC134E8-B6E3-4F92-B4B2-F723EA8571AE}"/>
    <hyperlink ref="O31" r:id="rId516" xr:uid="{CE6858A1-C1DD-4A45-A38C-52222DDBB075}"/>
    <hyperlink ref="O14" r:id="rId517" xr:uid="{5944310B-163A-448D-A445-370300F660FE}"/>
  </hyperlinks>
  <pageMargins left="0.7" right="0.7" top="0.75" bottom="0.75" header="0.3" footer="0.3"/>
  <legacyDrawing r:id="rId51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3431AC-BD8E-4F62-8608-CB8186428914}">
          <x14:formula1>
            <xm:f>'Dados das Regiões '!$M$2</xm:f>
          </x14:formula1>
          <xm:sqref>D2:D18 F2:F18 D20:D53 F20:F53 D55:D264 F55:F264 D266:D613 F266:F613 F614:F622 D614:D622</xm:sqref>
        </x14:dataValidation>
        <x14:dataValidation type="list" allowBlank="1" showInputMessage="1" showErrorMessage="1" xr:uid="{D5442F54-092C-412E-A47A-24A807C1F0AF}">
          <x14:formula1>
            <xm:f>'Dados Gerais'!#REF!</xm:f>
          </x14:formula1>
          <xm:sqref>AB2:AB9 AB11:AB18 AB20:AB62 AB65:AB81 AB83:AB87 AB89:AB95 AB101:AB116 AB118:AB145 AB148 AB150:AB156 AB158:AB169 AB171:AB181 AB183:AB189 AB191:AB194 AB196:AB201 AB204:AB213 AB215:AB221 AB223:AB273 AB292:AB296 AB324:AB351 AB354 AB356:AB362 AB364:AB375 AB388:AB394 AB396:AB399 AB276:AB290 AB298:AB303 AB309:AB322 AB377:AB386 AB401:AB405 AB408:AB416 AB418:AB496 AB498:AB514 AB521 AB523:AB613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364B-AC46-48B4-B1A5-12FC7D941B92}">
  <sheetPr codeName="Planilha8">
    <pageSetUpPr fitToPage="1"/>
  </sheetPr>
  <dimension ref="A1:Q37"/>
  <sheetViews>
    <sheetView workbookViewId="0">
      <selection activeCell="C2" sqref="C2:E9"/>
    </sheetView>
  </sheetViews>
  <sheetFormatPr defaultRowHeight="15"/>
  <cols>
    <col min="1" max="1" width="17.42578125" customWidth="1"/>
    <col min="2" max="2" width="19" bestFit="1" customWidth="1"/>
    <col min="3" max="3" width="10.85546875" bestFit="1" customWidth="1"/>
    <col min="4" max="4" width="11.85546875" customWidth="1"/>
    <col min="5" max="5" width="46.85546875" bestFit="1" customWidth="1"/>
    <col min="6" max="6" width="13.140625" customWidth="1"/>
    <col min="7" max="7" width="31.42578125" customWidth="1"/>
    <col min="8" max="8" width="24.7109375" bestFit="1" customWidth="1"/>
    <col min="9" max="9" width="40.42578125" bestFit="1" customWidth="1"/>
    <col min="10" max="10" width="17.5703125" bestFit="1" customWidth="1"/>
    <col min="11" max="11" width="27.85546875" bestFit="1" customWidth="1"/>
    <col min="12" max="12" width="27.7109375" bestFit="1" customWidth="1"/>
    <col min="13" max="13" width="46.85546875" bestFit="1" customWidth="1"/>
    <col min="14" max="14" width="12.42578125" customWidth="1"/>
    <col min="15" max="15" width="10.85546875" bestFit="1" customWidth="1"/>
    <col min="16" max="16" width="11.85546875" bestFit="1" customWidth="1"/>
  </cols>
  <sheetData>
    <row r="1" spans="1:17" ht="30">
      <c r="A1" s="217" t="s">
        <v>514</v>
      </c>
      <c r="B1" s="218" t="s">
        <v>515</v>
      </c>
      <c r="C1" s="218" t="s">
        <v>0</v>
      </c>
      <c r="D1" s="360" t="s">
        <v>3110</v>
      </c>
      <c r="E1" s="218" t="s">
        <v>516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  <c r="Q1" s="202"/>
    </row>
    <row r="2" spans="1:17">
      <c r="A2" s="385">
        <v>0.54166666666666663</v>
      </c>
      <c r="B2" s="348">
        <v>0.54166666666666663</v>
      </c>
      <c r="C2" s="97">
        <v>202401100</v>
      </c>
      <c r="D2" s="375" t="str">
        <f>VLOOKUP(C2,CC!A:B,2,TRUE)</f>
        <v>465305AFT</v>
      </c>
      <c r="E2" s="97" t="s">
        <v>1201</v>
      </c>
      <c r="F2" s="97" t="s">
        <v>1192</v>
      </c>
      <c r="G2" s="97" t="s">
        <v>1202</v>
      </c>
      <c r="H2" s="340" t="s">
        <v>1204</v>
      </c>
      <c r="I2" s="353" t="s">
        <v>1205</v>
      </c>
      <c r="J2" s="187" t="s">
        <v>453</v>
      </c>
      <c r="K2" s="97" t="s">
        <v>1206</v>
      </c>
      <c r="L2" s="97" t="s">
        <v>1208</v>
      </c>
      <c r="M2" s="386" t="s">
        <v>3111</v>
      </c>
      <c r="N2" s="13" t="s">
        <v>3112</v>
      </c>
      <c r="O2" s="70"/>
      <c r="P2" s="240"/>
    </row>
    <row r="3" spans="1:17">
      <c r="A3" s="345">
        <v>0.58333333333333337</v>
      </c>
      <c r="B3" s="349">
        <v>0.58333333333333337</v>
      </c>
      <c r="C3" s="13">
        <v>202401100</v>
      </c>
      <c r="D3" s="375" t="str">
        <f>VLOOKUP(C3,CC!A:B,2,TRUE)</f>
        <v>465305AFT</v>
      </c>
      <c r="E3" s="13" t="s">
        <v>1275</v>
      </c>
      <c r="F3" s="13" t="s">
        <v>1192</v>
      </c>
      <c r="G3" s="13" t="s">
        <v>1202</v>
      </c>
      <c r="H3" s="40" t="s">
        <v>1204</v>
      </c>
      <c r="I3" s="56" t="s">
        <v>1205</v>
      </c>
      <c r="J3" s="79" t="s">
        <v>453</v>
      </c>
      <c r="K3" s="13" t="s">
        <v>1206</v>
      </c>
      <c r="L3" s="13" t="s">
        <v>1208</v>
      </c>
      <c r="M3" s="387" t="s">
        <v>3111</v>
      </c>
      <c r="N3" s="13" t="s">
        <v>3112</v>
      </c>
      <c r="O3" s="70"/>
      <c r="P3" s="240"/>
    </row>
    <row r="4" spans="1:17">
      <c r="A4" s="345">
        <v>0.54166666666666663</v>
      </c>
      <c r="B4" s="350">
        <v>0.54166666666666663</v>
      </c>
      <c r="C4" s="234">
        <v>202500868</v>
      </c>
      <c r="D4" s="375" t="str">
        <f>VLOOKUP(C4,CC!A:B,2,TRUE)</f>
        <v>465306AHU</v>
      </c>
      <c r="E4" s="234" t="s">
        <v>3113</v>
      </c>
      <c r="F4" s="234" t="s">
        <v>1192</v>
      </c>
      <c r="G4" s="234" t="s">
        <v>1202</v>
      </c>
      <c r="H4" s="340" t="s">
        <v>1204</v>
      </c>
      <c r="I4" s="353" t="s">
        <v>1205</v>
      </c>
      <c r="J4" s="338" t="s">
        <v>453</v>
      </c>
      <c r="K4" s="13" t="s">
        <v>1206</v>
      </c>
      <c r="L4" s="13" t="s">
        <v>1208</v>
      </c>
      <c r="M4" s="386" t="s">
        <v>3111</v>
      </c>
      <c r="N4" s="13" t="s">
        <v>3112</v>
      </c>
      <c r="O4" s="70"/>
      <c r="P4" s="240"/>
    </row>
    <row r="5" spans="1:17">
      <c r="A5" s="346">
        <v>0.5625</v>
      </c>
      <c r="B5" s="351">
        <v>0.54166666666666663</v>
      </c>
      <c r="C5" s="22">
        <v>202500868</v>
      </c>
      <c r="D5" s="375" t="str">
        <f>VLOOKUP(C5,CC!A:B,2,TRUE)</f>
        <v>465306AHU</v>
      </c>
      <c r="E5" s="22" t="s">
        <v>3114</v>
      </c>
      <c r="F5" s="22" t="s">
        <v>1192</v>
      </c>
      <c r="G5" s="22" t="s">
        <v>1202</v>
      </c>
      <c r="H5" s="40" t="s">
        <v>1204</v>
      </c>
      <c r="I5" s="56" t="s">
        <v>1205</v>
      </c>
      <c r="J5" s="88" t="s">
        <v>453</v>
      </c>
      <c r="K5" s="13" t="s">
        <v>1206</v>
      </c>
      <c r="L5" s="13" t="s">
        <v>1208</v>
      </c>
      <c r="M5" s="387" t="s">
        <v>3111</v>
      </c>
      <c r="N5" s="13" t="s">
        <v>3112</v>
      </c>
      <c r="O5" s="70"/>
      <c r="P5" s="294"/>
    </row>
    <row r="6" spans="1:17">
      <c r="A6" s="346">
        <v>0.625</v>
      </c>
      <c r="B6" s="352">
        <v>0.625</v>
      </c>
      <c r="C6" s="97">
        <v>202401100</v>
      </c>
      <c r="D6" s="375" t="str">
        <f>VLOOKUP(C6,CC!A:B,2,TRUE)</f>
        <v>465305AFT</v>
      </c>
      <c r="E6" s="97" t="s">
        <v>1386</v>
      </c>
      <c r="F6" s="97" t="s">
        <v>1192</v>
      </c>
      <c r="G6" s="97" t="s">
        <v>1387</v>
      </c>
      <c r="H6" s="340" t="s">
        <v>1389</v>
      </c>
      <c r="I6" s="353" t="s">
        <v>1390</v>
      </c>
      <c r="J6" s="187" t="s">
        <v>453</v>
      </c>
      <c r="K6" s="97" t="s">
        <v>1391</v>
      </c>
      <c r="L6" s="97" t="s">
        <v>1393</v>
      </c>
      <c r="M6" s="322" t="s">
        <v>3115</v>
      </c>
      <c r="N6" s="13" t="s">
        <v>3112</v>
      </c>
      <c r="O6" s="70"/>
      <c r="P6" s="294"/>
    </row>
    <row r="7" spans="1:17">
      <c r="A7" s="346">
        <v>0.64583333333333337</v>
      </c>
      <c r="B7" s="350">
        <v>0.625</v>
      </c>
      <c r="C7" s="234">
        <v>202500868</v>
      </c>
      <c r="D7" s="375" t="str">
        <f>VLOOKUP(C7,CC!A:B,2,TRUE)</f>
        <v>465306AHU</v>
      </c>
      <c r="E7" s="234" t="s">
        <v>3116</v>
      </c>
      <c r="F7" s="234" t="s">
        <v>1192</v>
      </c>
      <c r="G7" s="234" t="s">
        <v>1387</v>
      </c>
      <c r="H7" s="340" t="s">
        <v>1389</v>
      </c>
      <c r="I7" s="353" t="s">
        <v>1390</v>
      </c>
      <c r="J7" s="338" t="s">
        <v>453</v>
      </c>
      <c r="K7" s="97" t="s">
        <v>1391</v>
      </c>
      <c r="L7" s="234" t="s">
        <v>1393</v>
      </c>
      <c r="M7" s="322" t="s">
        <v>3115</v>
      </c>
      <c r="N7" s="13" t="s">
        <v>3112</v>
      </c>
      <c r="O7" s="13"/>
      <c r="P7" s="13"/>
    </row>
    <row r="8" spans="1:17">
      <c r="A8" s="346">
        <v>0.66666666666666663</v>
      </c>
      <c r="B8" s="351">
        <v>0.625</v>
      </c>
      <c r="C8" s="22">
        <v>202500868</v>
      </c>
      <c r="D8" s="375" t="str">
        <f>VLOOKUP(C8,CC!A:B,2,TRUE)</f>
        <v>465306AHU</v>
      </c>
      <c r="E8" s="22" t="s">
        <v>3117</v>
      </c>
      <c r="F8" s="22" t="s">
        <v>1192</v>
      </c>
      <c r="G8" s="22" t="s">
        <v>1387</v>
      </c>
      <c r="H8" s="40" t="s">
        <v>1389</v>
      </c>
      <c r="I8" s="56" t="s">
        <v>1390</v>
      </c>
      <c r="J8" s="88" t="s">
        <v>453</v>
      </c>
      <c r="K8" s="97" t="s">
        <v>1391</v>
      </c>
      <c r="L8" s="22" t="s">
        <v>1393</v>
      </c>
      <c r="M8" s="317" t="s">
        <v>3115</v>
      </c>
      <c r="N8" s="13" t="s">
        <v>3112</v>
      </c>
      <c r="O8" s="13"/>
      <c r="P8" s="13"/>
    </row>
    <row r="9" spans="1:17">
      <c r="A9" s="347" t="s">
        <v>3118</v>
      </c>
      <c r="B9" s="348">
        <v>0.35416666666666669</v>
      </c>
      <c r="C9" s="97">
        <v>202500030</v>
      </c>
      <c r="D9" s="375" t="str">
        <f>VLOOKUP(C9,CC!A:B,2,TRUE)</f>
        <v>465306AGV</v>
      </c>
      <c r="E9" s="97" t="s">
        <v>3119</v>
      </c>
      <c r="F9" s="97" t="s">
        <v>1176</v>
      </c>
      <c r="G9" s="97" t="s">
        <v>1185</v>
      </c>
      <c r="H9" s="340" t="s">
        <v>3120</v>
      </c>
      <c r="I9" s="353" t="s">
        <v>3121</v>
      </c>
      <c r="J9" s="187" t="s">
        <v>453</v>
      </c>
      <c r="K9" s="97" t="s">
        <v>3122</v>
      </c>
      <c r="L9" s="97" t="s">
        <v>3123</v>
      </c>
      <c r="M9" s="344" t="s">
        <v>3124</v>
      </c>
      <c r="N9" s="13" t="s">
        <v>3112</v>
      </c>
      <c r="O9" s="70"/>
      <c r="P9" s="240"/>
    </row>
    <row r="10" spans="1:17">
      <c r="A10" s="248"/>
      <c r="B10" s="30"/>
      <c r="C10" s="173"/>
      <c r="D10" s="173"/>
      <c r="E10" s="34"/>
      <c r="F10" s="34"/>
      <c r="G10" s="95"/>
      <c r="H10" s="13"/>
      <c r="I10" s="13"/>
      <c r="J10" s="173"/>
      <c r="K10" s="34"/>
      <c r="L10" s="34"/>
      <c r="M10" s="17"/>
      <c r="N10" s="13"/>
      <c r="O10" s="70"/>
      <c r="P10" s="240"/>
    </row>
    <row r="11" spans="1:17">
      <c r="A11" s="236"/>
      <c r="B11" s="341"/>
      <c r="C11" s="40"/>
      <c r="D11" s="40"/>
      <c r="E11" s="13"/>
      <c r="F11" s="13"/>
      <c r="G11" s="36"/>
      <c r="H11" s="13"/>
      <c r="I11" s="13"/>
      <c r="J11" s="40"/>
      <c r="K11" s="13"/>
      <c r="L11" s="13"/>
      <c r="M11" s="17"/>
      <c r="N11" s="13"/>
      <c r="O11" s="70"/>
      <c r="P11" s="240"/>
    </row>
    <row r="12" spans="1:17">
      <c r="A12" s="282"/>
      <c r="B12" s="299"/>
      <c r="C12" s="13"/>
      <c r="D12" s="36"/>
      <c r="E12" s="36"/>
      <c r="F12" s="13"/>
      <c r="G12" s="36"/>
      <c r="H12" s="13"/>
      <c r="I12" s="13"/>
      <c r="J12" s="40"/>
      <c r="K12" s="40"/>
      <c r="L12" s="13"/>
      <c r="M12" s="13"/>
      <c r="N12" s="13"/>
      <c r="O12" s="70"/>
      <c r="P12" s="294"/>
    </row>
    <row r="13" spans="1:17">
      <c r="A13" s="282"/>
      <c r="B13" s="299"/>
      <c r="C13" s="13"/>
      <c r="D13" s="36"/>
      <c r="E13" s="36"/>
      <c r="F13" s="13"/>
      <c r="G13" s="36"/>
      <c r="H13" s="13"/>
      <c r="I13" s="13"/>
      <c r="J13" s="40"/>
      <c r="K13" s="40"/>
      <c r="L13" s="13"/>
      <c r="M13" s="13"/>
      <c r="N13" s="13"/>
      <c r="O13" s="70"/>
      <c r="P13" s="294"/>
    </row>
    <row r="14" spans="1:17">
      <c r="A14" s="298"/>
      <c r="B14" s="236"/>
      <c r="C14" s="13"/>
      <c r="D14" s="36"/>
      <c r="E14" s="36"/>
      <c r="F14" s="13"/>
      <c r="G14" s="36"/>
      <c r="H14" s="13"/>
      <c r="I14" s="13"/>
      <c r="J14" s="40"/>
      <c r="K14" s="40"/>
      <c r="L14" s="13"/>
      <c r="M14" s="13"/>
      <c r="N14" s="13"/>
      <c r="O14" s="13"/>
      <c r="P14" s="13"/>
    </row>
    <row r="15" spans="1:17">
      <c r="A15" s="282"/>
      <c r="B15" s="299"/>
      <c r="C15" s="172"/>
      <c r="D15" s="172"/>
      <c r="E15" s="41"/>
      <c r="F15" s="41"/>
      <c r="G15" s="49"/>
      <c r="H15" s="13"/>
      <c r="I15" s="13"/>
      <c r="J15" s="172"/>
      <c r="K15" s="13"/>
      <c r="L15" s="13"/>
      <c r="M15" s="13"/>
      <c r="N15" s="13"/>
      <c r="O15" s="13"/>
      <c r="P15" s="13"/>
    </row>
    <row r="16" spans="1:17">
      <c r="A16" s="298"/>
      <c r="B16" s="236"/>
      <c r="C16" s="13"/>
      <c r="D16" s="36"/>
      <c r="E16" s="36"/>
      <c r="F16" s="13"/>
      <c r="G16" s="13"/>
      <c r="H16" s="34"/>
      <c r="I16" s="95"/>
      <c r="J16" s="13"/>
      <c r="K16" s="40"/>
      <c r="L16" s="13"/>
      <c r="M16" s="13"/>
      <c r="N16" s="13"/>
      <c r="O16" s="13"/>
      <c r="P16" s="13"/>
    </row>
    <row r="17" spans="1:17">
      <c r="A17" s="637" t="s">
        <v>538</v>
      </c>
      <c r="B17" s="672"/>
      <c r="C17" s="672">
        <v>8</v>
      </c>
      <c r="D17" s="672"/>
      <c r="E17" s="672"/>
      <c r="F17" s="173"/>
      <c r="G17" s="34"/>
      <c r="H17" s="34"/>
      <c r="I17" s="34"/>
      <c r="J17" s="34"/>
      <c r="K17" s="13"/>
      <c r="L17" s="13"/>
      <c r="M17" s="13"/>
      <c r="N17" s="13"/>
      <c r="O17" s="13"/>
      <c r="P17" s="13"/>
    </row>
    <row r="18" spans="1:17">
      <c r="A18" s="637"/>
      <c r="B18" s="637"/>
      <c r="C18" s="673"/>
      <c r="D18" s="674"/>
      <c r="E18" s="675"/>
      <c r="F18" s="40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7">
      <c r="A19" s="637"/>
      <c r="B19" s="637"/>
      <c r="C19" s="676"/>
      <c r="D19" s="677"/>
      <c r="E19" s="678"/>
      <c r="F19" s="40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7">
      <c r="A20" s="637" t="s">
        <v>539</v>
      </c>
      <c r="B20" s="637"/>
      <c r="C20" s="637">
        <v>3</v>
      </c>
      <c r="D20" s="637"/>
      <c r="E20" s="637"/>
    </row>
    <row r="21" spans="1:17">
      <c r="A21" s="637"/>
      <c r="B21" s="637"/>
      <c r="C21" s="637"/>
      <c r="D21" s="637"/>
      <c r="E21" s="637"/>
      <c r="F21" s="191"/>
      <c r="G21" s="191"/>
      <c r="H21" s="191"/>
      <c r="I21" s="657" t="s">
        <v>3125</v>
      </c>
      <c r="J21" s="657"/>
      <c r="K21" s="657"/>
      <c r="L21" s="657"/>
      <c r="M21" s="611" t="s">
        <v>541</v>
      </c>
      <c r="N21" s="611"/>
      <c r="O21" s="611"/>
      <c r="P21" s="611"/>
      <c r="Q21" s="191"/>
    </row>
    <row r="22" spans="1:17">
      <c r="A22" s="637"/>
      <c r="B22" s="637"/>
      <c r="C22" s="637"/>
      <c r="D22" s="637"/>
      <c r="E22" s="637"/>
      <c r="F22" s="191"/>
      <c r="G22" s="191"/>
      <c r="H22" s="191"/>
      <c r="I22" s="658" t="s">
        <v>3126</v>
      </c>
      <c r="J22" s="658"/>
      <c r="K22" s="658"/>
      <c r="L22" s="658"/>
      <c r="M22" s="611"/>
      <c r="N22" s="611"/>
      <c r="O22" s="611"/>
      <c r="P22" s="611"/>
      <c r="Q22" s="191"/>
    </row>
    <row r="23" spans="1:17">
      <c r="A23" s="796" t="s">
        <v>542</v>
      </c>
      <c r="B23" s="797"/>
      <c r="C23" s="801"/>
      <c r="D23" s="801"/>
      <c r="E23" s="797"/>
      <c r="F23" s="797"/>
      <c r="G23" s="797"/>
      <c r="H23" s="802"/>
      <c r="I23" s="659"/>
      <c r="J23" s="660"/>
      <c r="K23" s="660"/>
      <c r="L23" s="661"/>
      <c r="M23" s="611"/>
      <c r="N23" s="611"/>
      <c r="O23" s="611"/>
      <c r="P23" s="611"/>
      <c r="Q23" s="191"/>
    </row>
    <row r="24" spans="1:17">
      <c r="A24" s="297" t="s">
        <v>543</v>
      </c>
      <c r="B24" s="319" t="s">
        <v>544</v>
      </c>
      <c r="C24" s="679" t="s">
        <v>545</v>
      </c>
      <c r="D24" s="679"/>
      <c r="E24" s="629" t="s">
        <v>546</v>
      </c>
      <c r="F24" s="630"/>
      <c r="G24" s="205" t="s">
        <v>545</v>
      </c>
      <c r="H24" s="304" t="s">
        <v>547</v>
      </c>
      <c r="I24" s="281" t="s">
        <v>548</v>
      </c>
      <c r="J24" s="191"/>
      <c r="K24" s="191"/>
      <c r="L24" s="191"/>
      <c r="M24" s="611"/>
      <c r="N24" s="611"/>
      <c r="O24" s="611"/>
      <c r="P24" s="611"/>
      <c r="Q24" s="191"/>
    </row>
    <row r="25" spans="1:17">
      <c r="A25" s="251">
        <v>45924</v>
      </c>
      <c r="B25" s="359" t="s">
        <v>549</v>
      </c>
      <c r="C25" s="680">
        <v>0.35416666666666669</v>
      </c>
      <c r="D25" s="680"/>
      <c r="E25" s="662" t="s">
        <v>453</v>
      </c>
      <c r="F25" s="645"/>
      <c r="G25" s="279">
        <v>0.47916666666666669</v>
      </c>
      <c r="H25" s="264">
        <v>207</v>
      </c>
      <c r="I25" s="643">
        <v>35.54</v>
      </c>
      <c r="J25" s="618" t="s">
        <v>3127</v>
      </c>
      <c r="K25" s="618"/>
      <c r="L25" s="619"/>
      <c r="M25" s="611"/>
      <c r="N25" s="611"/>
      <c r="O25" s="611"/>
      <c r="P25" s="611"/>
      <c r="Q25" s="191"/>
    </row>
    <row r="26" spans="1:17">
      <c r="A26" s="668" t="s">
        <v>3128</v>
      </c>
      <c r="B26" s="650"/>
      <c r="C26" s="669"/>
      <c r="D26" s="669"/>
      <c r="E26" s="650"/>
      <c r="F26" s="650"/>
      <c r="G26" s="650"/>
      <c r="H26" s="670"/>
      <c r="I26" s="643"/>
      <c r="J26" s="620"/>
      <c r="K26" s="620"/>
      <c r="L26" s="621"/>
      <c r="M26" s="611"/>
      <c r="N26" s="611"/>
      <c r="O26" s="611"/>
      <c r="P26" s="611"/>
      <c r="Q26" s="191"/>
    </row>
    <row r="27" spans="1:17">
      <c r="A27" s="251">
        <v>45925</v>
      </c>
      <c r="B27" s="251" t="s">
        <v>3129</v>
      </c>
      <c r="C27" s="681">
        <v>0.4375</v>
      </c>
      <c r="D27" s="682"/>
      <c r="E27" s="671" t="s">
        <v>549</v>
      </c>
      <c r="F27" s="671"/>
      <c r="G27" s="272">
        <v>0.64583333333333337</v>
      </c>
      <c r="H27" s="293">
        <v>207</v>
      </c>
      <c r="I27" s="643"/>
      <c r="J27" s="620"/>
      <c r="K27" s="620"/>
      <c r="L27" s="621"/>
      <c r="M27" s="611"/>
      <c r="N27" s="611"/>
      <c r="O27" s="611"/>
      <c r="P27" s="611"/>
      <c r="Q27" s="191"/>
    </row>
    <row r="28" spans="1:17">
      <c r="A28" s="342"/>
      <c r="B28" s="303"/>
      <c r="C28" s="280"/>
      <c r="D28" s="279"/>
      <c r="E28" s="663"/>
      <c r="F28" s="664"/>
      <c r="G28" s="343"/>
      <c r="H28" s="293"/>
      <c r="I28" s="643"/>
      <c r="J28" s="620"/>
      <c r="K28" s="620"/>
      <c r="L28" s="621"/>
      <c r="M28" s="611"/>
      <c r="N28" s="611"/>
      <c r="O28" s="611"/>
      <c r="P28" s="611"/>
      <c r="Q28" s="191"/>
    </row>
    <row r="29" spans="1:17">
      <c r="A29" s="269"/>
      <c r="B29" s="286"/>
      <c r="C29" s="272"/>
      <c r="D29" s="272"/>
      <c r="E29" s="665"/>
      <c r="F29" s="648"/>
      <c r="G29" s="272"/>
      <c r="H29" s="293"/>
      <c r="I29" s="643"/>
      <c r="J29" s="620"/>
      <c r="K29" s="620"/>
      <c r="L29" s="621"/>
      <c r="M29" s="611"/>
      <c r="N29" s="611"/>
      <c r="O29" s="611"/>
      <c r="P29" s="611"/>
      <c r="Q29" s="191"/>
    </row>
    <row r="30" spans="1:17">
      <c r="A30" s="251"/>
      <c r="B30" s="214"/>
      <c r="C30" s="305"/>
      <c r="D30" s="358"/>
      <c r="E30" s="666"/>
      <c r="F30" s="667"/>
      <c r="G30" s="306"/>
      <c r="H30" s="307"/>
      <c r="I30" s="643"/>
      <c r="J30" s="620"/>
      <c r="K30" s="620"/>
      <c r="L30" s="621"/>
      <c r="M30" s="611"/>
      <c r="N30" s="611"/>
      <c r="O30" s="611"/>
      <c r="P30" s="611"/>
      <c r="Q30" s="191"/>
    </row>
    <row r="31" spans="1:17">
      <c r="A31" s="652"/>
      <c r="B31" s="653"/>
      <c r="C31" s="653"/>
      <c r="D31" s="653"/>
      <c r="E31" s="653"/>
      <c r="F31" s="653"/>
      <c r="G31" s="654"/>
      <c r="H31" s="226">
        <f>SUM(H25,H27,H28,H29,H30)</f>
        <v>414</v>
      </c>
      <c r="I31" s="617"/>
      <c r="J31" s="620"/>
      <c r="K31" s="620"/>
      <c r="L31" s="621"/>
      <c r="M31" s="611"/>
      <c r="N31" s="611"/>
      <c r="O31" s="611"/>
      <c r="P31" s="611"/>
      <c r="Q31" s="191"/>
    </row>
    <row r="32" spans="1:17">
      <c r="A32" s="191"/>
      <c r="B32" s="191"/>
      <c r="C32" s="191"/>
      <c r="D32" s="191"/>
      <c r="E32" s="191"/>
      <c r="F32" s="191"/>
      <c r="G32" s="191"/>
      <c r="H32" s="191"/>
      <c r="I32" s="191"/>
      <c r="J32" s="620"/>
      <c r="K32" s="620"/>
      <c r="L32" s="621"/>
      <c r="M32" s="191"/>
      <c r="N32" s="191"/>
      <c r="O32" s="191"/>
      <c r="P32" s="191"/>
      <c r="Q32" s="191"/>
    </row>
    <row r="33" spans="1:17">
      <c r="A33" s="655" t="s">
        <v>552</v>
      </c>
      <c r="B33" s="656"/>
      <c r="C33" s="656"/>
      <c r="D33" s="656"/>
      <c r="E33" s="656"/>
      <c r="F33" s="656"/>
      <c r="G33" s="656"/>
      <c r="H33" s="191"/>
      <c r="I33" s="264" t="s">
        <v>3130</v>
      </c>
      <c r="J33" s="620"/>
      <c r="K33" s="620"/>
      <c r="L33" s="621"/>
      <c r="M33" s="191"/>
      <c r="N33" s="191"/>
      <c r="O33" s="191"/>
      <c r="P33" s="191"/>
      <c r="Q33" s="191"/>
    </row>
    <row r="34" spans="1:17">
      <c r="A34" s="628" t="s">
        <v>553</v>
      </c>
      <c r="B34" s="629"/>
      <c r="C34" s="630"/>
      <c r="D34" s="354"/>
      <c r="E34" s="628" t="s">
        <v>554</v>
      </c>
      <c r="F34" s="629"/>
      <c r="G34" s="631"/>
      <c r="H34" s="191"/>
      <c r="I34" s="191"/>
      <c r="J34" s="620"/>
      <c r="K34" s="620"/>
      <c r="L34" s="621"/>
      <c r="M34" s="191"/>
      <c r="N34" s="191"/>
      <c r="O34" s="191"/>
      <c r="P34" s="191"/>
      <c r="Q34" s="191"/>
    </row>
    <row r="35" spans="1:17">
      <c r="A35" s="632">
        <v>0.5</v>
      </c>
      <c r="B35" s="633"/>
      <c r="C35" s="634"/>
      <c r="D35" s="215"/>
      <c r="E35" s="635">
        <v>0.54166666666666663</v>
      </c>
      <c r="F35" s="633"/>
      <c r="G35" s="636"/>
      <c r="H35" s="191"/>
      <c r="I35" s="191"/>
      <c r="J35" s="622"/>
      <c r="K35" s="622"/>
      <c r="L35" s="623"/>
      <c r="M35" s="191"/>
      <c r="N35" s="191"/>
      <c r="O35" s="191"/>
      <c r="P35" s="191"/>
      <c r="Q35" s="191"/>
    </row>
    <row r="36" spans="1:17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</row>
    <row r="37" spans="1:17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</row>
  </sheetData>
  <protectedRanges>
    <protectedRange sqref="F17" name="Range1_9"/>
    <protectedRange sqref="F18" name="Range1_10"/>
    <protectedRange sqref="G17" name="Range1_11"/>
    <protectedRange sqref="G18" name="Range1_12"/>
    <protectedRange sqref="H17" name="Range1_13"/>
    <protectedRange sqref="H18" name="Range1_14"/>
    <protectedRange sqref="B3:B9" name="Range1"/>
    <protectedRange sqref="C2:D2 D3:D9 F2" name="Range1_64"/>
    <protectedRange sqref="G2" name="Range1_65"/>
    <protectedRange sqref="H2:J2" name="Range1_66"/>
    <protectedRange sqref="C3 E3:F3" name="Range1_67"/>
    <protectedRange sqref="G3" name="Range1_68"/>
    <protectedRange sqref="H3:J3" name="Range1_69"/>
    <protectedRange sqref="C4 E4:F4" name="Range1_70"/>
    <protectedRange sqref="G4" name="Range1_71"/>
    <protectedRange sqref="H4:J4" name="Range1_72"/>
    <protectedRange sqref="C5 E5:F5" name="Range1_73"/>
    <protectedRange sqref="G5" name="Range1_74"/>
    <protectedRange sqref="H5:J5" name="Range1_75"/>
    <protectedRange sqref="C6:C7 E6:F7" name="Range1_76"/>
    <protectedRange sqref="G6:G7" name="Range1_77"/>
    <protectedRange sqref="H6:J7" name="Range1_78"/>
    <protectedRange sqref="C8 E8:F8" name="Range1_79"/>
    <protectedRange sqref="G8" name="Range1_80"/>
    <protectedRange sqref="H8:J8" name="Range1_81"/>
    <protectedRange sqref="C9 E9:F9" name="Range1_82"/>
    <protectedRange sqref="G9" name="Range1_83"/>
    <protectedRange sqref="H9:J9" name="Range1_84"/>
    <protectedRange sqref="K2" name="Range1_85"/>
    <protectedRange sqref="L2:M2" name="Range1_86"/>
    <protectedRange sqref="K3:K5" name="Range1_87"/>
    <protectedRange sqref="L3:M3 L4:L5" name="Range1_88"/>
    <protectedRange sqref="M4" name="Range1_90"/>
    <protectedRange sqref="M5" name="Range1_92"/>
    <protectedRange sqref="K6:K8" name="Range1_93"/>
    <protectedRange sqref="L6:M7" name="Range1_94"/>
    <protectedRange sqref="L8:M8" name="Range1_96"/>
    <protectedRange sqref="K9" name="Range1_97"/>
    <protectedRange sqref="L9:M9" name="Range1_98"/>
    <protectedRange sqref="B2" name="Range1_99"/>
    <protectedRange sqref="E2" name="Range1_1"/>
  </protectedRanges>
  <autoFilter ref="A1:Q1" xr:uid="{F09CEF7E-7F6A-43A3-80C5-483E49D4AA6D}"/>
  <mergeCells count="27">
    <mergeCell ref="E35:G35"/>
    <mergeCell ref="A26:H26"/>
    <mergeCell ref="E27:F27"/>
    <mergeCell ref="A17:B19"/>
    <mergeCell ref="C17:E19"/>
    <mergeCell ref="A20:B22"/>
    <mergeCell ref="C20:E22"/>
    <mergeCell ref="A35:C35"/>
    <mergeCell ref="C24:D24"/>
    <mergeCell ref="C25:D25"/>
    <mergeCell ref="C27:D27"/>
    <mergeCell ref="I21:L21"/>
    <mergeCell ref="M21:P31"/>
    <mergeCell ref="I22:L22"/>
    <mergeCell ref="A23:H23"/>
    <mergeCell ref="I23:L23"/>
    <mergeCell ref="E24:F24"/>
    <mergeCell ref="E25:F25"/>
    <mergeCell ref="I25:I31"/>
    <mergeCell ref="J25:L35"/>
    <mergeCell ref="E28:F28"/>
    <mergeCell ref="E29:F29"/>
    <mergeCell ref="E30:F30"/>
    <mergeCell ref="A31:G31"/>
    <mergeCell ref="A33:G33"/>
    <mergeCell ref="A34:C34"/>
    <mergeCell ref="E34:G34"/>
  </mergeCells>
  <conditionalFormatting sqref="E15">
    <cfRule type="duplicateValues" dxfId="257" priority="14"/>
  </conditionalFormatting>
  <conditionalFormatting sqref="E10:E11">
    <cfRule type="duplicateValues" dxfId="256" priority="10"/>
  </conditionalFormatting>
  <conditionalFormatting sqref="E3:E5">
    <cfRule type="duplicateValues" dxfId="255" priority="4"/>
  </conditionalFormatting>
  <conditionalFormatting sqref="H2:I9">
    <cfRule type="cellIs" dxfId="254" priority="2" operator="equal">
      <formula>0</formula>
    </cfRule>
  </conditionalFormatting>
  <conditionalFormatting sqref="H2:H9">
    <cfRule type="duplicateValues" dxfId="253" priority="1616"/>
  </conditionalFormatting>
  <conditionalFormatting sqref="E2">
    <cfRule type="duplicateValues" dxfId="252" priority="1"/>
  </conditionalFormatting>
  <hyperlinks>
    <hyperlink ref="I2" r:id="rId1" xr:uid="{126E949D-E50A-4DB8-BD5A-D634B9C9549B}"/>
    <hyperlink ref="I3" r:id="rId2" xr:uid="{B975BE0D-7C20-4510-96BA-6BF9E852C51E}"/>
    <hyperlink ref="I4" r:id="rId3" xr:uid="{72B3E513-4E5C-48C1-A8FD-8BEBBD2AC7C6}"/>
    <hyperlink ref="I5" r:id="rId4" xr:uid="{176E434E-85D9-4977-9E8B-A077FF7FFF4D}"/>
    <hyperlink ref="I6" r:id="rId5" xr:uid="{07BD03DB-007E-458B-9514-0B7205087662}"/>
    <hyperlink ref="I7" r:id="rId6" xr:uid="{BB590F07-F19F-4574-A260-33287EB83F9C}"/>
    <hyperlink ref="I8" r:id="rId7" xr:uid="{E848EFA6-8EA2-4942-BFC3-89FF5A7763BA}"/>
    <hyperlink ref="I9" r:id="rId8" xr:uid="{4B95C4AF-F2F3-4C66-97BD-8F57020FD75D}"/>
    <hyperlink ref="I22:L22" r:id="rId9" display="https://maps.app.goo.gl/EuQsVwDGqHWFgkNs7" xr:uid="{2133F3D2-72AD-453D-990C-49EE1DCA0474}"/>
    <hyperlink ref="M9" r:id="rId10" xr:uid="{0098F726-6749-4526-8A1C-37238E614FD1}"/>
    <hyperlink ref="M2" r:id="rId11" xr:uid="{39198A1D-FA56-4BE9-898C-202966CB95B2}"/>
    <hyperlink ref="M3" r:id="rId12" xr:uid="{7E4B7977-C349-46D5-82EA-3F23A671619D}"/>
    <hyperlink ref="M4" r:id="rId13" xr:uid="{1A619809-7040-4EFA-AE44-51F0B39D8589}"/>
    <hyperlink ref="M5" r:id="rId14" xr:uid="{08FC70D2-2704-421B-A739-99FF3141D4ED}"/>
  </hyperlinks>
  <pageMargins left="0.25" right="0.25" top="0.75" bottom="0.75" header="0.3" footer="0.3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5C4E7-EE6C-4C6D-92B9-03C226C84BCD}">
  <sheetPr codeName="Planilha9">
    <pageSetUpPr fitToPage="1"/>
  </sheetPr>
  <dimension ref="A1:AR50"/>
  <sheetViews>
    <sheetView topLeftCell="C1" workbookViewId="0">
      <selection activeCell="S8" sqref="S8"/>
    </sheetView>
  </sheetViews>
  <sheetFormatPr defaultRowHeight="15"/>
  <cols>
    <col min="1" max="1" width="18" bestFit="1" customWidth="1"/>
    <col min="2" max="2" width="21.7109375" bestFit="1" customWidth="1"/>
    <col min="3" max="3" width="10.85546875" bestFit="1" customWidth="1"/>
    <col min="4" max="4" width="11.5703125" bestFit="1" customWidth="1"/>
    <col min="5" max="5" width="39.5703125" bestFit="1" customWidth="1"/>
    <col min="6" max="6" width="6.85546875" customWidth="1"/>
    <col min="7" max="7" width="17.85546875" customWidth="1"/>
    <col min="8" max="8" width="14.42578125" customWidth="1"/>
    <col min="9" max="9" width="15" customWidth="1"/>
    <col min="10" max="10" width="21.28515625" bestFit="1" customWidth="1"/>
    <col min="11" max="11" width="27.85546875" bestFit="1" customWidth="1"/>
    <col min="12" max="12" width="13.85546875" bestFit="1" customWidth="1"/>
    <col min="13" max="13" width="32.85546875" bestFit="1" customWidth="1"/>
    <col min="14" max="14" width="12.42578125" customWidth="1"/>
    <col min="15" max="15" width="10.85546875" bestFit="1" customWidth="1"/>
    <col min="16" max="16" width="11.85546875" bestFit="1" customWidth="1"/>
  </cols>
  <sheetData>
    <row r="1" spans="1:44" ht="30">
      <c r="A1" s="309" t="s">
        <v>514</v>
      </c>
      <c r="B1" s="218" t="s">
        <v>515</v>
      </c>
      <c r="C1" s="218" t="s">
        <v>0</v>
      </c>
      <c r="D1" s="360" t="s">
        <v>3110</v>
      </c>
      <c r="E1" s="218" t="s">
        <v>516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</row>
    <row r="2" spans="1:44">
      <c r="A2" s="311">
        <v>0.44444444444444442</v>
      </c>
      <c r="B2" s="78">
        <v>0.33333333333333331</v>
      </c>
      <c r="C2" s="13">
        <v>202500519</v>
      </c>
      <c r="D2" s="43" t="str">
        <f>VLOOKUP(C2,CC!A:B,2,TRUE)</f>
        <v>465305AGU</v>
      </c>
      <c r="E2" s="13" t="s">
        <v>3131</v>
      </c>
      <c r="F2" s="13" t="s">
        <v>613</v>
      </c>
      <c r="G2" s="13" t="s">
        <v>2049</v>
      </c>
      <c r="H2" s="13" t="s">
        <v>2066</v>
      </c>
      <c r="I2" s="17" t="s">
        <v>2067</v>
      </c>
      <c r="J2" s="13" t="s">
        <v>307</v>
      </c>
      <c r="K2" s="18" t="s">
        <v>2060</v>
      </c>
      <c r="L2" s="18" t="s">
        <v>3132</v>
      </c>
      <c r="M2" s="13" t="s">
        <v>2062</v>
      </c>
      <c r="N2" s="13" t="s">
        <v>3112</v>
      </c>
      <c r="O2" s="377" t="s">
        <v>3133</v>
      </c>
      <c r="P2" s="240"/>
    </row>
    <row r="3" spans="1:44">
      <c r="A3" s="311" t="s">
        <v>3134</v>
      </c>
      <c r="B3" s="78">
        <v>0.54166666666666663</v>
      </c>
      <c r="C3" s="13">
        <v>202500298</v>
      </c>
      <c r="D3" s="43" t="str">
        <f>VLOOKUP(C3,CC!A:B,2,TRUE)</f>
        <v>465305AGJ</v>
      </c>
      <c r="E3" s="18" t="s">
        <v>3135</v>
      </c>
      <c r="F3" s="13" t="s">
        <v>613</v>
      </c>
      <c r="G3" s="13" t="s">
        <v>1185</v>
      </c>
      <c r="H3" s="13" t="s">
        <v>3136</v>
      </c>
      <c r="I3" s="17" t="s">
        <v>3137</v>
      </c>
      <c r="J3" s="13" t="s">
        <v>307</v>
      </c>
      <c r="K3" s="13" t="s">
        <v>3138</v>
      </c>
      <c r="L3" s="13" t="s">
        <v>3139</v>
      </c>
      <c r="M3" s="13" t="s">
        <v>3140</v>
      </c>
      <c r="N3" s="13" t="s">
        <v>3112</v>
      </c>
      <c r="O3" s="243" t="s">
        <v>3133</v>
      </c>
      <c r="P3" s="327"/>
    </row>
    <row r="4" spans="1:44">
      <c r="A4" s="259"/>
      <c r="B4" s="259"/>
      <c r="C4" s="259"/>
      <c r="D4" s="383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</row>
    <row r="5" spans="1:44">
      <c r="A5" s="311" t="s">
        <v>3141</v>
      </c>
      <c r="B5" s="78">
        <v>0.5625</v>
      </c>
      <c r="C5" s="13">
        <v>202500119</v>
      </c>
      <c r="D5" s="43" t="str">
        <f>VLOOKUP(C5,CC!A:B,2,TRUE)</f>
        <v>465305AFY</v>
      </c>
      <c r="E5" s="18" t="s">
        <v>3142</v>
      </c>
      <c r="F5" s="13" t="s">
        <v>613</v>
      </c>
      <c r="G5" s="13" t="s">
        <v>3143</v>
      </c>
      <c r="H5" s="13" t="s">
        <v>3144</v>
      </c>
      <c r="I5" s="13" t="s">
        <v>3145</v>
      </c>
      <c r="J5" s="13" t="s">
        <v>302</v>
      </c>
      <c r="K5" s="13" t="s">
        <v>3146</v>
      </c>
      <c r="L5" s="13" t="s">
        <v>3147</v>
      </c>
      <c r="M5" s="13" t="s">
        <v>3148</v>
      </c>
      <c r="N5" s="13" t="s">
        <v>3112</v>
      </c>
      <c r="O5" s="164" t="s">
        <v>3133</v>
      </c>
      <c r="P5" s="316"/>
    </row>
    <row r="6" spans="1:44">
      <c r="A6" s="311">
        <v>0.60416666666666663</v>
      </c>
      <c r="B6" s="78">
        <v>0.5625</v>
      </c>
      <c r="C6" s="13">
        <v>202500519</v>
      </c>
      <c r="D6" s="43" t="str">
        <f>VLOOKUP(C6,CC!A:B,2,TRUE)</f>
        <v>465305AGU</v>
      </c>
      <c r="E6" s="13" t="s">
        <v>3149</v>
      </c>
      <c r="F6" s="13" t="s">
        <v>613</v>
      </c>
      <c r="G6" s="13" t="s">
        <v>3150</v>
      </c>
      <c r="H6" s="13" t="s">
        <v>3144</v>
      </c>
      <c r="I6" s="13" t="s">
        <v>3151</v>
      </c>
      <c r="J6" s="13" t="s">
        <v>302</v>
      </c>
      <c r="K6" s="13" t="s">
        <v>3152</v>
      </c>
      <c r="L6" s="13" t="s">
        <v>3153</v>
      </c>
      <c r="M6" s="13" t="s">
        <v>3154</v>
      </c>
      <c r="N6" s="13" t="s">
        <v>3112</v>
      </c>
      <c r="O6" s="164" t="s">
        <v>3133</v>
      </c>
      <c r="P6" s="316"/>
    </row>
    <row r="7" spans="1:44">
      <c r="A7" s="259"/>
      <c r="B7" s="259"/>
      <c r="C7" s="259"/>
      <c r="D7" s="383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</row>
    <row r="8" spans="1:44">
      <c r="A8" s="311">
        <v>0.64930555555555558</v>
      </c>
      <c r="B8" s="201">
        <v>0.58333333333333337</v>
      </c>
      <c r="C8" s="13">
        <v>202500867</v>
      </c>
      <c r="D8" s="43" t="str">
        <f>VLOOKUP(C8,CC!A:B,2,TRUE)</f>
        <v>465306AHV</v>
      </c>
      <c r="E8" s="13" t="s">
        <v>3155</v>
      </c>
      <c r="F8" s="13" t="s">
        <v>1176</v>
      </c>
      <c r="G8" s="13" t="s">
        <v>2571</v>
      </c>
      <c r="H8" s="13" t="s">
        <v>2832</v>
      </c>
      <c r="I8" s="13" t="s">
        <v>2833</v>
      </c>
      <c r="J8" s="13" t="s">
        <v>305</v>
      </c>
      <c r="K8" s="13" t="s">
        <v>3156</v>
      </c>
      <c r="L8" s="13" t="s">
        <v>3157</v>
      </c>
      <c r="M8" s="13" t="s">
        <v>3158</v>
      </c>
      <c r="N8" s="13" t="s">
        <v>3112</v>
      </c>
      <c r="O8" s="328" t="s">
        <v>3133</v>
      </c>
      <c r="P8" s="316"/>
    </row>
    <row r="9" spans="1:44">
      <c r="A9" s="259"/>
      <c r="B9" s="259"/>
      <c r="C9" s="259"/>
      <c r="D9" s="383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</row>
    <row r="10" spans="1:44">
      <c r="A10" s="311">
        <v>0.6875</v>
      </c>
      <c r="B10" s="378">
        <v>0.54166666666666663</v>
      </c>
      <c r="C10" s="13">
        <v>202500519</v>
      </c>
      <c r="D10" s="43" t="str">
        <f>VLOOKUP(C10,CC!A:B,2,TRUE)</f>
        <v>465305AGU</v>
      </c>
      <c r="E10" s="13" t="s">
        <v>3159</v>
      </c>
      <c r="F10" s="13" t="s">
        <v>613</v>
      </c>
      <c r="G10" s="13" t="s">
        <v>3160</v>
      </c>
      <c r="H10" s="13" t="s">
        <v>3161</v>
      </c>
      <c r="I10" s="17" t="s">
        <v>3162</v>
      </c>
      <c r="J10" s="13" t="s">
        <v>306</v>
      </c>
      <c r="K10" s="13" t="s">
        <v>3163</v>
      </c>
      <c r="L10" s="13" t="s">
        <v>3164</v>
      </c>
      <c r="M10" s="13" t="s">
        <v>3165</v>
      </c>
      <c r="N10" s="13" t="s">
        <v>3112</v>
      </c>
      <c r="O10" s="295" t="s">
        <v>3133</v>
      </c>
      <c r="P10" s="316"/>
    </row>
    <row r="11" spans="1:44">
      <c r="A11" s="329">
        <v>0.70833333333333337</v>
      </c>
      <c r="B11" s="379">
        <v>0.54166666666666663</v>
      </c>
      <c r="C11" s="13">
        <v>202500867</v>
      </c>
      <c r="D11" s="43" t="str">
        <f>VLOOKUP(C11,CC!A:B,2,TRUE)</f>
        <v>465306AHV</v>
      </c>
      <c r="E11" s="13" t="s">
        <v>3166</v>
      </c>
      <c r="F11" s="13" t="s">
        <v>1176</v>
      </c>
      <c r="G11" s="13" t="s">
        <v>1185</v>
      </c>
      <c r="H11" s="13" t="s">
        <v>2799</v>
      </c>
      <c r="I11" s="13" t="s">
        <v>2800</v>
      </c>
      <c r="J11" s="13" t="s">
        <v>306</v>
      </c>
      <c r="K11" s="13" t="s">
        <v>3167</v>
      </c>
      <c r="L11" s="13" t="s">
        <v>3168</v>
      </c>
      <c r="M11" s="13" t="s">
        <v>3169</v>
      </c>
      <c r="N11" s="13" t="s">
        <v>3112</v>
      </c>
      <c r="O11" s="330"/>
      <c r="P11" s="315"/>
    </row>
    <row r="12" spans="1:44" s="259" customFormat="1">
      <c r="A12" s="683" t="s">
        <v>3170</v>
      </c>
      <c r="B12" s="684"/>
      <c r="C12" s="685"/>
      <c r="D12" s="685"/>
      <c r="E12" s="685"/>
      <c r="F12" s="685"/>
      <c r="G12" s="685"/>
      <c r="H12" s="685"/>
      <c r="I12" s="685"/>
      <c r="J12" s="685"/>
      <c r="K12" s="685"/>
      <c r="L12" s="685"/>
      <c r="M12" s="685"/>
      <c r="N12" s="685"/>
      <c r="O12" s="684"/>
      <c r="P12" s="686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306">
        <v>0.5625</v>
      </c>
      <c r="B13" s="380">
        <v>0.5625</v>
      </c>
      <c r="C13" s="13">
        <v>202500521</v>
      </c>
      <c r="D13" s="43" t="str">
        <f>VLOOKUP(C13,CC!A:B,2,TRUE)</f>
        <v>465306AHP</v>
      </c>
      <c r="E13" s="13" t="s">
        <v>3171</v>
      </c>
      <c r="F13" s="13" t="s">
        <v>1192</v>
      </c>
      <c r="G13" s="13" t="s">
        <v>3172</v>
      </c>
      <c r="H13" s="13" t="s">
        <v>3173</v>
      </c>
      <c r="I13" s="13" t="s">
        <v>3174</v>
      </c>
      <c r="J13" s="13" t="s">
        <v>304</v>
      </c>
      <c r="K13" s="388" t="s">
        <v>3175</v>
      </c>
      <c r="L13" s="388" t="s">
        <v>3176</v>
      </c>
      <c r="M13" s="13" t="s">
        <v>3177</v>
      </c>
      <c r="N13" s="13" t="s">
        <v>3112</v>
      </c>
      <c r="O13" s="328" t="s">
        <v>3133</v>
      </c>
      <c r="P13" s="331"/>
    </row>
    <row r="14" spans="1:44">
      <c r="A14" s="311">
        <v>0.5625</v>
      </c>
      <c r="B14" s="378">
        <v>0.5625</v>
      </c>
      <c r="C14" s="13">
        <v>202500521</v>
      </c>
      <c r="D14" s="43" t="str">
        <f>VLOOKUP(C14,CC!A:B,2,TRUE)</f>
        <v>465306AHP</v>
      </c>
      <c r="E14" s="13" t="s">
        <v>3178</v>
      </c>
      <c r="F14" s="13" t="s">
        <v>1192</v>
      </c>
      <c r="G14" s="13" t="s">
        <v>3172</v>
      </c>
      <c r="H14" s="13" t="s">
        <v>3173</v>
      </c>
      <c r="I14" s="13" t="s">
        <v>3174</v>
      </c>
      <c r="J14" s="13" t="s">
        <v>304</v>
      </c>
      <c r="K14" s="388" t="s">
        <v>3175</v>
      </c>
      <c r="L14" s="388" t="s">
        <v>3176</v>
      </c>
      <c r="M14" s="13" t="s">
        <v>3177</v>
      </c>
      <c r="N14" s="13" t="s">
        <v>3112</v>
      </c>
      <c r="O14" s="295" t="s">
        <v>3133</v>
      </c>
      <c r="P14" s="316"/>
    </row>
    <row r="15" spans="1:44">
      <c r="A15" s="311">
        <v>0.5625</v>
      </c>
      <c r="B15" s="378">
        <v>0.5625</v>
      </c>
      <c r="C15" s="13">
        <v>202500521</v>
      </c>
      <c r="D15" s="43" t="str">
        <f>VLOOKUP(C15,CC!A:B,2,TRUE)</f>
        <v>465306AHP</v>
      </c>
      <c r="E15" s="13" t="s">
        <v>3179</v>
      </c>
      <c r="F15" s="13" t="s">
        <v>1192</v>
      </c>
      <c r="G15" s="13" t="s">
        <v>3172</v>
      </c>
      <c r="H15" s="13" t="s">
        <v>3173</v>
      </c>
      <c r="I15" s="13" t="s">
        <v>3174</v>
      </c>
      <c r="J15" s="13" t="s">
        <v>304</v>
      </c>
      <c r="K15" s="388" t="s">
        <v>3175</v>
      </c>
      <c r="L15" s="388" t="s">
        <v>3176</v>
      </c>
      <c r="M15" s="13" t="s">
        <v>3177</v>
      </c>
      <c r="N15" s="13" t="s">
        <v>3112</v>
      </c>
      <c r="O15" s="295" t="s">
        <v>3133</v>
      </c>
      <c r="P15" s="316"/>
    </row>
    <row r="16" spans="1:44">
      <c r="A16" s="311">
        <v>0.54166666666666663</v>
      </c>
      <c r="B16" s="378">
        <v>0.54166666666666663</v>
      </c>
      <c r="C16" s="13">
        <v>202500867</v>
      </c>
      <c r="D16" s="43" t="str">
        <f>VLOOKUP(C16,CC!A:B,2,TRUE)</f>
        <v>465306AHV</v>
      </c>
      <c r="E16" s="13" t="s">
        <v>3180</v>
      </c>
      <c r="F16" s="13" t="s">
        <v>1176</v>
      </c>
      <c r="G16" s="13" t="s">
        <v>1185</v>
      </c>
      <c r="H16" s="13" t="s">
        <v>2564</v>
      </c>
      <c r="I16" s="13" t="s">
        <v>2565</v>
      </c>
      <c r="J16" s="13" t="s">
        <v>304</v>
      </c>
      <c r="K16" s="13" t="s">
        <v>2566</v>
      </c>
      <c r="L16" s="13" t="s">
        <v>2568</v>
      </c>
      <c r="M16" s="13" t="s">
        <v>3181</v>
      </c>
      <c r="N16" s="13" t="s">
        <v>3112</v>
      </c>
      <c r="O16" s="295" t="s">
        <v>3133</v>
      </c>
      <c r="P16" s="316"/>
    </row>
    <row r="17" spans="1:16">
      <c r="A17" s="311">
        <v>0.58333333333333337</v>
      </c>
      <c r="B17" s="378">
        <v>0.5625</v>
      </c>
      <c r="C17" s="13">
        <v>202500521</v>
      </c>
      <c r="D17" s="43" t="str">
        <f>VLOOKUP(C17,CC!A:B,2,TRUE)</f>
        <v>465306AHP</v>
      </c>
      <c r="E17" s="13" t="s">
        <v>3182</v>
      </c>
      <c r="F17" s="13" t="s">
        <v>1192</v>
      </c>
      <c r="G17" s="13" t="s">
        <v>3172</v>
      </c>
      <c r="H17" s="13" t="s">
        <v>3183</v>
      </c>
      <c r="I17" s="13" t="s">
        <v>3184</v>
      </c>
      <c r="J17" s="13" t="s">
        <v>304</v>
      </c>
      <c r="K17" s="389" t="s">
        <v>3185</v>
      </c>
      <c r="L17" s="389" t="s">
        <v>3186</v>
      </c>
      <c r="M17" s="13" t="s">
        <v>3187</v>
      </c>
      <c r="N17" s="13" t="s">
        <v>3112</v>
      </c>
      <c r="O17" s="295" t="s">
        <v>3133</v>
      </c>
      <c r="P17" s="316"/>
    </row>
    <row r="18" spans="1:16">
      <c r="A18" s="311">
        <v>0.58333333333333337</v>
      </c>
      <c r="B18" s="378">
        <v>0.5625</v>
      </c>
      <c r="C18" s="13">
        <v>202500521</v>
      </c>
      <c r="D18" s="43" t="str">
        <f>VLOOKUP(C18,CC!A:B,2,TRUE)</f>
        <v>465306AHP</v>
      </c>
      <c r="E18" s="13" t="s">
        <v>3188</v>
      </c>
      <c r="F18" s="13" t="s">
        <v>1192</v>
      </c>
      <c r="G18" s="13" t="s">
        <v>3172</v>
      </c>
      <c r="H18" s="13" t="s">
        <v>3183</v>
      </c>
      <c r="I18" s="13" t="s">
        <v>3184</v>
      </c>
      <c r="J18" s="13" t="s">
        <v>304</v>
      </c>
      <c r="K18" s="389" t="s">
        <v>3185</v>
      </c>
      <c r="L18" s="389" t="s">
        <v>3186</v>
      </c>
      <c r="M18" s="13" t="s">
        <v>3187</v>
      </c>
      <c r="N18" s="13" t="s">
        <v>3112</v>
      </c>
      <c r="O18" s="295" t="s">
        <v>3133</v>
      </c>
      <c r="P18" s="316"/>
    </row>
    <row r="19" spans="1:16">
      <c r="A19" s="311">
        <v>0.60416666666666663</v>
      </c>
      <c r="B19" s="78">
        <v>0.5625</v>
      </c>
      <c r="C19" s="13">
        <v>202500521</v>
      </c>
      <c r="D19" s="43" t="str">
        <f>VLOOKUP(C19,CC!A:B,2,TRUE)</f>
        <v>465306AHP</v>
      </c>
      <c r="E19" s="13" t="s">
        <v>3189</v>
      </c>
      <c r="F19" s="13" t="s">
        <v>1192</v>
      </c>
      <c r="G19" s="13" t="s">
        <v>3172</v>
      </c>
      <c r="H19" s="13" t="s">
        <v>3183</v>
      </c>
      <c r="I19" s="13" t="s">
        <v>3184</v>
      </c>
      <c r="J19" s="13" t="s">
        <v>304</v>
      </c>
      <c r="K19" s="389" t="s">
        <v>3185</v>
      </c>
      <c r="L19" s="389" t="s">
        <v>3186</v>
      </c>
      <c r="M19" s="13" t="s">
        <v>3187</v>
      </c>
      <c r="N19" s="13" t="s">
        <v>3112</v>
      </c>
      <c r="O19" s="164" t="s">
        <v>3133</v>
      </c>
      <c r="P19" s="13"/>
    </row>
    <row r="20" spans="1:16">
      <c r="A20" s="311">
        <v>0.625</v>
      </c>
      <c r="B20" s="78">
        <v>0.5625</v>
      </c>
      <c r="C20" s="13">
        <v>202500119</v>
      </c>
      <c r="D20" s="43" t="str">
        <f>VLOOKUP(C20,CC!A:B,2,TRUE)</f>
        <v>465305AFY</v>
      </c>
      <c r="E20" s="13" t="s">
        <v>3190</v>
      </c>
      <c r="F20" s="13" t="s">
        <v>613</v>
      </c>
      <c r="G20" s="13" t="s">
        <v>3191</v>
      </c>
      <c r="H20" s="13" t="s">
        <v>3192</v>
      </c>
      <c r="I20" s="13" t="s">
        <v>3145</v>
      </c>
      <c r="J20" s="13" t="s">
        <v>304</v>
      </c>
      <c r="K20" s="389" t="s">
        <v>3193</v>
      </c>
      <c r="L20" s="389" t="s">
        <v>3194</v>
      </c>
      <c r="M20" s="13" t="s">
        <v>3195</v>
      </c>
      <c r="N20" s="13" t="s">
        <v>3112</v>
      </c>
      <c r="O20" s="164" t="s">
        <v>3196</v>
      </c>
      <c r="P20" s="13"/>
    </row>
    <row r="21" spans="1:16">
      <c r="A21" s="311">
        <v>0.64583333333333337</v>
      </c>
      <c r="B21" s="78">
        <v>0.5625</v>
      </c>
      <c r="C21" s="13">
        <v>202500521</v>
      </c>
      <c r="D21" s="43" t="str">
        <f>VLOOKUP(C21,CC!A:B,2,TRUE)</f>
        <v>465306AHP</v>
      </c>
      <c r="E21" s="13" t="s">
        <v>3197</v>
      </c>
      <c r="F21" s="13" t="s">
        <v>1192</v>
      </c>
      <c r="G21" s="13" t="s">
        <v>3172</v>
      </c>
      <c r="H21" s="13" t="s">
        <v>3198</v>
      </c>
      <c r="I21" s="13" t="s">
        <v>3199</v>
      </c>
      <c r="J21" s="13" t="s">
        <v>304</v>
      </c>
      <c r="K21" s="390" t="s">
        <v>3200</v>
      </c>
      <c r="L21" s="390" t="s">
        <v>3201</v>
      </c>
      <c r="M21" s="13" t="s">
        <v>3202</v>
      </c>
      <c r="N21" s="13" t="s">
        <v>3112</v>
      </c>
      <c r="O21" s="164" t="s">
        <v>3133</v>
      </c>
      <c r="P21" s="13"/>
    </row>
    <row r="22" spans="1:16">
      <c r="A22" s="311">
        <v>0.64583333333333337</v>
      </c>
      <c r="B22" s="78">
        <v>0.5625</v>
      </c>
      <c r="C22" s="13">
        <v>202500521</v>
      </c>
      <c r="D22" s="43" t="str">
        <f>VLOOKUP(C22,CC!A:B,2,TRUE)</f>
        <v>465306AHP</v>
      </c>
      <c r="E22" s="13" t="s">
        <v>3203</v>
      </c>
      <c r="F22" s="13" t="s">
        <v>1192</v>
      </c>
      <c r="G22" s="13" t="s">
        <v>3172</v>
      </c>
      <c r="H22" s="13" t="s">
        <v>3198</v>
      </c>
      <c r="I22" s="13" t="s">
        <v>3199</v>
      </c>
      <c r="J22" s="13" t="s">
        <v>304</v>
      </c>
      <c r="K22" s="390" t="s">
        <v>3200</v>
      </c>
      <c r="L22" s="390" t="s">
        <v>3201</v>
      </c>
      <c r="M22" s="13" t="s">
        <v>3202</v>
      </c>
      <c r="N22" s="13" t="s">
        <v>3112</v>
      </c>
      <c r="O22" s="40" t="s">
        <v>3133</v>
      </c>
      <c r="P22" s="34"/>
    </row>
    <row r="23" spans="1:16">
      <c r="A23" s="329">
        <v>0.64583333333333337</v>
      </c>
      <c r="B23" s="201">
        <v>0.5625</v>
      </c>
      <c r="C23" s="13">
        <v>202500521</v>
      </c>
      <c r="D23" s="43" t="str">
        <f>VLOOKUP(C23,CC!A:B,2,TRUE)</f>
        <v>465306AHP</v>
      </c>
      <c r="E23" s="13" t="s">
        <v>3204</v>
      </c>
      <c r="F23" s="13" t="s">
        <v>1192</v>
      </c>
      <c r="G23" s="13" t="s">
        <v>3172</v>
      </c>
      <c r="H23" s="13" t="s">
        <v>3198</v>
      </c>
      <c r="I23" s="13" t="s">
        <v>3199</v>
      </c>
      <c r="J23" s="13" t="s">
        <v>304</v>
      </c>
      <c r="K23" s="390" t="s">
        <v>3200</v>
      </c>
      <c r="L23" s="390" t="s">
        <v>3201</v>
      </c>
      <c r="M23" s="13" t="s">
        <v>3202</v>
      </c>
      <c r="N23" s="13" t="s">
        <v>3112</v>
      </c>
      <c r="O23" s="172" t="s">
        <v>3133</v>
      </c>
      <c r="P23" s="13"/>
    </row>
    <row r="24" spans="1:16">
      <c r="A24" s="332"/>
      <c r="B24" s="333"/>
      <c r="C24" s="288"/>
      <c r="D24" s="383"/>
      <c r="E24" s="288"/>
      <c r="F24" s="288"/>
      <c r="G24" s="288"/>
      <c r="H24" s="288"/>
      <c r="I24" s="382"/>
      <c r="J24" s="288"/>
      <c r="K24" s="288"/>
      <c r="L24" s="288"/>
      <c r="M24" s="382"/>
      <c r="N24" s="288"/>
      <c r="O24" s="255"/>
      <c r="P24" s="257"/>
    </row>
    <row r="25" spans="1:16">
      <c r="A25" s="313" t="s">
        <v>3205</v>
      </c>
      <c r="B25" s="78">
        <v>0.33333333333333331</v>
      </c>
      <c r="C25" s="13">
        <v>202500867</v>
      </c>
      <c r="D25" s="43" t="str">
        <f>VLOOKUP(C25,CC!A:B,2,TRUE)</f>
        <v>465306AHV</v>
      </c>
      <c r="E25" s="13" t="s">
        <v>3206</v>
      </c>
      <c r="F25" s="13" t="s">
        <v>1176</v>
      </c>
      <c r="G25" s="13" t="s">
        <v>1185</v>
      </c>
      <c r="H25" s="13" t="s">
        <v>2541</v>
      </c>
      <c r="I25" s="13" t="s">
        <v>2542</v>
      </c>
      <c r="J25" s="13" t="s">
        <v>303</v>
      </c>
      <c r="K25" s="13" t="s">
        <v>2543</v>
      </c>
      <c r="L25" s="13" t="s">
        <v>2544</v>
      </c>
      <c r="M25" s="13" t="s">
        <v>3207</v>
      </c>
      <c r="N25" s="13" t="s">
        <v>3112</v>
      </c>
      <c r="O25" s="40" t="s">
        <v>3133</v>
      </c>
      <c r="P25" s="40"/>
    </row>
    <row r="26" spans="1:16">
      <c r="A26" s="334" t="s">
        <v>3208</v>
      </c>
      <c r="B26" s="381">
        <v>0.54166666666666663</v>
      </c>
      <c r="C26" s="13">
        <v>202500520</v>
      </c>
      <c r="D26" s="43" t="str">
        <f>VLOOKUP(C26,CC!A:B,2,TRUE)</f>
        <v>465305AGU</v>
      </c>
      <c r="E26" s="13" t="s">
        <v>3209</v>
      </c>
      <c r="F26" s="13" t="s">
        <v>1176</v>
      </c>
      <c r="G26" s="13" t="s">
        <v>1864</v>
      </c>
      <c r="H26" s="13" t="s">
        <v>3210</v>
      </c>
      <c r="I26" s="13" t="s">
        <v>3210</v>
      </c>
      <c r="J26" s="13" t="s">
        <v>303</v>
      </c>
      <c r="K26" s="13" t="s">
        <v>3211</v>
      </c>
      <c r="L26" s="13" t="s">
        <v>3212</v>
      </c>
      <c r="M26" s="13" t="s">
        <v>3213</v>
      </c>
      <c r="N26" s="20" t="s">
        <v>3214</v>
      </c>
      <c r="O26" s="335" t="s">
        <v>3133</v>
      </c>
      <c r="P26" s="335"/>
    </row>
    <row r="27" spans="1:16">
      <c r="A27" s="696" t="s">
        <v>3215</v>
      </c>
      <c r="B27" s="696"/>
      <c r="C27" s="697"/>
      <c r="D27" s="697"/>
      <c r="E27" s="697"/>
      <c r="F27" s="698"/>
      <c r="G27" s="698"/>
      <c r="H27" s="698"/>
      <c r="I27" s="698"/>
      <c r="J27" s="698"/>
      <c r="K27" s="698"/>
      <c r="L27" s="698"/>
      <c r="M27" s="698"/>
      <c r="N27" s="698"/>
      <c r="O27" s="696"/>
      <c r="P27" s="696"/>
    </row>
    <row r="28" spans="1:16">
      <c r="A28" s="673" t="s">
        <v>538</v>
      </c>
      <c r="B28" s="674"/>
      <c r="C28" s="637">
        <v>20</v>
      </c>
      <c r="D28" s="637"/>
      <c r="E28" s="637"/>
    </row>
    <row r="29" spans="1:16">
      <c r="A29" s="673"/>
      <c r="B29" s="674"/>
      <c r="C29" s="637"/>
      <c r="D29" s="637"/>
      <c r="E29" s="637"/>
    </row>
    <row r="30" spans="1:16">
      <c r="A30" s="676"/>
      <c r="B30" s="677"/>
      <c r="C30" s="637"/>
      <c r="D30" s="637"/>
      <c r="E30" s="637"/>
    </row>
    <row r="31" spans="1:16">
      <c r="A31" s="702" t="s">
        <v>539</v>
      </c>
      <c r="B31" s="703"/>
      <c r="C31" s="637">
        <v>14</v>
      </c>
      <c r="D31" s="637"/>
      <c r="E31" s="637"/>
    </row>
    <row r="32" spans="1:16" ht="15" customHeight="1">
      <c r="A32" s="673"/>
      <c r="B32" s="674"/>
      <c r="C32" s="637"/>
      <c r="D32" s="637"/>
      <c r="E32" s="637"/>
      <c r="F32" s="191"/>
      <c r="G32" s="191"/>
      <c r="H32" s="191"/>
      <c r="I32" s="704" t="s">
        <v>3216</v>
      </c>
      <c r="J32" s="705"/>
      <c r="K32" s="705"/>
      <c r="L32" s="705"/>
      <c r="M32" s="611" t="s">
        <v>541</v>
      </c>
      <c r="N32" s="611"/>
      <c r="O32" s="611"/>
      <c r="P32" s="611"/>
    </row>
    <row r="33" spans="1:16">
      <c r="A33" s="676"/>
      <c r="B33" s="677"/>
      <c r="C33" s="637"/>
      <c r="D33" s="637"/>
      <c r="E33" s="637"/>
      <c r="F33" s="283"/>
      <c r="G33" s="283"/>
      <c r="H33" s="283"/>
      <c r="I33" s="699" t="s">
        <v>3217</v>
      </c>
      <c r="J33" s="699"/>
      <c r="K33" s="699"/>
      <c r="L33" s="699"/>
      <c r="M33" s="611"/>
      <c r="N33" s="611"/>
      <c r="O33" s="611"/>
      <c r="P33" s="611"/>
    </row>
    <row r="34" spans="1:16">
      <c r="A34" s="297" t="s">
        <v>543</v>
      </c>
      <c r="B34" s="319" t="s">
        <v>544</v>
      </c>
      <c r="C34" s="803" t="s">
        <v>545</v>
      </c>
      <c r="D34" s="803"/>
      <c r="E34" s="804" t="s">
        <v>546</v>
      </c>
      <c r="F34" s="805"/>
      <c r="G34" s="271" t="s">
        <v>545</v>
      </c>
      <c r="H34" s="319" t="s">
        <v>547</v>
      </c>
      <c r="I34" s="284" t="s">
        <v>548</v>
      </c>
      <c r="J34" s="191"/>
      <c r="K34" s="191"/>
      <c r="L34" s="191"/>
      <c r="M34" s="611"/>
      <c r="N34" s="611"/>
      <c r="O34" s="611"/>
      <c r="P34" s="611"/>
    </row>
    <row r="35" spans="1:16">
      <c r="A35" s="251">
        <v>45936</v>
      </c>
      <c r="B35" s="355" t="s">
        <v>549</v>
      </c>
      <c r="C35" s="680">
        <v>0.33333333333333331</v>
      </c>
      <c r="D35" s="680"/>
      <c r="E35" s="700" t="s">
        <v>3218</v>
      </c>
      <c r="F35" s="701"/>
      <c r="G35" s="272">
        <v>0.4375</v>
      </c>
      <c r="H35" s="264">
        <v>151</v>
      </c>
      <c r="I35" s="643">
        <v>38.299999999999997</v>
      </c>
      <c r="J35" s="618" t="s">
        <v>3219</v>
      </c>
      <c r="K35" s="618"/>
      <c r="L35" s="619"/>
      <c r="M35" s="611"/>
      <c r="N35" s="611"/>
      <c r="O35" s="611"/>
      <c r="P35" s="611"/>
    </row>
    <row r="36" spans="1:16">
      <c r="A36" s="251">
        <v>45936</v>
      </c>
      <c r="B36" s="356" t="s">
        <v>3220</v>
      </c>
      <c r="C36" s="706">
        <v>0.5625</v>
      </c>
      <c r="D36" s="706"/>
      <c r="E36" s="691" t="s">
        <v>302</v>
      </c>
      <c r="F36" s="649"/>
      <c r="G36" s="272">
        <v>0.58333333333333337</v>
      </c>
      <c r="H36" s="264">
        <v>28.6</v>
      </c>
      <c r="I36" s="643"/>
      <c r="J36" s="620"/>
      <c r="K36" s="620"/>
      <c r="L36" s="621"/>
      <c r="M36" s="611"/>
      <c r="N36" s="611"/>
      <c r="O36" s="611"/>
      <c r="P36" s="611"/>
    </row>
    <row r="37" spans="1:16">
      <c r="A37" s="251">
        <v>45936</v>
      </c>
      <c r="B37" s="376" t="s">
        <v>302</v>
      </c>
      <c r="C37" s="695">
        <v>0.60416666666666663</v>
      </c>
      <c r="D37" s="695"/>
      <c r="E37" s="687" t="s">
        <v>3221</v>
      </c>
      <c r="F37" s="688"/>
      <c r="G37" s="320">
        <v>0.64930555555555558</v>
      </c>
      <c r="H37" s="264">
        <v>55.5</v>
      </c>
      <c r="I37" s="643"/>
      <c r="J37" s="620"/>
      <c r="K37" s="620"/>
      <c r="L37" s="621"/>
      <c r="M37" s="611"/>
      <c r="N37" s="611"/>
      <c r="O37" s="611"/>
      <c r="P37" s="611"/>
    </row>
    <row r="38" spans="1:16">
      <c r="A38" s="251">
        <v>45936</v>
      </c>
      <c r="B38" s="355" t="s">
        <v>3221</v>
      </c>
      <c r="C38" s="680">
        <v>0.66666666666666663</v>
      </c>
      <c r="D38" s="680"/>
      <c r="E38" s="691" t="s">
        <v>306</v>
      </c>
      <c r="F38" s="649"/>
      <c r="G38" s="272">
        <v>0.6875</v>
      </c>
      <c r="H38" s="264">
        <v>18.7</v>
      </c>
      <c r="I38" s="643"/>
      <c r="J38" s="620"/>
      <c r="K38" s="620"/>
      <c r="L38" s="621"/>
      <c r="M38" s="611"/>
      <c r="N38" s="611"/>
      <c r="O38" s="611"/>
      <c r="P38" s="611"/>
    </row>
    <row r="39" spans="1:16">
      <c r="A39" s="251">
        <v>45936</v>
      </c>
      <c r="B39" s="357" t="s">
        <v>3222</v>
      </c>
      <c r="C39" s="695">
        <v>0.70833333333333337</v>
      </c>
      <c r="D39" s="695"/>
      <c r="E39" s="689" t="s">
        <v>3223</v>
      </c>
      <c r="F39" s="690"/>
      <c r="G39" s="321">
        <v>0.72916666666666663</v>
      </c>
      <c r="H39" s="263">
        <v>23.2</v>
      </c>
      <c r="I39" s="643"/>
      <c r="J39" s="620"/>
      <c r="K39" s="620"/>
      <c r="L39" s="621"/>
      <c r="M39" s="611"/>
      <c r="N39" s="611"/>
      <c r="O39" s="611"/>
      <c r="P39" s="611"/>
    </row>
    <row r="40" spans="1:16">
      <c r="A40" s="692" t="s">
        <v>3170</v>
      </c>
      <c r="B40" s="693"/>
      <c r="C40" s="694"/>
      <c r="D40" s="694"/>
      <c r="E40" s="693"/>
      <c r="F40" s="693"/>
      <c r="G40" s="693"/>
      <c r="H40" s="670"/>
      <c r="I40" s="643"/>
      <c r="J40" s="620"/>
      <c r="K40" s="620"/>
      <c r="L40" s="621"/>
      <c r="M40" s="611"/>
      <c r="N40" s="611"/>
      <c r="O40" s="611"/>
      <c r="P40" s="611"/>
    </row>
    <row r="41" spans="1:16">
      <c r="A41" s="251">
        <v>45937</v>
      </c>
      <c r="B41" s="214" t="s">
        <v>304</v>
      </c>
      <c r="C41" s="681">
        <v>0.66666666666666663</v>
      </c>
      <c r="D41" s="682"/>
      <c r="E41" s="648" t="s">
        <v>3224</v>
      </c>
      <c r="F41" s="649"/>
      <c r="G41" s="272">
        <v>0.72916666666666663</v>
      </c>
      <c r="H41" s="264">
        <v>79.599999999999994</v>
      </c>
      <c r="I41" s="707"/>
      <c r="J41" s="620"/>
      <c r="K41" s="620"/>
      <c r="L41" s="621"/>
      <c r="M41" s="611"/>
      <c r="N41" s="611"/>
      <c r="O41" s="611"/>
      <c r="P41" s="611"/>
    </row>
    <row r="42" spans="1:16">
      <c r="A42" s="692" t="s">
        <v>3215</v>
      </c>
      <c r="B42" s="693"/>
      <c r="C42" s="650"/>
      <c r="D42" s="650"/>
      <c r="E42" s="693"/>
      <c r="F42" s="693"/>
      <c r="G42" s="693"/>
      <c r="H42" s="670"/>
      <c r="I42" s="707"/>
      <c r="J42" s="620"/>
      <c r="K42" s="620"/>
      <c r="L42" s="621"/>
      <c r="M42" s="611"/>
      <c r="N42" s="611"/>
      <c r="O42" s="611"/>
      <c r="P42" s="611"/>
    </row>
    <row r="43" spans="1:16">
      <c r="A43" s="251">
        <v>45938</v>
      </c>
      <c r="B43" s="356" t="s">
        <v>3224</v>
      </c>
      <c r="C43" s="680">
        <v>0.41666666666666669</v>
      </c>
      <c r="D43" s="680"/>
      <c r="E43" s="691" t="s">
        <v>549</v>
      </c>
      <c r="F43" s="649"/>
      <c r="G43" s="272">
        <v>0.66666666666666663</v>
      </c>
      <c r="H43" s="264">
        <v>208</v>
      </c>
      <c r="I43" s="707"/>
      <c r="J43" s="620"/>
      <c r="K43" s="620"/>
      <c r="L43" s="621"/>
      <c r="M43" s="611"/>
      <c r="N43" s="611"/>
      <c r="O43" s="611"/>
      <c r="P43" s="611"/>
    </row>
    <row r="44" spans="1:16">
      <c r="A44" s="652" t="s">
        <v>551</v>
      </c>
      <c r="B44" s="653"/>
      <c r="C44" s="653"/>
      <c r="D44" s="653"/>
      <c r="E44" s="653"/>
      <c r="F44" s="653"/>
      <c r="G44" s="654"/>
      <c r="H44" s="226">
        <f>SUM(H35:H43)</f>
        <v>564.6</v>
      </c>
      <c r="I44" s="708"/>
      <c r="J44" s="620"/>
      <c r="K44" s="620"/>
      <c r="L44" s="621"/>
      <c r="M44" s="611"/>
      <c r="N44" s="611"/>
      <c r="O44" s="611"/>
      <c r="P44" s="611"/>
    </row>
    <row r="45" spans="1:16">
      <c r="A45" s="191"/>
      <c r="B45" s="191"/>
      <c r="C45" s="191"/>
      <c r="E45" s="191"/>
      <c r="F45" s="191"/>
      <c r="G45" s="191"/>
      <c r="H45" s="191"/>
      <c r="I45" s="291"/>
      <c r="J45" s="620"/>
      <c r="K45" s="620"/>
      <c r="L45" s="621"/>
      <c r="M45" s="191"/>
      <c r="N45" s="191"/>
      <c r="O45" s="191"/>
      <c r="P45" s="191"/>
    </row>
    <row r="46" spans="1:16">
      <c r="A46" s="655" t="s">
        <v>552</v>
      </c>
      <c r="B46" s="656"/>
      <c r="C46" s="656"/>
      <c r="D46" s="656"/>
      <c r="E46" s="656"/>
      <c r="F46" s="656"/>
      <c r="G46" s="656"/>
      <c r="H46" s="191"/>
      <c r="I46" s="191"/>
      <c r="J46" s="620"/>
      <c r="K46" s="620"/>
      <c r="L46" s="621"/>
      <c r="M46" s="191"/>
      <c r="N46" s="191"/>
      <c r="O46" s="191"/>
      <c r="P46" s="191"/>
    </row>
    <row r="47" spans="1:16">
      <c r="A47" s="628" t="s">
        <v>553</v>
      </c>
      <c r="B47" s="629"/>
      <c r="C47" s="630"/>
      <c r="E47" s="628" t="s">
        <v>554</v>
      </c>
      <c r="F47" s="629"/>
      <c r="G47" s="631"/>
      <c r="H47" s="191"/>
      <c r="I47" s="191"/>
      <c r="J47" s="620"/>
      <c r="K47" s="620"/>
      <c r="L47" s="621"/>
      <c r="M47" s="191"/>
      <c r="N47" s="191"/>
      <c r="O47" s="191"/>
      <c r="P47" s="191"/>
    </row>
    <row r="48" spans="1:16">
      <c r="A48" s="632"/>
      <c r="B48" s="633"/>
      <c r="C48" s="634"/>
      <c r="E48" s="635"/>
      <c r="F48" s="633"/>
      <c r="G48" s="636"/>
      <c r="H48" s="191"/>
      <c r="I48" s="191"/>
      <c r="J48" s="622"/>
      <c r="K48" s="622"/>
      <c r="L48" s="623"/>
      <c r="M48" s="191"/>
      <c r="N48" s="191"/>
      <c r="O48" s="191"/>
      <c r="P48" s="191"/>
    </row>
    <row r="49" spans="1:44">
      <c r="A49" s="191"/>
      <c r="B49" s="191"/>
      <c r="C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</row>
    <row r="50" spans="1:44">
      <c r="A50" s="191"/>
      <c r="B50" s="191"/>
      <c r="C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AR50" t="s">
        <v>3225</v>
      </c>
    </row>
  </sheetData>
  <protectedRanges>
    <protectedRange sqref="H29" name="Range1_14"/>
    <protectedRange sqref="O7:O18 O2:O4" name="Range1_15_1"/>
    <protectedRange sqref="E28:E29 E31:E32" name="Range1_7_1"/>
    <protectedRange sqref="C28:C29 C31:C32" name="Range1_8_1"/>
    <protectedRange sqref="B2" name="Range1_2"/>
    <protectedRange sqref="B3" name="Range1_7"/>
    <protectedRange sqref="B5:B6" name="Range1_7_2"/>
    <protectedRange sqref="B8" name="Range1_9_1"/>
    <protectedRange sqref="B19" name="Range1_6"/>
    <protectedRange sqref="B20" name="Range1_11_1"/>
    <protectedRange sqref="B21" name="Range1_12_1"/>
    <protectedRange sqref="C24 C27 E24:J24 E27:J27" name="Range1_8"/>
    <protectedRange sqref="B22:B25 B27" name="Range1_11_2"/>
    <protectedRange sqref="K24 K27" name="Range1_8_2"/>
    <protectedRange sqref="L24:M24 L27:M27" name="Range1_8_3"/>
    <protectedRange sqref="B26" name="Range1_4_10"/>
    <protectedRange sqref="O26" name="Range1_3_8"/>
    <protectedRange sqref="P26" name="Range1_3_9"/>
    <protectedRange sqref="B9:B14 B7 B4" name="Range1_45"/>
    <protectedRange sqref="B15" name="Range1_46"/>
    <protectedRange sqref="B16:B18" name="Range1_47"/>
    <protectedRange sqref="C2 K10:M10 C11:C23 C9 C7 C4 C25:C26 E2 E9:M9 E7:M7 E4:M4 E25:M26 E11:M23" name="Range1"/>
    <protectedRange sqref="F2" name="Range1_1"/>
    <protectedRange sqref="G2" name="Range1_4"/>
    <protectedRange sqref="H2" name="Range1_5"/>
    <protectedRange sqref="I2" name="Range1_11"/>
    <protectedRange sqref="J2" name="Range1_38"/>
    <protectedRange sqref="K2" name="Range1_41"/>
    <protectedRange sqref="L2" name="Range1_48"/>
    <protectedRange sqref="M2" name="Range1_49"/>
    <protectedRange sqref="C3" name="Range1_55"/>
    <protectedRange sqref="E3" name="Range1_56"/>
    <protectedRange sqref="F3" name="Range1_57"/>
    <protectedRange sqref="G3" name="Range1_58"/>
    <protectedRange sqref="H3" name="Range1_59"/>
    <protectedRange sqref="I3" name="Range1_60"/>
    <protectedRange sqref="J3" name="Range1_61"/>
    <protectedRange sqref="K3" name="Range1_62"/>
    <protectedRange sqref="L3" name="Range1_63"/>
    <protectedRange sqref="M3" name="Range1_64"/>
    <protectedRange sqref="C5 E5:F5" name="Range1_71"/>
    <protectedRange sqref="G5" name="Range1_72"/>
    <protectedRange sqref="H5:J5" name="Range1_73"/>
    <protectedRange sqref="C6 E6:F6" name="Range1_74"/>
    <protectedRange sqref="G6" name="Range1_75"/>
    <protectedRange sqref="H6:J6" name="Range1_76"/>
    <protectedRange sqref="K5:M5" name="Range1_77"/>
    <protectedRange sqref="K6:M6" name="Range1_78"/>
    <protectedRange sqref="C8 E8:F8" name="Range1_79"/>
    <protectedRange sqref="G8" name="Range1_80"/>
    <protectedRange sqref="H8" name="Range1_81"/>
    <protectedRange sqref="I8" name="Range1_82"/>
    <protectedRange sqref="J8" name="Range1_83"/>
    <protectedRange sqref="K8" name="Range1_84"/>
    <protectedRange sqref="L8" name="Range1_85"/>
    <protectedRange sqref="M8" name="Range1_86"/>
    <protectedRange sqref="C10 E10:F10" name="Range1_97"/>
    <protectedRange sqref="G10" name="Range1_98"/>
    <protectedRange sqref="H10:J10" name="Range1_99"/>
    <protectedRange sqref="D2:D26" name="Range1_64_1"/>
  </protectedRanges>
  <autoFilter ref="A1:P1" xr:uid="{F09CEF7E-7F6A-43A3-80C5-483E49D4AA6D}"/>
  <mergeCells count="35">
    <mergeCell ref="J35:L48"/>
    <mergeCell ref="E36:F36"/>
    <mergeCell ref="E38:F38"/>
    <mergeCell ref="A44:G44"/>
    <mergeCell ref="A46:G46"/>
    <mergeCell ref="C35:D35"/>
    <mergeCell ref="C36:D36"/>
    <mergeCell ref="C37:D37"/>
    <mergeCell ref="C38:D38"/>
    <mergeCell ref="A47:C47"/>
    <mergeCell ref="E47:G47"/>
    <mergeCell ref="A42:H42"/>
    <mergeCell ref="I35:I44"/>
    <mergeCell ref="A12:P12"/>
    <mergeCell ref="E37:F37"/>
    <mergeCell ref="E39:F39"/>
    <mergeCell ref="E41:F41"/>
    <mergeCell ref="E43:F43"/>
    <mergeCell ref="A40:H40"/>
    <mergeCell ref="C39:D39"/>
    <mergeCell ref="C41:D41"/>
    <mergeCell ref="A27:P27"/>
    <mergeCell ref="M32:P44"/>
    <mergeCell ref="I33:L33"/>
    <mergeCell ref="E34:F34"/>
    <mergeCell ref="E35:F35"/>
    <mergeCell ref="A31:B33"/>
    <mergeCell ref="C31:E33"/>
    <mergeCell ref="I32:L32"/>
    <mergeCell ref="A28:B30"/>
    <mergeCell ref="C28:E30"/>
    <mergeCell ref="A48:C48"/>
    <mergeCell ref="E48:G48"/>
    <mergeCell ref="C43:D43"/>
    <mergeCell ref="C34:D34"/>
  </mergeCells>
  <conditionalFormatting sqref="E24">
    <cfRule type="duplicateValues" dxfId="251" priority="1612"/>
  </conditionalFormatting>
  <hyperlinks>
    <hyperlink ref="I2" r:id="rId1" xr:uid="{3460D395-A4E5-4F5E-AE6F-D21FE4603920}"/>
    <hyperlink ref="I33:L33" r:id="rId2" display="https://maps.app.goo.gl/w4MgTaJEdiMbbJRr5" xr:uid="{0019647C-371E-4ECA-A548-6BE4C780E8E3}"/>
    <hyperlink ref="I3" r:id="rId3" xr:uid="{C05089E4-BB84-48D0-9B36-7461EBE812B4}"/>
    <hyperlink ref="I5" r:id="rId4" xr:uid="{E06EC2FF-DEAD-4CCB-87AC-788156F6DA2D}"/>
    <hyperlink ref="I6" r:id="rId5" xr:uid="{01F6606A-920A-4FE1-8C4F-01ACA7D10650}"/>
    <hyperlink ref="I8" r:id="rId6" xr:uid="{46389BD1-89FC-4911-9CD6-28584A243259}"/>
    <hyperlink ref="I10" r:id="rId7" xr:uid="{DC817815-7BA7-485D-B492-F3E7C74BC319}"/>
    <hyperlink ref="I11" r:id="rId8" xr:uid="{C1A5A6E6-6CF4-4898-A998-BDBB6812E0EF}"/>
    <hyperlink ref="I13" r:id="rId9" xr:uid="{9E282448-0114-4376-B629-F965AE32EB89}"/>
    <hyperlink ref="I16" r:id="rId10" xr:uid="{5A9AD16D-1F98-4F68-8890-319B27DCACED}"/>
    <hyperlink ref="I14" r:id="rId11" xr:uid="{B924F9EE-23F4-4813-A45A-94DB86BA2539}"/>
    <hyperlink ref="I15" r:id="rId12" xr:uid="{054EFBE7-6CF9-4E8A-992D-4C437DA668CF}"/>
    <hyperlink ref="I17" r:id="rId13" xr:uid="{CC4027A1-BA23-44C0-8E3A-28B616B331E1}"/>
    <hyperlink ref="I18" r:id="rId14" xr:uid="{127B8171-4B26-4EEB-B817-FFDAACDB5214}"/>
    <hyperlink ref="I20" r:id="rId15" xr:uid="{B129D49F-A2B1-48C2-9560-B8E92DBA4800}"/>
    <hyperlink ref="I19" r:id="rId16" xr:uid="{726E4BB3-BAB4-4A46-BF38-AB3CD5E549B3}"/>
    <hyperlink ref="I21" r:id="rId17" xr:uid="{B20A0796-D558-4553-A424-EC2893DBB830}"/>
    <hyperlink ref="I22" r:id="rId18" xr:uid="{0023669B-16EC-4E81-87F8-DE15636EED53}"/>
    <hyperlink ref="I23" r:id="rId19" xr:uid="{9415A901-B078-454D-926C-D5655E5C683A}"/>
    <hyperlink ref="I25" r:id="rId20" xr:uid="{0D7C7BB2-8574-459B-B8E6-D958DBB5A316}"/>
  </hyperlinks>
  <pageMargins left="0.25" right="0.25" top="0.75" bottom="0.75" header="0.3" footer="0.3"/>
  <pageSetup paperSize="9" fitToHeight="0" orientation="landscape"/>
  <legacyDrawing r:id="rId2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9A995-1DCB-4071-B782-3752C627DAEF}">
  <sheetPr codeName="Planilha11">
    <pageSetUpPr fitToPage="1"/>
  </sheetPr>
  <dimension ref="A1:Q31"/>
  <sheetViews>
    <sheetView workbookViewId="0">
      <selection activeCell="B3" sqref="B3"/>
    </sheetView>
  </sheetViews>
  <sheetFormatPr defaultRowHeight="15"/>
  <cols>
    <col min="1" max="1" width="18.5703125" bestFit="1" customWidth="1"/>
    <col min="2" max="2" width="19" bestFit="1" customWidth="1"/>
    <col min="3" max="3" width="10.85546875" bestFit="1" customWidth="1"/>
    <col min="4" max="4" width="12" bestFit="1" customWidth="1"/>
    <col min="5" max="5" width="46.85546875" bestFit="1" customWidth="1"/>
    <col min="6" max="6" width="31.85546875" customWidth="1"/>
    <col min="7" max="7" width="29.140625" customWidth="1"/>
    <col min="8" max="8" width="24.7109375" bestFit="1" customWidth="1"/>
    <col min="9" max="9" width="40.42578125" bestFit="1" customWidth="1"/>
    <col min="10" max="10" width="17.5703125" bestFit="1" customWidth="1"/>
    <col min="11" max="11" width="27.85546875" bestFit="1" customWidth="1"/>
    <col min="12" max="12" width="27.7109375" bestFit="1" customWidth="1"/>
    <col min="13" max="13" width="32" bestFit="1" customWidth="1"/>
    <col min="14" max="14" width="12.42578125" customWidth="1"/>
    <col min="15" max="15" width="10.85546875" bestFit="1" customWidth="1"/>
    <col min="16" max="16" width="11.85546875" bestFit="1" customWidth="1"/>
  </cols>
  <sheetData>
    <row r="1" spans="1:17" ht="30">
      <c r="A1" s="217" t="s">
        <v>514</v>
      </c>
      <c r="B1" s="218" t="s">
        <v>515</v>
      </c>
      <c r="C1" s="218" t="s">
        <v>0</v>
      </c>
      <c r="D1" s="360" t="s">
        <v>3110</v>
      </c>
      <c r="E1" s="218" t="s">
        <v>516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  <c r="Q1" s="202"/>
    </row>
    <row r="2" spans="1:17">
      <c r="A2" s="392" t="s">
        <v>3226</v>
      </c>
      <c r="B2" s="30">
        <v>0.54166666666666663</v>
      </c>
      <c r="C2" s="40">
        <v>202401099</v>
      </c>
      <c r="D2" s="399" t="s">
        <v>17</v>
      </c>
      <c r="E2" s="391" t="s">
        <v>1256</v>
      </c>
      <c r="F2" s="13" t="s">
        <v>1176</v>
      </c>
      <c r="G2" s="13" t="s">
        <v>1185</v>
      </c>
      <c r="H2" s="13" t="s">
        <v>1258</v>
      </c>
      <c r="I2" s="17" t="s">
        <v>1259</v>
      </c>
      <c r="J2" s="13" t="s">
        <v>215</v>
      </c>
      <c r="K2" s="13" t="s">
        <v>3227</v>
      </c>
      <c r="L2" s="246" t="s">
        <v>1261</v>
      </c>
      <c r="M2" s="13" t="s">
        <v>1262</v>
      </c>
      <c r="N2" s="13" t="s">
        <v>534</v>
      </c>
      <c r="O2" s="70"/>
      <c r="P2" s="240"/>
    </row>
    <row r="3" spans="1:17">
      <c r="A3" s="236">
        <v>0.5625</v>
      </c>
      <c r="B3" s="299">
        <v>0.58333333333333337</v>
      </c>
      <c r="C3" s="40">
        <v>202500031</v>
      </c>
      <c r="D3" s="399" t="s">
        <v>23</v>
      </c>
      <c r="E3" s="13" t="s">
        <v>3228</v>
      </c>
      <c r="F3" s="13" t="s">
        <v>1192</v>
      </c>
      <c r="G3" s="13" t="s">
        <v>1881</v>
      </c>
      <c r="H3" s="13" t="s">
        <v>2161</v>
      </c>
      <c r="I3" s="13" t="s">
        <v>2162</v>
      </c>
      <c r="J3" s="13" t="s">
        <v>215</v>
      </c>
      <c r="K3" s="13" t="s">
        <v>2163</v>
      </c>
      <c r="L3" s="13" t="s">
        <v>3229</v>
      </c>
      <c r="M3" s="17" t="s">
        <v>3230</v>
      </c>
      <c r="N3" s="13" t="s">
        <v>534</v>
      </c>
      <c r="O3" s="70"/>
      <c r="P3" s="240"/>
    </row>
    <row r="4" spans="1:17">
      <c r="A4" s="236">
        <v>0.58333333333333337</v>
      </c>
      <c r="B4" s="299">
        <v>0.58333333333333337</v>
      </c>
      <c r="C4" s="40">
        <v>202500031</v>
      </c>
      <c r="D4" s="399" t="s">
        <v>23</v>
      </c>
      <c r="E4" s="13" t="s">
        <v>3231</v>
      </c>
      <c r="F4" s="13" t="s">
        <v>1192</v>
      </c>
      <c r="G4" s="13" t="s">
        <v>1881</v>
      </c>
      <c r="H4" s="41" t="s">
        <v>2161</v>
      </c>
      <c r="I4" s="41" t="s">
        <v>2162</v>
      </c>
      <c r="J4" s="13" t="s">
        <v>215</v>
      </c>
      <c r="K4" s="13" t="s">
        <v>2163</v>
      </c>
      <c r="L4" s="13" t="s">
        <v>3229</v>
      </c>
      <c r="M4" s="17" t="s">
        <v>3230</v>
      </c>
      <c r="N4" s="13" t="s">
        <v>534</v>
      </c>
      <c r="O4" s="70"/>
      <c r="P4" s="240"/>
    </row>
    <row r="5" spans="1:17">
      <c r="A5" s="282">
        <v>0.60416666666666663</v>
      </c>
      <c r="B5" s="299">
        <v>0.58333333333333337</v>
      </c>
      <c r="C5" s="13">
        <v>202500869</v>
      </c>
      <c r="D5" s="161" t="s">
        <v>41</v>
      </c>
      <c r="E5" s="36" t="s">
        <v>3232</v>
      </c>
      <c r="F5" s="13" t="s">
        <v>1192</v>
      </c>
      <c r="G5" s="13" t="s">
        <v>1881</v>
      </c>
      <c r="H5" s="13" t="s">
        <v>2161</v>
      </c>
      <c r="I5" s="36" t="s">
        <v>2162</v>
      </c>
      <c r="J5" s="13" t="s">
        <v>215</v>
      </c>
      <c r="K5" s="40" t="s">
        <v>3233</v>
      </c>
      <c r="L5" s="13" t="s">
        <v>3229</v>
      </c>
      <c r="M5" s="13" t="s">
        <v>2165</v>
      </c>
      <c r="N5" s="13" t="s">
        <v>3112</v>
      </c>
      <c r="O5" s="70"/>
      <c r="P5" s="294"/>
    </row>
    <row r="6" spans="1:17">
      <c r="A6" s="282">
        <v>0.625</v>
      </c>
      <c r="B6" s="299">
        <v>0.58333333333333337</v>
      </c>
      <c r="C6" s="13">
        <v>202500869</v>
      </c>
      <c r="D6" s="161" t="s">
        <v>41</v>
      </c>
      <c r="E6" s="36" t="s">
        <v>3234</v>
      </c>
      <c r="F6" s="13" t="s">
        <v>1192</v>
      </c>
      <c r="G6" s="13" t="s">
        <v>1881</v>
      </c>
      <c r="H6" s="13" t="s">
        <v>2161</v>
      </c>
      <c r="I6" s="36" t="s">
        <v>2162</v>
      </c>
      <c r="J6" s="13" t="s">
        <v>215</v>
      </c>
      <c r="K6" s="40" t="s">
        <v>2163</v>
      </c>
      <c r="L6" s="13" t="s">
        <v>3229</v>
      </c>
      <c r="M6" s="13" t="s">
        <v>2165</v>
      </c>
      <c r="N6" s="13" t="s">
        <v>3112</v>
      </c>
      <c r="O6" s="70"/>
      <c r="P6" s="294"/>
    </row>
    <row r="7" spans="1:17">
      <c r="A7" s="298">
        <v>0.6875</v>
      </c>
      <c r="B7" s="236">
        <v>0.5625</v>
      </c>
      <c r="C7" s="13">
        <v>202500520</v>
      </c>
      <c r="D7" s="161" t="s">
        <v>37</v>
      </c>
      <c r="E7" s="36" t="s">
        <v>3235</v>
      </c>
      <c r="F7" s="13" t="s">
        <v>1176</v>
      </c>
      <c r="G7" s="13" t="s">
        <v>1864</v>
      </c>
      <c r="H7" s="13" t="s">
        <v>2906</v>
      </c>
      <c r="I7" s="56" t="s">
        <v>2907</v>
      </c>
      <c r="J7" s="13" t="s">
        <v>208</v>
      </c>
      <c r="K7" s="40" t="s">
        <v>2908</v>
      </c>
      <c r="L7" s="13" t="s">
        <v>2909</v>
      </c>
      <c r="M7" s="13" t="s">
        <v>3236</v>
      </c>
      <c r="N7" s="13" t="s">
        <v>3112</v>
      </c>
      <c r="O7" s="13"/>
      <c r="P7" s="13"/>
    </row>
    <row r="8" spans="1:17">
      <c r="A8" s="282">
        <v>0.35416666666666669</v>
      </c>
      <c r="B8" s="266">
        <v>0.33333333333333331</v>
      </c>
      <c r="C8" s="172">
        <v>202500298</v>
      </c>
      <c r="D8" s="400" t="s">
        <v>31</v>
      </c>
      <c r="E8" s="41" t="s">
        <v>3237</v>
      </c>
      <c r="F8" s="41" t="s">
        <v>613</v>
      </c>
      <c r="G8" s="41" t="s">
        <v>1185</v>
      </c>
      <c r="H8" s="42" t="s">
        <v>3238</v>
      </c>
      <c r="I8" s="300" t="s">
        <v>3239</v>
      </c>
      <c r="J8" s="41" t="s">
        <v>213</v>
      </c>
      <c r="K8" s="13" t="s">
        <v>3240</v>
      </c>
      <c r="L8" s="13" t="s">
        <v>3241</v>
      </c>
      <c r="M8" s="13" t="s">
        <v>3242</v>
      </c>
      <c r="N8" s="13" t="s">
        <v>534</v>
      </c>
      <c r="O8" s="13"/>
      <c r="P8" s="13"/>
    </row>
    <row r="9" spans="1:17">
      <c r="A9" s="298"/>
      <c r="B9" s="236">
        <v>0.5625</v>
      </c>
      <c r="C9" s="13">
        <v>202500520</v>
      </c>
      <c r="D9" s="161" t="s">
        <v>37</v>
      </c>
      <c r="E9" s="36" t="s">
        <v>3243</v>
      </c>
      <c r="F9" s="13" t="s">
        <v>1176</v>
      </c>
      <c r="G9" s="13" t="s">
        <v>1864</v>
      </c>
      <c r="H9" s="13" t="s">
        <v>2945</v>
      </c>
      <c r="I9" s="56" t="s">
        <v>2946</v>
      </c>
      <c r="J9" s="13" t="s">
        <v>216</v>
      </c>
      <c r="K9" s="40" t="s">
        <v>3244</v>
      </c>
      <c r="L9" s="13" t="s">
        <v>3245</v>
      </c>
      <c r="M9" s="13" t="s">
        <v>2949</v>
      </c>
      <c r="N9" s="13" t="s">
        <v>3112</v>
      </c>
      <c r="O9" s="13"/>
      <c r="P9" s="13"/>
    </row>
    <row r="10" spans="1:17">
      <c r="A10" s="637" t="s">
        <v>538</v>
      </c>
      <c r="B10" s="672"/>
      <c r="C10" s="672">
        <v>8</v>
      </c>
      <c r="D10" s="672"/>
      <c r="E10" s="672"/>
      <c r="F10" s="173"/>
      <c r="G10" s="34"/>
      <c r="H10" s="34"/>
      <c r="I10" s="34"/>
      <c r="J10" s="34"/>
      <c r="K10" s="13"/>
      <c r="L10" s="13"/>
      <c r="M10" s="13"/>
      <c r="N10" s="13"/>
      <c r="O10" s="13"/>
      <c r="P10" s="13"/>
    </row>
    <row r="11" spans="1:17">
      <c r="A11" s="637"/>
      <c r="B11" s="637"/>
      <c r="C11" s="637"/>
      <c r="D11" s="637"/>
      <c r="E11" s="637"/>
      <c r="F11" s="40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7">
      <c r="A12" s="637"/>
      <c r="B12" s="637"/>
      <c r="C12" s="637"/>
      <c r="D12" s="637"/>
      <c r="E12" s="637"/>
      <c r="F12" s="40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7">
      <c r="A13" s="637" t="s">
        <v>539</v>
      </c>
      <c r="B13" s="637"/>
      <c r="C13" s="637">
        <v>5</v>
      </c>
      <c r="D13" s="637"/>
      <c r="E13" s="637"/>
    </row>
    <row r="14" spans="1:17">
      <c r="A14" s="637"/>
      <c r="B14" s="637"/>
      <c r="C14" s="637"/>
      <c r="D14" s="637"/>
      <c r="E14" s="637"/>
      <c r="F14" s="191"/>
      <c r="G14" s="191"/>
      <c r="H14" s="191"/>
      <c r="I14" s="657" t="s">
        <v>3125</v>
      </c>
      <c r="J14" s="657"/>
      <c r="K14" s="657"/>
      <c r="L14" s="657"/>
      <c r="M14" s="611" t="s">
        <v>541</v>
      </c>
      <c r="N14" s="611"/>
      <c r="O14" s="611"/>
      <c r="P14" s="611"/>
      <c r="Q14" s="191"/>
    </row>
    <row r="15" spans="1:17">
      <c r="A15" s="637"/>
      <c r="B15" s="637"/>
      <c r="C15" s="637"/>
      <c r="D15" s="637"/>
      <c r="E15" s="637"/>
      <c r="F15" s="191"/>
      <c r="G15" s="191"/>
      <c r="H15" s="191"/>
      <c r="I15" s="658" t="s">
        <v>3246</v>
      </c>
      <c r="J15" s="658"/>
      <c r="K15" s="658"/>
      <c r="L15" s="658"/>
      <c r="M15" s="611"/>
      <c r="N15" s="611"/>
      <c r="O15" s="611"/>
      <c r="P15" s="611"/>
      <c r="Q15" s="191"/>
    </row>
    <row r="16" spans="1:17">
      <c r="A16" s="796" t="s">
        <v>542</v>
      </c>
      <c r="B16" s="797"/>
      <c r="C16" s="797"/>
      <c r="D16" s="797"/>
      <c r="E16" s="797"/>
      <c r="F16" s="797"/>
      <c r="G16" s="797"/>
      <c r="H16" s="802"/>
      <c r="I16" s="659"/>
      <c r="J16" s="660"/>
      <c r="K16" s="660"/>
      <c r="L16" s="661"/>
      <c r="M16" s="611"/>
      <c r="N16" s="611"/>
      <c r="O16" s="611"/>
      <c r="P16" s="611"/>
      <c r="Q16" s="191"/>
    </row>
    <row r="17" spans="1:17">
      <c r="A17" s="297" t="s">
        <v>543</v>
      </c>
      <c r="B17" s="271" t="s">
        <v>544</v>
      </c>
      <c r="C17" s="628" t="s">
        <v>545</v>
      </c>
      <c r="D17" s="630"/>
      <c r="E17" s="628" t="s">
        <v>546</v>
      </c>
      <c r="F17" s="630"/>
      <c r="G17" s="205" t="s">
        <v>545</v>
      </c>
      <c r="H17" s="304" t="s">
        <v>547</v>
      </c>
      <c r="I17" s="281" t="s">
        <v>548</v>
      </c>
      <c r="J17" s="191"/>
      <c r="K17" s="191"/>
      <c r="L17" s="191"/>
      <c r="M17" s="611"/>
      <c r="N17" s="611"/>
      <c r="O17" s="611"/>
      <c r="P17" s="611"/>
      <c r="Q17" s="191"/>
    </row>
    <row r="18" spans="1:17">
      <c r="A18" s="251">
        <v>45944</v>
      </c>
      <c r="B18" s="296" t="s">
        <v>549</v>
      </c>
      <c r="C18" s="713">
        <v>0.33333333333333331</v>
      </c>
      <c r="D18" s="714"/>
      <c r="E18" s="709" t="s">
        <v>3247</v>
      </c>
      <c r="F18" s="645"/>
      <c r="G18" s="279">
        <v>0.45833333333333331</v>
      </c>
      <c r="H18" s="264">
        <v>209</v>
      </c>
      <c r="I18" s="643">
        <v>90.9</v>
      </c>
      <c r="J18" s="618" t="s">
        <v>3248</v>
      </c>
      <c r="K18" s="618"/>
      <c r="L18" s="619"/>
      <c r="M18" s="611"/>
      <c r="N18" s="611"/>
      <c r="O18" s="611"/>
      <c r="P18" s="611"/>
      <c r="Q18" s="191"/>
    </row>
    <row r="19" spans="1:17">
      <c r="A19" s="251">
        <v>45944</v>
      </c>
      <c r="B19" s="301" t="s">
        <v>3247</v>
      </c>
      <c r="C19" s="681">
        <v>0.60416666666666663</v>
      </c>
      <c r="D19" s="682"/>
      <c r="E19" s="717" t="s">
        <v>3249</v>
      </c>
      <c r="F19" s="717"/>
      <c r="G19" s="302">
        <v>0.66666666666666663</v>
      </c>
      <c r="H19" s="264">
        <v>99.3</v>
      </c>
      <c r="I19" s="643"/>
      <c r="J19" s="620"/>
      <c r="K19" s="620"/>
      <c r="L19" s="621"/>
      <c r="M19" s="611"/>
      <c r="N19" s="611"/>
      <c r="O19" s="611"/>
      <c r="P19" s="611"/>
      <c r="Q19" s="191"/>
    </row>
    <row r="20" spans="1:17">
      <c r="A20" s="265">
        <v>45944</v>
      </c>
      <c r="B20" s="292" t="s">
        <v>3249</v>
      </c>
      <c r="C20" s="710" t="s">
        <v>591</v>
      </c>
      <c r="D20" s="711"/>
      <c r="E20" s="711"/>
      <c r="F20" s="711"/>
      <c r="G20" s="711"/>
      <c r="H20" s="712"/>
      <c r="I20" s="643"/>
      <c r="J20" s="620"/>
      <c r="K20" s="620"/>
      <c r="L20" s="621"/>
      <c r="M20" s="611"/>
      <c r="N20" s="611"/>
      <c r="O20" s="611"/>
      <c r="P20" s="611"/>
      <c r="Q20" s="191"/>
    </row>
    <row r="21" spans="1:17">
      <c r="A21" s="251">
        <v>45945</v>
      </c>
      <c r="B21" s="303" t="s">
        <v>3249</v>
      </c>
      <c r="C21" s="681">
        <v>0.375</v>
      </c>
      <c r="D21" s="682"/>
      <c r="E21" s="663" t="s">
        <v>3250</v>
      </c>
      <c r="F21" s="664"/>
      <c r="G21" s="272">
        <v>0.41666666666666669</v>
      </c>
      <c r="H21" s="293">
        <v>58.4</v>
      </c>
      <c r="I21" s="643"/>
      <c r="J21" s="620"/>
      <c r="K21" s="620"/>
      <c r="L21" s="621"/>
      <c r="M21" s="611"/>
      <c r="N21" s="611"/>
      <c r="O21" s="611"/>
      <c r="P21" s="611"/>
      <c r="Q21" s="191"/>
    </row>
    <row r="22" spans="1:17">
      <c r="A22" s="269">
        <v>45945</v>
      </c>
      <c r="B22" s="286" t="s">
        <v>213</v>
      </c>
      <c r="C22" s="681">
        <v>0.44444444444444442</v>
      </c>
      <c r="D22" s="682"/>
      <c r="E22" s="665" t="s">
        <v>216</v>
      </c>
      <c r="F22" s="648"/>
      <c r="G22" s="272">
        <v>0.52083333333333337</v>
      </c>
      <c r="H22" s="293">
        <v>94.4</v>
      </c>
      <c r="I22" s="643"/>
      <c r="J22" s="620"/>
      <c r="K22" s="620"/>
      <c r="L22" s="621"/>
      <c r="M22" s="611"/>
      <c r="N22" s="611"/>
      <c r="O22" s="611"/>
      <c r="P22" s="611"/>
      <c r="Q22" s="191"/>
    </row>
    <row r="23" spans="1:17">
      <c r="A23" s="269">
        <v>45945</v>
      </c>
      <c r="B23" s="292" t="s">
        <v>216</v>
      </c>
      <c r="C23" s="711" t="s">
        <v>591</v>
      </c>
      <c r="D23" s="711"/>
      <c r="E23" s="711"/>
      <c r="F23" s="711"/>
      <c r="G23" s="711"/>
      <c r="H23" s="712"/>
      <c r="I23" s="643"/>
      <c r="J23" s="620"/>
      <c r="K23" s="620"/>
      <c r="L23" s="621"/>
      <c r="M23" s="611"/>
      <c r="N23" s="611"/>
      <c r="O23" s="611"/>
      <c r="P23" s="611"/>
      <c r="Q23" s="191"/>
    </row>
    <row r="24" spans="1:17">
      <c r="A24" s="251">
        <v>45946</v>
      </c>
      <c r="B24" s="214" t="s">
        <v>216</v>
      </c>
      <c r="C24" s="715">
        <v>0.375</v>
      </c>
      <c r="D24" s="716"/>
      <c r="E24" s="666" t="s">
        <v>549</v>
      </c>
      <c r="F24" s="667"/>
      <c r="G24" s="306">
        <v>0.66666666666666663</v>
      </c>
      <c r="H24" s="307">
        <v>267</v>
      </c>
      <c r="I24" s="643"/>
      <c r="J24" s="620"/>
      <c r="K24" s="620"/>
      <c r="L24" s="621"/>
      <c r="M24" s="611"/>
      <c r="N24" s="611"/>
      <c r="O24" s="611"/>
      <c r="P24" s="611"/>
      <c r="Q24" s="191"/>
    </row>
    <row r="25" spans="1:17">
      <c r="A25" s="652" t="s">
        <v>551</v>
      </c>
      <c r="B25" s="653"/>
      <c r="C25" s="653"/>
      <c r="D25" s="653"/>
      <c r="E25" s="653"/>
      <c r="F25" s="653"/>
      <c r="G25" s="654"/>
      <c r="H25" s="226">
        <f>SUM(H18:H24)</f>
        <v>728.1</v>
      </c>
      <c r="I25" s="617"/>
      <c r="J25" s="620"/>
      <c r="K25" s="620"/>
      <c r="L25" s="621"/>
      <c r="M25" s="611"/>
      <c r="N25" s="611"/>
      <c r="O25" s="611"/>
      <c r="P25" s="611"/>
      <c r="Q25" s="191"/>
    </row>
    <row r="26" spans="1:17">
      <c r="A26" s="191"/>
      <c r="B26" s="191"/>
      <c r="C26" s="191"/>
      <c r="D26" s="191"/>
      <c r="E26" s="191"/>
      <c r="F26" s="191"/>
      <c r="G26" s="191"/>
      <c r="H26" s="191"/>
      <c r="I26" s="191"/>
      <c r="J26" s="620"/>
      <c r="K26" s="620"/>
      <c r="L26" s="621"/>
      <c r="M26" s="191"/>
      <c r="N26" s="191"/>
      <c r="O26" s="191"/>
      <c r="P26" s="191"/>
      <c r="Q26" s="191"/>
    </row>
    <row r="27" spans="1:17">
      <c r="A27" s="655" t="s">
        <v>552</v>
      </c>
      <c r="B27" s="656"/>
      <c r="C27" s="656"/>
      <c r="D27" s="656"/>
      <c r="E27" s="656"/>
      <c r="F27" s="656"/>
      <c r="G27" s="656"/>
      <c r="H27" s="191"/>
      <c r="I27" s="191"/>
      <c r="J27" s="620"/>
      <c r="K27" s="620"/>
      <c r="L27" s="621"/>
      <c r="M27" s="191"/>
      <c r="N27" s="191"/>
      <c r="O27" s="191"/>
      <c r="P27" s="191"/>
      <c r="Q27" s="191"/>
    </row>
    <row r="28" spans="1:17">
      <c r="A28" s="628" t="s">
        <v>553</v>
      </c>
      <c r="B28" s="629"/>
      <c r="C28" s="630"/>
      <c r="D28" s="354"/>
      <c r="E28" s="628" t="s">
        <v>554</v>
      </c>
      <c r="F28" s="629"/>
      <c r="G28" s="631"/>
      <c r="H28" s="191"/>
      <c r="I28" s="191"/>
      <c r="J28" s="620"/>
      <c r="K28" s="620"/>
      <c r="L28" s="621"/>
      <c r="M28" s="191"/>
      <c r="N28" s="191"/>
      <c r="O28" s="191"/>
      <c r="P28" s="191"/>
      <c r="Q28" s="191"/>
    </row>
    <row r="29" spans="1:17">
      <c r="A29" s="632"/>
      <c r="B29" s="633"/>
      <c r="C29" s="634"/>
      <c r="D29" s="215"/>
      <c r="E29" s="635"/>
      <c r="F29" s="633"/>
      <c r="G29" s="636"/>
      <c r="H29" s="191"/>
      <c r="I29" s="191"/>
      <c r="J29" s="622"/>
      <c r="K29" s="622"/>
      <c r="L29" s="623"/>
      <c r="M29" s="191"/>
      <c r="N29" s="191"/>
      <c r="O29" s="191"/>
      <c r="P29" s="191"/>
      <c r="Q29" s="191"/>
    </row>
    <row r="30" spans="1:17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</row>
    <row r="31" spans="1:17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</row>
  </sheetData>
  <protectedRanges>
    <protectedRange sqref="C10:D11 C13:D14" name="Range1_8"/>
    <protectedRange sqref="F10" name="Range1_9"/>
    <protectedRange sqref="F11" name="Range1_10"/>
    <protectedRange sqref="G10" name="Range1_11"/>
    <protectedRange sqref="G11" name="Range1_12"/>
    <protectedRange sqref="H10" name="Range1_13"/>
    <protectedRange sqref="H11" name="Range1_14"/>
    <protectedRange sqref="O2:O6" name="Range1_15_1"/>
    <protectedRange sqref="B2:B9" name="Range1_10_10"/>
    <protectedRange sqref="C5:D9" name="Range1_10_11"/>
    <protectedRange sqref="E5:E9" name="Range1_10_12"/>
    <protectedRange sqref="F8" name="Range1_10_13"/>
    <protectedRange sqref="G8" name="Range1_10_14"/>
    <protectedRange sqref="H8" name="Range1_10_15"/>
    <protectedRange sqref="I8" name="Range1_10_16"/>
    <protectedRange sqref="J8" name="Range1_10_17"/>
    <protectedRange sqref="K5:K9" name="Range1_10_18"/>
    <protectedRange sqref="L5:L9" name="Range1_10_19"/>
    <protectedRange sqref="M5:M9" name="Range1_10_20"/>
    <protectedRange sqref="C2:F2" name="Range1_1"/>
    <protectedRange sqref="C3:F4" name="Range1_5"/>
    <protectedRange sqref="G2" name="Range1_1_1"/>
    <protectedRange sqref="G3:G4" name="Range1_5_1"/>
    <protectedRange sqref="H2" name="Range1_1_2"/>
    <protectedRange sqref="H3:H4" name="Range1_5_2"/>
    <protectedRange sqref="I2" name="Range1_1_3"/>
    <protectedRange sqref="I3:I4" name="Range1_5_3"/>
    <protectedRange sqref="J2" name="Range1_1_4"/>
    <protectedRange sqref="J3:J4" name="Range1_5_4"/>
    <protectedRange sqref="K2" name="Range1_1_5"/>
    <protectedRange sqref="K3:K4" name="Range1_5_5"/>
    <protectedRange sqref="L2:M2" name="Range1_1_6"/>
    <protectedRange sqref="L3:M4" name="Range1_5_6"/>
    <protectedRange sqref="F9" name="Range1_6"/>
    <protectedRange sqref="G9" name="Range1_15"/>
    <protectedRange sqref="H9" name="Range1_16"/>
    <protectedRange sqref="F7" name="Range1_17"/>
    <protectedRange sqref="G7" name="Range1_18"/>
    <protectedRange sqref="H7" name="Range1_19"/>
    <protectedRange sqref="F5" name="Range1_20"/>
    <protectedRange sqref="G5" name="Range1_21"/>
    <protectedRange sqref="H5" name="Range1_22"/>
    <protectedRange sqref="F6" name="Range1_23"/>
    <protectedRange sqref="G6" name="Range1_24"/>
    <protectedRange sqref="H6" name="Range1_25"/>
    <protectedRange sqref="I9" name="Range1_26"/>
    <protectedRange sqref="I7" name="Range1_27"/>
    <protectedRange sqref="I5" name="Range1_28"/>
    <protectedRange sqref="I6" name="Range1_29"/>
    <protectedRange sqref="J9" name="Range1_30"/>
    <protectedRange sqref="J7" name="Range1_31"/>
    <protectedRange sqref="J5" name="Range1_32"/>
    <protectedRange sqref="J6" name="Range1_33"/>
  </protectedRanges>
  <autoFilter ref="A1:Q1" xr:uid="{F09CEF7E-7F6A-43A3-80C5-483E49D4AA6D}"/>
  <mergeCells count="31">
    <mergeCell ref="E28:G28"/>
    <mergeCell ref="A29:C29"/>
    <mergeCell ref="E29:G29"/>
    <mergeCell ref="I15:L15"/>
    <mergeCell ref="I18:I25"/>
    <mergeCell ref="J18:L29"/>
    <mergeCell ref="E19:F19"/>
    <mergeCell ref="A25:G25"/>
    <mergeCell ref="A27:G27"/>
    <mergeCell ref="A28:C28"/>
    <mergeCell ref="C23:H23"/>
    <mergeCell ref="A10:B12"/>
    <mergeCell ref="C10:E12"/>
    <mergeCell ref="A13:B15"/>
    <mergeCell ref="C13:E15"/>
    <mergeCell ref="I14:L14"/>
    <mergeCell ref="M14:P25"/>
    <mergeCell ref="A16:H16"/>
    <mergeCell ref="I16:L16"/>
    <mergeCell ref="E17:F17"/>
    <mergeCell ref="E18:F18"/>
    <mergeCell ref="E21:F21"/>
    <mergeCell ref="E22:F22"/>
    <mergeCell ref="E24:F24"/>
    <mergeCell ref="C20:H20"/>
    <mergeCell ref="C18:D18"/>
    <mergeCell ref="C19:D19"/>
    <mergeCell ref="C21:D21"/>
    <mergeCell ref="C22:D22"/>
    <mergeCell ref="C24:D24"/>
    <mergeCell ref="C17:D17"/>
  </mergeCells>
  <conditionalFormatting sqref="E8">
    <cfRule type="duplicateValues" dxfId="250" priority="11"/>
  </conditionalFormatting>
  <conditionalFormatting sqref="H8">
    <cfRule type="cellIs" dxfId="249" priority="9" operator="equal">
      <formula>0</formula>
    </cfRule>
  </conditionalFormatting>
  <conditionalFormatting sqref="H8">
    <cfRule type="duplicateValues" dxfId="248" priority="10"/>
  </conditionalFormatting>
  <conditionalFormatting sqref="I8">
    <cfRule type="cellIs" dxfId="247" priority="8" operator="equal">
      <formula>0</formula>
    </cfRule>
  </conditionalFormatting>
  <conditionalFormatting sqref="E2:E4">
    <cfRule type="duplicateValues" dxfId="246" priority="7"/>
  </conditionalFormatting>
  <conditionalFormatting sqref="H2:H4">
    <cfRule type="cellIs" dxfId="245" priority="5" operator="equal">
      <formula>0</formula>
    </cfRule>
  </conditionalFormatting>
  <conditionalFormatting sqref="H2:H4">
    <cfRule type="duplicateValues" dxfId="244" priority="6"/>
  </conditionalFormatting>
  <conditionalFormatting sqref="I2:I4">
    <cfRule type="cellIs" dxfId="243" priority="4" operator="equal">
      <formula>0</formula>
    </cfRule>
  </conditionalFormatting>
  <hyperlinks>
    <hyperlink ref="I15" r:id="rId1" xr:uid="{F0751346-1B61-4C87-B19E-26BD6CDFA683}"/>
    <hyperlink ref="I8" r:id="rId2" xr:uid="{803F2CDE-AAF1-4F19-B31F-69EA76B1F44A}"/>
    <hyperlink ref="I2" r:id="rId3" xr:uid="{A41BBB6E-97C9-4C8B-A075-AE2695D23170}"/>
    <hyperlink ref="M3" r:id="rId4" xr:uid="{F6BD54EA-ECBC-4D88-9FFE-0F3FD4DBF483}"/>
    <hyperlink ref="M4" r:id="rId5" xr:uid="{93DEBC90-F54B-4B0B-A511-F114BD564922}"/>
    <hyperlink ref="I9" r:id="rId6" xr:uid="{D807F218-D3C7-4D69-B8BE-76FDA1AE9195}"/>
    <hyperlink ref="I7" r:id="rId7" xr:uid="{F0A1A200-1AFB-422C-95B1-97C2BED28000}"/>
    <hyperlink ref="I15:L15" r:id="rId8" display="https://maps.app.goo.gl/mKykTiuueCLECmn87" xr:uid="{666FEAB4-B051-40E3-B329-08E5A16CB9E0}"/>
  </hyperlinks>
  <pageMargins left="0.25" right="0.25" top="0.75" bottom="0.75" header="0.3" footer="0.3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2A62-E4D4-4EC9-8C4B-9FFA52B32B7F}">
  <sheetPr codeName="Planilha12">
    <pageSetUpPr fitToPage="1"/>
  </sheetPr>
  <dimension ref="A1:P45"/>
  <sheetViews>
    <sheetView topLeftCell="A20" workbookViewId="0">
      <selection activeCell="B35" sqref="B35:G35"/>
    </sheetView>
  </sheetViews>
  <sheetFormatPr defaultRowHeight="15"/>
  <cols>
    <col min="1" max="1" width="15.28515625" bestFit="1" customWidth="1"/>
    <col min="2" max="2" width="15.140625" customWidth="1"/>
    <col min="3" max="3" width="10.85546875" bestFit="1" customWidth="1"/>
    <col min="4" max="4" width="32.7109375" bestFit="1" customWidth="1"/>
    <col min="5" max="5" width="12.42578125" customWidth="1"/>
    <col min="6" max="6" width="8.28515625" customWidth="1"/>
    <col min="7" max="7" width="22.5703125" customWidth="1"/>
    <col min="8" max="8" width="24.7109375" bestFit="1" customWidth="1"/>
    <col min="9" max="9" width="40.42578125" bestFit="1" customWidth="1"/>
    <col min="10" max="10" width="12.85546875" customWidth="1"/>
    <col min="11" max="11" width="27.85546875" bestFit="1" customWidth="1"/>
    <col min="12" max="12" width="13.85546875" bestFit="1" customWidth="1"/>
    <col min="13" max="13" width="29.5703125" customWidth="1"/>
    <col min="14" max="14" width="44" bestFit="1" customWidth="1"/>
    <col min="15" max="15" width="10.85546875" bestFit="1" customWidth="1"/>
    <col min="16" max="16" width="11.85546875" bestFit="1" customWidth="1"/>
  </cols>
  <sheetData>
    <row r="1" spans="1:16" ht="30">
      <c r="A1" s="309" t="s">
        <v>514</v>
      </c>
      <c r="B1" s="218" t="s">
        <v>515</v>
      </c>
      <c r="C1" s="218" t="s">
        <v>0</v>
      </c>
      <c r="D1" s="218" t="s">
        <v>516</v>
      </c>
      <c r="E1" s="360" t="s">
        <v>3110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</row>
    <row r="2" spans="1:16">
      <c r="A2" s="311">
        <v>0.54166666666666663</v>
      </c>
      <c r="B2" s="23">
        <v>0.54166666666666663</v>
      </c>
      <c r="C2" s="40">
        <v>202500030</v>
      </c>
      <c r="D2" s="13" t="s">
        <v>3251</v>
      </c>
      <c r="E2" s="13" t="s">
        <v>22</v>
      </c>
      <c r="F2" s="13" t="s">
        <v>1176</v>
      </c>
      <c r="G2" s="13" t="s">
        <v>3252</v>
      </c>
      <c r="H2" s="13" t="s">
        <v>3253</v>
      </c>
      <c r="I2" s="17" t="s">
        <v>1935</v>
      </c>
      <c r="J2" s="13" t="s">
        <v>446</v>
      </c>
      <c r="K2" s="13" t="s">
        <v>3254</v>
      </c>
      <c r="L2" t="s">
        <v>3255</v>
      </c>
      <c r="M2" t="s">
        <v>3256</v>
      </c>
      <c r="N2" s="13" t="s">
        <v>534</v>
      </c>
      <c r="O2" s="70"/>
      <c r="P2" s="240"/>
    </row>
    <row r="3" spans="1:16">
      <c r="A3" s="311">
        <v>0.58333333333333337</v>
      </c>
      <c r="B3" s="308">
        <v>0.54166666666666663</v>
      </c>
      <c r="C3" s="40">
        <v>202500868</v>
      </c>
      <c r="D3" s="13" t="s">
        <v>3257</v>
      </c>
      <c r="E3" s="13" t="s">
        <v>42</v>
      </c>
      <c r="F3" s="13" t="s">
        <v>1192</v>
      </c>
      <c r="G3" s="13" t="s">
        <v>1932</v>
      </c>
      <c r="H3" s="13" t="s">
        <v>1934</v>
      </c>
      <c r="I3" s="13" t="s">
        <v>1935</v>
      </c>
      <c r="J3" s="13" t="s">
        <v>446</v>
      </c>
      <c r="K3" s="41" t="s">
        <v>1936</v>
      </c>
      <c r="L3" s="13" t="s">
        <v>1937</v>
      </c>
      <c r="M3" s="13" t="s">
        <v>1938</v>
      </c>
      <c r="N3" s="13" t="s">
        <v>3112</v>
      </c>
      <c r="O3" s="70"/>
      <c r="P3" s="240"/>
    </row>
    <row r="4" spans="1:16">
      <c r="A4" s="311">
        <v>0.58333333333333337</v>
      </c>
      <c r="B4" s="308">
        <v>0.54166666666666663</v>
      </c>
      <c r="C4" s="40">
        <v>202500868</v>
      </c>
      <c r="D4" s="13" t="s">
        <v>3258</v>
      </c>
      <c r="E4" s="13" t="s">
        <v>42</v>
      </c>
      <c r="F4" s="36" t="s">
        <v>1192</v>
      </c>
      <c r="G4" s="13" t="s">
        <v>1932</v>
      </c>
      <c r="H4" s="13" t="s">
        <v>1934</v>
      </c>
      <c r="I4" s="13" t="s">
        <v>1935</v>
      </c>
      <c r="J4" s="36" t="s">
        <v>446</v>
      </c>
      <c r="K4" s="13" t="s">
        <v>1936</v>
      </c>
      <c r="L4" s="36" t="s">
        <v>1937</v>
      </c>
      <c r="M4" s="13" t="s">
        <v>1938</v>
      </c>
      <c r="N4" s="13" t="s">
        <v>3112</v>
      </c>
      <c r="O4" s="243"/>
      <c r="P4" s="294"/>
    </row>
    <row r="5" spans="1:16">
      <c r="A5" s="311">
        <v>0.58333333333333337</v>
      </c>
      <c r="B5" s="401">
        <v>0.5625</v>
      </c>
      <c r="C5" s="172">
        <v>202500868</v>
      </c>
      <c r="D5" s="41" t="s">
        <v>3259</v>
      </c>
      <c r="E5" s="13" t="s">
        <v>42</v>
      </c>
      <c r="F5" s="41" t="s">
        <v>1192</v>
      </c>
      <c r="G5" s="41" t="s">
        <v>1932</v>
      </c>
      <c r="H5" s="41" t="s">
        <v>1934</v>
      </c>
      <c r="I5" s="41" t="s">
        <v>1935</v>
      </c>
      <c r="J5" s="41" t="s">
        <v>446</v>
      </c>
      <c r="K5" s="41" t="s">
        <v>1936</v>
      </c>
      <c r="L5" s="41" t="s">
        <v>1937</v>
      </c>
      <c r="M5" s="41" t="s">
        <v>1938</v>
      </c>
      <c r="N5" s="41" t="s">
        <v>3112</v>
      </c>
      <c r="O5" s="70"/>
      <c r="P5" s="240"/>
    </row>
    <row r="6" spans="1:16">
      <c r="A6" s="311">
        <v>0.58333333333333337</v>
      </c>
      <c r="B6" s="308">
        <v>0.58333333333333337</v>
      </c>
      <c r="C6" s="40">
        <v>202500868</v>
      </c>
      <c r="D6" s="429" t="s">
        <v>3260</v>
      </c>
      <c r="E6" s="13" t="s">
        <v>42</v>
      </c>
      <c r="F6" s="36" t="s">
        <v>1192</v>
      </c>
      <c r="G6" s="13" t="s">
        <v>1932</v>
      </c>
      <c r="H6" s="13" t="s">
        <v>1934</v>
      </c>
      <c r="I6" s="17" t="s">
        <v>3261</v>
      </c>
      <c r="J6" s="36" t="s">
        <v>446</v>
      </c>
      <c r="K6" s="13" t="s">
        <v>1936</v>
      </c>
      <c r="L6" s="36" t="s">
        <v>1937</v>
      </c>
      <c r="M6" s="13" t="s">
        <v>1938</v>
      </c>
      <c r="N6" s="20" t="s">
        <v>3262</v>
      </c>
      <c r="O6" s="243"/>
      <c r="P6" s="294"/>
    </row>
    <row r="7" spans="1:16">
      <c r="A7" s="311">
        <v>0.58333333333333337</v>
      </c>
      <c r="B7" s="308">
        <v>0.58333333333333337</v>
      </c>
      <c r="C7" s="40">
        <v>202500868</v>
      </c>
      <c r="D7" s="13" t="s">
        <v>3263</v>
      </c>
      <c r="E7" s="13" t="s">
        <v>42</v>
      </c>
      <c r="F7" s="36" t="s">
        <v>1192</v>
      </c>
      <c r="G7" s="13" t="s">
        <v>1932</v>
      </c>
      <c r="H7" s="13" t="s">
        <v>1934</v>
      </c>
      <c r="I7" s="13" t="s">
        <v>1935</v>
      </c>
      <c r="J7" s="36" t="s">
        <v>446</v>
      </c>
      <c r="K7" s="13" t="s">
        <v>1936</v>
      </c>
      <c r="L7" s="36" t="s">
        <v>1937</v>
      </c>
      <c r="M7" s="13" t="s">
        <v>1938</v>
      </c>
      <c r="N7" s="13" t="s">
        <v>3112</v>
      </c>
      <c r="O7" s="243"/>
      <c r="P7" s="294"/>
    </row>
    <row r="8" spans="1:16">
      <c r="A8" s="311">
        <v>0.66666666666666663</v>
      </c>
      <c r="B8" s="23">
        <v>0.625</v>
      </c>
      <c r="C8" s="40">
        <v>202500118</v>
      </c>
      <c r="D8" s="429" t="s">
        <v>3264</v>
      </c>
      <c r="E8" s="36" t="s">
        <v>25</v>
      </c>
      <c r="F8" s="36" t="s">
        <v>613</v>
      </c>
      <c r="G8" s="13" t="s">
        <v>1177</v>
      </c>
      <c r="H8" s="13" t="s">
        <v>1179</v>
      </c>
      <c r="I8" s="13" t="s">
        <v>1935</v>
      </c>
      <c r="J8" s="36" t="s">
        <v>446</v>
      </c>
      <c r="K8" s="13" t="s">
        <v>1936</v>
      </c>
      <c r="L8" s="402" t="s">
        <v>1937</v>
      </c>
      <c r="M8" s="13" t="s">
        <v>1938</v>
      </c>
      <c r="N8" s="20" t="s">
        <v>3265</v>
      </c>
      <c r="O8" s="243"/>
      <c r="P8" s="294"/>
    </row>
    <row r="9" spans="1:16">
      <c r="A9" s="311">
        <v>0.625</v>
      </c>
      <c r="B9" s="23">
        <v>0.625</v>
      </c>
      <c r="C9" s="40">
        <v>202500119</v>
      </c>
      <c r="D9" s="429" t="s">
        <v>3266</v>
      </c>
      <c r="E9" s="36" t="s">
        <v>26</v>
      </c>
      <c r="F9" s="36" t="s">
        <v>613</v>
      </c>
      <c r="G9" s="13" t="s">
        <v>1932</v>
      </c>
      <c r="H9" s="13" t="s">
        <v>1934</v>
      </c>
      <c r="I9" s="13" t="s">
        <v>1935</v>
      </c>
      <c r="J9" s="36" t="s">
        <v>446</v>
      </c>
      <c r="K9" s="13" t="s">
        <v>1936</v>
      </c>
      <c r="L9" s="402" t="s">
        <v>1937</v>
      </c>
      <c r="M9" s="13" t="s">
        <v>1938</v>
      </c>
      <c r="N9" s="13" t="s">
        <v>534</v>
      </c>
      <c r="O9" s="243"/>
      <c r="P9" s="294"/>
    </row>
    <row r="10" spans="1:16">
      <c r="A10" s="311">
        <v>0.625</v>
      </c>
      <c r="B10" s="308">
        <v>0.625</v>
      </c>
      <c r="C10" s="40">
        <v>202500868</v>
      </c>
      <c r="D10" s="13" t="s">
        <v>3267</v>
      </c>
      <c r="E10" s="13" t="s">
        <v>42</v>
      </c>
      <c r="F10" s="36" t="s">
        <v>1192</v>
      </c>
      <c r="G10" s="13" t="s">
        <v>1932</v>
      </c>
      <c r="H10" s="13" t="s">
        <v>1934</v>
      </c>
      <c r="I10" s="13" t="s">
        <v>1935</v>
      </c>
      <c r="J10" s="36" t="s">
        <v>446</v>
      </c>
      <c r="K10" s="13" t="s">
        <v>1936</v>
      </c>
      <c r="L10" s="36" t="s">
        <v>1937</v>
      </c>
      <c r="M10" s="13" t="s">
        <v>1938</v>
      </c>
      <c r="N10" s="13" t="s">
        <v>3112</v>
      </c>
      <c r="O10" s="243"/>
      <c r="P10" s="294"/>
    </row>
    <row r="11" spans="1:16">
      <c r="A11" s="311">
        <v>0.625</v>
      </c>
      <c r="B11" s="308">
        <v>0.625</v>
      </c>
      <c r="C11" s="40">
        <v>202500868</v>
      </c>
      <c r="D11" s="13" t="s">
        <v>3268</v>
      </c>
      <c r="E11" s="13" t="s">
        <v>42</v>
      </c>
      <c r="F11" s="36" t="s">
        <v>1192</v>
      </c>
      <c r="G11" s="13" t="s">
        <v>1932</v>
      </c>
      <c r="H11" s="13" t="s">
        <v>1934</v>
      </c>
      <c r="I11" s="13" t="s">
        <v>1935</v>
      </c>
      <c r="J11" s="36" t="s">
        <v>446</v>
      </c>
      <c r="K11" s="13" t="s">
        <v>1936</v>
      </c>
      <c r="L11" s="36" t="s">
        <v>1937</v>
      </c>
      <c r="M11" s="13" t="s">
        <v>1938</v>
      </c>
      <c r="N11" s="13" t="s">
        <v>3112</v>
      </c>
      <c r="O11" s="243"/>
      <c r="P11" s="294"/>
    </row>
    <row r="12" spans="1:16">
      <c r="A12" s="311">
        <v>0.64583333333333337</v>
      </c>
      <c r="B12" s="308">
        <v>0.625</v>
      </c>
      <c r="C12" s="40">
        <v>202500868</v>
      </c>
      <c r="D12" s="13" t="s">
        <v>3269</v>
      </c>
      <c r="E12" s="13" t="s">
        <v>42</v>
      </c>
      <c r="F12" s="36" t="s">
        <v>1192</v>
      </c>
      <c r="G12" s="13" t="s">
        <v>1932</v>
      </c>
      <c r="H12" s="13" t="s">
        <v>1934</v>
      </c>
      <c r="I12" s="13" t="s">
        <v>1935</v>
      </c>
      <c r="J12" s="36" t="s">
        <v>446</v>
      </c>
      <c r="K12" s="13" t="s">
        <v>1936</v>
      </c>
      <c r="L12" s="36" t="s">
        <v>1937</v>
      </c>
      <c r="M12" s="13" t="s">
        <v>1938</v>
      </c>
      <c r="N12" s="13" t="s">
        <v>3112</v>
      </c>
      <c r="O12" s="243"/>
      <c r="P12" s="294"/>
    </row>
    <row r="13" spans="1:16">
      <c r="A13" s="311">
        <v>0.66666666666666663</v>
      </c>
      <c r="B13" s="308">
        <v>0.63541666666666663</v>
      </c>
      <c r="C13" s="40">
        <v>202500520</v>
      </c>
      <c r="D13" s="429" t="s">
        <v>3270</v>
      </c>
      <c r="E13" s="36" t="s">
        <v>37</v>
      </c>
      <c r="F13" s="36" t="s">
        <v>1176</v>
      </c>
      <c r="G13" s="13" t="s">
        <v>1177</v>
      </c>
      <c r="H13" s="13" t="s">
        <v>1179</v>
      </c>
      <c r="I13" s="13" t="s">
        <v>1935</v>
      </c>
      <c r="J13" s="36" t="s">
        <v>446</v>
      </c>
      <c r="K13" s="13" t="s">
        <v>1936</v>
      </c>
      <c r="L13" s="36" t="s">
        <v>1937</v>
      </c>
      <c r="M13" s="13" t="s">
        <v>1938</v>
      </c>
      <c r="N13" s="20" t="s">
        <v>3262</v>
      </c>
      <c r="O13" s="243"/>
      <c r="P13" s="294"/>
    </row>
    <row r="14" spans="1:16" s="259" customFormat="1">
      <c r="A14" s="310"/>
      <c r="B14" s="288"/>
      <c r="C14" s="288"/>
      <c r="D14" s="288"/>
      <c r="E14" s="288"/>
      <c r="F14" s="285"/>
      <c r="G14" s="285"/>
      <c r="J14" s="285"/>
      <c r="K14" s="285"/>
      <c r="L14" s="285"/>
      <c r="M14" s="285"/>
      <c r="N14" s="285"/>
      <c r="O14" s="255"/>
      <c r="P14" s="255"/>
    </row>
    <row r="15" spans="1:16">
      <c r="A15" s="311">
        <v>0.35416666666666669</v>
      </c>
      <c r="B15" s="23">
        <v>0.3125</v>
      </c>
      <c r="C15" s="13">
        <v>202500034</v>
      </c>
      <c r="D15" s="13" t="s">
        <v>3271</v>
      </c>
      <c r="E15" s="40" t="s">
        <v>24</v>
      </c>
      <c r="F15" s="40" t="s">
        <v>613</v>
      </c>
      <c r="G15" s="13" t="s">
        <v>672</v>
      </c>
      <c r="H15" s="13" t="s">
        <v>3272</v>
      </c>
      <c r="I15" s="13" t="s">
        <v>3273</v>
      </c>
      <c r="J15" s="13" t="s">
        <v>449</v>
      </c>
      <c r="K15" s="13" t="s">
        <v>3274</v>
      </c>
      <c r="L15" s="13" t="s">
        <v>3275</v>
      </c>
      <c r="M15" s="13" t="s">
        <v>3276</v>
      </c>
      <c r="N15" s="13" t="s">
        <v>534</v>
      </c>
      <c r="O15" s="13"/>
      <c r="P15" s="13"/>
    </row>
    <row r="16" spans="1:16">
      <c r="A16" s="311">
        <v>0.35416666666666669</v>
      </c>
      <c r="B16" s="23">
        <v>0.29166666666666669</v>
      </c>
      <c r="C16" s="13">
        <v>202500132</v>
      </c>
      <c r="D16" s="13" t="s">
        <v>3277</v>
      </c>
      <c r="E16" s="40" t="s">
        <v>30</v>
      </c>
      <c r="F16" s="40" t="s">
        <v>613</v>
      </c>
      <c r="G16" s="13" t="s">
        <v>672</v>
      </c>
      <c r="H16" s="13" t="s">
        <v>3272</v>
      </c>
      <c r="I16" s="13" t="s">
        <v>3273</v>
      </c>
      <c r="J16" s="13" t="s">
        <v>449</v>
      </c>
      <c r="K16" s="13" t="s">
        <v>3274</v>
      </c>
      <c r="L16" s="13" t="s">
        <v>3275</v>
      </c>
      <c r="M16" s="13" t="s">
        <v>3276</v>
      </c>
      <c r="N16" s="13" t="s">
        <v>534</v>
      </c>
      <c r="O16" s="13"/>
      <c r="P16" s="13"/>
    </row>
    <row r="17" spans="1:16">
      <c r="A17" s="311">
        <v>0.5625</v>
      </c>
      <c r="B17" s="23">
        <v>0.5625</v>
      </c>
      <c r="C17" s="173">
        <v>202500631</v>
      </c>
      <c r="D17" s="34" t="s">
        <v>3278</v>
      </c>
      <c r="E17" s="173" t="s">
        <v>35</v>
      </c>
      <c r="F17" s="40" t="s">
        <v>613</v>
      </c>
      <c r="G17" s="36" t="s">
        <v>672</v>
      </c>
      <c r="H17" s="13" t="s">
        <v>3272</v>
      </c>
      <c r="I17" s="13" t="s">
        <v>3273</v>
      </c>
      <c r="J17" s="40" t="s">
        <v>449</v>
      </c>
      <c r="K17" s="13" t="s">
        <v>3274</v>
      </c>
      <c r="L17" s="13" t="s">
        <v>3275</v>
      </c>
      <c r="M17" s="17" t="s">
        <v>3276</v>
      </c>
      <c r="N17" s="13" t="s">
        <v>3112</v>
      </c>
      <c r="O17" s="13"/>
      <c r="P17" s="13"/>
    </row>
    <row r="18" spans="1:16">
      <c r="A18" s="311">
        <v>0.625</v>
      </c>
      <c r="B18" s="23">
        <v>0.58333333333333337</v>
      </c>
      <c r="C18" s="13">
        <v>202500118</v>
      </c>
      <c r="D18" s="13" t="s">
        <v>3279</v>
      </c>
      <c r="E18" s="36" t="s">
        <v>25</v>
      </c>
      <c r="F18" s="40" t="s">
        <v>613</v>
      </c>
      <c r="G18" s="13" t="s">
        <v>1889</v>
      </c>
      <c r="H18" s="41" t="s">
        <v>3280</v>
      </c>
      <c r="I18" s="75" t="s">
        <v>3273</v>
      </c>
      <c r="J18" s="13" t="s">
        <v>449</v>
      </c>
      <c r="K18" s="13" t="s">
        <v>3281</v>
      </c>
      <c r="L18" s="13" t="s">
        <v>3282</v>
      </c>
      <c r="M18" s="17" t="s">
        <v>3283</v>
      </c>
      <c r="N18" s="13" t="s">
        <v>534</v>
      </c>
      <c r="O18" s="13"/>
      <c r="P18" s="13"/>
    </row>
    <row r="19" spans="1:16">
      <c r="A19" s="311">
        <v>0.64583333333333337</v>
      </c>
      <c r="B19" s="23">
        <v>0.58333333333333337</v>
      </c>
      <c r="C19" s="173">
        <v>202500519</v>
      </c>
      <c r="D19" s="34" t="s">
        <v>3284</v>
      </c>
      <c r="E19" s="36" t="s">
        <v>36</v>
      </c>
      <c r="F19" s="40" t="s">
        <v>613</v>
      </c>
      <c r="G19" s="36" t="s">
        <v>1801</v>
      </c>
      <c r="H19" s="13" t="s">
        <v>3285</v>
      </c>
      <c r="I19" s="17" t="s">
        <v>3286</v>
      </c>
      <c r="J19" s="40" t="s">
        <v>449</v>
      </c>
      <c r="K19" s="13" t="s">
        <v>3287</v>
      </c>
      <c r="L19" s="13" t="s">
        <v>3288</v>
      </c>
      <c r="M19" s="17" t="s">
        <v>3289</v>
      </c>
      <c r="N19" s="13" t="s">
        <v>3112</v>
      </c>
      <c r="O19" s="13"/>
      <c r="P19" s="13"/>
    </row>
    <row r="20" spans="1:16">
      <c r="A20" s="311">
        <v>0.60416666666666663</v>
      </c>
      <c r="B20" s="23">
        <v>0.58333333333333337</v>
      </c>
      <c r="C20" s="173">
        <v>202500520</v>
      </c>
      <c r="D20" s="428" t="s">
        <v>3290</v>
      </c>
      <c r="E20" s="173" t="s">
        <v>37</v>
      </c>
      <c r="F20" s="40" t="s">
        <v>1176</v>
      </c>
      <c r="G20" s="36" t="s">
        <v>2891</v>
      </c>
      <c r="H20" s="13" t="s">
        <v>3291</v>
      </c>
      <c r="I20" s="13" t="s">
        <v>3292</v>
      </c>
      <c r="J20" s="40" t="s">
        <v>449</v>
      </c>
      <c r="K20" s="13" t="s">
        <v>3293</v>
      </c>
      <c r="L20" s="13" t="s">
        <v>3294</v>
      </c>
      <c r="M20" s="17" t="s">
        <v>3295</v>
      </c>
      <c r="N20" s="13" t="s">
        <v>3112</v>
      </c>
      <c r="O20" s="13"/>
      <c r="P20" s="13"/>
    </row>
    <row r="21" spans="1:16">
      <c r="A21" s="311">
        <v>0.58333333333333337</v>
      </c>
      <c r="B21" s="23">
        <v>0.58333333333333337</v>
      </c>
      <c r="C21" s="173">
        <v>202500867</v>
      </c>
      <c r="D21" s="428" t="s">
        <v>3296</v>
      </c>
      <c r="E21" s="173" t="s">
        <v>39</v>
      </c>
      <c r="F21" s="40" t="s">
        <v>1176</v>
      </c>
      <c r="G21" s="36" t="s">
        <v>1185</v>
      </c>
      <c r="H21" t="s">
        <v>2840</v>
      </c>
      <c r="I21" t="s">
        <v>2841</v>
      </c>
      <c r="J21" s="40" t="s">
        <v>449</v>
      </c>
      <c r="K21" s="13" t="s">
        <v>3297</v>
      </c>
      <c r="L21" s="13" t="s">
        <v>3298</v>
      </c>
      <c r="M21" s="17" t="s">
        <v>3299</v>
      </c>
      <c r="N21" s="13" t="s">
        <v>3112</v>
      </c>
      <c r="O21" s="13"/>
      <c r="P21" s="13"/>
    </row>
    <row r="22" spans="1:16" s="259" customFormat="1">
      <c r="A22" s="312"/>
      <c r="B22" s="289"/>
      <c r="C22" s="290"/>
      <c r="D22" s="285"/>
      <c r="E22" s="285"/>
      <c r="F22" s="255"/>
      <c r="G22" s="255"/>
      <c r="J22" s="255"/>
      <c r="K22" s="255"/>
      <c r="L22" s="255"/>
      <c r="M22" s="258"/>
      <c r="N22" s="255"/>
      <c r="O22" s="255"/>
      <c r="P22" s="255"/>
    </row>
    <row r="23" spans="1:16">
      <c r="A23" s="13"/>
      <c r="B23" s="16"/>
      <c r="C23" s="40"/>
      <c r="D23" s="13"/>
      <c r="E23" s="13"/>
      <c r="F23" s="13"/>
      <c r="G23" s="36"/>
      <c r="H23" s="13"/>
      <c r="I23" s="13"/>
      <c r="J23" s="40"/>
      <c r="K23" s="13"/>
      <c r="L23" s="13"/>
      <c r="M23" s="17"/>
      <c r="N23" s="13"/>
      <c r="O23" s="13"/>
      <c r="P23" s="13"/>
    </row>
    <row r="24" spans="1:16">
      <c r="A24" s="13"/>
      <c r="B24" s="16"/>
      <c r="C24" s="40"/>
      <c r="D24" s="13"/>
      <c r="E24" s="13"/>
      <c r="F24" s="13"/>
      <c r="G24" s="36"/>
      <c r="H24" s="13"/>
      <c r="I24" s="13"/>
      <c r="J24" s="40"/>
      <c r="K24" s="13"/>
      <c r="L24" s="13"/>
      <c r="M24" s="17"/>
      <c r="N24" s="13"/>
      <c r="O24" s="13"/>
      <c r="P24" s="13"/>
    </row>
    <row r="25" spans="1:16">
      <c r="A25" s="702" t="s">
        <v>538</v>
      </c>
      <c r="B25" s="718"/>
      <c r="C25" s="702">
        <v>19</v>
      </c>
      <c r="D25" s="718"/>
      <c r="E25" s="405"/>
      <c r="F25" s="13"/>
      <c r="G25" s="13"/>
      <c r="H25" s="34"/>
      <c r="I25" s="34"/>
      <c r="J25" s="13"/>
      <c r="K25" s="13"/>
      <c r="L25" s="13"/>
      <c r="M25" s="13"/>
      <c r="N25" s="13"/>
      <c r="O25" s="13"/>
      <c r="P25" s="13"/>
    </row>
    <row r="26" spans="1:16">
      <c r="A26" s="673"/>
      <c r="B26" s="675"/>
      <c r="C26" s="673"/>
      <c r="D26" s="675"/>
      <c r="E26" s="40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>
      <c r="A27" s="676"/>
      <c r="B27" s="678"/>
      <c r="C27" s="676"/>
      <c r="D27" s="678"/>
      <c r="E27" s="40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>
      <c r="A28" s="702" t="s">
        <v>539</v>
      </c>
      <c r="B28" s="718"/>
      <c r="C28" s="702">
        <v>8</v>
      </c>
      <c r="D28" s="718"/>
      <c r="E28" s="406"/>
    </row>
    <row r="29" spans="1:16" ht="15" customHeight="1">
      <c r="A29" s="673"/>
      <c r="B29" s="675"/>
      <c r="C29" s="673"/>
      <c r="D29" s="675"/>
      <c r="E29" s="406"/>
      <c r="F29" s="191"/>
      <c r="G29" s="191"/>
      <c r="H29" s="191"/>
      <c r="I29" s="704" t="s">
        <v>3216</v>
      </c>
      <c r="J29" s="705"/>
      <c r="K29" s="705"/>
      <c r="L29" s="705"/>
      <c r="M29" s="611" t="s">
        <v>541</v>
      </c>
      <c r="N29" s="611"/>
      <c r="O29" s="611"/>
      <c r="P29" s="611"/>
    </row>
    <row r="30" spans="1:16">
      <c r="A30" s="676"/>
      <c r="B30" s="678"/>
      <c r="C30" s="676"/>
      <c r="D30" s="678"/>
      <c r="E30" s="406"/>
      <c r="F30" s="283"/>
      <c r="G30" s="283"/>
      <c r="H30" s="283"/>
      <c r="I30" s="699"/>
      <c r="J30" s="699"/>
      <c r="K30" s="699"/>
      <c r="L30" s="699"/>
      <c r="M30" s="611"/>
      <c r="N30" s="611"/>
      <c r="O30" s="611"/>
      <c r="P30" s="611"/>
    </row>
    <row r="31" spans="1:16">
      <c r="A31" s="203" t="s">
        <v>543</v>
      </c>
      <c r="B31" s="204" t="s">
        <v>544</v>
      </c>
      <c r="C31" s="204" t="s">
        <v>545</v>
      </c>
      <c r="D31" s="806" t="s">
        <v>546</v>
      </c>
      <c r="E31" s="807"/>
      <c r="F31" s="808"/>
      <c r="G31" s="204" t="s">
        <v>545</v>
      </c>
      <c r="H31" s="205" t="s">
        <v>547</v>
      </c>
      <c r="I31" s="284" t="s">
        <v>548</v>
      </c>
      <c r="J31" s="191"/>
      <c r="K31" s="191"/>
      <c r="L31" s="191"/>
      <c r="M31" s="611"/>
      <c r="N31" s="611"/>
      <c r="O31" s="611"/>
      <c r="P31" s="611"/>
    </row>
    <row r="32" spans="1:16">
      <c r="A32" s="208">
        <v>45964</v>
      </c>
      <c r="B32" s="212" t="s">
        <v>549</v>
      </c>
      <c r="C32" s="223">
        <v>0.33333333333333331</v>
      </c>
      <c r="D32" s="615" t="s">
        <v>446</v>
      </c>
      <c r="E32" s="726"/>
      <c r="F32" s="616"/>
      <c r="G32" s="210">
        <v>0.4375</v>
      </c>
      <c r="H32" s="211">
        <v>170</v>
      </c>
      <c r="I32" s="617">
        <v>68.2</v>
      </c>
      <c r="J32" s="618" t="s">
        <v>550</v>
      </c>
      <c r="K32" s="618"/>
      <c r="L32" s="619"/>
      <c r="M32" s="611"/>
      <c r="N32" s="611"/>
      <c r="O32" s="611"/>
      <c r="P32" s="611"/>
    </row>
    <row r="33" spans="1:16">
      <c r="A33" s="208">
        <v>45964</v>
      </c>
      <c r="B33" s="286" t="s">
        <v>446</v>
      </c>
      <c r="C33" s="287">
        <v>0.66666666666666663</v>
      </c>
      <c r="D33" s="727" t="s">
        <v>449</v>
      </c>
      <c r="E33" s="728"/>
      <c r="F33" s="729"/>
      <c r="G33" s="223">
        <v>0.75</v>
      </c>
      <c r="H33" s="211">
        <v>134</v>
      </c>
      <c r="I33" s="617"/>
      <c r="J33" s="620"/>
      <c r="K33" s="620"/>
      <c r="L33" s="621"/>
      <c r="M33" s="611"/>
      <c r="N33" s="611"/>
      <c r="O33" s="611"/>
      <c r="P33" s="611"/>
    </row>
    <row r="34" spans="1:16">
      <c r="A34" s="208">
        <v>45964</v>
      </c>
      <c r="B34" s="719" t="s">
        <v>3300</v>
      </c>
      <c r="C34" s="711"/>
      <c r="D34" s="711"/>
      <c r="E34" s="711"/>
      <c r="F34" s="711"/>
      <c r="G34" s="712"/>
      <c r="H34" s="211"/>
      <c r="I34" s="617"/>
      <c r="J34" s="620"/>
      <c r="K34" s="620"/>
      <c r="L34" s="621"/>
      <c r="M34" s="611"/>
      <c r="N34" s="611"/>
      <c r="O34" s="611"/>
      <c r="P34" s="611"/>
    </row>
    <row r="35" spans="1:16">
      <c r="A35" s="208">
        <v>45965</v>
      </c>
      <c r="B35" s="719" t="s">
        <v>3300</v>
      </c>
      <c r="C35" s="711"/>
      <c r="D35" s="711"/>
      <c r="E35" s="711"/>
      <c r="F35" s="711"/>
      <c r="G35" s="712"/>
      <c r="H35" s="211"/>
      <c r="I35" s="617"/>
      <c r="J35" s="620"/>
      <c r="K35" s="620"/>
      <c r="L35" s="621"/>
      <c r="M35" s="611"/>
      <c r="N35" s="611"/>
      <c r="O35" s="611"/>
      <c r="P35" s="611"/>
    </row>
    <row r="36" spans="1:16">
      <c r="A36" s="213">
        <v>45966</v>
      </c>
      <c r="B36" s="264" t="s">
        <v>449</v>
      </c>
      <c r="C36" s="215">
        <v>0.375</v>
      </c>
      <c r="D36" s="720" t="s">
        <v>549</v>
      </c>
      <c r="E36" s="721"/>
      <c r="F36" s="722"/>
      <c r="G36" s="210">
        <v>0.625</v>
      </c>
      <c r="H36" s="211">
        <v>226</v>
      </c>
      <c r="I36" s="617"/>
      <c r="J36" s="620"/>
      <c r="K36" s="620"/>
      <c r="L36" s="621"/>
      <c r="M36" s="611"/>
      <c r="N36" s="611"/>
      <c r="O36" s="611"/>
      <c r="P36" s="611"/>
    </row>
    <row r="37" spans="1:16">
      <c r="A37" s="213"/>
      <c r="B37" s="723"/>
      <c r="C37" s="724"/>
      <c r="D37" s="724"/>
      <c r="E37" s="724"/>
      <c r="F37" s="724"/>
      <c r="G37" s="725"/>
      <c r="H37" s="211"/>
      <c r="I37" s="617"/>
      <c r="J37" s="620"/>
      <c r="K37" s="620"/>
      <c r="L37" s="621"/>
      <c r="M37" s="611"/>
      <c r="N37" s="611"/>
      <c r="O37" s="611"/>
      <c r="P37" s="611"/>
    </row>
    <row r="38" spans="1:16">
      <c r="A38" s="213"/>
      <c r="B38" s="245"/>
      <c r="C38" s="215"/>
      <c r="D38" s="720"/>
      <c r="E38" s="721"/>
      <c r="F38" s="722"/>
      <c r="G38" s="210"/>
      <c r="H38" s="211"/>
      <c r="I38" s="617"/>
      <c r="J38" s="620"/>
      <c r="K38" s="620"/>
      <c r="L38" s="621"/>
      <c r="M38" s="611"/>
      <c r="N38" s="611"/>
      <c r="O38" s="611"/>
      <c r="P38" s="611"/>
    </row>
    <row r="39" spans="1:16">
      <c r="A39" s="652" t="s">
        <v>551</v>
      </c>
      <c r="B39" s="653"/>
      <c r="C39" s="653"/>
      <c r="D39" s="653"/>
      <c r="E39" s="653"/>
      <c r="F39" s="653"/>
      <c r="G39" s="654"/>
      <c r="H39" s="226">
        <f>SUM(H32:H38)</f>
        <v>530</v>
      </c>
      <c r="I39" s="708"/>
      <c r="J39" s="620"/>
      <c r="K39" s="620"/>
      <c r="L39" s="621"/>
      <c r="M39" s="611"/>
      <c r="N39" s="611"/>
      <c r="O39" s="611"/>
      <c r="P39" s="611"/>
    </row>
    <row r="40" spans="1:16">
      <c r="A40" s="191"/>
      <c r="B40" s="191"/>
      <c r="C40" s="191"/>
      <c r="D40" s="191"/>
      <c r="E40" s="191"/>
      <c r="F40" s="191"/>
      <c r="G40" s="191"/>
      <c r="H40" s="191"/>
      <c r="I40" s="291"/>
      <c r="J40" s="620"/>
      <c r="K40" s="620"/>
      <c r="L40" s="621"/>
      <c r="M40" s="191"/>
      <c r="N40" s="191"/>
      <c r="O40" s="191"/>
      <c r="P40" s="191"/>
    </row>
    <row r="41" spans="1:16">
      <c r="A41" s="655" t="s">
        <v>552</v>
      </c>
      <c r="B41" s="656"/>
      <c r="C41" s="656"/>
      <c r="D41" s="656"/>
      <c r="E41" s="656"/>
      <c r="F41" s="656"/>
      <c r="G41" s="656"/>
      <c r="H41" s="191"/>
      <c r="I41" s="191"/>
      <c r="J41" s="620"/>
      <c r="K41" s="620"/>
      <c r="L41" s="621"/>
      <c r="M41" s="191"/>
      <c r="N41" s="191"/>
      <c r="O41" s="191"/>
      <c r="P41" s="191"/>
    </row>
    <row r="42" spans="1:16">
      <c r="A42" s="628" t="s">
        <v>553</v>
      </c>
      <c r="B42" s="629"/>
      <c r="C42" s="630"/>
      <c r="D42" s="628" t="s">
        <v>554</v>
      </c>
      <c r="E42" s="629"/>
      <c r="F42" s="629"/>
      <c r="G42" s="631"/>
      <c r="H42" s="191"/>
      <c r="I42" s="191"/>
      <c r="J42" s="620"/>
      <c r="K42" s="620"/>
      <c r="L42" s="621"/>
      <c r="M42" s="191"/>
      <c r="N42" s="191"/>
      <c r="O42" s="191"/>
      <c r="P42" s="191"/>
    </row>
    <row r="43" spans="1:16">
      <c r="A43" s="632"/>
      <c r="B43" s="633"/>
      <c r="C43" s="634"/>
      <c r="D43" s="635"/>
      <c r="E43" s="633"/>
      <c r="F43" s="633"/>
      <c r="G43" s="636"/>
      <c r="H43" s="191"/>
      <c r="I43" s="191"/>
      <c r="J43" s="622"/>
      <c r="K43" s="622"/>
      <c r="L43" s="623"/>
      <c r="M43" s="191"/>
      <c r="N43" s="191"/>
      <c r="O43" s="191"/>
      <c r="P43" s="191"/>
    </row>
    <row r="44" spans="1:16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</row>
    <row r="45" spans="1:16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</row>
  </sheetData>
  <protectedRanges>
    <protectedRange sqref="H25" name="Range1_13"/>
    <protectedRange sqref="H26" name="Range1_14"/>
    <protectedRange sqref="O2:O13" name="Range1_15_1"/>
    <protectedRange sqref="D25:E26 D28:E29" name="Range1_7_1"/>
    <protectedRange sqref="C25:C26 C28:C29" name="Range1_8_1"/>
    <protectedRange sqref="C2:E2" name="Range1_4_1"/>
    <protectedRange sqref="B2" name="Range1_7"/>
    <protectedRange sqref="B3:E3 E4:E7 E10:E12" name="Range1_7_2"/>
    <protectedRange sqref="B5:D5" name="Range1_9_1"/>
    <protectedRange sqref="H14" name="Range1_10_15_1"/>
    <protectedRange sqref="I14" name="Range1_10_16"/>
    <protectedRange sqref="K2" name="Range1_4_2"/>
    <protectedRange sqref="K5 K3" name="Range1_9_2"/>
    <protectedRange sqref="L2" name="Range1_4_3"/>
    <protectedRange sqref="L3" name="Range1_7_4"/>
    <protectedRange sqref="L5" name="Range1_9_3"/>
    <protectedRange sqref="M2" name="Range1_4_4"/>
    <protectedRange sqref="M3" name="Range1_7_5"/>
    <protectedRange sqref="M5" name="Range1_9_4"/>
    <protectedRange sqref="J2" name="Range1_4_5"/>
    <protectedRange sqref="J3" name="Range1_7_6"/>
    <protectedRange sqref="J5" name="Range1_9_5"/>
    <protectedRange sqref="G2" name="Range1_4_6"/>
    <protectedRange sqref="G3" name="Range1_7_7"/>
    <protectedRange sqref="G5" name="Range1_9_6"/>
    <protectedRange sqref="H2" name="Range1_4_7"/>
    <protectedRange sqref="H3" name="Range1_7_8"/>
    <protectedRange sqref="H5" name="Range1_9_7"/>
    <protectedRange sqref="F2" name="Range1_4_8"/>
    <protectedRange sqref="F3" name="Range1_7_9"/>
    <protectedRange sqref="F5" name="Range1_9_8"/>
    <protectedRange sqref="I2" name="Range1_4_9"/>
    <protectedRange sqref="I3" name="Range1_7_10"/>
    <protectedRange sqref="I5" name="Range1_9_9"/>
    <protectedRange sqref="B15:E15" name="Range1_6"/>
    <protectedRange sqref="F15:J15" name="Range1_6_2"/>
    <protectedRange sqref="K15:K16" name="Range1_6_3"/>
    <protectedRange sqref="L15:L16" name="Range1_6_4"/>
    <protectedRange sqref="M15:M16" name="Range1_6_5"/>
    <protectedRange sqref="B16:J16" name="Range1_11_1"/>
    <protectedRange sqref="C17:J17 C20:J24 C18:D19 F18:J19" name="Range1_8"/>
    <protectedRange sqref="B17:B24" name="Range1_11_2"/>
    <protectedRange sqref="K17:K24" name="Range1_8_2"/>
    <protectedRange sqref="L17:M24" name="Range1_8_3"/>
    <protectedRange sqref="C4:D4 F4" name="Range1_9"/>
    <protectedRange sqref="C8:F9 C6:D7 F6:F7 E18:E19" name="Range1_10"/>
    <protectedRange sqref="C10:D10 F10" name="Range1_12"/>
    <protectedRange sqref="C13:F13 C11:D12 F11:F12" name="Range1_15"/>
    <protectedRange sqref="G4" name="Range1_16"/>
    <protectedRange sqref="H4" name="Range1_17"/>
    <protectedRange sqref="I4" name="Range1_18"/>
    <protectedRange sqref="J4" name="Range1_19"/>
    <protectedRange sqref="G6:G9" name="Range1_20"/>
    <protectedRange sqref="H6:H9" name="Range1_21"/>
    <protectedRange sqref="I6:I9" name="Range1_22"/>
    <protectedRange sqref="J6:J9" name="Range1_23"/>
    <protectedRange sqref="G10" name="Range1_24"/>
    <protectedRange sqref="H10" name="Range1_25"/>
    <protectedRange sqref="I10" name="Range1_26"/>
    <protectedRange sqref="J10" name="Range1_27"/>
    <protectedRange sqref="G11:G13" name="Range1_28"/>
    <protectedRange sqref="H11:H13" name="Range1_29"/>
    <protectedRange sqref="I11:I13" name="Range1_30"/>
    <protectedRange sqref="J11:J13" name="Range1_31"/>
    <protectedRange sqref="K4" name="Range1_32"/>
    <protectedRange sqref="L4" name="Range1_33"/>
    <protectedRange sqref="M4" name="Range1_34"/>
    <protectedRange sqref="K6:K13" name="Range1_35"/>
    <protectedRange sqref="L6:L9" name="Range1_36"/>
    <protectedRange sqref="M6:M9" name="Range1_37"/>
    <protectedRange sqref="L10" name="Range1_39"/>
    <protectedRange sqref="M10" name="Range1_40"/>
    <protectedRange sqref="L11:L13" name="Range1_42"/>
    <protectedRange sqref="M11:M13" name="Range1_43"/>
    <protectedRange sqref="B4" name="Range1_44"/>
    <protectedRange sqref="B6:B9" name="Range1_45"/>
    <protectedRange sqref="B10" name="Range1_46"/>
    <protectedRange sqref="B11:B13" name="Range1_47"/>
  </protectedRanges>
  <autoFilter ref="A1:P13" xr:uid="{F09CEF7E-7F6A-43A3-80C5-483E49D4AA6D}">
    <sortState xmlns:xlrd2="http://schemas.microsoft.com/office/spreadsheetml/2017/richdata2" ref="A2:P13">
      <sortCondition ref="B1"/>
    </sortState>
  </autoFilter>
  <mergeCells count="23">
    <mergeCell ref="I29:L29"/>
    <mergeCell ref="M29:P39"/>
    <mergeCell ref="I30:L30"/>
    <mergeCell ref="D31:F31"/>
    <mergeCell ref="D32:F32"/>
    <mergeCell ref="I32:I39"/>
    <mergeCell ref="J32:L43"/>
    <mergeCell ref="D33:F33"/>
    <mergeCell ref="D38:F38"/>
    <mergeCell ref="A41:G41"/>
    <mergeCell ref="A42:C42"/>
    <mergeCell ref="D42:G42"/>
    <mergeCell ref="A43:C43"/>
    <mergeCell ref="D43:G43"/>
    <mergeCell ref="A25:B27"/>
    <mergeCell ref="C25:D27"/>
    <mergeCell ref="A28:B30"/>
    <mergeCell ref="C28:D30"/>
    <mergeCell ref="A39:G39"/>
    <mergeCell ref="B34:G34"/>
    <mergeCell ref="D36:F36"/>
    <mergeCell ref="B37:G37"/>
    <mergeCell ref="B35:G35"/>
  </mergeCells>
  <conditionalFormatting sqref="H2:I3">
    <cfRule type="cellIs" dxfId="242" priority="30" operator="equal">
      <formula>0</formula>
    </cfRule>
  </conditionalFormatting>
  <conditionalFormatting sqref="D15:E15">
    <cfRule type="duplicateValues" dxfId="241" priority="28"/>
  </conditionalFormatting>
  <conditionalFormatting sqref="H15:I15">
    <cfRule type="cellIs" dxfId="240" priority="26" operator="equal">
      <formula>0</formula>
    </cfRule>
  </conditionalFormatting>
  <conditionalFormatting sqref="H15">
    <cfRule type="duplicateValues" dxfId="239" priority="27"/>
  </conditionalFormatting>
  <conditionalFormatting sqref="D16:E16">
    <cfRule type="duplicateValues" dxfId="238" priority="23"/>
  </conditionalFormatting>
  <conditionalFormatting sqref="H16:I16">
    <cfRule type="cellIs" dxfId="237" priority="24" operator="equal">
      <formula>0</formula>
    </cfRule>
  </conditionalFormatting>
  <conditionalFormatting sqref="H16">
    <cfRule type="duplicateValues" dxfId="236" priority="25"/>
  </conditionalFormatting>
  <conditionalFormatting sqref="D17:E17 D20:E24 D18:D19">
    <cfRule type="duplicateValues" dxfId="235" priority="17"/>
  </conditionalFormatting>
  <conditionalFormatting sqref="H18:I18">
    <cfRule type="cellIs" dxfId="234" priority="18" operator="equal">
      <formula>0</formula>
    </cfRule>
  </conditionalFormatting>
  <conditionalFormatting sqref="H18">
    <cfRule type="duplicateValues" dxfId="233" priority="19"/>
  </conditionalFormatting>
  <conditionalFormatting sqref="D5">
    <cfRule type="duplicateValues" dxfId="232" priority="11"/>
  </conditionalFormatting>
  <conditionalFormatting sqref="H5">
    <cfRule type="cellIs" dxfId="231" priority="9" operator="equal">
      <formula>0</formula>
    </cfRule>
  </conditionalFormatting>
  <conditionalFormatting sqref="H5">
    <cfRule type="duplicateValues" dxfId="230" priority="10"/>
  </conditionalFormatting>
  <conditionalFormatting sqref="I5">
    <cfRule type="cellIs" dxfId="229" priority="8" operator="equal">
      <formula>0</formula>
    </cfRule>
  </conditionalFormatting>
  <conditionalFormatting sqref="D2:E3">
    <cfRule type="duplicateValues" dxfId="228" priority="1659"/>
  </conditionalFormatting>
  <conditionalFormatting sqref="H2:H3">
    <cfRule type="duplicateValues" dxfId="227" priority="1660"/>
  </conditionalFormatting>
  <conditionalFormatting sqref="E4">
    <cfRule type="duplicateValues" dxfId="226" priority="7"/>
  </conditionalFormatting>
  <conditionalFormatting sqref="E5">
    <cfRule type="duplicateValues" dxfId="225" priority="6"/>
  </conditionalFormatting>
  <conditionalFormatting sqref="E6">
    <cfRule type="duplicateValues" dxfId="224" priority="5"/>
  </conditionalFormatting>
  <conditionalFormatting sqref="E7">
    <cfRule type="duplicateValues" dxfId="223" priority="4"/>
  </conditionalFormatting>
  <conditionalFormatting sqref="E10">
    <cfRule type="duplicateValues" dxfId="222" priority="3"/>
  </conditionalFormatting>
  <conditionalFormatting sqref="E11">
    <cfRule type="duplicateValues" dxfId="221" priority="2"/>
  </conditionalFormatting>
  <conditionalFormatting sqref="E12">
    <cfRule type="duplicateValues" dxfId="220" priority="1"/>
  </conditionalFormatting>
  <hyperlinks>
    <hyperlink ref="M18" r:id="rId1" xr:uid="{4F6B45B6-AC17-4E8F-BF10-49F789480289}"/>
    <hyperlink ref="I19" r:id="rId2" xr:uid="{55835824-4FE2-4963-B492-3E939902027F}"/>
    <hyperlink ref="I18" r:id="rId3" xr:uid="{A6CB0ECE-C050-4503-A133-08BECC74BCF3}"/>
    <hyperlink ref="I2" r:id="rId4" xr:uid="{04FDF081-A23C-4359-BD85-B210C2948876}"/>
    <hyperlink ref="I6" r:id="rId5" xr:uid="{7BE79FA3-D8F4-487B-89B0-167D28473C77}"/>
  </hyperlinks>
  <pageMargins left="0.25" right="0.25" top="0.75" bottom="0.75" header="0.3" footer="0.3"/>
  <pageSetup paperSize="9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1D3F-B856-4976-BB66-25CEC4E6DE29}">
  <sheetPr codeName="Planilha13">
    <pageSetUpPr fitToPage="1"/>
  </sheetPr>
  <dimension ref="A1:P27"/>
  <sheetViews>
    <sheetView workbookViewId="0">
      <selection activeCell="D8" sqref="D8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46.85546875" bestFit="1" customWidth="1"/>
    <col min="5" max="5" width="18.5703125" customWidth="1"/>
    <col min="6" max="6" width="17.8554687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13.85546875" bestFit="1" customWidth="1"/>
    <col min="12" max="12" width="26.7109375" bestFit="1" customWidth="1"/>
    <col min="13" max="13" width="12.42578125" customWidth="1"/>
    <col min="14" max="14" width="10.85546875" bestFit="1" customWidth="1"/>
    <col min="15" max="15" width="11.85546875" bestFit="1" customWidth="1"/>
  </cols>
  <sheetData>
    <row r="1" spans="1:16" ht="30">
      <c r="A1" s="217" t="s">
        <v>514</v>
      </c>
      <c r="B1" s="218" t="s">
        <v>515</v>
      </c>
      <c r="C1" s="218" t="s">
        <v>0</v>
      </c>
      <c r="D1" s="218" t="s">
        <v>516</v>
      </c>
      <c r="E1" s="218" t="s">
        <v>517</v>
      </c>
      <c r="F1" s="218" t="s">
        <v>518</v>
      </c>
      <c r="G1" s="218" t="s">
        <v>519</v>
      </c>
      <c r="H1" s="219" t="s">
        <v>520</v>
      </c>
      <c r="I1" s="218" t="s">
        <v>521</v>
      </c>
      <c r="J1" s="218" t="s">
        <v>522</v>
      </c>
      <c r="K1" s="218" t="s">
        <v>523</v>
      </c>
      <c r="L1" s="218" t="s">
        <v>524</v>
      </c>
      <c r="M1" s="235" t="s">
        <v>525</v>
      </c>
      <c r="N1" s="218" t="s">
        <v>0</v>
      </c>
      <c r="O1" s="218" t="s">
        <v>1</v>
      </c>
      <c r="P1" s="202"/>
    </row>
    <row r="2" spans="1:16">
      <c r="A2" s="236">
        <v>0.5625</v>
      </c>
      <c r="B2" s="238">
        <v>0.5625</v>
      </c>
      <c r="C2" s="70">
        <v>202401100</v>
      </c>
      <c r="D2" s="241" t="s">
        <v>1369</v>
      </c>
      <c r="E2" s="38" t="s">
        <v>527</v>
      </c>
      <c r="F2" s="243" t="s">
        <v>528</v>
      </c>
      <c r="G2" s="13" t="s">
        <v>1371</v>
      </c>
      <c r="H2" s="56" t="s">
        <v>1372</v>
      </c>
      <c r="I2" s="38" t="s">
        <v>1373</v>
      </c>
      <c r="J2" s="237" t="s">
        <v>1375</v>
      </c>
      <c r="K2" t="s">
        <v>3301</v>
      </c>
      <c r="L2" s="70" t="s">
        <v>1377</v>
      </c>
      <c r="M2" s="13" t="s">
        <v>534</v>
      </c>
      <c r="N2" s="70">
        <v>202401100</v>
      </c>
      <c r="O2" s="240" t="s">
        <v>3</v>
      </c>
    </row>
    <row r="3" spans="1:16">
      <c r="A3" s="236">
        <v>0.58333333333333337</v>
      </c>
      <c r="B3" s="238">
        <v>0.5625</v>
      </c>
      <c r="C3" s="70">
        <v>202401100</v>
      </c>
      <c r="D3" s="241" t="s">
        <v>1378</v>
      </c>
      <c r="E3" s="38" t="s">
        <v>527</v>
      </c>
      <c r="F3" s="243" t="s">
        <v>528</v>
      </c>
      <c r="G3" s="13" t="s">
        <v>1371</v>
      </c>
      <c r="H3" s="56" t="s">
        <v>1372</v>
      </c>
      <c r="I3" s="38" t="s">
        <v>1373</v>
      </c>
      <c r="J3" s="237" t="s">
        <v>1375</v>
      </c>
      <c r="K3" t="s">
        <v>3301</v>
      </c>
      <c r="L3" s="70" t="s">
        <v>1377</v>
      </c>
      <c r="M3" s="13" t="s">
        <v>534</v>
      </c>
      <c r="N3" s="70">
        <v>202401100</v>
      </c>
      <c r="O3" s="240" t="s">
        <v>3</v>
      </c>
    </row>
    <row r="4" spans="1:16">
      <c r="A4" s="236">
        <v>0.60416666666666663</v>
      </c>
      <c r="B4" s="238">
        <v>0.5625</v>
      </c>
      <c r="C4" s="70">
        <v>202401100</v>
      </c>
      <c r="D4" s="241" t="s">
        <v>1380</v>
      </c>
      <c r="E4" s="38" t="s">
        <v>527</v>
      </c>
      <c r="F4" s="243" t="s">
        <v>528</v>
      </c>
      <c r="G4" s="13" t="s">
        <v>1371</v>
      </c>
      <c r="H4" s="56" t="s">
        <v>1372</v>
      </c>
      <c r="I4" s="38" t="s">
        <v>1373</v>
      </c>
      <c r="J4" s="237" t="s">
        <v>1375</v>
      </c>
      <c r="K4" t="s">
        <v>3301</v>
      </c>
      <c r="L4" s="70" t="s">
        <v>1377</v>
      </c>
      <c r="M4" s="13" t="s">
        <v>534</v>
      </c>
      <c r="N4" s="70">
        <v>202401100</v>
      </c>
      <c r="O4" s="240" t="s">
        <v>3</v>
      </c>
    </row>
    <row r="5" spans="1:16">
      <c r="A5" s="236">
        <v>0.4375</v>
      </c>
      <c r="B5" s="239">
        <v>0.33333333333333331</v>
      </c>
      <c r="C5" s="70">
        <v>202401100</v>
      </c>
      <c r="D5" s="242" t="s">
        <v>1384</v>
      </c>
      <c r="E5" s="38" t="s">
        <v>527</v>
      </c>
      <c r="F5" s="243" t="s">
        <v>528</v>
      </c>
      <c r="G5" s="13" t="s">
        <v>1371</v>
      </c>
      <c r="H5" s="56" t="s">
        <v>1372</v>
      </c>
      <c r="I5" s="38" t="s">
        <v>1373</v>
      </c>
      <c r="J5" s="237" t="s">
        <v>1375</v>
      </c>
      <c r="K5" t="s">
        <v>3301</v>
      </c>
      <c r="L5" s="70" t="s">
        <v>1377</v>
      </c>
      <c r="M5" s="13" t="s">
        <v>534</v>
      </c>
      <c r="N5" s="70">
        <v>202401100</v>
      </c>
      <c r="O5" s="240" t="s">
        <v>3</v>
      </c>
    </row>
    <row r="6" spans="1:16">
      <c r="A6" s="13"/>
      <c r="B6" s="13"/>
      <c r="C6" s="34"/>
      <c r="D6" s="13"/>
      <c r="E6" s="34"/>
      <c r="F6" s="13"/>
      <c r="G6" s="13"/>
      <c r="H6" s="13"/>
      <c r="I6" s="34"/>
      <c r="J6" s="13"/>
      <c r="K6" s="13"/>
      <c r="L6" s="13"/>
      <c r="M6" s="13"/>
      <c r="N6" s="13"/>
      <c r="O6" s="13"/>
    </row>
    <row r="7" spans="1:16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6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5" spans="1:16" ht="15" customHeight="1">
      <c r="A15" s="191"/>
      <c r="B15" s="191"/>
      <c r="C15" s="191"/>
      <c r="D15" s="191"/>
      <c r="E15" s="191"/>
      <c r="F15" s="191"/>
      <c r="G15" s="191"/>
      <c r="H15" s="793" t="s">
        <v>540</v>
      </c>
      <c r="I15" s="794"/>
      <c r="J15" s="794"/>
      <c r="K15" s="795"/>
      <c r="L15" s="611" t="s">
        <v>541</v>
      </c>
      <c r="M15" s="611"/>
      <c r="N15" s="611"/>
      <c r="O15" s="611"/>
      <c r="P15" s="191"/>
    </row>
    <row r="16" spans="1:16">
      <c r="A16" s="796" t="s">
        <v>542</v>
      </c>
      <c r="B16" s="797"/>
      <c r="C16" s="797"/>
      <c r="D16" s="797"/>
      <c r="E16" s="797"/>
      <c r="F16" s="797"/>
      <c r="G16" s="798"/>
      <c r="H16" s="612"/>
      <c r="I16" s="613"/>
      <c r="J16" s="613"/>
      <c r="K16" s="614"/>
      <c r="L16" s="611"/>
      <c r="M16" s="611"/>
      <c r="N16" s="611"/>
      <c r="O16" s="611"/>
      <c r="P16" s="191"/>
    </row>
    <row r="17" spans="1:16">
      <c r="A17" s="203" t="s">
        <v>543</v>
      </c>
      <c r="B17" s="204" t="s">
        <v>544</v>
      </c>
      <c r="C17" s="204" t="s">
        <v>545</v>
      </c>
      <c r="D17" s="799" t="s">
        <v>546</v>
      </c>
      <c r="E17" s="800"/>
      <c r="F17" s="204" t="s">
        <v>545</v>
      </c>
      <c r="G17" s="205" t="s">
        <v>547</v>
      </c>
      <c r="H17" s="206" t="s">
        <v>548</v>
      </c>
      <c r="I17" s="191"/>
      <c r="J17" s="191"/>
      <c r="K17" s="191"/>
      <c r="L17" s="611"/>
      <c r="M17" s="611"/>
      <c r="N17" s="611"/>
      <c r="O17" s="611"/>
      <c r="P17" s="191"/>
    </row>
    <row r="18" spans="1:16">
      <c r="A18" s="208">
        <v>45903</v>
      </c>
      <c r="B18" s="209" t="s">
        <v>549</v>
      </c>
      <c r="C18" s="210">
        <v>0.39583333333333331</v>
      </c>
      <c r="D18" s="624" t="s">
        <v>244</v>
      </c>
      <c r="E18" s="616"/>
      <c r="F18" s="210">
        <v>0.4375</v>
      </c>
      <c r="G18" s="211">
        <v>43.2</v>
      </c>
      <c r="H18" s="617">
        <v>0</v>
      </c>
      <c r="I18" s="618" t="s">
        <v>550</v>
      </c>
      <c r="J18" s="618"/>
      <c r="K18" s="619"/>
      <c r="L18" s="611"/>
      <c r="M18" s="611"/>
      <c r="N18" s="611"/>
      <c r="O18" s="611"/>
      <c r="P18" s="191"/>
    </row>
    <row r="19" spans="1:16">
      <c r="A19" s="208">
        <v>45903</v>
      </c>
      <c r="B19" s="212" t="s">
        <v>244</v>
      </c>
      <c r="C19" s="210">
        <v>0.625</v>
      </c>
      <c r="D19" s="624" t="s">
        <v>549</v>
      </c>
      <c r="E19" s="616"/>
      <c r="F19" s="210">
        <v>0.6875</v>
      </c>
      <c r="G19" s="211">
        <v>43.2</v>
      </c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213"/>
      <c r="B20" s="214"/>
      <c r="C20" s="215"/>
      <c r="D20" s="624"/>
      <c r="E20" s="616"/>
      <c r="F20" s="210"/>
      <c r="G20" s="211"/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625" t="s">
        <v>551</v>
      </c>
      <c r="B21" s="626"/>
      <c r="C21" s="626"/>
      <c r="D21" s="626"/>
      <c r="E21" s="626"/>
      <c r="F21" s="627"/>
      <c r="G21" s="226">
        <f>SUM(G18:G20)</f>
        <v>86.4</v>
      </c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191"/>
      <c r="B22" s="191"/>
      <c r="C22" s="191"/>
      <c r="D22" s="191"/>
      <c r="E22" s="191"/>
      <c r="F22" s="191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796" t="s">
        <v>552</v>
      </c>
      <c r="B23" s="797"/>
      <c r="C23" s="797"/>
      <c r="D23" s="797"/>
      <c r="E23" s="797"/>
      <c r="F23" s="797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28" t="s">
        <v>553</v>
      </c>
      <c r="B24" s="629"/>
      <c r="C24" s="630"/>
      <c r="D24" s="628" t="s">
        <v>554</v>
      </c>
      <c r="E24" s="629"/>
      <c r="F24" s="631"/>
      <c r="G24" s="191"/>
      <c r="H24" s="191"/>
      <c r="I24" s="620"/>
      <c r="J24" s="620"/>
      <c r="K24" s="621"/>
      <c r="L24" s="191"/>
      <c r="M24" s="191"/>
      <c r="N24" s="191"/>
      <c r="O24" s="191"/>
      <c r="P24" s="191"/>
    </row>
    <row r="25" spans="1:16">
      <c r="A25" s="632">
        <v>0.5</v>
      </c>
      <c r="B25" s="633"/>
      <c r="C25" s="634"/>
      <c r="D25" s="635">
        <v>0.54166666666666663</v>
      </c>
      <c r="E25" s="633"/>
      <c r="F25" s="636"/>
      <c r="G25" s="191"/>
      <c r="H25" s="191"/>
      <c r="I25" s="622"/>
      <c r="J25" s="622"/>
      <c r="K25" s="623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</sheetData>
  <protectedRanges>
    <protectedRange sqref="J10" name="Range1"/>
    <protectedRange sqref="K10" name="Range1_1"/>
    <protectedRange sqref="E5" name="Range1_4"/>
    <protectedRange sqref="D11:D12" name="Range1_7"/>
    <protectedRange sqref="C11:C12" name="Range1_8"/>
    <protectedRange sqref="E11" name="Range1_9"/>
    <protectedRange sqref="E12" name="Range1_10"/>
    <protectedRange sqref="F11" name="Range1_11"/>
    <protectedRange sqref="F12" name="Range1_12"/>
    <protectedRange sqref="G11" name="Range1_13"/>
    <protectedRange sqref="G12" name="Range1_14"/>
    <protectedRange sqref="D2:D5" name="Range1_15"/>
    <protectedRange sqref="C2:C5 N2:N5" name="Range1_15_1"/>
    <protectedRange sqref="B2:B5" name="Range1_15_2"/>
    <protectedRange sqref="F2" name="Range1_15_3"/>
    <protectedRange sqref="F3" name="Range1_15_4"/>
    <protectedRange sqref="F4" name="Range1_15_5"/>
    <protectedRange sqref="F5" name="Range1_15_6"/>
    <protectedRange sqref="G2" name="Range1_15_7"/>
    <protectedRange sqref="G3" name="Range1_15_8"/>
    <protectedRange sqref="G4" name="Range1_15_9"/>
    <protectedRange sqref="G5" name="Range1_15_10"/>
    <protectedRange sqref="H2" name="Range1_15_11"/>
    <protectedRange sqref="H3" name="Range1_15_12"/>
    <protectedRange sqref="H4" name="Range1_15_13"/>
    <protectedRange sqref="H5" name="Range1_15_14"/>
    <protectedRange sqref="I2" name="Range1_15_15"/>
    <protectedRange sqref="I3" name="Range1_15_16"/>
    <protectedRange sqref="I4" name="Range1_15_17"/>
    <protectedRange sqref="I5" name="Range1_15_18"/>
    <protectedRange sqref="J2:J5" name="Range1_15_19"/>
    <protectedRange sqref="K2:L2" name="Range1_15_23"/>
    <protectedRange sqref="K3:L3" name="Range1_15_24"/>
    <protectedRange sqref="K4:L4" name="Range1_15_25"/>
    <protectedRange sqref="K5:L5" name="Range1_15_26"/>
  </protectedRanges>
  <autoFilter ref="A1:P1" xr:uid="{F09CEF7E-7F6A-43A3-80C5-483E49D4AA6D}"/>
  <mergeCells count="16">
    <mergeCell ref="L15:O21"/>
    <mergeCell ref="D25:F25"/>
    <mergeCell ref="H18:H21"/>
    <mergeCell ref="A21:F21"/>
    <mergeCell ref="H15:K15"/>
    <mergeCell ref="A16:G16"/>
    <mergeCell ref="H16:K16"/>
    <mergeCell ref="D17:E17"/>
    <mergeCell ref="D18:E18"/>
    <mergeCell ref="I18:K25"/>
    <mergeCell ref="D19:E19"/>
    <mergeCell ref="D20:E20"/>
    <mergeCell ref="A23:F23"/>
    <mergeCell ref="A24:C24"/>
    <mergeCell ref="D24:F24"/>
    <mergeCell ref="A25:C25"/>
  </mergeCells>
  <conditionalFormatting sqref="D2:D5">
    <cfRule type="duplicateValues" dxfId="219" priority="13"/>
  </conditionalFormatting>
  <conditionalFormatting sqref="G2">
    <cfRule type="cellIs" dxfId="218" priority="11" operator="equal">
      <formula>0</formula>
    </cfRule>
  </conditionalFormatting>
  <conditionalFormatting sqref="G2">
    <cfRule type="duplicateValues" dxfId="217" priority="12"/>
  </conditionalFormatting>
  <conditionalFormatting sqref="G3">
    <cfRule type="cellIs" dxfId="216" priority="9" operator="equal">
      <formula>0</formula>
    </cfRule>
  </conditionalFormatting>
  <conditionalFormatting sqref="G3">
    <cfRule type="duplicateValues" dxfId="215" priority="10"/>
  </conditionalFormatting>
  <conditionalFormatting sqref="G4">
    <cfRule type="cellIs" dxfId="214" priority="7" operator="equal">
      <formula>0</formula>
    </cfRule>
  </conditionalFormatting>
  <conditionalFormatting sqref="G4">
    <cfRule type="duplicateValues" dxfId="213" priority="8"/>
  </conditionalFormatting>
  <conditionalFormatting sqref="G5">
    <cfRule type="cellIs" dxfId="212" priority="5" operator="equal">
      <formula>0</formula>
    </cfRule>
  </conditionalFormatting>
  <conditionalFormatting sqref="G5">
    <cfRule type="duplicateValues" dxfId="211" priority="6"/>
  </conditionalFormatting>
  <conditionalFormatting sqref="H2">
    <cfRule type="cellIs" dxfId="210" priority="4" operator="equal">
      <formula>0</formula>
    </cfRule>
  </conditionalFormatting>
  <conditionalFormatting sqref="H3">
    <cfRule type="cellIs" dxfId="209" priority="3" operator="equal">
      <formula>0</formula>
    </cfRule>
  </conditionalFormatting>
  <conditionalFormatting sqref="H4">
    <cfRule type="cellIs" dxfId="208" priority="2" operator="equal">
      <formula>0</formula>
    </cfRule>
  </conditionalFormatting>
  <conditionalFormatting sqref="H5">
    <cfRule type="cellIs" dxfId="207" priority="1" operator="equal">
      <formula>0</formula>
    </cfRule>
  </conditionalFormatting>
  <hyperlinks>
    <hyperlink ref="H2" r:id="rId1" xr:uid="{483A1AAC-729F-4CCB-8072-8CB4211D0D6D}"/>
    <hyperlink ref="H3" r:id="rId2" xr:uid="{16358030-A4F7-4F75-A5F8-3FD8C68D300E}"/>
    <hyperlink ref="H4" r:id="rId3" xr:uid="{3457183A-73C4-4CD4-8FB4-878753C3FBF8}"/>
    <hyperlink ref="H5" r:id="rId4" xr:uid="{8D27B612-8234-473B-815A-02ED17E90D12}"/>
  </hyperlinks>
  <pageMargins left="0.25" right="0.25" top="0.75" bottom="0.75" header="0.3" footer="0.3"/>
  <pageSetup paperSize="9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80C3-F20B-41FD-81CD-839CD1CB1FF1}">
  <sheetPr codeName="Planilha14">
    <pageSetUpPr fitToPage="1"/>
  </sheetPr>
  <dimension ref="A1:P26"/>
  <sheetViews>
    <sheetView workbookViewId="0">
      <selection activeCell="H28" sqref="H28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26.7109375" bestFit="1" customWidth="1"/>
    <col min="5" max="5" width="22.85546875" customWidth="1"/>
    <col min="6" max="6" width="29.14062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27.7109375" bestFit="1" customWidth="1"/>
    <col min="12" max="12" width="26.7109375" bestFit="1" customWidth="1"/>
    <col min="13" max="13" width="12.42578125" customWidth="1"/>
    <col min="14" max="14" width="10.85546875" bestFit="1" customWidth="1"/>
    <col min="15" max="15" width="11.85546875" bestFit="1" customWidth="1"/>
  </cols>
  <sheetData>
    <row r="1" spans="1:16" ht="30">
      <c r="A1" s="217" t="s">
        <v>514</v>
      </c>
      <c r="B1" s="218" t="s">
        <v>515</v>
      </c>
      <c r="C1" s="218" t="s">
        <v>0</v>
      </c>
      <c r="D1" s="218" t="s">
        <v>516</v>
      </c>
      <c r="E1" s="218" t="s">
        <v>517</v>
      </c>
      <c r="F1" s="218" t="s">
        <v>518</v>
      </c>
      <c r="G1" s="218" t="s">
        <v>519</v>
      </c>
      <c r="H1" s="219" t="s">
        <v>520</v>
      </c>
      <c r="I1" s="218" t="s">
        <v>521</v>
      </c>
      <c r="J1" s="218" t="s">
        <v>522</v>
      </c>
      <c r="K1" s="218" t="s">
        <v>523</v>
      </c>
      <c r="L1" s="218" t="s">
        <v>524</v>
      </c>
      <c r="M1" s="235" t="s">
        <v>525</v>
      </c>
      <c r="N1" s="218" t="s">
        <v>0</v>
      </c>
      <c r="O1" s="218" t="s">
        <v>1</v>
      </c>
      <c r="P1" s="202"/>
    </row>
    <row r="2" spans="1:16">
      <c r="A2" s="248"/>
      <c r="B2" s="250">
        <v>0.33333333333333331</v>
      </c>
      <c r="C2" s="191">
        <v>202500868</v>
      </c>
      <c r="D2" s="191" t="s">
        <v>3302</v>
      </c>
      <c r="E2" s="193" t="s">
        <v>1192</v>
      </c>
      <c r="F2" s="193" t="s">
        <v>1923</v>
      </c>
      <c r="G2" s="101" t="s">
        <v>1925</v>
      </c>
      <c r="H2" s="102" t="s">
        <v>1926</v>
      </c>
      <c r="I2" s="193" t="s">
        <v>456</v>
      </c>
      <c r="J2" s="40" t="s">
        <v>1927</v>
      </c>
      <c r="K2" s="191" t="s">
        <v>1928</v>
      </c>
      <c r="L2" s="191" t="s">
        <v>3303</v>
      </c>
      <c r="M2" s="13" t="s">
        <v>534</v>
      </c>
      <c r="N2" s="225">
        <v>202500868</v>
      </c>
      <c r="O2" s="55" t="s">
        <v>42</v>
      </c>
    </row>
    <row r="3" spans="1:16">
      <c r="A3" s="248"/>
      <c r="B3" s="250">
        <v>0.54166666666666663</v>
      </c>
      <c r="C3" s="191">
        <v>202500868</v>
      </c>
      <c r="D3" s="191" t="s">
        <v>3304</v>
      </c>
      <c r="E3" s="193" t="s">
        <v>1192</v>
      </c>
      <c r="F3" s="193" t="s">
        <v>1923</v>
      </c>
      <c r="G3" s="101" t="s">
        <v>1925</v>
      </c>
      <c r="H3" s="102" t="s">
        <v>1926</v>
      </c>
      <c r="I3" s="193" t="s">
        <v>456</v>
      </c>
      <c r="J3" s="40" t="s">
        <v>1927</v>
      </c>
      <c r="K3" s="191" t="s">
        <v>1928</v>
      </c>
      <c r="L3" s="191" t="s">
        <v>3303</v>
      </c>
      <c r="M3" s="13" t="s">
        <v>534</v>
      </c>
      <c r="N3" s="225">
        <v>202500868</v>
      </c>
      <c r="O3" s="55" t="s">
        <v>42</v>
      </c>
    </row>
    <row r="4" spans="1:16">
      <c r="A4" s="248"/>
      <c r="B4" s="250">
        <v>0.625</v>
      </c>
      <c r="C4" s="191">
        <v>202500868</v>
      </c>
      <c r="D4" s="191" t="s">
        <v>3305</v>
      </c>
      <c r="E4" s="193" t="s">
        <v>1192</v>
      </c>
      <c r="F4" s="193" t="s">
        <v>1923</v>
      </c>
      <c r="G4" s="101" t="s">
        <v>1925</v>
      </c>
      <c r="H4" s="102" t="s">
        <v>1926</v>
      </c>
      <c r="I4" s="193" t="s">
        <v>456</v>
      </c>
      <c r="J4" s="40" t="s">
        <v>1927</v>
      </c>
      <c r="K4" s="191" t="s">
        <v>1928</v>
      </c>
      <c r="L4" s="191" t="s">
        <v>3303</v>
      </c>
      <c r="M4" s="13" t="s">
        <v>534</v>
      </c>
      <c r="N4" s="224">
        <v>202500868</v>
      </c>
      <c r="O4" s="55" t="s">
        <v>42</v>
      </c>
    </row>
    <row r="5" spans="1:16">
      <c r="A5" s="36"/>
      <c r="B5" s="13"/>
      <c r="C5" s="13"/>
      <c r="D5" s="13"/>
      <c r="E5" s="13"/>
      <c r="F5" s="13"/>
      <c r="G5" s="13"/>
      <c r="H5" s="13"/>
      <c r="I5" s="13"/>
      <c r="J5" s="249"/>
      <c r="K5" s="246"/>
      <c r="L5" s="13"/>
      <c r="M5" s="13"/>
      <c r="N5" s="13"/>
      <c r="O5" s="13"/>
    </row>
    <row r="6" spans="1:16">
      <c r="A6" s="36"/>
      <c r="B6" s="13"/>
      <c r="C6" s="13"/>
      <c r="D6" s="13"/>
      <c r="E6" s="13"/>
      <c r="F6" s="13"/>
      <c r="G6" s="13"/>
      <c r="H6" s="13"/>
      <c r="I6" s="13"/>
      <c r="J6" s="249"/>
      <c r="K6" s="246"/>
      <c r="L6" s="13"/>
      <c r="M6" s="13"/>
      <c r="N6" s="13"/>
      <c r="O6" s="13"/>
    </row>
    <row r="7" spans="1:16">
      <c r="A7" s="36"/>
      <c r="B7" s="13"/>
      <c r="C7" s="13"/>
      <c r="D7" s="13"/>
      <c r="E7" s="13"/>
      <c r="F7" s="13"/>
      <c r="G7" s="13"/>
      <c r="H7" s="13"/>
      <c r="I7" s="13"/>
      <c r="J7" s="40"/>
      <c r="K7" s="247"/>
      <c r="L7" s="13"/>
      <c r="M7" s="13"/>
      <c r="N7" s="13"/>
      <c r="O7" s="13"/>
    </row>
    <row r="8" spans="1:16">
      <c r="A8" s="36"/>
      <c r="B8" s="13"/>
      <c r="C8" s="13"/>
      <c r="D8" s="13"/>
      <c r="E8" s="13"/>
      <c r="F8" s="13"/>
      <c r="G8" s="13"/>
      <c r="H8" s="13"/>
      <c r="I8" s="13"/>
      <c r="J8" s="40"/>
      <c r="K8" s="247"/>
      <c r="L8" s="13"/>
      <c r="M8" s="13"/>
      <c r="N8" s="13"/>
      <c r="O8" s="13"/>
    </row>
    <row r="9" spans="1:16">
      <c r="A9" s="36"/>
      <c r="B9" s="13"/>
      <c r="C9" s="13"/>
      <c r="D9" s="13"/>
      <c r="E9" s="13"/>
      <c r="F9" s="13"/>
      <c r="G9" s="13"/>
      <c r="H9" s="13"/>
      <c r="I9" s="13"/>
      <c r="J9" s="40"/>
      <c r="K9" s="246"/>
      <c r="L9" s="13"/>
      <c r="M9" s="13"/>
      <c r="N9" s="13"/>
      <c r="O9" s="13"/>
    </row>
    <row r="10" spans="1:16">
      <c r="A10" s="13"/>
      <c r="B10" s="34"/>
      <c r="C10" s="34"/>
      <c r="D10" s="34"/>
      <c r="E10" s="34"/>
      <c r="F10" s="34"/>
      <c r="G10" s="34"/>
      <c r="H10" s="34"/>
      <c r="I10" s="34"/>
      <c r="J10" s="13"/>
      <c r="K10" s="13"/>
      <c r="L10" s="13"/>
      <c r="M10" s="13"/>
      <c r="N10" s="13"/>
      <c r="O10" s="13"/>
    </row>
    <row r="11" spans="1:16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4" spans="1:16" ht="15" customHeight="1">
      <c r="A14" s="191"/>
      <c r="B14" s="191"/>
      <c r="C14" s="191"/>
      <c r="D14" s="191"/>
      <c r="E14" s="191"/>
      <c r="F14" s="191"/>
      <c r="G14" s="191"/>
      <c r="H14" s="640" t="s">
        <v>3306</v>
      </c>
      <c r="I14" s="641"/>
      <c r="J14" s="641"/>
      <c r="K14" s="642"/>
      <c r="L14" s="611" t="s">
        <v>541</v>
      </c>
      <c r="M14" s="611"/>
      <c r="N14" s="611"/>
      <c r="O14" s="611"/>
      <c r="P14" s="191"/>
    </row>
    <row r="15" spans="1:16">
      <c r="A15" s="796" t="s">
        <v>542</v>
      </c>
      <c r="B15" s="797"/>
      <c r="C15" s="797"/>
      <c r="D15" s="797"/>
      <c r="E15" s="797"/>
      <c r="F15" s="797"/>
      <c r="G15" s="798"/>
      <c r="H15" s="612"/>
      <c r="I15" s="613"/>
      <c r="J15" s="613"/>
      <c r="K15" s="614"/>
      <c r="L15" s="611"/>
      <c r="M15" s="611"/>
      <c r="N15" s="611"/>
      <c r="O15" s="611"/>
      <c r="P15" s="191"/>
    </row>
    <row r="16" spans="1:16">
      <c r="A16" s="203" t="s">
        <v>543</v>
      </c>
      <c r="B16" s="204" t="s">
        <v>544</v>
      </c>
      <c r="C16" s="204" t="s">
        <v>545</v>
      </c>
      <c r="D16" s="799" t="s">
        <v>546</v>
      </c>
      <c r="E16" s="800"/>
      <c r="F16" s="204" t="s">
        <v>545</v>
      </c>
      <c r="G16" s="205" t="s">
        <v>547</v>
      </c>
      <c r="H16" s="206" t="s">
        <v>548</v>
      </c>
      <c r="I16" s="191"/>
      <c r="J16" s="191"/>
      <c r="K16" s="191"/>
      <c r="L16" s="611"/>
      <c r="M16" s="611"/>
      <c r="N16" s="611"/>
      <c r="O16" s="611"/>
      <c r="P16" s="191"/>
    </row>
    <row r="17" spans="1:16">
      <c r="A17" s="208" t="s">
        <v>3307</v>
      </c>
      <c r="B17" s="212" t="s">
        <v>549</v>
      </c>
      <c r="C17" s="210"/>
      <c r="D17" s="615" t="s">
        <v>3308</v>
      </c>
      <c r="E17" s="616"/>
      <c r="F17" s="210"/>
      <c r="G17" s="211">
        <v>79.8</v>
      </c>
      <c r="H17" s="617">
        <v>0</v>
      </c>
      <c r="I17" s="618" t="s">
        <v>550</v>
      </c>
      <c r="J17" s="618"/>
      <c r="K17" s="619"/>
      <c r="L17" s="611"/>
      <c r="M17" s="611"/>
      <c r="N17" s="611"/>
      <c r="O17" s="611"/>
      <c r="P17" s="191"/>
    </row>
    <row r="18" spans="1:16">
      <c r="A18" s="213" t="s">
        <v>3307</v>
      </c>
      <c r="B18" s="214" t="s">
        <v>3308</v>
      </c>
      <c r="C18" s="210"/>
      <c r="D18" s="624" t="s">
        <v>549</v>
      </c>
      <c r="E18" s="616"/>
      <c r="F18" s="210"/>
      <c r="G18" s="211">
        <v>79.8</v>
      </c>
      <c r="H18" s="617"/>
      <c r="I18" s="620"/>
      <c r="J18" s="620"/>
      <c r="K18" s="621"/>
      <c r="L18" s="611"/>
      <c r="M18" s="611"/>
      <c r="N18" s="611"/>
      <c r="O18" s="611"/>
      <c r="P18" s="191"/>
    </row>
    <row r="19" spans="1:16">
      <c r="A19" s="213"/>
      <c r="B19" s="245"/>
      <c r="C19" s="215"/>
      <c r="D19" s="624"/>
      <c r="E19" s="616"/>
      <c r="F19" s="210"/>
      <c r="G19" s="211"/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625" t="s">
        <v>551</v>
      </c>
      <c r="B20" s="626"/>
      <c r="C20" s="626"/>
      <c r="D20" s="626"/>
      <c r="E20" s="626"/>
      <c r="F20" s="627"/>
      <c r="G20" s="226">
        <f>SUM(G17:G19)</f>
        <v>159.6</v>
      </c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191"/>
      <c r="B21" s="191"/>
      <c r="C21" s="191"/>
      <c r="D21" s="191"/>
      <c r="E21" s="191"/>
      <c r="F21" s="191"/>
      <c r="G21" s="191"/>
      <c r="H21" s="191"/>
      <c r="I21" s="620"/>
      <c r="J21" s="620"/>
      <c r="K21" s="621"/>
      <c r="L21" s="191"/>
      <c r="M21" s="191"/>
      <c r="N21" s="191"/>
      <c r="O21" s="191"/>
      <c r="P21" s="191"/>
    </row>
    <row r="22" spans="1:16">
      <c r="A22" s="796" t="s">
        <v>552</v>
      </c>
      <c r="B22" s="797"/>
      <c r="C22" s="797"/>
      <c r="D22" s="797"/>
      <c r="E22" s="797"/>
      <c r="F22" s="797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628" t="s">
        <v>553</v>
      </c>
      <c r="B23" s="629"/>
      <c r="C23" s="630"/>
      <c r="D23" s="628" t="s">
        <v>554</v>
      </c>
      <c r="E23" s="629"/>
      <c r="F23" s="631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32"/>
      <c r="B24" s="633"/>
      <c r="C24" s="634"/>
      <c r="D24" s="635"/>
      <c r="E24" s="633"/>
      <c r="F24" s="636"/>
      <c r="G24" s="191"/>
      <c r="H24" s="191"/>
      <c r="I24" s="622"/>
      <c r="J24" s="622"/>
      <c r="K24" s="623"/>
      <c r="L24" s="191"/>
      <c r="M24" s="191"/>
      <c r="N24" s="191"/>
      <c r="O24" s="191"/>
      <c r="P24" s="191"/>
    </row>
    <row r="25" spans="1:16">
      <c r="A25" s="191"/>
      <c r="B25" s="191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</sheetData>
  <protectedRanges>
    <protectedRange sqref="D10:D11" name="Range1_7"/>
    <protectedRange sqref="C10:C11" name="Range1_8"/>
    <protectedRange sqref="E10" name="Range1_9"/>
    <protectedRange sqref="E11" name="Range1_10"/>
    <protectedRange sqref="F10" name="Range1_11"/>
    <protectedRange sqref="F11" name="Range1_12"/>
    <protectedRange sqref="G10" name="Range1_13"/>
    <protectedRange sqref="G11" name="Range1_14"/>
    <protectedRange sqref="B5:B6 B8" name="Range1_15_2"/>
    <protectedRange sqref="B4" name="Range1_15_52"/>
    <protectedRange sqref="B2 B7 B9" name="Range1_14_2"/>
    <protectedRange sqref="B3" name="Range1_12_2"/>
    <protectedRange sqref="C5:C6" name="Range1_9_3"/>
    <protectedRange sqref="D5" name="Range1_11_1"/>
    <protectedRange sqref="D6" name="Range1_12_4"/>
    <protectedRange sqref="E9" name="Range1_14_6"/>
    <protectedRange sqref="E5:E8" name="Range1_10_3"/>
    <protectedRange sqref="F5" name="Range1_11_2"/>
    <protectedRange sqref="F6:F8" name="Range1_12_5"/>
    <protectedRange sqref="G5:H5" name="Range1_11_3"/>
    <protectedRange sqref="G6:H6" name="Range1_11_4"/>
    <protectedRange sqref="I5" name="Range1_9_7"/>
    <protectedRange sqref="I6" name="Range1_9_9"/>
    <protectedRange sqref="D7" name="Range1_11_5"/>
    <protectedRange sqref="C7" name="Range1_11_6"/>
    <protectedRange sqref="G7:G8" name="Range1_11_8"/>
    <protectedRange sqref="H7:H8" name="Range1_11_9"/>
    <protectedRange sqref="D8" name="Range1_8_1"/>
    <protectedRange sqref="C8" name="Range1_8_2"/>
    <protectedRange sqref="D9" name="Range1_13_1"/>
    <protectedRange sqref="C9" name="Range1_13_2"/>
    <protectedRange sqref="F9" name="Range1_13_3"/>
    <protectedRange sqref="G9:H9" name="Range1_13_4"/>
    <protectedRange sqref="I9" name="Range1_13_5"/>
    <protectedRange sqref="J9" name="Range1_13_6"/>
    <protectedRange sqref="K9:L9" name="Range1_13_7"/>
    <protectedRange sqref="J8:L8" name="Range1_11_11"/>
    <protectedRange sqref="J7:L7" name="Range1_11_12"/>
    <protectedRange sqref="J2:J4" name="Range1_14_7"/>
    <protectedRange sqref="J5:L5" name="Range1_11_13"/>
    <protectedRange sqref="J6:L6" name="Range1_11_14"/>
    <protectedRange sqref="C2:D2 C3:C4" name="Range1"/>
    <protectedRange sqref="E2:E4" name="Range1_1"/>
    <protectedRange sqref="H2" name="Range1_6"/>
    <protectedRange sqref="H3" name="Range1_15"/>
    <protectedRange sqref="H4" name="Range1_16"/>
    <protectedRange sqref="G2" name="Range1_17"/>
    <protectedRange sqref="G3" name="Range1_18"/>
    <protectedRange sqref="G4" name="Range1_19"/>
    <protectedRange sqref="I2" name="Range1_20"/>
    <protectedRange sqref="I3" name="Range1_21"/>
    <protectedRange sqref="I4" name="Range1_22"/>
    <protectedRange sqref="K2:L2" name="Range1_23"/>
    <protectedRange sqref="K3:L3" name="Range1_24"/>
    <protectedRange sqref="K4:L4" name="Range1_25"/>
    <protectedRange sqref="N2:O4" name="Range1_26"/>
    <protectedRange sqref="D3" name="Range1_27"/>
    <protectedRange sqref="D4" name="Range1_28"/>
    <protectedRange sqref="F2" name="Range1_29"/>
    <protectedRange sqref="F3" name="Range1_30"/>
    <protectedRange sqref="F4" name="Range1_31"/>
  </protectedRanges>
  <autoFilter ref="A1:P1" xr:uid="{F09CEF7E-7F6A-43A3-80C5-483E49D4AA6D}"/>
  <mergeCells count="16">
    <mergeCell ref="H14:K14"/>
    <mergeCell ref="L14:O20"/>
    <mergeCell ref="A15:G15"/>
    <mergeCell ref="H15:K15"/>
    <mergeCell ref="D16:E16"/>
    <mergeCell ref="D17:E17"/>
    <mergeCell ref="H17:H20"/>
    <mergeCell ref="I17:K24"/>
    <mergeCell ref="D18:E18"/>
    <mergeCell ref="D19:E19"/>
    <mergeCell ref="A20:F20"/>
    <mergeCell ref="A22:F22"/>
    <mergeCell ref="A23:C23"/>
    <mergeCell ref="D23:F23"/>
    <mergeCell ref="A24:C24"/>
    <mergeCell ref="D24:F24"/>
  </mergeCells>
  <conditionalFormatting sqref="H2">
    <cfRule type="cellIs" dxfId="206" priority="9" operator="equal">
      <formula>0</formula>
    </cfRule>
  </conditionalFormatting>
  <conditionalFormatting sqref="H3">
    <cfRule type="cellIs" dxfId="205" priority="8" operator="equal">
      <formula>0</formula>
    </cfRule>
  </conditionalFormatting>
  <conditionalFormatting sqref="H4">
    <cfRule type="cellIs" dxfId="204" priority="7" operator="equal">
      <formula>0</formula>
    </cfRule>
  </conditionalFormatting>
  <conditionalFormatting sqref="G2">
    <cfRule type="cellIs" dxfId="203" priority="5" operator="equal">
      <formula>0</formula>
    </cfRule>
  </conditionalFormatting>
  <conditionalFormatting sqref="G2">
    <cfRule type="duplicateValues" dxfId="202" priority="6"/>
  </conditionalFormatting>
  <conditionalFormatting sqref="G3">
    <cfRule type="cellIs" dxfId="201" priority="3" operator="equal">
      <formula>0</formula>
    </cfRule>
  </conditionalFormatting>
  <conditionalFormatting sqref="G3">
    <cfRule type="duplicateValues" dxfId="200" priority="4"/>
  </conditionalFormatting>
  <conditionalFormatting sqref="G4">
    <cfRule type="cellIs" dxfId="199" priority="1" operator="equal">
      <formula>0</formula>
    </cfRule>
  </conditionalFormatting>
  <conditionalFormatting sqref="G4">
    <cfRule type="duplicateValues" dxfId="198" priority="2"/>
  </conditionalFormatting>
  <hyperlinks>
    <hyperlink ref="H2" r:id="rId1" xr:uid="{BDE1DFE9-BF91-4FC4-B936-07D80E1EDADB}"/>
    <hyperlink ref="H3" r:id="rId2" xr:uid="{9E717C04-3E3B-47CF-8336-F8758FDC18CE}"/>
    <hyperlink ref="H4" r:id="rId3" xr:uid="{2D6EFE84-B0E1-47ED-8952-3DE91BE054EA}"/>
  </hyperlinks>
  <pageMargins left="0.25" right="0.25" top="0.75" bottom="0.75" header="0.3" footer="0.3"/>
  <pageSetup paperSize="9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56C71-7102-4E4F-8A6C-313BFCEC9F92}">
  <sheetPr codeName="Planilha15">
    <tabColor rgb="FFFF0000"/>
  </sheetPr>
  <dimension ref="A1:AP89"/>
  <sheetViews>
    <sheetView workbookViewId="0">
      <selection activeCell="A15" sqref="A15"/>
    </sheetView>
  </sheetViews>
  <sheetFormatPr defaultRowHeight="15"/>
  <cols>
    <col min="1" max="1" width="17.140625" bestFit="1" customWidth="1"/>
    <col min="2" max="2" width="16.140625" bestFit="1" customWidth="1"/>
    <col min="3" max="3" width="17.140625" bestFit="1" customWidth="1"/>
    <col min="4" max="4" width="14.85546875" bestFit="1" customWidth="1"/>
    <col min="5" max="5" width="17.140625" bestFit="1" customWidth="1"/>
    <col min="6" max="6" width="16.140625" bestFit="1" customWidth="1"/>
    <col min="7" max="7" width="10.85546875" bestFit="1" customWidth="1"/>
    <col min="8" max="8" width="43" bestFit="1" customWidth="1"/>
    <col min="9" max="9" width="82.140625" bestFit="1" customWidth="1"/>
    <col min="10" max="10" width="11.5703125" bestFit="1" customWidth="1"/>
    <col min="11" max="11" width="12.7109375" bestFit="1" customWidth="1"/>
    <col min="12" max="12" width="70.5703125" bestFit="1" customWidth="1"/>
    <col min="13" max="13" width="19.140625" bestFit="1" customWidth="1"/>
    <col min="14" max="14" width="15.28515625" customWidth="1"/>
    <col min="15" max="15" width="19" customWidth="1"/>
    <col min="16" max="16" width="23" bestFit="1" customWidth="1"/>
    <col min="17" max="17" width="5.7109375" bestFit="1" customWidth="1"/>
    <col min="18" max="18" width="29" bestFit="1" customWidth="1"/>
    <col min="19" max="19" width="42.85546875" bestFit="1" customWidth="1"/>
    <col min="20" max="20" width="14.85546875" bestFit="1" customWidth="1"/>
    <col min="21" max="21" width="13.85546875" bestFit="1" customWidth="1"/>
    <col min="22" max="22" width="39" bestFit="1" customWidth="1"/>
    <col min="23" max="23" width="14" bestFit="1" customWidth="1"/>
    <col min="24" max="24" width="14.85546875" customWidth="1"/>
    <col min="25" max="25" width="11.28515625" bestFit="1" customWidth="1"/>
    <col min="26" max="26" width="25.42578125" customWidth="1"/>
    <col min="27" max="27" width="19.28515625" bestFit="1" customWidth="1"/>
  </cols>
  <sheetData>
    <row r="1" spans="1:42" s="411" customFormat="1">
      <c r="A1" s="407" t="s">
        <v>595</v>
      </c>
      <c r="B1" s="408" t="s">
        <v>596</v>
      </c>
      <c r="C1" s="407" t="s">
        <v>597</v>
      </c>
      <c r="D1" s="408" t="s">
        <v>598</v>
      </c>
      <c r="E1" s="407" t="s">
        <v>599</v>
      </c>
      <c r="F1" s="408" t="s">
        <v>3309</v>
      </c>
      <c r="G1" s="409" t="s">
        <v>0</v>
      </c>
      <c r="H1" s="410" t="s">
        <v>516</v>
      </c>
      <c r="I1" s="410" t="s">
        <v>517</v>
      </c>
      <c r="J1" s="410" t="s">
        <v>600</v>
      </c>
      <c r="K1" s="410" t="s">
        <v>601</v>
      </c>
      <c r="L1" s="410" t="s">
        <v>518</v>
      </c>
      <c r="M1" s="410" t="s">
        <v>602</v>
      </c>
      <c r="N1" s="410" t="s">
        <v>519</v>
      </c>
      <c r="O1" s="411" t="s">
        <v>520</v>
      </c>
      <c r="P1" s="412" t="s">
        <v>521</v>
      </c>
      <c r="Q1" s="410" t="s">
        <v>604</v>
      </c>
      <c r="R1" s="412" t="s">
        <v>605</v>
      </c>
      <c r="S1" s="410" t="s">
        <v>606</v>
      </c>
      <c r="T1" s="412" t="s">
        <v>607</v>
      </c>
      <c r="U1" s="410" t="s">
        <v>523</v>
      </c>
      <c r="V1" s="410" t="s">
        <v>524</v>
      </c>
      <c r="W1" s="410" t="s">
        <v>608</v>
      </c>
      <c r="X1" s="413" t="s">
        <v>609</v>
      </c>
      <c r="Y1" s="413" t="s">
        <v>610</v>
      </c>
      <c r="Z1" s="414" t="s">
        <v>525</v>
      </c>
      <c r="AA1" s="415" t="s">
        <v>1</v>
      </c>
    </row>
    <row r="2" spans="1:42">
      <c r="A2" s="14"/>
      <c r="B2" s="13" t="str">
        <f>IF(ISBLANK(A2), "Pendente", "Realizada")</f>
        <v>Pendente</v>
      </c>
      <c r="C2" s="14" t="str">
        <f>IF(A2="", "", EDATE(A2, 3))</f>
        <v/>
      </c>
      <c r="D2" s="13" t="s">
        <v>611</v>
      </c>
      <c r="E2" s="14" t="str">
        <f>IF(C2="", "", EDATE(C2, 3))</f>
        <v/>
      </c>
      <c r="F2" s="13" t="s">
        <v>611</v>
      </c>
      <c r="G2" s="416">
        <v>202500997</v>
      </c>
      <c r="H2" s="416" t="s">
        <v>3310</v>
      </c>
      <c r="I2" s="416" t="s">
        <v>3311</v>
      </c>
      <c r="J2" s="417">
        <v>45950</v>
      </c>
      <c r="K2" s="417">
        <v>46532</v>
      </c>
      <c r="L2" s="416" t="s">
        <v>1185</v>
      </c>
      <c r="M2" s="416" t="s">
        <v>2516</v>
      </c>
      <c r="N2" s="13" t="s">
        <v>2517</v>
      </c>
      <c r="O2" s="17" t="s">
        <v>3312</v>
      </c>
      <c r="P2" s="416" t="s">
        <v>258</v>
      </c>
      <c r="Q2" s="13" t="s">
        <v>618</v>
      </c>
      <c r="R2" s="13" t="str">
        <f>VLOOKUP(P2,'Dados das Regiões '!A:B,2,0)</f>
        <v>FRANCISCO BELTRÃO</v>
      </c>
      <c r="S2" s="416" t="s">
        <v>3313</v>
      </c>
      <c r="T2" s="416" t="s">
        <v>2520</v>
      </c>
      <c r="U2" s="191" t="s">
        <v>3314</v>
      </c>
      <c r="V2" s="416" t="s">
        <v>2522</v>
      </c>
      <c r="W2" s="418">
        <v>0.54166666666666663</v>
      </c>
      <c r="X2" s="419">
        <v>0.625</v>
      </c>
      <c r="Y2" s="16" t="s">
        <v>3315</v>
      </c>
      <c r="Z2" s="36"/>
      <c r="AA2" s="175" t="str">
        <f>VLOOKUP(Tabela2[[#This Row],[Turma]],CC!E1:F56,2,TRUE)</f>
        <v>465905AAE</v>
      </c>
      <c r="AB2" s="40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>
      <c r="A3" s="14"/>
      <c r="B3" s="13" t="str">
        <f t="shared" ref="B3:B9" si="0">IF(ISBLANK(A3), "Pendente", "Realizada")</f>
        <v>Pendente</v>
      </c>
      <c r="C3" s="14" t="str">
        <f t="shared" ref="C3:C9" si="1">IF(A3="", "", EDATE(A3, 3))</f>
        <v/>
      </c>
      <c r="D3" s="13" t="s">
        <v>611</v>
      </c>
      <c r="E3" s="14" t="str">
        <f t="shared" ref="E3:E9" si="2">IF(C3="", "", EDATE(C3, 3))</f>
        <v/>
      </c>
      <c r="F3" s="13" t="s">
        <v>611</v>
      </c>
      <c r="G3" s="191">
        <v>202500652</v>
      </c>
      <c r="H3" s="191" t="s">
        <v>3316</v>
      </c>
      <c r="I3" s="191" t="s">
        <v>3311</v>
      </c>
      <c r="J3" s="192">
        <v>45887</v>
      </c>
      <c r="K3" s="192">
        <v>46465</v>
      </c>
      <c r="L3" s="191" t="s">
        <v>1185</v>
      </c>
      <c r="M3" s="191" t="s">
        <v>3317</v>
      </c>
      <c r="N3" s="13" t="s">
        <v>3318</v>
      </c>
      <c r="O3" s="17" t="s">
        <v>3319</v>
      </c>
      <c r="P3" s="191" t="s">
        <v>474</v>
      </c>
      <c r="Q3" s="13" t="s">
        <v>618</v>
      </c>
      <c r="R3" s="13" t="str">
        <f>VLOOKUP(P3,'Dados das Regiões '!A:B,2,0)</f>
        <v>TOLEDO</v>
      </c>
      <c r="S3" s="191" t="s">
        <v>3320</v>
      </c>
      <c r="T3" s="191" t="s">
        <v>3321</v>
      </c>
      <c r="U3" s="416" t="s">
        <v>3314</v>
      </c>
      <c r="V3" s="191" t="s">
        <v>3322</v>
      </c>
      <c r="W3" s="195">
        <v>0.58333333333333337</v>
      </c>
      <c r="X3" s="420">
        <v>0.66666666666666663</v>
      </c>
      <c r="Y3" s="16" t="s">
        <v>3315</v>
      </c>
      <c r="Z3" s="36"/>
      <c r="AA3" s="175" t="str">
        <f>VLOOKUP(Tabela2[[#This Row],[Turma]],CC!E2:F57,2,TRUE)</f>
        <v>465905AAE</v>
      </c>
      <c r="AB3" s="40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>
      <c r="A4" s="14"/>
      <c r="B4" s="13" t="str">
        <f t="shared" si="0"/>
        <v>Pendente</v>
      </c>
      <c r="C4" s="14" t="str">
        <f t="shared" si="1"/>
        <v/>
      </c>
      <c r="D4" s="13" t="s">
        <v>611</v>
      </c>
      <c r="E4" s="14" t="str">
        <f t="shared" si="2"/>
        <v/>
      </c>
      <c r="F4" s="13" t="s">
        <v>611</v>
      </c>
      <c r="G4" s="416">
        <v>202500652</v>
      </c>
      <c r="H4" s="416" t="s">
        <v>3323</v>
      </c>
      <c r="I4" s="416" t="s">
        <v>3311</v>
      </c>
      <c r="J4" s="417">
        <v>45887</v>
      </c>
      <c r="K4" s="417">
        <v>46465</v>
      </c>
      <c r="L4" s="416" t="s">
        <v>1185</v>
      </c>
      <c r="M4" s="416" t="s">
        <v>3324</v>
      </c>
      <c r="N4" s="13" t="s">
        <v>3325</v>
      </c>
      <c r="O4" s="17" t="s">
        <v>3326</v>
      </c>
      <c r="P4" s="416" t="s">
        <v>184</v>
      </c>
      <c r="Q4" s="13" t="s">
        <v>618</v>
      </c>
      <c r="R4" s="13" t="str">
        <f>VLOOKUP(P4,'Dados das Regiões '!A:B,2,0)</f>
        <v>CASCAVEL</v>
      </c>
      <c r="S4" s="416" t="s">
        <v>3327</v>
      </c>
      <c r="T4" s="416" t="s">
        <v>3328</v>
      </c>
      <c r="U4" s="191" t="s">
        <v>3329</v>
      </c>
      <c r="V4" s="416" t="s">
        <v>3330</v>
      </c>
      <c r="W4" s="418">
        <v>0.54166666666666663</v>
      </c>
      <c r="X4" s="419">
        <v>0.625</v>
      </c>
      <c r="Y4" s="16" t="s">
        <v>3315</v>
      </c>
      <c r="Z4" s="36"/>
      <c r="AA4" s="175" t="str">
        <f>VLOOKUP(Tabela2[[#This Row],[Turma]],CC!E3:F58,2,TRUE)</f>
        <v>465905AAE</v>
      </c>
      <c r="AB4" s="40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</row>
    <row r="5" spans="1:42">
      <c r="A5" s="14"/>
      <c r="B5" s="13" t="str">
        <f t="shared" si="0"/>
        <v>Pendente</v>
      </c>
      <c r="C5" s="14" t="str">
        <f t="shared" si="1"/>
        <v/>
      </c>
      <c r="D5" s="13" t="s">
        <v>611</v>
      </c>
      <c r="E5" s="14" t="str">
        <f t="shared" si="2"/>
        <v/>
      </c>
      <c r="F5" s="13" t="s">
        <v>611</v>
      </c>
      <c r="G5" s="191">
        <v>202500652</v>
      </c>
      <c r="H5" s="191" t="s">
        <v>3331</v>
      </c>
      <c r="I5" s="191" t="s">
        <v>3311</v>
      </c>
      <c r="J5" s="192">
        <v>45887</v>
      </c>
      <c r="K5" s="192">
        <v>46465</v>
      </c>
      <c r="L5" s="191" t="s">
        <v>1185</v>
      </c>
      <c r="M5" s="191" t="s">
        <v>3332</v>
      </c>
      <c r="N5" s="13" t="s">
        <v>3333</v>
      </c>
      <c r="O5" s="17" t="s">
        <v>3334</v>
      </c>
      <c r="P5" s="191" t="s">
        <v>263</v>
      </c>
      <c r="Q5" s="13" t="s">
        <v>618</v>
      </c>
      <c r="R5" s="13" t="str">
        <f>VLOOKUP(P5,'Dados das Regiões '!A:B,2,0)</f>
        <v>FRANCISCO BELTRÃO</v>
      </c>
      <c r="S5" s="191" t="s">
        <v>3335</v>
      </c>
      <c r="T5" s="191"/>
      <c r="U5" s="416" t="s">
        <v>3336</v>
      </c>
      <c r="V5" s="191" t="s">
        <v>3337</v>
      </c>
      <c r="W5" s="195">
        <v>0.5625</v>
      </c>
      <c r="X5" s="420">
        <v>0.64583333333333337</v>
      </c>
      <c r="Y5" s="16" t="s">
        <v>3315</v>
      </c>
      <c r="Z5" s="36"/>
      <c r="AA5" s="175" t="str">
        <f>VLOOKUP(Tabela2[[#This Row],[Turma]],CC!E4:F59,2,TRUE)</f>
        <v>465905AAE</v>
      </c>
      <c r="AB5" s="40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>
      <c r="A6" s="14"/>
      <c r="B6" s="13" t="str">
        <f t="shared" si="0"/>
        <v>Pendente</v>
      </c>
      <c r="C6" s="14" t="str">
        <f t="shared" si="1"/>
        <v/>
      </c>
      <c r="D6" s="13" t="s">
        <v>611</v>
      </c>
      <c r="E6" s="14" t="str">
        <f t="shared" si="2"/>
        <v/>
      </c>
      <c r="F6" s="13" t="s">
        <v>611</v>
      </c>
      <c r="G6" s="416">
        <v>202500997</v>
      </c>
      <c r="H6" s="416" t="s">
        <v>3338</v>
      </c>
      <c r="I6" s="416" t="s">
        <v>3311</v>
      </c>
      <c r="J6" s="417">
        <v>45950</v>
      </c>
      <c r="K6" s="417">
        <v>46532</v>
      </c>
      <c r="L6" s="416" t="s">
        <v>3339</v>
      </c>
      <c r="M6" s="416" t="s">
        <v>3340</v>
      </c>
      <c r="N6" s="13" t="s">
        <v>3341</v>
      </c>
      <c r="O6" s="17" t="s">
        <v>3342</v>
      </c>
      <c r="P6" s="416" t="s">
        <v>263</v>
      </c>
      <c r="Q6" s="13" t="s">
        <v>618</v>
      </c>
      <c r="R6" s="13" t="str">
        <f>VLOOKUP(P6,'Dados das Regiões '!A:B,2,0)</f>
        <v>FRANCISCO BELTRÃO</v>
      </c>
      <c r="S6" s="416" t="s">
        <v>3343</v>
      </c>
      <c r="T6" s="416" t="s">
        <v>3344</v>
      </c>
      <c r="U6" s="191" t="s">
        <v>3345</v>
      </c>
      <c r="V6" s="416" t="s">
        <v>3346</v>
      </c>
      <c r="W6" s="418">
        <v>0.58333333333333337</v>
      </c>
      <c r="X6" s="419">
        <v>0.66666666666666663</v>
      </c>
      <c r="Y6" s="16" t="s">
        <v>3315</v>
      </c>
      <c r="Z6" s="36"/>
      <c r="AA6" s="175" t="str">
        <f>VLOOKUP(Tabela2[[#This Row],[Turma]],CC!E5:F60,2,TRUE)</f>
        <v>465905AAH</v>
      </c>
      <c r="AB6" s="40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>
      <c r="A7" s="14"/>
      <c r="B7" s="13" t="str">
        <f t="shared" si="0"/>
        <v>Pendente</v>
      </c>
      <c r="C7" s="14" t="str">
        <f t="shared" si="1"/>
        <v/>
      </c>
      <c r="D7" s="13" t="s">
        <v>611</v>
      </c>
      <c r="E7" s="14" t="str">
        <f t="shared" si="2"/>
        <v/>
      </c>
      <c r="F7" s="13" t="s">
        <v>611</v>
      </c>
      <c r="G7" s="191">
        <v>202500997</v>
      </c>
      <c r="H7" s="191" t="s">
        <v>3347</v>
      </c>
      <c r="I7" s="191" t="s">
        <v>3311</v>
      </c>
      <c r="J7" s="192">
        <v>45950</v>
      </c>
      <c r="K7" s="192">
        <v>46532</v>
      </c>
      <c r="L7" s="191" t="s">
        <v>1185</v>
      </c>
      <c r="M7" s="191" t="s">
        <v>2422</v>
      </c>
      <c r="N7" s="13" t="s">
        <v>2423</v>
      </c>
      <c r="O7" s="17" t="s">
        <v>3348</v>
      </c>
      <c r="P7" s="191" t="s">
        <v>435</v>
      </c>
      <c r="Q7" s="13" t="s">
        <v>618</v>
      </c>
      <c r="R7" s="13" t="str">
        <f>VLOOKUP(P7,'Dados das Regiões '!A:B,2,0)</f>
        <v>PATO BRANCO</v>
      </c>
      <c r="S7" s="191" t="s">
        <v>2808</v>
      </c>
      <c r="T7" s="191" t="s">
        <v>2810</v>
      </c>
      <c r="U7" s="416" t="s">
        <v>3349</v>
      </c>
      <c r="V7" s="191" t="s">
        <v>2428</v>
      </c>
      <c r="W7" s="195">
        <v>0.58333333333333337</v>
      </c>
      <c r="X7" s="420">
        <v>0.66666666666666663</v>
      </c>
      <c r="Y7" s="16" t="s">
        <v>3315</v>
      </c>
      <c r="Z7" s="36"/>
      <c r="AA7" s="175" t="str">
        <f>VLOOKUP(Tabela2[[#This Row],[Turma]],CC!E6:F61,2,TRUE)</f>
        <v>465905AAE</v>
      </c>
      <c r="AB7" s="40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>
      <c r="A8" s="14"/>
      <c r="B8" s="13" t="str">
        <f t="shared" si="0"/>
        <v>Pendente</v>
      </c>
      <c r="C8" s="14" t="str">
        <f t="shared" si="1"/>
        <v/>
      </c>
      <c r="D8" s="13" t="s">
        <v>611</v>
      </c>
      <c r="E8" s="14" t="str">
        <f t="shared" si="2"/>
        <v/>
      </c>
      <c r="F8" s="13" t="s">
        <v>611</v>
      </c>
      <c r="G8" s="416">
        <v>202500652</v>
      </c>
      <c r="H8" s="416" t="s">
        <v>3350</v>
      </c>
      <c r="I8" s="416" t="s">
        <v>3311</v>
      </c>
      <c r="J8" s="417">
        <v>45887</v>
      </c>
      <c r="K8" s="417">
        <v>46465</v>
      </c>
      <c r="L8" s="416" t="s">
        <v>3351</v>
      </c>
      <c r="M8" s="416" t="s">
        <v>3352</v>
      </c>
      <c r="N8" s="13" t="s">
        <v>3353</v>
      </c>
      <c r="O8" s="17" t="s">
        <v>3354</v>
      </c>
      <c r="P8" s="416" t="s">
        <v>150</v>
      </c>
      <c r="Q8" s="13" t="s">
        <v>618</v>
      </c>
      <c r="R8" s="13" t="str">
        <f>VLOOKUP(P8,'Dados das Regiões '!A:B,2,0)</f>
        <v>CAMPO MOURÃO</v>
      </c>
      <c r="S8" s="416" t="s">
        <v>3355</v>
      </c>
      <c r="T8" s="416" t="s">
        <v>3356</v>
      </c>
      <c r="U8" s="191" t="s">
        <v>3357</v>
      </c>
      <c r="V8" s="416" t="s">
        <v>3358</v>
      </c>
      <c r="W8" s="418">
        <v>0.41666666666666669</v>
      </c>
      <c r="X8" s="419">
        <v>0.33333333333333331</v>
      </c>
      <c r="Y8" s="16" t="s">
        <v>3315</v>
      </c>
      <c r="Z8" s="36"/>
      <c r="AA8" s="175" t="str">
        <f>VLOOKUP(Tabela2[[#This Row],[Turma]],CC!E7:F62,2,TRUE)</f>
        <v>465905AAE</v>
      </c>
      <c r="AB8" s="40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>
      <c r="A9" s="91"/>
      <c r="B9" s="41" t="str">
        <f t="shared" si="0"/>
        <v>Pendente</v>
      </c>
      <c r="C9" s="91" t="str">
        <f t="shared" si="1"/>
        <v/>
      </c>
      <c r="D9" s="41" t="s">
        <v>611</v>
      </c>
      <c r="E9" s="91" t="str">
        <f t="shared" si="2"/>
        <v/>
      </c>
      <c r="F9" s="41" t="s">
        <v>611</v>
      </c>
      <c r="G9" s="191">
        <v>202500652</v>
      </c>
      <c r="H9" s="191" t="s">
        <v>3359</v>
      </c>
      <c r="I9" s="191" t="s">
        <v>3311</v>
      </c>
      <c r="J9" s="192">
        <v>45887</v>
      </c>
      <c r="K9" s="192">
        <v>46465</v>
      </c>
      <c r="L9" s="191" t="s">
        <v>1185</v>
      </c>
      <c r="M9" s="191" t="s">
        <v>3360</v>
      </c>
      <c r="N9" s="41" t="s">
        <v>3361</v>
      </c>
      <c r="O9" s="75" t="s">
        <v>3362</v>
      </c>
      <c r="P9" s="191" t="s">
        <v>150</v>
      </c>
      <c r="Q9" s="13" t="s">
        <v>618</v>
      </c>
      <c r="R9" s="41" t="str">
        <f>VLOOKUP(P9,'Dados das Regiões '!A:B,2,0)</f>
        <v>CAMPO MOURÃO</v>
      </c>
      <c r="S9" s="191" t="s">
        <v>3363</v>
      </c>
      <c r="T9" s="191" t="s">
        <v>3364</v>
      </c>
      <c r="U9" s="416" t="s">
        <v>3365</v>
      </c>
      <c r="V9" s="191" t="s">
        <v>3366</v>
      </c>
      <c r="W9" s="195">
        <v>0.625</v>
      </c>
      <c r="X9" s="420">
        <v>0.625</v>
      </c>
      <c r="Y9" s="16" t="s">
        <v>3315</v>
      </c>
      <c r="Z9" s="49"/>
      <c r="AA9" s="175" t="str">
        <f>VLOOKUP(Tabela2[[#This Row],[Turma]],CC!E8:F63,2,TRUE)</f>
        <v>465905AAE</v>
      </c>
      <c r="AB9" s="40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>
      <c r="A10" s="14"/>
      <c r="B10" s="13" t="str">
        <f t="shared" ref="B10:B36" si="3">IF(ISBLANK(A10), "Pendente", "Realizada")</f>
        <v>Pendente</v>
      </c>
      <c r="C10" s="14" t="str">
        <f t="shared" ref="C10:C36" si="4">IF(A10="", "", EDATE(A10, 3))</f>
        <v/>
      </c>
      <c r="D10" s="41" t="s">
        <v>611</v>
      </c>
      <c r="E10" s="14" t="str">
        <f t="shared" ref="E10:E36" si="5">IF(C10="", "", EDATE(C10, 3))</f>
        <v/>
      </c>
      <c r="F10" s="41" t="s">
        <v>611</v>
      </c>
      <c r="G10" s="191">
        <v>202500652</v>
      </c>
      <c r="H10" s="191" t="s">
        <v>3367</v>
      </c>
      <c r="I10" s="191" t="s">
        <v>3311</v>
      </c>
      <c r="J10" s="192">
        <v>45887</v>
      </c>
      <c r="K10" s="192">
        <v>46465</v>
      </c>
      <c r="L10" s="191" t="s">
        <v>1185</v>
      </c>
      <c r="M10" s="191" t="s">
        <v>2478</v>
      </c>
      <c r="N10" s="13" t="s">
        <v>2479</v>
      </c>
      <c r="O10" s="17" t="s">
        <v>3368</v>
      </c>
      <c r="P10" s="191" t="s">
        <v>436</v>
      </c>
      <c r="Q10" s="13" t="s">
        <v>618</v>
      </c>
      <c r="R10" s="13" t="str">
        <f>VLOOKUP(P10,'Dados das Regiões '!A:B,2,0)</f>
        <v>PATO BRANCO</v>
      </c>
      <c r="S10" s="191" t="s">
        <v>2481</v>
      </c>
      <c r="T10" s="191" t="s">
        <v>2482</v>
      </c>
      <c r="U10" s="416" t="s">
        <v>3369</v>
      </c>
      <c r="V10" s="191" t="s">
        <v>3370</v>
      </c>
      <c r="W10" s="195">
        <v>0.58333333333333337</v>
      </c>
      <c r="X10" s="420">
        <v>0.66666666666666663</v>
      </c>
      <c r="Y10" s="16" t="s">
        <v>3315</v>
      </c>
      <c r="Z10" s="36"/>
      <c r="AA10" s="175" t="str">
        <f>VLOOKUP(Tabela2[[#This Row],[Turma]],CC!E9:F64,2,TRUE)</f>
        <v>465905AAE</v>
      </c>
    </row>
    <row r="11" spans="1:42">
      <c r="A11" s="14"/>
      <c r="B11" s="13" t="str">
        <f t="shared" si="3"/>
        <v>Pendente</v>
      </c>
      <c r="C11" s="14" t="str">
        <f t="shared" si="4"/>
        <v/>
      </c>
      <c r="D11" s="41" t="s">
        <v>611</v>
      </c>
      <c r="E11" s="14" t="str">
        <f t="shared" si="5"/>
        <v/>
      </c>
      <c r="F11" s="41" t="s">
        <v>611</v>
      </c>
      <c r="G11" s="416">
        <v>202500997</v>
      </c>
      <c r="H11" s="416" t="s">
        <v>3371</v>
      </c>
      <c r="I11" s="416" t="s">
        <v>3311</v>
      </c>
      <c r="J11" s="417">
        <v>45950</v>
      </c>
      <c r="K11" s="417">
        <v>46532</v>
      </c>
      <c r="L11" s="416" t="s">
        <v>1185</v>
      </c>
      <c r="M11" s="416" t="s">
        <v>3372</v>
      </c>
      <c r="N11" s="13" t="s">
        <v>3373</v>
      </c>
      <c r="O11" s="17" t="s">
        <v>3374</v>
      </c>
      <c r="P11" s="416" t="s">
        <v>490</v>
      </c>
      <c r="Q11" s="13" t="s">
        <v>618</v>
      </c>
      <c r="R11" s="13" t="str">
        <f>VLOOKUP(P11,'Dados das Regiões '!A:B,2,0)</f>
        <v>UMUARAMA</v>
      </c>
      <c r="S11" s="416" t="s">
        <v>3375</v>
      </c>
      <c r="T11" s="416" t="s">
        <v>3376</v>
      </c>
      <c r="U11" s="191" t="s">
        <v>3377</v>
      </c>
      <c r="V11" s="416" t="s">
        <v>3378</v>
      </c>
      <c r="W11" s="418">
        <v>0.58333333333333337</v>
      </c>
      <c r="X11" s="419">
        <v>0.66666666666666663</v>
      </c>
      <c r="Y11" s="16" t="s">
        <v>3315</v>
      </c>
      <c r="Z11" s="36"/>
      <c r="AA11" s="175" t="str">
        <f>VLOOKUP(Tabela2[[#This Row],[Turma]],CC!E10:F65,2,TRUE)</f>
        <v>465905AAH</v>
      </c>
    </row>
    <row r="12" spans="1:42">
      <c r="A12" s="14"/>
      <c r="B12" s="13" t="str">
        <f t="shared" si="3"/>
        <v>Pendente</v>
      </c>
      <c r="C12" s="14" t="str">
        <f t="shared" si="4"/>
        <v/>
      </c>
      <c r="D12" s="41" t="s">
        <v>611</v>
      </c>
      <c r="E12" s="14" t="str">
        <f t="shared" si="5"/>
        <v/>
      </c>
      <c r="F12" s="41" t="s">
        <v>611</v>
      </c>
      <c r="G12" s="416">
        <v>202500652</v>
      </c>
      <c r="H12" s="416" t="s">
        <v>3379</v>
      </c>
      <c r="I12" s="416" t="s">
        <v>3311</v>
      </c>
      <c r="J12" s="417">
        <v>45887</v>
      </c>
      <c r="K12" s="417">
        <v>46465</v>
      </c>
      <c r="L12" s="416" t="s">
        <v>1185</v>
      </c>
      <c r="M12" s="416" t="s">
        <v>3380</v>
      </c>
      <c r="N12" s="13" t="s">
        <v>3381</v>
      </c>
      <c r="O12" s="17" t="s">
        <v>3382</v>
      </c>
      <c r="P12" s="416" t="s">
        <v>265</v>
      </c>
      <c r="Q12" s="13" t="s">
        <v>618</v>
      </c>
      <c r="R12" s="13" t="str">
        <f>VLOOKUP(P12,'Dados das Regiões '!A:B,2,0)</f>
        <v>FRANCISCO BELTRÃO</v>
      </c>
      <c r="S12" s="416" t="s">
        <v>3383</v>
      </c>
      <c r="T12" s="416"/>
      <c r="U12" s="191" t="s">
        <v>3384</v>
      </c>
      <c r="V12" s="416" t="s">
        <v>3385</v>
      </c>
      <c r="W12" s="418">
        <v>0.5625</v>
      </c>
      <c r="X12" s="419">
        <v>0.64583333333333337</v>
      </c>
      <c r="Y12" s="16" t="s">
        <v>3315</v>
      </c>
      <c r="Z12" s="36"/>
      <c r="AA12" s="175" t="str">
        <f>VLOOKUP(Tabela2[[#This Row],[Turma]],CC!E11:F66,2,TRUE)</f>
        <v>465905AAE</v>
      </c>
    </row>
    <row r="13" spans="1:42">
      <c r="A13" s="14"/>
      <c r="B13" s="13" t="str">
        <f t="shared" si="3"/>
        <v>Pendente</v>
      </c>
      <c r="C13" s="14" t="str">
        <f t="shared" si="4"/>
        <v/>
      </c>
      <c r="D13" s="41" t="s">
        <v>611</v>
      </c>
      <c r="E13" s="14" t="str">
        <f t="shared" si="5"/>
        <v/>
      </c>
      <c r="F13" s="41" t="s">
        <v>611</v>
      </c>
      <c r="G13" s="191">
        <v>202500652</v>
      </c>
      <c r="H13" s="191" t="s">
        <v>3386</v>
      </c>
      <c r="I13" s="191" t="s">
        <v>3311</v>
      </c>
      <c r="J13" s="192">
        <v>45887</v>
      </c>
      <c r="K13" s="192">
        <v>46465</v>
      </c>
      <c r="L13" s="191" t="s">
        <v>1850</v>
      </c>
      <c r="M13" s="191" t="s">
        <v>1851</v>
      </c>
      <c r="N13" s="13" t="s">
        <v>3387</v>
      </c>
      <c r="O13" s="17" t="s">
        <v>3388</v>
      </c>
      <c r="P13" s="191" t="s">
        <v>383</v>
      </c>
      <c r="Q13" s="13" t="s">
        <v>618</v>
      </c>
      <c r="R13" s="13" t="str">
        <f>VLOOKUP(P13,'Dados das Regiões '!A:B,2,0)</f>
        <v>MATINHOS CAIOBÁ</v>
      </c>
      <c r="S13" s="416" t="s">
        <v>1862</v>
      </c>
      <c r="T13" s="191" t="s">
        <v>3389</v>
      </c>
      <c r="U13" s="416" t="s">
        <v>1950</v>
      </c>
      <c r="V13" s="191" t="s">
        <v>1857</v>
      </c>
      <c r="W13" s="195">
        <v>0.58333333333333337</v>
      </c>
      <c r="X13" s="420">
        <v>0.66666666666666663</v>
      </c>
      <c r="Y13" s="16" t="s">
        <v>3315</v>
      </c>
      <c r="Z13" s="36"/>
      <c r="AA13" s="175" t="str">
        <f>VLOOKUP(Tabela2[[#This Row],[Turma]],CC!E12:F67,2,TRUE)</f>
        <v>465905AAE</v>
      </c>
    </row>
    <row r="14" spans="1:42">
      <c r="A14" s="14"/>
      <c r="B14" s="13" t="str">
        <f t="shared" si="3"/>
        <v>Pendente</v>
      </c>
      <c r="C14" s="14" t="str">
        <f t="shared" si="4"/>
        <v/>
      </c>
      <c r="D14" s="41" t="s">
        <v>611</v>
      </c>
      <c r="E14" s="14" t="str">
        <f t="shared" si="5"/>
        <v/>
      </c>
      <c r="F14" s="41" t="s">
        <v>611</v>
      </c>
      <c r="G14" s="416">
        <v>202500652</v>
      </c>
      <c r="H14" s="416" t="s">
        <v>3390</v>
      </c>
      <c r="I14" s="416" t="s">
        <v>3311</v>
      </c>
      <c r="J14" s="417">
        <v>45887</v>
      </c>
      <c r="K14" s="417">
        <v>46465</v>
      </c>
      <c r="L14" s="416" t="s">
        <v>1850</v>
      </c>
      <c r="M14" s="416" t="s">
        <v>3391</v>
      </c>
      <c r="N14" s="13" t="s">
        <v>3392</v>
      </c>
      <c r="O14" s="17" t="s">
        <v>3393</v>
      </c>
      <c r="P14" s="416" t="s">
        <v>383</v>
      </c>
      <c r="Q14" s="13" t="s">
        <v>618</v>
      </c>
      <c r="R14" s="13" t="str">
        <f>VLOOKUP(P14,'Dados das Regiões '!A:B,2,0)</f>
        <v>MATINHOS CAIOBÁ</v>
      </c>
      <c r="S14" s="416" t="s">
        <v>1862</v>
      </c>
      <c r="T14" s="416"/>
      <c r="U14" s="191" t="s">
        <v>3384</v>
      </c>
      <c r="V14" s="416" t="s">
        <v>1857</v>
      </c>
      <c r="W14" s="418">
        <v>0.58333333333333337</v>
      </c>
      <c r="X14" s="419">
        <v>0.66666666666666663</v>
      </c>
      <c r="Y14" s="16" t="s">
        <v>3315</v>
      </c>
      <c r="Z14" s="36"/>
      <c r="AA14" s="175" t="str">
        <f>VLOOKUP(Tabela2[[#This Row],[Turma]],CC!E13:F68,2,TRUE)</f>
        <v>465905AAE</v>
      </c>
    </row>
    <row r="15" spans="1:42">
      <c r="A15" s="14"/>
      <c r="B15" s="13" t="str">
        <f t="shared" si="3"/>
        <v>Pendente</v>
      </c>
      <c r="C15" s="14" t="str">
        <f t="shared" si="4"/>
        <v/>
      </c>
      <c r="D15" s="41" t="s">
        <v>611</v>
      </c>
      <c r="E15" s="14" t="str">
        <f t="shared" si="5"/>
        <v/>
      </c>
      <c r="F15" s="41" t="s">
        <v>611</v>
      </c>
      <c r="G15" s="416">
        <v>202500652</v>
      </c>
      <c r="H15" s="416" t="s">
        <v>3394</v>
      </c>
      <c r="I15" s="416" t="s">
        <v>3311</v>
      </c>
      <c r="J15" s="417">
        <v>45887</v>
      </c>
      <c r="K15" s="417">
        <v>46465</v>
      </c>
      <c r="L15" s="416" t="s">
        <v>1850</v>
      </c>
      <c r="M15" s="416" t="s">
        <v>1859</v>
      </c>
      <c r="N15" s="13" t="s">
        <v>3395</v>
      </c>
      <c r="O15" s="17" t="s">
        <v>3396</v>
      </c>
      <c r="P15" s="416" t="s">
        <v>383</v>
      </c>
      <c r="Q15" s="13" t="s">
        <v>618</v>
      </c>
      <c r="R15" s="13" t="str">
        <f>VLOOKUP(P15,'Dados das Regiões '!A:B,2,0)</f>
        <v>MATINHOS CAIOBÁ</v>
      </c>
      <c r="S15" s="416" t="s">
        <v>1862</v>
      </c>
      <c r="T15" s="416" t="s">
        <v>3389</v>
      </c>
      <c r="U15" s="191" t="s">
        <v>3384</v>
      </c>
      <c r="V15" s="416" t="s">
        <v>1857</v>
      </c>
      <c r="W15" s="418">
        <v>0.58333333333333337</v>
      </c>
      <c r="X15" s="419">
        <v>0.66666666666666663</v>
      </c>
      <c r="Y15" s="16" t="s">
        <v>3315</v>
      </c>
      <c r="Z15" s="36"/>
      <c r="AA15" s="175" t="str">
        <f>VLOOKUP(Tabela2[[#This Row],[Turma]],CC!E15:F70,2,TRUE)</f>
        <v>465905AAE</v>
      </c>
    </row>
    <row r="16" spans="1:42">
      <c r="A16" s="14"/>
      <c r="B16" s="13" t="str">
        <f t="shared" si="3"/>
        <v>Pendente</v>
      </c>
      <c r="C16" s="14" t="str">
        <f t="shared" si="4"/>
        <v/>
      </c>
      <c r="D16" s="41" t="s">
        <v>611</v>
      </c>
      <c r="E16" s="14" t="str">
        <f t="shared" si="5"/>
        <v/>
      </c>
      <c r="F16" s="41" t="s">
        <v>611</v>
      </c>
      <c r="G16" s="191">
        <v>202500652</v>
      </c>
      <c r="H16" s="191" t="s">
        <v>3397</v>
      </c>
      <c r="I16" s="191" t="s">
        <v>3311</v>
      </c>
      <c r="J16" s="192">
        <v>45887</v>
      </c>
      <c r="K16" s="192">
        <v>46465</v>
      </c>
      <c r="L16" s="191" t="s">
        <v>1850</v>
      </c>
      <c r="M16" s="191" t="s">
        <v>1851</v>
      </c>
      <c r="N16" s="13" t="s">
        <v>3387</v>
      </c>
      <c r="O16" s="17" t="s">
        <v>3388</v>
      </c>
      <c r="P16" s="191" t="s">
        <v>383</v>
      </c>
      <c r="Q16" s="13" t="s">
        <v>618</v>
      </c>
      <c r="R16" s="13" t="str">
        <f>VLOOKUP(P16,'Dados das Regiões '!A:B,2,0)</f>
        <v>MATINHOS CAIOBÁ</v>
      </c>
      <c r="S16" s="416" t="s">
        <v>1862</v>
      </c>
      <c r="T16" s="191" t="s">
        <v>3389</v>
      </c>
      <c r="U16" s="416" t="s">
        <v>1950</v>
      </c>
      <c r="V16" s="191" t="s">
        <v>1857</v>
      </c>
      <c r="W16" s="195">
        <v>0.33333333333333331</v>
      </c>
      <c r="X16" s="420">
        <v>0.41666666666666669</v>
      </c>
      <c r="Y16" s="16" t="s">
        <v>3315</v>
      </c>
      <c r="Z16" s="36"/>
      <c r="AA16" s="175" t="str">
        <f>VLOOKUP(Tabela2[[#This Row],[Turma]],CC!E16:F71,2,TRUE)</f>
        <v>465905AAE</v>
      </c>
    </row>
    <row r="17" spans="1:27">
      <c r="A17" s="14"/>
      <c r="B17" s="13" t="str">
        <f t="shared" si="3"/>
        <v>Pendente</v>
      </c>
      <c r="C17" s="14" t="str">
        <f t="shared" si="4"/>
        <v/>
      </c>
      <c r="D17" s="41" t="s">
        <v>611</v>
      </c>
      <c r="E17" s="14" t="str">
        <f t="shared" si="5"/>
        <v/>
      </c>
      <c r="F17" s="41" t="s">
        <v>611</v>
      </c>
      <c r="G17" s="416">
        <v>202500652</v>
      </c>
      <c r="H17" s="416" t="s">
        <v>3398</v>
      </c>
      <c r="I17" s="416" t="s">
        <v>3311</v>
      </c>
      <c r="J17" s="417">
        <v>45887</v>
      </c>
      <c r="K17" s="417">
        <v>46465</v>
      </c>
      <c r="L17" s="416" t="s">
        <v>1850</v>
      </c>
      <c r="M17" s="416" t="s">
        <v>1859</v>
      </c>
      <c r="N17" s="13" t="s">
        <v>3395</v>
      </c>
      <c r="O17" s="17" t="s">
        <v>3396</v>
      </c>
      <c r="P17" s="416" t="s">
        <v>383</v>
      </c>
      <c r="Q17" s="13" t="s">
        <v>618</v>
      </c>
      <c r="R17" s="13" t="str">
        <f>VLOOKUP(P17,'Dados das Regiões '!A:B,2,0)</f>
        <v>MATINHOS CAIOBÁ</v>
      </c>
      <c r="S17" s="416" t="s">
        <v>1862</v>
      </c>
      <c r="T17" s="416" t="s">
        <v>3389</v>
      </c>
      <c r="U17" s="191" t="s">
        <v>2701</v>
      </c>
      <c r="V17" s="416" t="s">
        <v>1857</v>
      </c>
      <c r="W17" s="418">
        <v>0.33333333333333331</v>
      </c>
      <c r="X17" s="419">
        <v>0.41666666666666669</v>
      </c>
      <c r="Y17" s="16" t="s">
        <v>3315</v>
      </c>
      <c r="Z17" s="36"/>
      <c r="AA17" s="175" t="str">
        <f>VLOOKUP(Tabela2[[#This Row],[Turma]],CC!E17:F72,2,TRUE)</f>
        <v>465905AAE</v>
      </c>
    </row>
    <row r="18" spans="1:27">
      <c r="A18" s="14"/>
      <c r="B18" s="13" t="str">
        <f t="shared" si="3"/>
        <v>Pendente</v>
      </c>
      <c r="C18" s="14" t="str">
        <f t="shared" si="4"/>
        <v/>
      </c>
      <c r="D18" s="41" t="s">
        <v>611</v>
      </c>
      <c r="E18" s="14" t="str">
        <f t="shared" si="5"/>
        <v/>
      </c>
      <c r="F18" s="41" t="s">
        <v>611</v>
      </c>
      <c r="G18" s="191">
        <v>202500652</v>
      </c>
      <c r="H18" s="191" t="s">
        <v>3399</v>
      </c>
      <c r="I18" s="191" t="s">
        <v>3311</v>
      </c>
      <c r="J18" s="192">
        <v>45887</v>
      </c>
      <c r="K18" s="192">
        <v>46465</v>
      </c>
      <c r="L18" s="191" t="s">
        <v>1185</v>
      </c>
      <c r="M18" s="191" t="s">
        <v>3400</v>
      </c>
      <c r="N18" s="13" t="s">
        <v>3401</v>
      </c>
      <c r="O18" s="17" t="s">
        <v>3402</v>
      </c>
      <c r="P18" s="191" t="s">
        <v>462</v>
      </c>
      <c r="Q18" s="13" t="s">
        <v>618</v>
      </c>
      <c r="R18" s="13" t="str">
        <f>VLOOKUP(P18,'Dados das Regiões '!A:B,2,0)</f>
        <v>SANTO ANTONIO DA PLATINA</v>
      </c>
      <c r="S18" s="191" t="s">
        <v>3403</v>
      </c>
      <c r="T18" s="191" t="s">
        <v>3404</v>
      </c>
      <c r="U18" s="416" t="s">
        <v>3405</v>
      </c>
      <c r="V18" s="191" t="s">
        <v>3406</v>
      </c>
      <c r="W18" s="195">
        <v>0.54166666666666663</v>
      </c>
      <c r="X18" s="420">
        <v>0.625</v>
      </c>
      <c r="Y18" s="16" t="s">
        <v>3315</v>
      </c>
      <c r="Z18" s="36"/>
      <c r="AA18" s="175" t="str">
        <f>VLOOKUP(Tabela2[[#This Row],[Turma]],CC!E18:F73,2,TRUE)</f>
        <v>465905AAE</v>
      </c>
    </row>
    <row r="19" spans="1:27">
      <c r="A19" s="14"/>
      <c r="B19" s="13" t="str">
        <f t="shared" si="3"/>
        <v>Pendente</v>
      </c>
      <c r="C19" s="14" t="str">
        <f t="shared" si="4"/>
        <v/>
      </c>
      <c r="D19" s="41" t="s">
        <v>611</v>
      </c>
      <c r="E19" s="14" t="str">
        <f t="shared" si="5"/>
        <v/>
      </c>
      <c r="F19" s="41" t="s">
        <v>611</v>
      </c>
      <c r="G19" s="416">
        <v>202500997</v>
      </c>
      <c r="H19" s="416" t="s">
        <v>3407</v>
      </c>
      <c r="I19" s="416" t="s">
        <v>3311</v>
      </c>
      <c r="J19" s="417">
        <v>45950</v>
      </c>
      <c r="K19" s="417">
        <v>46532</v>
      </c>
      <c r="L19" s="416" t="s">
        <v>1185</v>
      </c>
      <c r="M19" s="416" t="s">
        <v>2486</v>
      </c>
      <c r="N19" s="13" t="s">
        <v>2487</v>
      </c>
      <c r="O19" s="17" t="s">
        <v>3408</v>
      </c>
      <c r="P19" s="416" t="s">
        <v>452</v>
      </c>
      <c r="Q19" s="13" t="s">
        <v>618</v>
      </c>
      <c r="R19" s="13" t="str">
        <f>VLOOKUP(P19,'Dados das Regiões '!A:B,2,0)</f>
        <v>PRUDENTÓPOLIS</v>
      </c>
      <c r="S19" s="416" t="s">
        <v>3409</v>
      </c>
      <c r="T19" s="416" t="s">
        <v>2490</v>
      </c>
      <c r="U19" s="191" t="s">
        <v>3410</v>
      </c>
      <c r="V19" s="416" t="s">
        <v>3411</v>
      </c>
      <c r="W19" s="418">
        <v>0.5625</v>
      </c>
      <c r="X19" s="419">
        <v>0.64583333333333337</v>
      </c>
      <c r="Y19" s="16" t="s">
        <v>3315</v>
      </c>
      <c r="Z19" s="36"/>
      <c r="AA19" s="175" t="str">
        <f>VLOOKUP(Tabela2[[#This Row],[Turma]],CC!E19:F74,2,TRUE)</f>
        <v>465905AAE</v>
      </c>
    </row>
    <row r="20" spans="1:27">
      <c r="A20" s="14"/>
      <c r="B20" s="13" t="str">
        <f t="shared" si="3"/>
        <v>Pendente</v>
      </c>
      <c r="C20" s="14" t="str">
        <f t="shared" si="4"/>
        <v/>
      </c>
      <c r="D20" s="41" t="s">
        <v>611</v>
      </c>
      <c r="E20" s="14" t="str">
        <f t="shared" si="5"/>
        <v/>
      </c>
      <c r="F20" s="41" t="s">
        <v>611</v>
      </c>
      <c r="G20" s="191">
        <v>202500997</v>
      </c>
      <c r="H20" s="191" t="s">
        <v>3412</v>
      </c>
      <c r="I20" s="191" t="s">
        <v>3311</v>
      </c>
      <c r="J20" s="192">
        <v>45950</v>
      </c>
      <c r="K20" s="192">
        <v>46532</v>
      </c>
      <c r="L20" s="191" t="s">
        <v>1185</v>
      </c>
      <c r="M20" s="191" t="s">
        <v>2406</v>
      </c>
      <c r="N20" s="13" t="s">
        <v>3413</v>
      </c>
      <c r="O20" s="17" t="s">
        <v>3414</v>
      </c>
      <c r="P20" s="191" t="s">
        <v>495</v>
      </c>
      <c r="Q20" s="13" t="s">
        <v>618</v>
      </c>
      <c r="R20" s="13" t="str">
        <f>VLOOKUP(P20,'Dados das Regiões '!A:B,2,0)</f>
        <v>UMUARAMA</v>
      </c>
      <c r="S20" s="191" t="s">
        <v>3415</v>
      </c>
      <c r="T20" s="191" t="s">
        <v>2410</v>
      </c>
      <c r="U20" s="416" t="s">
        <v>3416</v>
      </c>
      <c r="V20" s="191" t="s">
        <v>2412</v>
      </c>
      <c r="W20" s="195">
        <v>0.54166666666666663</v>
      </c>
      <c r="X20" s="420">
        <v>0.625</v>
      </c>
      <c r="Y20" s="16" t="s">
        <v>3315</v>
      </c>
      <c r="Z20" s="36"/>
      <c r="AA20" s="175" t="str">
        <f>VLOOKUP(Tabela2[[#This Row],[Turma]],CC!E20:F75,2,TRUE)</f>
        <v>465905AAE</v>
      </c>
    </row>
    <row r="21" spans="1:27">
      <c r="A21" s="14"/>
      <c r="B21" s="13" t="str">
        <f t="shared" si="3"/>
        <v>Pendente</v>
      </c>
      <c r="C21" s="14" t="str">
        <f t="shared" si="4"/>
        <v/>
      </c>
      <c r="D21" s="41" t="s">
        <v>611</v>
      </c>
      <c r="E21" s="14" t="str">
        <f t="shared" si="5"/>
        <v/>
      </c>
      <c r="F21" s="41" t="s">
        <v>611</v>
      </c>
      <c r="G21" s="416">
        <v>202500997</v>
      </c>
      <c r="H21" s="416" t="s">
        <v>3417</v>
      </c>
      <c r="I21" s="416" t="s">
        <v>3311</v>
      </c>
      <c r="J21" s="417">
        <v>45950</v>
      </c>
      <c r="K21" s="417">
        <v>46532</v>
      </c>
      <c r="L21" s="416" t="s">
        <v>1185</v>
      </c>
      <c r="M21" s="416" t="s">
        <v>3418</v>
      </c>
      <c r="N21" s="13" t="s">
        <v>3419</v>
      </c>
      <c r="O21" s="17" t="s">
        <v>3420</v>
      </c>
      <c r="P21" s="416" t="s">
        <v>255</v>
      </c>
      <c r="Q21" s="13" t="s">
        <v>618</v>
      </c>
      <c r="R21" s="13" t="str">
        <f>VLOOKUP(P21,'Dados das Regiões '!A:B,2,0)</f>
        <v>FOZ DO IGUAÇU</v>
      </c>
      <c r="S21" s="416" t="s">
        <v>3421</v>
      </c>
      <c r="T21" s="416" t="s">
        <v>3422</v>
      </c>
      <c r="U21" s="191" t="s">
        <v>3423</v>
      </c>
      <c r="V21" s="416" t="s">
        <v>3424</v>
      </c>
      <c r="W21" s="418">
        <v>0.33333333333333331</v>
      </c>
      <c r="X21" s="419">
        <v>0.41666666666666669</v>
      </c>
      <c r="Y21" s="16" t="s">
        <v>3315</v>
      </c>
      <c r="Z21" s="36"/>
      <c r="AA21" s="175" t="str">
        <f>VLOOKUP(Tabela2[[#This Row],[Turma]],CC!E21:F76,2,TRUE)</f>
        <v>465905AAE</v>
      </c>
    </row>
    <row r="22" spans="1:27">
      <c r="A22" s="14"/>
      <c r="B22" s="13" t="str">
        <f t="shared" si="3"/>
        <v>Pendente</v>
      </c>
      <c r="C22" s="14" t="str">
        <f t="shared" si="4"/>
        <v/>
      </c>
      <c r="D22" s="41" t="s">
        <v>611</v>
      </c>
      <c r="E22" s="14" t="str">
        <f t="shared" si="5"/>
        <v/>
      </c>
      <c r="F22" s="41" t="s">
        <v>611</v>
      </c>
      <c r="G22" s="191">
        <v>202500997</v>
      </c>
      <c r="H22" s="191" t="s">
        <v>3425</v>
      </c>
      <c r="I22" s="191" t="s">
        <v>3311</v>
      </c>
      <c r="J22" s="192">
        <v>45950</v>
      </c>
      <c r="K22" s="192">
        <v>46532</v>
      </c>
      <c r="L22" s="191" t="s">
        <v>3426</v>
      </c>
      <c r="M22" s="191" t="s">
        <v>3427</v>
      </c>
      <c r="N22" s="17" t="s">
        <v>3428</v>
      </c>
      <c r="O22" s="17" t="s">
        <v>3429</v>
      </c>
      <c r="P22" s="191" t="s">
        <v>346</v>
      </c>
      <c r="Q22" s="13" t="s">
        <v>618</v>
      </c>
      <c r="R22" s="13" t="str">
        <f>VLOOKUP(P22,'Dados das Regiões '!A:B,2,0)</f>
        <v>LONDRINA NORTE</v>
      </c>
      <c r="S22" s="191" t="s">
        <v>3430</v>
      </c>
      <c r="T22" s="191" t="s">
        <v>3431</v>
      </c>
      <c r="U22" s="416" t="s">
        <v>3432</v>
      </c>
      <c r="V22" s="191" t="s">
        <v>3433</v>
      </c>
      <c r="W22" s="195">
        <v>0.33333333333333331</v>
      </c>
      <c r="X22" s="420">
        <v>0.41666666666666669</v>
      </c>
      <c r="Y22" s="16" t="s">
        <v>3315</v>
      </c>
      <c r="Z22" s="36"/>
      <c r="AA22" s="175" t="str">
        <f>VLOOKUP(Tabela2[[#This Row],[Turma]],CC!E22:F77,2,TRUE)</f>
        <v>465905AAE</v>
      </c>
    </row>
    <row r="23" spans="1:27">
      <c r="A23" s="14"/>
      <c r="B23" s="13" t="str">
        <f t="shared" si="3"/>
        <v>Pendente</v>
      </c>
      <c r="C23" s="14" t="str">
        <f t="shared" si="4"/>
        <v/>
      </c>
      <c r="D23" s="41" t="s">
        <v>611</v>
      </c>
      <c r="E23" s="14" t="str">
        <f t="shared" si="5"/>
        <v/>
      </c>
      <c r="F23" s="41" t="s">
        <v>611</v>
      </c>
      <c r="G23" s="416">
        <v>202500997</v>
      </c>
      <c r="H23" s="416" t="s">
        <v>3434</v>
      </c>
      <c r="I23" s="416" t="s">
        <v>3311</v>
      </c>
      <c r="J23" s="417">
        <v>45950</v>
      </c>
      <c r="K23" s="417">
        <v>46532</v>
      </c>
      <c r="L23" s="416" t="s">
        <v>3426</v>
      </c>
      <c r="M23" s="416" t="s">
        <v>3427</v>
      </c>
      <c r="N23" s="17" t="s">
        <v>3428</v>
      </c>
      <c r="O23" s="17" t="s">
        <v>3429</v>
      </c>
      <c r="P23" s="416" t="s">
        <v>346</v>
      </c>
      <c r="Q23" s="13" t="s">
        <v>618</v>
      </c>
      <c r="R23" s="13" t="str">
        <f>VLOOKUP(P23,'Dados das Regiões '!A:B,2,0)</f>
        <v>LONDRINA NORTE</v>
      </c>
      <c r="S23" s="416" t="s">
        <v>3435</v>
      </c>
      <c r="T23" s="416" t="s">
        <v>3431</v>
      </c>
      <c r="U23" s="191" t="s">
        <v>3436</v>
      </c>
      <c r="V23" s="416" t="s">
        <v>3433</v>
      </c>
      <c r="W23" s="418">
        <v>0.54166666666666663</v>
      </c>
      <c r="X23" s="419">
        <v>0.625</v>
      </c>
      <c r="Y23" s="16" t="s">
        <v>3315</v>
      </c>
      <c r="Z23" s="36"/>
      <c r="AA23" s="175" t="str">
        <f>VLOOKUP(Tabela2[[#This Row],[Turma]],CC!E23:F78,2,TRUE)</f>
        <v>465905AAH</v>
      </c>
    </row>
    <row r="24" spans="1:27">
      <c r="A24" s="14"/>
      <c r="B24" s="13" t="str">
        <f t="shared" si="3"/>
        <v>Pendente</v>
      </c>
      <c r="C24" s="14" t="str">
        <f t="shared" si="4"/>
        <v/>
      </c>
      <c r="D24" s="41" t="s">
        <v>611</v>
      </c>
      <c r="E24" s="14" t="str">
        <f t="shared" si="5"/>
        <v/>
      </c>
      <c r="F24" s="41" t="s">
        <v>611</v>
      </c>
      <c r="G24" s="191">
        <v>202500652</v>
      </c>
      <c r="H24" s="191" t="s">
        <v>3437</v>
      </c>
      <c r="I24" s="191" t="s">
        <v>3311</v>
      </c>
      <c r="J24" s="192">
        <v>45887</v>
      </c>
      <c r="K24" s="192">
        <v>46465</v>
      </c>
      <c r="L24" s="191" t="s">
        <v>1889</v>
      </c>
      <c r="M24" s="191" t="s">
        <v>3001</v>
      </c>
      <c r="N24" s="13" t="s">
        <v>3002</v>
      </c>
      <c r="O24" s="17" t="s">
        <v>3438</v>
      </c>
      <c r="P24" s="191" t="s">
        <v>210</v>
      </c>
      <c r="Q24" s="13" t="s">
        <v>618</v>
      </c>
      <c r="R24" s="13" t="str">
        <f>VLOOKUP(P24,'Dados das Regiões '!A:B,2,0)</f>
        <v>CASTRO</v>
      </c>
      <c r="S24" s="191" t="s">
        <v>3439</v>
      </c>
      <c r="T24" s="191" t="s">
        <v>3329</v>
      </c>
      <c r="U24" s="416" t="s">
        <v>3440</v>
      </c>
      <c r="V24" s="191" t="s">
        <v>3006</v>
      </c>
      <c r="W24" s="195">
        <v>0.5</v>
      </c>
      <c r="X24" s="420">
        <v>0.58333333333333337</v>
      </c>
      <c r="Y24" s="16" t="s">
        <v>3315</v>
      </c>
      <c r="Z24" s="36"/>
      <c r="AA24" s="175" t="str">
        <f>VLOOKUP(Tabela2[[#This Row],[Turma]],CC!E24:F79,2,TRUE)</f>
        <v>465905AAE</v>
      </c>
    </row>
    <row r="25" spans="1:27">
      <c r="A25" s="14"/>
      <c r="B25" s="13" t="str">
        <f t="shared" si="3"/>
        <v>Pendente</v>
      </c>
      <c r="C25" s="14" t="str">
        <f t="shared" si="4"/>
        <v/>
      </c>
      <c r="D25" s="41" t="s">
        <v>611</v>
      </c>
      <c r="E25" s="14" t="str">
        <f t="shared" si="5"/>
        <v/>
      </c>
      <c r="F25" s="41" t="s">
        <v>611</v>
      </c>
      <c r="G25" s="416">
        <v>202500997</v>
      </c>
      <c r="H25" s="416" t="s">
        <v>3441</v>
      </c>
      <c r="I25" s="416" t="s">
        <v>3311</v>
      </c>
      <c r="J25" s="417">
        <v>45950</v>
      </c>
      <c r="K25" s="417">
        <v>46532</v>
      </c>
      <c r="L25" s="416" t="s">
        <v>1185</v>
      </c>
      <c r="M25" s="416" t="s">
        <v>3442</v>
      </c>
      <c r="N25" s="13" t="s">
        <v>3443</v>
      </c>
      <c r="O25" s="17" t="s">
        <v>3444</v>
      </c>
      <c r="P25" s="416" t="s">
        <v>327</v>
      </c>
      <c r="Q25" s="13" t="s">
        <v>618</v>
      </c>
      <c r="R25" s="13" t="str">
        <f>VLOOKUP(P25,'Dados das Regiões '!A:B,2,0)</f>
        <v>JACAREZINHO</v>
      </c>
      <c r="S25" s="416" t="s">
        <v>3445</v>
      </c>
      <c r="T25" s="416" t="s">
        <v>3336</v>
      </c>
      <c r="U25" s="191" t="s">
        <v>3446</v>
      </c>
      <c r="V25" s="416" t="s">
        <v>3447</v>
      </c>
      <c r="W25" s="418">
        <v>0.54166666666666663</v>
      </c>
      <c r="X25" s="419">
        <v>0.625</v>
      </c>
      <c r="Y25" s="16" t="s">
        <v>3315</v>
      </c>
      <c r="Z25" s="36"/>
      <c r="AA25" s="175" t="str">
        <f>VLOOKUP(Tabela2[[#This Row],[Turma]],CC!E25:F80,2,TRUE)</f>
        <v>465905AAH</v>
      </c>
    </row>
    <row r="26" spans="1:27">
      <c r="A26" s="14"/>
      <c r="B26" s="13" t="str">
        <f t="shared" si="3"/>
        <v>Pendente</v>
      </c>
      <c r="C26" s="14" t="str">
        <f t="shared" si="4"/>
        <v/>
      </c>
      <c r="D26" s="41" t="s">
        <v>611</v>
      </c>
      <c r="E26" s="14" t="str">
        <f t="shared" si="5"/>
        <v/>
      </c>
      <c r="F26" s="41" t="s">
        <v>611</v>
      </c>
      <c r="G26" s="191">
        <v>202500652</v>
      </c>
      <c r="H26" s="191" t="s">
        <v>3448</v>
      </c>
      <c r="I26" s="191" t="s">
        <v>3311</v>
      </c>
      <c r="J26" s="192">
        <v>45887</v>
      </c>
      <c r="K26" s="192">
        <v>46465</v>
      </c>
      <c r="L26" s="191" t="s">
        <v>1185</v>
      </c>
      <c r="M26" s="191" t="s">
        <v>3449</v>
      </c>
      <c r="N26" s="13" t="s">
        <v>3450</v>
      </c>
      <c r="O26" s="17" t="s">
        <v>3451</v>
      </c>
      <c r="P26" s="191" t="s">
        <v>124</v>
      </c>
      <c r="Q26" s="13" t="s">
        <v>618</v>
      </c>
      <c r="R26" s="13" t="str">
        <f>VLOOKUP(P26,'Dados das Regiões '!A:B,2,0)</f>
        <v>APUCARANA</v>
      </c>
      <c r="S26" s="191" t="s">
        <v>3452</v>
      </c>
      <c r="T26" s="191" t="s">
        <v>3453</v>
      </c>
      <c r="U26" s="416" t="s">
        <v>3454</v>
      </c>
      <c r="V26" s="191" t="s">
        <v>3455</v>
      </c>
      <c r="W26" s="195">
        <v>0.5625</v>
      </c>
      <c r="X26" s="420">
        <v>0.64583333333333337</v>
      </c>
      <c r="Y26" s="16" t="s">
        <v>3315</v>
      </c>
      <c r="Z26" s="36"/>
      <c r="AA26" s="175" t="str">
        <f>VLOOKUP(Tabela2[[#This Row],[Turma]],CC!E27:F82,2,TRUE)</f>
        <v>465905AAE</v>
      </c>
    </row>
    <row r="27" spans="1:27">
      <c r="A27" s="14"/>
      <c r="B27" s="13" t="str">
        <f t="shared" si="3"/>
        <v>Pendente</v>
      </c>
      <c r="C27" s="14" t="str">
        <f t="shared" si="4"/>
        <v/>
      </c>
      <c r="D27" s="41" t="s">
        <v>611</v>
      </c>
      <c r="E27" s="14" t="str">
        <f t="shared" si="5"/>
        <v/>
      </c>
      <c r="F27" s="41" t="s">
        <v>611</v>
      </c>
      <c r="G27" s="416">
        <v>202500997</v>
      </c>
      <c r="H27" s="416" t="s">
        <v>3456</v>
      </c>
      <c r="I27" s="416" t="s">
        <v>3311</v>
      </c>
      <c r="J27" s="417">
        <v>45950</v>
      </c>
      <c r="K27" s="417">
        <v>46532</v>
      </c>
      <c r="L27" s="416" t="s">
        <v>1185</v>
      </c>
      <c r="M27" s="416" t="s">
        <v>2455</v>
      </c>
      <c r="N27" s="13" t="s">
        <v>2456</v>
      </c>
      <c r="O27" s="17" t="s">
        <v>3457</v>
      </c>
      <c r="P27" s="416" t="s">
        <v>388</v>
      </c>
      <c r="Q27" s="13" t="s">
        <v>618</v>
      </c>
      <c r="R27" s="13" t="str">
        <f>VLOOKUP(P27,'Dados das Regiões '!A:B,2,0)</f>
        <v>MEDIANEIRA</v>
      </c>
      <c r="S27" s="416" t="s">
        <v>3458</v>
      </c>
      <c r="T27" s="416" t="s">
        <v>3365</v>
      </c>
      <c r="U27" s="191" t="s">
        <v>3459</v>
      </c>
      <c r="V27" s="416" t="s">
        <v>3460</v>
      </c>
      <c r="W27" s="418">
        <v>0.64583333333333337</v>
      </c>
      <c r="X27" s="419">
        <v>0.5625</v>
      </c>
      <c r="Y27" s="16" t="s">
        <v>3315</v>
      </c>
      <c r="Z27" s="36"/>
      <c r="AA27" s="175" t="str">
        <f>VLOOKUP(Tabela2[[#This Row],[Turma]],CC!E28:F83,2,TRUE)</f>
        <v>465905AAE</v>
      </c>
    </row>
    <row r="28" spans="1:27">
      <c r="A28" s="14"/>
      <c r="B28" s="13" t="str">
        <f t="shared" si="3"/>
        <v>Pendente</v>
      </c>
      <c r="C28" s="14" t="str">
        <f t="shared" si="4"/>
        <v/>
      </c>
      <c r="D28" s="41" t="s">
        <v>611</v>
      </c>
      <c r="E28" s="14" t="str">
        <f t="shared" si="5"/>
        <v/>
      </c>
      <c r="F28" s="41" t="s">
        <v>611</v>
      </c>
      <c r="G28" s="191">
        <v>202500997</v>
      </c>
      <c r="H28" s="191" t="s">
        <v>3461</v>
      </c>
      <c r="I28" s="191" t="s">
        <v>3311</v>
      </c>
      <c r="J28" s="192">
        <v>45950</v>
      </c>
      <c r="K28" s="192">
        <v>46532</v>
      </c>
      <c r="L28" s="191" t="s">
        <v>3462</v>
      </c>
      <c r="M28" s="191" t="s">
        <v>3463</v>
      </c>
      <c r="N28" s="13" t="s">
        <v>3464</v>
      </c>
      <c r="O28" s="17" t="s">
        <v>3465</v>
      </c>
      <c r="P28" s="191" t="s">
        <v>65</v>
      </c>
      <c r="Q28" s="13" t="s">
        <v>618</v>
      </c>
      <c r="R28" s="13" t="str">
        <f>VLOOKUP(P28,'Dados das Regiões '!A:B,2,0)</f>
        <v>MEDIANEIRA</v>
      </c>
      <c r="S28" s="191" t="s">
        <v>2458</v>
      </c>
      <c r="T28" s="191" t="s">
        <v>2459</v>
      </c>
      <c r="U28" s="416" t="s">
        <v>3466</v>
      </c>
      <c r="V28" s="191" t="s">
        <v>3467</v>
      </c>
      <c r="W28" s="195">
        <v>0.5625</v>
      </c>
      <c r="X28" s="420">
        <v>0.64583333333333337</v>
      </c>
      <c r="Y28" s="16" t="s">
        <v>3315</v>
      </c>
      <c r="Z28" s="36"/>
      <c r="AA28" s="175" t="str">
        <f>VLOOKUP(Tabela2[[#This Row],[Turma]],CC!E29:F84,2,TRUE)</f>
        <v>465905AAE</v>
      </c>
    </row>
    <row r="29" spans="1:27">
      <c r="A29" s="14"/>
      <c r="B29" s="13" t="str">
        <f t="shared" si="3"/>
        <v>Pendente</v>
      </c>
      <c r="C29" s="14" t="str">
        <f t="shared" si="4"/>
        <v/>
      </c>
      <c r="D29" s="41" t="s">
        <v>611</v>
      </c>
      <c r="E29" s="14" t="str">
        <f t="shared" si="5"/>
        <v/>
      </c>
      <c r="F29" s="41" t="s">
        <v>611</v>
      </c>
      <c r="G29" s="416">
        <v>202500652</v>
      </c>
      <c r="H29" s="416" t="s">
        <v>3468</v>
      </c>
      <c r="I29" s="416" t="s">
        <v>3311</v>
      </c>
      <c r="J29" s="417">
        <v>45887</v>
      </c>
      <c r="K29" s="417">
        <v>46465</v>
      </c>
      <c r="L29" s="416" t="s">
        <v>2571</v>
      </c>
      <c r="M29" s="416" t="s">
        <v>3469</v>
      </c>
      <c r="N29" s="13" t="s">
        <v>3470</v>
      </c>
      <c r="O29" s="17" t="s">
        <v>3471</v>
      </c>
      <c r="P29" s="416" t="s">
        <v>133</v>
      </c>
      <c r="Q29" s="13" t="s">
        <v>618</v>
      </c>
      <c r="R29" s="13" t="str">
        <f>VLOOKUP(P29,'Dados das Regiões '!A:B,2,0)</f>
        <v>APUCARANA</v>
      </c>
      <c r="S29" s="416" t="s">
        <v>3472</v>
      </c>
      <c r="T29" s="416" t="s">
        <v>3473</v>
      </c>
      <c r="U29" s="191" t="s">
        <v>3474</v>
      </c>
      <c r="V29" s="416" t="s">
        <v>3475</v>
      </c>
      <c r="W29" s="418">
        <v>0.5625</v>
      </c>
      <c r="X29" s="419">
        <v>0.64583333333333337</v>
      </c>
      <c r="Y29" s="16" t="s">
        <v>3315</v>
      </c>
      <c r="Z29" s="36"/>
      <c r="AA29" s="175" t="str">
        <f>VLOOKUP(Tabela2[[#This Row],[Turma]],CC!E30:F85,2,TRUE)</f>
        <v>465905AAE</v>
      </c>
    </row>
    <row r="30" spans="1:27">
      <c r="A30" s="14"/>
      <c r="B30" s="13" t="str">
        <f t="shared" si="3"/>
        <v>Pendente</v>
      </c>
      <c r="C30" s="14" t="str">
        <f t="shared" si="4"/>
        <v/>
      </c>
      <c r="D30" s="41" t="s">
        <v>611</v>
      </c>
      <c r="E30" s="14" t="str">
        <f t="shared" si="5"/>
        <v/>
      </c>
      <c r="F30" s="41" t="s">
        <v>611</v>
      </c>
      <c r="G30" s="191">
        <v>202500997</v>
      </c>
      <c r="H30" s="191" t="s">
        <v>3476</v>
      </c>
      <c r="I30" s="191" t="s">
        <v>3311</v>
      </c>
      <c r="J30" s="192">
        <v>45950</v>
      </c>
      <c r="K30" s="192">
        <v>46532</v>
      </c>
      <c r="L30" s="191" t="s">
        <v>1185</v>
      </c>
      <c r="M30" s="191" t="s">
        <v>2674</v>
      </c>
      <c r="N30" s="13" t="s">
        <v>2675</v>
      </c>
      <c r="O30" s="17" t="s">
        <v>3477</v>
      </c>
      <c r="P30" s="191" t="s">
        <v>376</v>
      </c>
      <c r="Q30" s="13" t="s">
        <v>618</v>
      </c>
      <c r="R30" s="13" t="str">
        <f>VLOOKUP(P30,'Dados das Regiões '!A:B,2,0)</f>
        <v>MARINGÁ</v>
      </c>
      <c r="S30" s="191" t="s">
        <v>3478</v>
      </c>
      <c r="T30" s="191" t="s">
        <v>2678</v>
      </c>
      <c r="U30" s="416" t="s">
        <v>3479</v>
      </c>
      <c r="V30" s="191" t="s">
        <v>3480</v>
      </c>
      <c r="W30" s="195">
        <v>0.5625</v>
      </c>
      <c r="X30" s="420">
        <v>0.64583333333333337</v>
      </c>
      <c r="Y30" s="16" t="s">
        <v>3315</v>
      </c>
      <c r="Z30" s="36"/>
      <c r="AA30" s="175" t="str">
        <f>VLOOKUP(Tabela2[[#This Row],[Turma]],CC!E31:F86,2,TRUE)</f>
        <v>465905AAE</v>
      </c>
    </row>
    <row r="31" spans="1:27">
      <c r="A31" s="14"/>
      <c r="B31" s="13" t="str">
        <f t="shared" si="3"/>
        <v>Pendente</v>
      </c>
      <c r="C31" s="14" t="str">
        <f t="shared" si="4"/>
        <v/>
      </c>
      <c r="D31" s="41" t="s">
        <v>611</v>
      </c>
      <c r="E31" s="14" t="str">
        <f t="shared" si="5"/>
        <v/>
      </c>
      <c r="F31" s="41" t="s">
        <v>611</v>
      </c>
      <c r="G31" s="416">
        <v>202500652</v>
      </c>
      <c r="H31" s="416" t="s">
        <v>3481</v>
      </c>
      <c r="I31" s="416" t="s">
        <v>3311</v>
      </c>
      <c r="J31" s="417">
        <v>45887</v>
      </c>
      <c r="K31" s="417">
        <v>46465</v>
      </c>
      <c r="L31" s="416" t="s">
        <v>2049</v>
      </c>
      <c r="M31" s="416" t="s">
        <v>2057</v>
      </c>
      <c r="N31" s="13" t="s">
        <v>3482</v>
      </c>
      <c r="O31" s="17" t="s">
        <v>3483</v>
      </c>
      <c r="P31" s="416" t="s">
        <v>447</v>
      </c>
      <c r="Q31" s="13" t="s">
        <v>618</v>
      </c>
      <c r="R31" s="13" t="str">
        <f>VLOOKUP(P31,'Dados das Regiões '!A:B,2,0)</f>
        <v>PONTA GROSSA</v>
      </c>
      <c r="S31" s="416" t="s">
        <v>3484</v>
      </c>
      <c r="T31" s="416"/>
      <c r="U31" s="191" t="s">
        <v>3050</v>
      </c>
      <c r="V31" s="416" t="s">
        <v>3485</v>
      </c>
      <c r="W31" s="418">
        <v>0.3125</v>
      </c>
      <c r="X31" s="419">
        <v>0.39583333333333331</v>
      </c>
      <c r="Y31" s="16" t="s">
        <v>3315</v>
      </c>
      <c r="Z31" s="36"/>
      <c r="AA31" s="175" t="str">
        <f>VLOOKUP(Tabela2[[#This Row],[Turma]],CC!E32:F87,2,TRUE)</f>
        <v>465905AAE</v>
      </c>
    </row>
    <row r="32" spans="1:27">
      <c r="A32" s="14"/>
      <c r="B32" s="13" t="str">
        <f t="shared" si="3"/>
        <v>Pendente</v>
      </c>
      <c r="C32" s="14" t="str">
        <f t="shared" si="4"/>
        <v/>
      </c>
      <c r="D32" s="41" t="s">
        <v>611</v>
      </c>
      <c r="E32" s="14" t="str">
        <f t="shared" si="5"/>
        <v/>
      </c>
      <c r="F32" s="41" t="s">
        <v>611</v>
      </c>
      <c r="G32" s="191">
        <v>202500997</v>
      </c>
      <c r="H32" s="191" t="s">
        <v>3486</v>
      </c>
      <c r="I32" s="191" t="s">
        <v>3311</v>
      </c>
      <c r="J32" s="192">
        <v>45950</v>
      </c>
      <c r="K32" s="192">
        <v>46532</v>
      </c>
      <c r="L32" s="191" t="s">
        <v>1810</v>
      </c>
      <c r="M32" s="191" t="s">
        <v>2601</v>
      </c>
      <c r="N32" s="13" t="s">
        <v>2602</v>
      </c>
      <c r="O32" s="17" t="s">
        <v>3487</v>
      </c>
      <c r="P32" s="191" t="s">
        <v>480</v>
      </c>
      <c r="Q32" s="13" t="s">
        <v>618</v>
      </c>
      <c r="R32" s="13" t="str">
        <f>VLOOKUP(P32,'Dados das Regiões '!A:B,2,0)</f>
        <v>TOLEDO</v>
      </c>
      <c r="S32" s="191" t="s">
        <v>3488</v>
      </c>
      <c r="T32" s="191" t="s">
        <v>3489</v>
      </c>
      <c r="U32" s="416" t="s">
        <v>3490</v>
      </c>
      <c r="V32" s="191" t="s">
        <v>2606</v>
      </c>
      <c r="W32" s="195">
        <v>0.5625</v>
      </c>
      <c r="X32" s="420">
        <v>0.64583333333333337</v>
      </c>
      <c r="Y32" s="16" t="s">
        <v>3315</v>
      </c>
      <c r="Z32" s="36"/>
      <c r="AA32" s="175" t="str">
        <f>VLOOKUP(Tabela2[[#This Row],[Turma]],CC!E33:F88,2,TRUE)</f>
        <v>465905AAE</v>
      </c>
    </row>
    <row r="33" spans="1:27">
      <c r="A33" s="14"/>
      <c r="B33" s="13" t="str">
        <f t="shared" si="3"/>
        <v>Pendente</v>
      </c>
      <c r="C33" s="14" t="str">
        <f t="shared" si="4"/>
        <v/>
      </c>
      <c r="D33" s="41" t="s">
        <v>611</v>
      </c>
      <c r="E33" s="14" t="str">
        <f t="shared" si="5"/>
        <v/>
      </c>
      <c r="F33" s="41" t="s">
        <v>611</v>
      </c>
      <c r="G33" s="416">
        <v>202500997</v>
      </c>
      <c r="H33" s="416" t="s">
        <v>3491</v>
      </c>
      <c r="I33" s="416" t="s">
        <v>3311</v>
      </c>
      <c r="J33" s="417">
        <v>45950</v>
      </c>
      <c r="K33" s="417">
        <v>46532</v>
      </c>
      <c r="L33" s="416" t="s">
        <v>1945</v>
      </c>
      <c r="M33" s="416" t="s">
        <v>1946</v>
      </c>
      <c r="N33" s="13" t="s">
        <v>1947</v>
      </c>
      <c r="O33" s="17" t="s">
        <v>3492</v>
      </c>
      <c r="P33" s="416" t="s">
        <v>480</v>
      </c>
      <c r="Q33" s="13" t="s">
        <v>618</v>
      </c>
      <c r="R33" s="13" t="str">
        <f>VLOOKUP(P33,'Dados das Regiões '!A:B,2,0)</f>
        <v>TOLEDO</v>
      </c>
      <c r="S33" s="416" t="s">
        <v>3493</v>
      </c>
      <c r="T33" s="416" t="s">
        <v>3494</v>
      </c>
      <c r="U33" s="191" t="s">
        <v>3495</v>
      </c>
      <c r="V33" s="416" t="s">
        <v>1951</v>
      </c>
      <c r="W33" s="418">
        <v>0.5625</v>
      </c>
      <c r="X33" s="419">
        <v>0.64583333333333337</v>
      </c>
      <c r="Y33" s="16" t="s">
        <v>3315</v>
      </c>
      <c r="Z33" s="36"/>
      <c r="AA33" s="175" t="str">
        <f>VLOOKUP(Tabela2[[#This Row],[Turma]],CC!E34:F89,2,TRUE)</f>
        <v>465905AAE</v>
      </c>
    </row>
    <row r="34" spans="1:27">
      <c r="A34" s="14"/>
      <c r="B34" s="13" t="str">
        <f t="shared" si="3"/>
        <v>Pendente</v>
      </c>
      <c r="C34" s="14" t="str">
        <f t="shared" si="4"/>
        <v/>
      </c>
      <c r="D34" s="41" t="s">
        <v>611</v>
      </c>
      <c r="E34" s="14" t="str">
        <f t="shared" si="5"/>
        <v/>
      </c>
      <c r="F34" s="41" t="s">
        <v>611</v>
      </c>
      <c r="G34" s="191">
        <v>202500997</v>
      </c>
      <c r="H34" s="191" t="s">
        <v>3496</v>
      </c>
      <c r="I34" s="191" t="s">
        <v>3311</v>
      </c>
      <c r="J34" s="192">
        <v>45950</v>
      </c>
      <c r="K34" s="192">
        <v>46532</v>
      </c>
      <c r="L34" s="191" t="s">
        <v>1810</v>
      </c>
      <c r="M34" s="191" t="s">
        <v>2601</v>
      </c>
      <c r="N34" s="13" t="s">
        <v>2602</v>
      </c>
      <c r="O34" s="17" t="s">
        <v>3487</v>
      </c>
      <c r="P34" s="191" t="s">
        <v>480</v>
      </c>
      <c r="Q34" s="13" t="s">
        <v>618</v>
      </c>
      <c r="R34" s="13" t="str">
        <f>VLOOKUP(P34,'Dados das Regiões '!A:B,2,0)</f>
        <v>TOLEDO</v>
      </c>
      <c r="S34" s="191" t="s">
        <v>3488</v>
      </c>
      <c r="T34" s="191" t="s">
        <v>3489</v>
      </c>
      <c r="U34" s="13"/>
      <c r="V34" s="191" t="s">
        <v>2606</v>
      </c>
      <c r="W34" s="195">
        <v>0.33333333333333331</v>
      </c>
      <c r="X34" s="420">
        <v>0.41666666666666669</v>
      </c>
      <c r="Y34" s="16" t="s">
        <v>3315</v>
      </c>
      <c r="Z34" s="36"/>
      <c r="AA34" s="175" t="str">
        <f>VLOOKUP(Tabela2[[#This Row],[Turma]],CC!E35:F90,2,TRUE)</f>
        <v>465905AAE</v>
      </c>
    </row>
    <row r="35" spans="1:27">
      <c r="A35" s="14"/>
      <c r="B35" s="13" t="str">
        <f t="shared" si="3"/>
        <v>Pendente</v>
      </c>
      <c r="C35" s="14" t="str">
        <f t="shared" si="4"/>
        <v/>
      </c>
      <c r="D35" s="41" t="s">
        <v>611</v>
      </c>
      <c r="E35" s="14" t="str">
        <f t="shared" si="5"/>
        <v/>
      </c>
      <c r="F35" s="41" t="s">
        <v>611</v>
      </c>
      <c r="G35" s="416">
        <v>202500997</v>
      </c>
      <c r="H35" s="416" t="s">
        <v>3497</v>
      </c>
      <c r="I35" s="416" t="s">
        <v>3311</v>
      </c>
      <c r="J35" s="417">
        <v>45950</v>
      </c>
      <c r="K35" s="417">
        <v>46532</v>
      </c>
      <c r="L35" s="416" t="s">
        <v>1810</v>
      </c>
      <c r="M35" s="416" t="s">
        <v>2601</v>
      </c>
      <c r="N35" s="13" t="s">
        <v>2602</v>
      </c>
      <c r="O35" s="17" t="s">
        <v>3487</v>
      </c>
      <c r="P35" s="416" t="s">
        <v>480</v>
      </c>
      <c r="Q35" s="13" t="s">
        <v>618</v>
      </c>
      <c r="R35" s="13" t="str">
        <f>VLOOKUP(P35,'Dados das Regiões '!A:B,2,0)</f>
        <v>TOLEDO</v>
      </c>
      <c r="S35" s="416" t="s">
        <v>3488</v>
      </c>
      <c r="T35" s="416" t="s">
        <v>3489</v>
      </c>
      <c r="U35" s="13"/>
      <c r="V35" s="416" t="s">
        <v>2606</v>
      </c>
      <c r="W35" s="418">
        <v>0.33333333333333331</v>
      </c>
      <c r="X35" s="419">
        <v>0.41666666666666669</v>
      </c>
      <c r="Y35" s="16" t="s">
        <v>3315</v>
      </c>
      <c r="Z35" s="36"/>
      <c r="AA35" s="175" t="str">
        <f>VLOOKUP(Tabela2[[#This Row],[Turma]],CC!E36:F91,2,TRUE)</f>
        <v>465905AAE</v>
      </c>
    </row>
    <row r="36" spans="1:27">
      <c r="A36" s="14"/>
      <c r="B36" s="13" t="str">
        <f t="shared" si="3"/>
        <v>Pendente</v>
      </c>
      <c r="C36" s="14" t="str">
        <f t="shared" si="4"/>
        <v/>
      </c>
      <c r="D36" s="41" t="s">
        <v>611</v>
      </c>
      <c r="E36" s="14" t="str">
        <f t="shared" si="5"/>
        <v/>
      </c>
      <c r="F36" s="41" t="s">
        <v>611</v>
      </c>
      <c r="G36" s="191">
        <v>202500997</v>
      </c>
      <c r="H36" s="191" t="s">
        <v>3498</v>
      </c>
      <c r="I36" s="191" t="s">
        <v>3311</v>
      </c>
      <c r="J36" s="192">
        <v>45950</v>
      </c>
      <c r="K36" s="192">
        <v>46532</v>
      </c>
      <c r="L36" s="191" t="s">
        <v>1810</v>
      </c>
      <c r="M36" s="191" t="s">
        <v>2601</v>
      </c>
      <c r="N36" s="13" t="s">
        <v>2602</v>
      </c>
      <c r="O36" s="17" t="s">
        <v>3487</v>
      </c>
      <c r="P36" s="191" t="s">
        <v>480</v>
      </c>
      <c r="Q36" s="13" t="s">
        <v>618</v>
      </c>
      <c r="R36" s="13" t="str">
        <f>VLOOKUP(P36,'Dados das Regiões '!A:B,2,0)</f>
        <v>TOLEDO</v>
      </c>
      <c r="S36" s="191" t="s">
        <v>3499</v>
      </c>
      <c r="T36" s="191" t="s">
        <v>3489</v>
      </c>
      <c r="U36" s="13"/>
      <c r="V36" s="191" t="s">
        <v>2606</v>
      </c>
      <c r="W36" s="195">
        <v>0.5625</v>
      </c>
      <c r="X36" s="420">
        <v>0.64583333333333337</v>
      </c>
      <c r="Y36" s="16" t="s">
        <v>3315</v>
      </c>
      <c r="Z36" s="36"/>
      <c r="AA36" s="175" t="str">
        <f>VLOOKUP(Tabela2[[#This Row],[Turma]],CC!E37:F92,2,TRUE)</f>
        <v>465905AAH</v>
      </c>
    </row>
    <row r="37" spans="1:27">
      <c r="A37" s="14"/>
      <c r="B37" s="13" t="str">
        <f t="shared" ref="B37:B54" si="6">IF(ISBLANK(A37), "Pendente", "Realizada")</f>
        <v>Pendente</v>
      </c>
      <c r="C37" s="14" t="str">
        <f t="shared" ref="C37:C54" si="7">IF(A37="", "", EDATE(A37, 3))</f>
        <v/>
      </c>
      <c r="D37" s="41" t="s">
        <v>611</v>
      </c>
      <c r="E37" s="14" t="str">
        <f t="shared" ref="E37:E54" si="8">IF(C37="", "", EDATE(C37, 3))</f>
        <v/>
      </c>
      <c r="F37" s="41" t="s">
        <v>611</v>
      </c>
      <c r="G37" s="191">
        <v>202500997</v>
      </c>
      <c r="H37" s="191" t="s">
        <v>3500</v>
      </c>
      <c r="I37" s="191" t="s">
        <v>3311</v>
      </c>
      <c r="J37" s="192">
        <v>45950</v>
      </c>
      <c r="K37" s="192">
        <v>46532</v>
      </c>
      <c r="L37" s="191" t="s">
        <v>1185</v>
      </c>
      <c r="M37" s="191" t="s">
        <v>2696</v>
      </c>
      <c r="N37" s="13" t="s">
        <v>2697</v>
      </c>
      <c r="O37" s="17" t="s">
        <v>3501</v>
      </c>
      <c r="P37" s="191" t="s">
        <v>423</v>
      </c>
      <c r="Q37" s="13" t="s">
        <v>618</v>
      </c>
      <c r="R37" s="13" t="str">
        <f>VLOOKUP(P37,'Dados das Regiões '!A:B,2,0)</f>
        <v>PARANAVAÍ</v>
      </c>
      <c r="S37" s="191" t="s">
        <v>2699</v>
      </c>
      <c r="T37" s="191" t="s">
        <v>2701</v>
      </c>
      <c r="U37" s="13"/>
      <c r="V37" s="191" t="s">
        <v>2702</v>
      </c>
      <c r="W37" s="195">
        <v>0.54166666666666663</v>
      </c>
      <c r="X37" s="420">
        <v>0.625</v>
      </c>
      <c r="Y37" s="16" t="s">
        <v>3315</v>
      </c>
      <c r="Z37" s="36"/>
      <c r="AA37" s="175" t="str">
        <f>VLOOKUP(Tabela2[[#This Row],[Turma]],CC!E38:F93,2,TRUE)</f>
        <v>465905AAE</v>
      </c>
    </row>
    <row r="38" spans="1:27">
      <c r="A38" s="14"/>
      <c r="B38" s="13" t="str">
        <f t="shared" si="6"/>
        <v>Pendente</v>
      </c>
      <c r="C38" s="14" t="str">
        <f t="shared" si="7"/>
        <v/>
      </c>
      <c r="D38" s="41" t="s">
        <v>611</v>
      </c>
      <c r="E38" s="14" t="str">
        <f t="shared" si="8"/>
        <v/>
      </c>
      <c r="F38" s="41" t="s">
        <v>611</v>
      </c>
      <c r="G38" s="416">
        <v>202500652</v>
      </c>
      <c r="H38" s="416" t="s">
        <v>3502</v>
      </c>
      <c r="I38" s="416" t="s">
        <v>3311</v>
      </c>
      <c r="J38" s="417">
        <v>45887</v>
      </c>
      <c r="K38" s="417">
        <v>46465</v>
      </c>
      <c r="L38" s="416" t="s">
        <v>1185</v>
      </c>
      <c r="M38" s="416" t="s">
        <v>3503</v>
      </c>
      <c r="N38" s="13" t="s">
        <v>3504</v>
      </c>
      <c r="O38" s="17" t="s">
        <v>3505</v>
      </c>
      <c r="P38" s="416" t="s">
        <v>211</v>
      </c>
      <c r="Q38" s="13" t="s">
        <v>618</v>
      </c>
      <c r="R38" s="13" t="str">
        <f>VLOOKUP(P38,'Dados das Regiões '!A:B,2,0)</f>
        <v>CASTRO</v>
      </c>
      <c r="S38" s="416" t="s">
        <v>3506</v>
      </c>
      <c r="T38" s="416"/>
      <c r="U38" s="13"/>
      <c r="V38" s="416" t="s">
        <v>3507</v>
      </c>
      <c r="W38" s="418">
        <v>0.33333333333333331</v>
      </c>
      <c r="X38" s="419">
        <v>0.41666666666666669</v>
      </c>
      <c r="Y38" s="16" t="s">
        <v>3315</v>
      </c>
      <c r="Z38" s="36"/>
      <c r="AA38" s="175" t="str">
        <f>VLOOKUP(Tabela2[[#This Row],[Turma]],CC!E39:F94,2,TRUE)</f>
        <v>465905AAE</v>
      </c>
    </row>
    <row r="39" spans="1:27">
      <c r="A39" s="14"/>
      <c r="B39" s="13" t="str">
        <f t="shared" si="6"/>
        <v>Pendente</v>
      </c>
      <c r="C39" s="14" t="str">
        <f t="shared" si="7"/>
        <v/>
      </c>
      <c r="D39" s="41" t="s">
        <v>611</v>
      </c>
      <c r="E39" s="14" t="str">
        <f t="shared" si="8"/>
        <v/>
      </c>
      <c r="F39" s="41" t="s">
        <v>611</v>
      </c>
      <c r="G39" s="191">
        <v>202500997</v>
      </c>
      <c r="H39" s="191" t="s">
        <v>3508</v>
      </c>
      <c r="I39" s="191" t="s">
        <v>3311</v>
      </c>
      <c r="J39" s="192">
        <v>45950</v>
      </c>
      <c r="K39" s="192">
        <v>46532</v>
      </c>
      <c r="L39" s="191" t="s">
        <v>3509</v>
      </c>
      <c r="M39" s="191" t="s">
        <v>3510</v>
      </c>
      <c r="N39" s="13" t="s">
        <v>3511</v>
      </c>
      <c r="O39" s="17" t="s">
        <v>3512</v>
      </c>
      <c r="P39" s="191" t="s">
        <v>295</v>
      </c>
      <c r="Q39" s="13" t="s">
        <v>618</v>
      </c>
      <c r="R39" s="13" t="str">
        <f>VLOOKUP(P39,'Dados das Regiões '!A:B,2,0)</f>
        <v>GUARAPUAVA</v>
      </c>
      <c r="S39" s="191" t="s">
        <v>3513</v>
      </c>
      <c r="T39" s="191" t="s">
        <v>3514</v>
      </c>
      <c r="U39" s="13"/>
      <c r="V39" s="191" t="s">
        <v>3515</v>
      </c>
      <c r="W39" s="195">
        <v>0.54166666666666663</v>
      </c>
      <c r="X39" s="420">
        <v>0.625</v>
      </c>
      <c r="Y39" s="16" t="s">
        <v>3315</v>
      </c>
      <c r="Z39" s="36"/>
      <c r="AA39" s="175" t="str">
        <f>VLOOKUP(Tabela2[[#This Row],[Turma]],CC!E40:F95,2,TRUE)</f>
        <v>465905AAE</v>
      </c>
    </row>
    <row r="40" spans="1:27">
      <c r="A40" s="14"/>
      <c r="B40" s="13" t="str">
        <f t="shared" si="6"/>
        <v>Pendente</v>
      </c>
      <c r="C40" s="14" t="str">
        <f t="shared" si="7"/>
        <v/>
      </c>
      <c r="D40" s="41" t="s">
        <v>611</v>
      </c>
      <c r="E40" s="14" t="str">
        <f t="shared" si="8"/>
        <v/>
      </c>
      <c r="F40" s="41" t="s">
        <v>611</v>
      </c>
      <c r="G40" s="416">
        <v>202500652</v>
      </c>
      <c r="H40" s="416" t="s">
        <v>3516</v>
      </c>
      <c r="I40" s="416" t="s">
        <v>3311</v>
      </c>
      <c r="J40" s="417">
        <v>45887</v>
      </c>
      <c r="K40" s="417">
        <v>46465</v>
      </c>
      <c r="L40" s="416" t="s">
        <v>3032</v>
      </c>
      <c r="M40" s="416" t="s">
        <v>3033</v>
      </c>
      <c r="N40" s="13" t="s">
        <v>3034</v>
      </c>
      <c r="O40" s="17" t="s">
        <v>3517</v>
      </c>
      <c r="P40" s="416" t="s">
        <v>452</v>
      </c>
      <c r="Q40" s="13" t="s">
        <v>618</v>
      </c>
      <c r="R40" s="13" t="str">
        <f>VLOOKUP(P40,'Dados das Regiões '!A:B,2,0)</f>
        <v>PRUDENTÓPOLIS</v>
      </c>
      <c r="S40" s="416" t="s">
        <v>3036</v>
      </c>
      <c r="T40" s="416" t="s">
        <v>3416</v>
      </c>
      <c r="U40" s="13"/>
      <c r="V40" s="416" t="s">
        <v>3038</v>
      </c>
      <c r="W40" s="418">
        <v>0.58333333333333337</v>
      </c>
      <c r="X40" s="419">
        <v>0.66666666666666663</v>
      </c>
      <c r="Y40" s="16" t="s">
        <v>3315</v>
      </c>
      <c r="Z40" s="36"/>
      <c r="AA40" s="175" t="str">
        <f>VLOOKUP(Tabela2[[#This Row],[Turma]],CC!E41:F96,2,TRUE)</f>
        <v>465905AAE</v>
      </c>
    </row>
    <row r="41" spans="1:27">
      <c r="A41" s="14"/>
      <c r="B41" s="13" t="str">
        <f t="shared" si="6"/>
        <v>Pendente</v>
      </c>
      <c r="C41" s="14" t="str">
        <f t="shared" si="7"/>
        <v/>
      </c>
      <c r="D41" s="41" t="s">
        <v>611</v>
      </c>
      <c r="E41" s="14" t="str">
        <f t="shared" si="8"/>
        <v/>
      </c>
      <c r="F41" s="41" t="s">
        <v>611</v>
      </c>
      <c r="G41" s="191">
        <v>202500652</v>
      </c>
      <c r="H41" s="191" t="s">
        <v>3518</v>
      </c>
      <c r="I41" s="191" t="s">
        <v>3311</v>
      </c>
      <c r="J41" s="192">
        <v>45887</v>
      </c>
      <c r="K41" s="192">
        <v>46465</v>
      </c>
      <c r="L41" s="191" t="s">
        <v>3519</v>
      </c>
      <c r="M41" s="191" t="s">
        <v>3520</v>
      </c>
      <c r="N41" s="13" t="s">
        <v>3521</v>
      </c>
      <c r="O41" s="17" t="s">
        <v>3522</v>
      </c>
      <c r="P41" s="191" t="s">
        <v>450</v>
      </c>
      <c r="Q41" s="13" t="s">
        <v>618</v>
      </c>
      <c r="R41" s="13" t="str">
        <f>VLOOKUP(P41,'Dados das Regiões '!A:B,2,0)</f>
        <v>PONTA GROSSA</v>
      </c>
      <c r="S41" s="191" t="s">
        <v>3523</v>
      </c>
      <c r="T41" s="191" t="s">
        <v>3423</v>
      </c>
      <c r="U41" s="13"/>
      <c r="V41" s="191" t="s">
        <v>3524</v>
      </c>
      <c r="W41" s="195">
        <v>0.54166666666666663</v>
      </c>
      <c r="X41" s="420">
        <v>0.625</v>
      </c>
      <c r="Y41" s="16" t="s">
        <v>3315</v>
      </c>
      <c r="Z41" s="36"/>
      <c r="AA41" s="175" t="str">
        <f>VLOOKUP(Tabela2[[#This Row],[Turma]],CC!E42:F97,2,TRUE)</f>
        <v>465905AAE</v>
      </c>
    </row>
    <row r="42" spans="1:27">
      <c r="A42" s="14"/>
      <c r="B42" s="13" t="str">
        <f t="shared" si="6"/>
        <v>Pendente</v>
      </c>
      <c r="C42" s="14" t="str">
        <f t="shared" si="7"/>
        <v/>
      </c>
      <c r="D42" s="41" t="s">
        <v>611</v>
      </c>
      <c r="E42" s="14" t="str">
        <f t="shared" si="8"/>
        <v/>
      </c>
      <c r="F42" s="41" t="s">
        <v>611</v>
      </c>
      <c r="G42" s="416">
        <v>202500652</v>
      </c>
      <c r="H42" s="416" t="s">
        <v>3525</v>
      </c>
      <c r="I42" s="416" t="s">
        <v>3311</v>
      </c>
      <c r="J42" s="417">
        <v>45887</v>
      </c>
      <c r="K42" s="417">
        <v>46465</v>
      </c>
      <c r="L42" s="416" t="s">
        <v>1889</v>
      </c>
      <c r="M42" s="416" t="s">
        <v>3024</v>
      </c>
      <c r="N42" s="13" t="s">
        <v>3025</v>
      </c>
      <c r="O42" s="17" t="s">
        <v>3526</v>
      </c>
      <c r="P42" s="191" t="s">
        <v>447</v>
      </c>
      <c r="Q42" s="13" t="s">
        <v>618</v>
      </c>
      <c r="R42" s="13" t="str">
        <f>VLOOKUP(P42,'Dados das Regiões '!A:B,2,0)</f>
        <v>PONTA GROSSA</v>
      </c>
      <c r="S42" s="416" t="s">
        <v>3527</v>
      </c>
      <c r="T42" s="416" t="s">
        <v>3432</v>
      </c>
      <c r="U42" s="13"/>
      <c r="V42" s="416" t="s">
        <v>3029</v>
      </c>
      <c r="W42" s="418">
        <v>0.375</v>
      </c>
      <c r="X42" s="419">
        <v>0.45833333333333331</v>
      </c>
      <c r="Y42" s="16" t="s">
        <v>3315</v>
      </c>
      <c r="Z42" s="36"/>
      <c r="AA42" s="175" t="str">
        <f>VLOOKUP(Tabela2[[#This Row],[Turma]],CC!E43:F98,2,TRUE)</f>
        <v>465905AAE</v>
      </c>
    </row>
    <row r="43" spans="1:27">
      <c r="A43" s="14"/>
      <c r="B43" s="13" t="str">
        <f t="shared" si="6"/>
        <v>Pendente</v>
      </c>
      <c r="C43" s="14" t="str">
        <f t="shared" si="7"/>
        <v/>
      </c>
      <c r="D43" s="41" t="s">
        <v>611</v>
      </c>
      <c r="E43" s="14" t="str">
        <f t="shared" si="8"/>
        <v/>
      </c>
      <c r="F43" s="41" t="s">
        <v>611</v>
      </c>
      <c r="G43" s="191">
        <v>202500652</v>
      </c>
      <c r="H43" s="191" t="s">
        <v>3528</v>
      </c>
      <c r="I43" s="191" t="s">
        <v>3311</v>
      </c>
      <c r="J43" s="192">
        <v>45887</v>
      </c>
      <c r="K43" s="192">
        <v>46465</v>
      </c>
      <c r="L43" s="191" t="s">
        <v>2991</v>
      </c>
      <c r="M43" s="191" t="s">
        <v>3016</v>
      </c>
      <c r="N43" s="13" t="s">
        <v>3529</v>
      </c>
      <c r="O43" s="17" t="s">
        <v>3530</v>
      </c>
      <c r="P43" s="191" t="s">
        <v>211</v>
      </c>
      <c r="Q43" s="13" t="s">
        <v>618</v>
      </c>
      <c r="R43" s="13" t="str">
        <f>VLOOKUP(P43,'Dados das Regiões '!A:B,2,0)</f>
        <v>CASTRO</v>
      </c>
      <c r="S43" s="191" t="s">
        <v>3531</v>
      </c>
      <c r="T43" s="191" t="s">
        <v>3436</v>
      </c>
      <c r="U43" s="13"/>
      <c r="V43" s="191" t="s">
        <v>3021</v>
      </c>
      <c r="W43" s="195">
        <v>0.35416666666666669</v>
      </c>
      <c r="X43" s="420">
        <v>0.4375</v>
      </c>
      <c r="Y43" s="16" t="s">
        <v>3315</v>
      </c>
      <c r="Z43" s="36"/>
      <c r="AA43" s="175" t="str">
        <f>VLOOKUP(Tabela2[[#This Row],[Turma]],CC!E44:F99,2,TRUE)</f>
        <v>465905AAE</v>
      </c>
    </row>
    <row r="44" spans="1:27">
      <c r="A44" s="14"/>
      <c r="B44" s="13" t="str">
        <f t="shared" si="6"/>
        <v>Pendente</v>
      </c>
      <c r="C44" s="14" t="str">
        <f t="shared" si="7"/>
        <v/>
      </c>
      <c r="D44" s="41" t="s">
        <v>611</v>
      </c>
      <c r="E44" s="14" t="str">
        <f t="shared" si="8"/>
        <v/>
      </c>
      <c r="F44" s="41" t="s">
        <v>611</v>
      </c>
      <c r="G44" s="416">
        <v>202500652</v>
      </c>
      <c r="H44" s="416" t="s">
        <v>3532</v>
      </c>
      <c r="I44" s="416" t="s">
        <v>3311</v>
      </c>
      <c r="J44" s="417">
        <v>45887</v>
      </c>
      <c r="K44" s="417">
        <v>46465</v>
      </c>
      <c r="L44" s="416" t="s">
        <v>3462</v>
      </c>
      <c r="M44" s="416" t="s">
        <v>3533</v>
      </c>
      <c r="N44" s="13" t="s">
        <v>3534</v>
      </c>
      <c r="O44" s="17" t="s">
        <v>3535</v>
      </c>
      <c r="P44" s="416" t="s">
        <v>72</v>
      </c>
      <c r="Q44" s="13" t="s">
        <v>618</v>
      </c>
      <c r="R44" s="13" t="str">
        <f>VLOOKUP(P44,'Dados das Regiões '!A:B,2,0)</f>
        <v>PRUDENTÓPOLIS</v>
      </c>
      <c r="S44" s="416" t="s">
        <v>3536</v>
      </c>
      <c r="T44" s="416"/>
      <c r="U44" s="13"/>
      <c r="V44" s="416" t="s">
        <v>3537</v>
      </c>
      <c r="W44" s="418">
        <v>0.33333333333333331</v>
      </c>
      <c r="X44" s="419">
        <v>0.41666666666666669</v>
      </c>
      <c r="Y44" s="16" t="s">
        <v>3315</v>
      </c>
      <c r="Z44" s="36"/>
      <c r="AA44" s="175" t="str">
        <f>VLOOKUP(Tabela2[[#This Row],[Turma]],CC!E45:F100,2,TRUE)</f>
        <v>465905AAE</v>
      </c>
    </row>
    <row r="45" spans="1:27">
      <c r="A45" s="14"/>
      <c r="B45" s="13" t="str">
        <f t="shared" si="6"/>
        <v>Pendente</v>
      </c>
      <c r="C45" s="14" t="str">
        <f t="shared" si="7"/>
        <v/>
      </c>
      <c r="D45" s="41" t="s">
        <v>611</v>
      </c>
      <c r="E45" s="14" t="str">
        <f t="shared" si="8"/>
        <v/>
      </c>
      <c r="F45" s="41" t="s">
        <v>611</v>
      </c>
      <c r="G45" s="191">
        <v>202500652</v>
      </c>
      <c r="H45" s="191" t="s">
        <v>3538</v>
      </c>
      <c r="I45" s="191" t="s">
        <v>3311</v>
      </c>
      <c r="J45" s="192">
        <v>45887</v>
      </c>
      <c r="K45" s="192">
        <v>46465</v>
      </c>
      <c r="L45" s="191" t="s">
        <v>1889</v>
      </c>
      <c r="M45" s="191" t="s">
        <v>3539</v>
      </c>
      <c r="N45" s="13" t="s">
        <v>3540</v>
      </c>
      <c r="O45" s="17" t="s">
        <v>3541</v>
      </c>
      <c r="P45" s="191" t="s">
        <v>72</v>
      </c>
      <c r="Q45" s="13" t="s">
        <v>618</v>
      </c>
      <c r="R45" s="13" t="str">
        <f>VLOOKUP(P45,'Dados das Regiões '!A:B,2,0)</f>
        <v>PRUDENTÓPOLIS</v>
      </c>
      <c r="S45" s="191" t="s">
        <v>3542</v>
      </c>
      <c r="T45" s="191"/>
      <c r="U45" s="13"/>
      <c r="V45" s="191" t="s">
        <v>3543</v>
      </c>
      <c r="W45" s="195">
        <v>0.35416666666666669</v>
      </c>
      <c r="X45" s="420">
        <v>0.4375</v>
      </c>
      <c r="Y45" s="16" t="s">
        <v>3315</v>
      </c>
      <c r="Z45" s="36"/>
      <c r="AA45" s="175" t="str">
        <f>VLOOKUP(Tabela2[[#This Row],[Turma]],CC!E46:F101,2,TRUE)</f>
        <v>465905AAE</v>
      </c>
    </row>
    <row r="46" spans="1:27">
      <c r="A46" s="14"/>
      <c r="B46" s="13" t="str">
        <f t="shared" si="6"/>
        <v>Pendente</v>
      </c>
      <c r="C46" s="14" t="str">
        <f t="shared" si="7"/>
        <v/>
      </c>
      <c r="D46" s="41" t="s">
        <v>611</v>
      </c>
      <c r="E46" s="14" t="str">
        <f t="shared" si="8"/>
        <v/>
      </c>
      <c r="F46" s="41" t="s">
        <v>611</v>
      </c>
      <c r="G46" s="416">
        <v>202500652</v>
      </c>
      <c r="H46" s="416" t="s">
        <v>3544</v>
      </c>
      <c r="I46" s="416" t="s">
        <v>3311</v>
      </c>
      <c r="J46" s="417">
        <v>45887</v>
      </c>
      <c r="K46" s="417">
        <v>46465</v>
      </c>
      <c r="L46" s="416" t="s">
        <v>1185</v>
      </c>
      <c r="M46" s="416" t="s">
        <v>2719</v>
      </c>
      <c r="N46" s="13" t="s">
        <v>2720</v>
      </c>
      <c r="O46" s="17" t="s">
        <v>3545</v>
      </c>
      <c r="P46" s="416" t="s">
        <v>357</v>
      </c>
      <c r="Q46" s="13" t="s">
        <v>618</v>
      </c>
      <c r="R46" s="13" t="str">
        <f>VLOOKUP(P46,'Dados das Regiões '!A:B,2,0)</f>
        <v>MARECHAL CÂNDIDO RONDON</v>
      </c>
      <c r="S46" s="416" t="s">
        <v>3546</v>
      </c>
      <c r="T46" s="416" t="s">
        <v>2723</v>
      </c>
      <c r="U46" s="13"/>
      <c r="V46" s="416" t="s">
        <v>2725</v>
      </c>
      <c r="W46" s="418">
        <v>0.33333333333333331</v>
      </c>
      <c r="X46" s="419">
        <v>0.41666666666666669</v>
      </c>
      <c r="Y46" s="16" t="s">
        <v>3315</v>
      </c>
      <c r="Z46" s="36"/>
      <c r="AA46" s="175" t="str">
        <f>VLOOKUP(Tabela2[[#This Row],[Turma]],CC!E47:F102,2,TRUE)</f>
        <v>465905AAE</v>
      </c>
    </row>
    <row r="47" spans="1:27">
      <c r="A47" s="14"/>
      <c r="B47" s="13" t="str">
        <f t="shared" si="6"/>
        <v>Pendente</v>
      </c>
      <c r="C47" s="14" t="str">
        <f t="shared" si="7"/>
        <v/>
      </c>
      <c r="D47" s="41" t="s">
        <v>611</v>
      </c>
      <c r="E47" s="14" t="str">
        <f t="shared" si="8"/>
        <v/>
      </c>
      <c r="F47" s="41" t="s">
        <v>611</v>
      </c>
      <c r="G47" s="191">
        <v>202500652</v>
      </c>
      <c r="H47" s="191" t="s">
        <v>3547</v>
      </c>
      <c r="I47" s="191" t="s">
        <v>3311</v>
      </c>
      <c r="J47" s="192">
        <v>45887</v>
      </c>
      <c r="K47" s="192">
        <v>46465</v>
      </c>
      <c r="L47" s="191" t="s">
        <v>1185</v>
      </c>
      <c r="M47" s="191" t="s">
        <v>3548</v>
      </c>
      <c r="N47" s="13" t="s">
        <v>3549</v>
      </c>
      <c r="O47" s="17" t="s">
        <v>3550</v>
      </c>
      <c r="P47" s="191" t="s">
        <v>440</v>
      </c>
      <c r="Q47" s="13" t="s">
        <v>618</v>
      </c>
      <c r="R47" s="13" t="str">
        <f>VLOOKUP(P47,'Dados das Regiões '!A:B,2,0)</f>
        <v>PATO BRANCO</v>
      </c>
      <c r="S47" s="191" t="s">
        <v>3551</v>
      </c>
      <c r="T47" s="191" t="s">
        <v>3552</v>
      </c>
      <c r="U47" s="13"/>
      <c r="V47" s="191" t="s">
        <v>3553</v>
      </c>
      <c r="W47" s="195">
        <v>0.54166666666666663</v>
      </c>
      <c r="X47" s="420">
        <v>0.625</v>
      </c>
      <c r="Y47" s="16" t="s">
        <v>3315</v>
      </c>
      <c r="Z47" s="36"/>
      <c r="AA47" s="175" t="str">
        <f>VLOOKUP(Tabela2[[#This Row],[Turma]],CC!E48:F103,2,TRUE)</f>
        <v>465905AAE</v>
      </c>
    </row>
    <row r="48" spans="1:27">
      <c r="A48" s="14"/>
      <c r="B48" s="13" t="str">
        <f t="shared" si="6"/>
        <v>Pendente</v>
      </c>
      <c r="C48" s="14" t="str">
        <f t="shared" si="7"/>
        <v/>
      </c>
      <c r="D48" s="41" t="s">
        <v>611</v>
      </c>
      <c r="E48" s="14" t="str">
        <f t="shared" si="8"/>
        <v/>
      </c>
      <c r="F48" s="41" t="s">
        <v>611</v>
      </c>
      <c r="G48" s="191">
        <v>202500997</v>
      </c>
      <c r="H48" s="191" t="s">
        <v>3554</v>
      </c>
      <c r="I48" s="191" t="s">
        <v>3311</v>
      </c>
      <c r="J48" s="192">
        <v>45950</v>
      </c>
      <c r="K48" s="192">
        <v>46532</v>
      </c>
      <c r="L48" s="191" t="s">
        <v>1185</v>
      </c>
      <c r="M48" s="191" t="s">
        <v>2709</v>
      </c>
      <c r="N48" s="13" t="s">
        <v>2710</v>
      </c>
      <c r="O48" s="17" t="s">
        <v>3555</v>
      </c>
      <c r="P48" s="191" t="s">
        <v>450</v>
      </c>
      <c r="Q48" s="13" t="s">
        <v>618</v>
      </c>
      <c r="R48" s="13" t="str">
        <f>VLOOKUP(P48,'Dados das Regiões '!A:B,2,0)</f>
        <v>PONTA GROSSA</v>
      </c>
      <c r="S48" s="191" t="s">
        <v>3556</v>
      </c>
      <c r="T48" s="191"/>
      <c r="U48" s="13"/>
      <c r="V48" s="191" t="s">
        <v>3557</v>
      </c>
      <c r="W48" s="195">
        <v>0.5625</v>
      </c>
      <c r="X48" s="420">
        <v>0.64583333333333337</v>
      </c>
      <c r="Y48" s="16" t="s">
        <v>3315</v>
      </c>
      <c r="Z48" s="36"/>
      <c r="AA48" s="175" t="str">
        <f>VLOOKUP(Tabela2[[#This Row],[Turma]],CC!E49:F104,2,TRUE)</f>
        <v>465905AAE</v>
      </c>
    </row>
    <row r="49" spans="1:27">
      <c r="A49" s="14"/>
      <c r="B49" s="13" t="str">
        <f t="shared" si="6"/>
        <v>Pendente</v>
      </c>
      <c r="C49" s="14" t="str">
        <f t="shared" si="7"/>
        <v/>
      </c>
      <c r="D49" s="41" t="s">
        <v>611</v>
      </c>
      <c r="E49" s="14" t="str">
        <f t="shared" si="8"/>
        <v/>
      </c>
      <c r="F49" s="41" t="s">
        <v>611</v>
      </c>
      <c r="G49" s="416">
        <v>202500652</v>
      </c>
      <c r="H49" s="416" t="s">
        <v>3558</v>
      </c>
      <c r="I49" s="416" t="s">
        <v>3311</v>
      </c>
      <c r="J49" s="417">
        <v>45887</v>
      </c>
      <c r="K49" s="417">
        <v>46465</v>
      </c>
      <c r="L49" s="416" t="s">
        <v>2991</v>
      </c>
      <c r="M49" s="416" t="s">
        <v>2992</v>
      </c>
      <c r="N49" s="13" t="s">
        <v>2993</v>
      </c>
      <c r="O49" s="17" t="s">
        <v>3559</v>
      </c>
      <c r="P49" s="416" t="s">
        <v>450</v>
      </c>
      <c r="Q49" s="13" t="s">
        <v>618</v>
      </c>
      <c r="R49" s="13" t="str">
        <f>VLOOKUP(P49,'Dados das Regiões '!A:B,2,0)</f>
        <v>PONTA GROSSA</v>
      </c>
      <c r="S49" s="416" t="s">
        <v>3560</v>
      </c>
      <c r="T49" s="416" t="s">
        <v>3466</v>
      </c>
      <c r="U49" s="13"/>
      <c r="V49" s="416" t="s">
        <v>2998</v>
      </c>
      <c r="W49" s="418">
        <v>0.54166666666666663</v>
      </c>
      <c r="X49" s="419">
        <v>0.625</v>
      </c>
      <c r="Y49" s="16" t="s">
        <v>3315</v>
      </c>
      <c r="Z49" s="36"/>
      <c r="AA49" s="175" t="str">
        <f>VLOOKUP(Tabela2[[#This Row],[Turma]],CC!E50:F105,2,TRUE)</f>
        <v>465905AAE</v>
      </c>
    </row>
    <row r="50" spans="1:27">
      <c r="A50" s="14"/>
      <c r="B50" s="13" t="str">
        <f t="shared" si="6"/>
        <v>Pendente</v>
      </c>
      <c r="C50" s="14" t="str">
        <f t="shared" si="7"/>
        <v/>
      </c>
      <c r="D50" s="41" t="s">
        <v>611</v>
      </c>
      <c r="E50" s="14" t="str">
        <f t="shared" si="8"/>
        <v/>
      </c>
      <c r="F50" s="41" t="s">
        <v>611</v>
      </c>
      <c r="G50" s="191">
        <v>202500997</v>
      </c>
      <c r="H50" s="191" t="s">
        <v>3561</v>
      </c>
      <c r="I50" s="191" t="s">
        <v>3311</v>
      </c>
      <c r="J50" s="192">
        <v>45950</v>
      </c>
      <c r="K50" s="192">
        <v>46532</v>
      </c>
      <c r="L50" s="191" t="s">
        <v>1185</v>
      </c>
      <c r="M50" s="191" t="s">
        <v>1340</v>
      </c>
      <c r="N50" s="13" t="s">
        <v>1341</v>
      </c>
      <c r="O50" s="17" t="s">
        <v>3562</v>
      </c>
      <c r="P50" s="191" t="s">
        <v>176</v>
      </c>
      <c r="Q50" s="13" t="s">
        <v>618</v>
      </c>
      <c r="R50" s="13" t="str">
        <f>VLOOKUP(P50,'Dados das Regiões '!A:B,2,0)</f>
        <v>CAMPO MOURÃO</v>
      </c>
      <c r="S50" s="191" t="s">
        <v>1343</v>
      </c>
      <c r="T50" s="191" t="s">
        <v>1344</v>
      </c>
      <c r="U50" s="13"/>
      <c r="V50" s="191" t="s">
        <v>3563</v>
      </c>
      <c r="W50" s="195">
        <v>0.54166666666666663</v>
      </c>
      <c r="X50" s="420">
        <v>0.625</v>
      </c>
      <c r="Y50" s="16" t="s">
        <v>3315</v>
      </c>
      <c r="Z50" s="36"/>
      <c r="AA50" s="175" t="str">
        <f>VLOOKUP(Tabela2[[#This Row],[Turma]],CC!E51:F106,2,TRUE)</f>
        <v>465905AAE</v>
      </c>
    </row>
    <row r="51" spans="1:27">
      <c r="A51" s="14"/>
      <c r="B51" s="13" t="str">
        <f t="shared" si="6"/>
        <v>Pendente</v>
      </c>
      <c r="C51" s="14" t="str">
        <f t="shared" si="7"/>
        <v/>
      </c>
      <c r="D51" s="41" t="s">
        <v>611</v>
      </c>
      <c r="E51" s="14" t="str">
        <f t="shared" si="8"/>
        <v/>
      </c>
      <c r="F51" s="41" t="s">
        <v>611</v>
      </c>
      <c r="G51" s="416">
        <v>202500652</v>
      </c>
      <c r="H51" s="416" t="s">
        <v>3564</v>
      </c>
      <c r="I51" s="416" t="s">
        <v>3311</v>
      </c>
      <c r="J51" s="417">
        <v>45887</v>
      </c>
      <c r="K51" s="417">
        <v>46465</v>
      </c>
      <c r="L51" s="416" t="s">
        <v>1945</v>
      </c>
      <c r="M51" s="416" t="s">
        <v>3565</v>
      </c>
      <c r="N51" s="13" t="s">
        <v>3566</v>
      </c>
      <c r="O51" s="17" t="s">
        <v>3567</v>
      </c>
      <c r="P51" s="416" t="s">
        <v>207</v>
      </c>
      <c r="Q51" s="13" t="s">
        <v>618</v>
      </c>
      <c r="R51" s="13" t="str">
        <f>VLOOKUP(P51,'Dados das Regiões '!A:B,2,0)</f>
        <v>CASCAVEL</v>
      </c>
      <c r="S51" s="416" t="s">
        <v>3568</v>
      </c>
      <c r="T51" s="416" t="s">
        <v>3479</v>
      </c>
      <c r="U51" s="13"/>
      <c r="V51" s="416" t="s">
        <v>3569</v>
      </c>
      <c r="W51" s="418">
        <v>0.5625</v>
      </c>
      <c r="X51" s="419">
        <v>0.64583333333333337</v>
      </c>
      <c r="Y51" s="16" t="s">
        <v>3315</v>
      </c>
      <c r="Z51" s="36"/>
      <c r="AA51" s="175" t="str">
        <f>VLOOKUP(Tabela2[[#This Row],[Turma]],CC!E52:F107,2,TRUE)</f>
        <v>465905AAE</v>
      </c>
    </row>
    <row r="52" spans="1:27">
      <c r="A52" s="14"/>
      <c r="B52" s="13" t="str">
        <f t="shared" si="6"/>
        <v>Pendente</v>
      </c>
      <c r="C52" s="14" t="str">
        <f t="shared" si="7"/>
        <v/>
      </c>
      <c r="D52" s="41" t="s">
        <v>611</v>
      </c>
      <c r="E52" s="14" t="str">
        <f t="shared" si="8"/>
        <v/>
      </c>
      <c r="F52" s="41" t="s">
        <v>611</v>
      </c>
      <c r="G52" s="191">
        <v>202500652</v>
      </c>
      <c r="H52" s="191" t="s">
        <v>3570</v>
      </c>
      <c r="I52" s="191" t="s">
        <v>3311</v>
      </c>
      <c r="J52" s="192">
        <v>45887</v>
      </c>
      <c r="K52" s="192">
        <v>46465</v>
      </c>
      <c r="L52" s="191" t="s">
        <v>1810</v>
      </c>
      <c r="M52" s="191" t="s">
        <v>3571</v>
      </c>
      <c r="N52" s="13" t="s">
        <v>3572</v>
      </c>
      <c r="O52" s="17" t="s">
        <v>3573</v>
      </c>
      <c r="P52" s="191" t="s">
        <v>207</v>
      </c>
      <c r="Q52" s="13" t="s">
        <v>618</v>
      </c>
      <c r="R52" s="13" t="str">
        <f>VLOOKUP(P52,'Dados das Regiões '!A:B,2,0)</f>
        <v>CASCAVEL</v>
      </c>
      <c r="S52" s="191" t="s">
        <v>3048</v>
      </c>
      <c r="T52" s="191" t="s">
        <v>3049</v>
      </c>
      <c r="U52" s="13"/>
      <c r="V52" s="191" t="s">
        <v>3051</v>
      </c>
      <c r="W52" s="195">
        <v>0.5625</v>
      </c>
      <c r="X52" s="420">
        <v>0.64583333333333337</v>
      </c>
      <c r="Y52" s="16" t="s">
        <v>3315</v>
      </c>
      <c r="Z52" s="36"/>
      <c r="AA52" s="175" t="str">
        <f>VLOOKUP(Tabela2[[#This Row],[Turma]],CC!E53:F108,2,TRUE)</f>
        <v>465905AAE</v>
      </c>
    </row>
    <row r="53" spans="1:27">
      <c r="A53" s="14"/>
      <c r="B53" s="13" t="str">
        <f t="shared" si="6"/>
        <v>Pendente</v>
      </c>
      <c r="C53" s="14" t="str">
        <f t="shared" si="7"/>
        <v/>
      </c>
      <c r="D53" s="41" t="s">
        <v>611</v>
      </c>
      <c r="E53" s="14" t="str">
        <f t="shared" si="8"/>
        <v/>
      </c>
      <c r="F53" s="41" t="s">
        <v>611</v>
      </c>
      <c r="G53" s="416">
        <v>202500652</v>
      </c>
      <c r="H53" s="416" t="s">
        <v>3574</v>
      </c>
      <c r="I53" s="416" t="s">
        <v>3311</v>
      </c>
      <c r="J53" s="417">
        <v>45887</v>
      </c>
      <c r="K53" s="417">
        <v>46465</v>
      </c>
      <c r="L53" s="416" t="s">
        <v>1185</v>
      </c>
      <c r="M53" s="416" t="s">
        <v>3575</v>
      </c>
      <c r="N53" s="13" t="s">
        <v>3576</v>
      </c>
      <c r="O53" s="17" t="s">
        <v>3577</v>
      </c>
      <c r="P53" s="416" t="s">
        <v>207</v>
      </c>
      <c r="Q53" s="13" t="s">
        <v>618</v>
      </c>
      <c r="R53" s="13" t="str">
        <f>VLOOKUP(P53,'Dados das Regiões '!A:B,2,0)</f>
        <v>CASCAVEL</v>
      </c>
      <c r="S53" s="416" t="s">
        <v>3578</v>
      </c>
      <c r="T53" s="416" t="s">
        <v>3579</v>
      </c>
      <c r="U53" s="13"/>
      <c r="V53" s="416" t="s">
        <v>3580</v>
      </c>
      <c r="W53" s="418">
        <v>0.58333333333333337</v>
      </c>
      <c r="X53" s="419">
        <v>0.66666666666666663</v>
      </c>
      <c r="Y53" s="16" t="s">
        <v>3315</v>
      </c>
      <c r="Z53" s="36"/>
      <c r="AA53" s="175" t="str">
        <f>VLOOKUP(Tabela2[[#This Row],[Turma]],CC!E54:F109,2,TRUE)</f>
        <v>465905AAE</v>
      </c>
    </row>
    <row r="54" spans="1:27">
      <c r="A54" s="14"/>
      <c r="B54" s="13" t="str">
        <f t="shared" si="6"/>
        <v>Pendente</v>
      </c>
      <c r="C54" s="14" t="str">
        <f t="shared" si="7"/>
        <v/>
      </c>
      <c r="D54" s="41" t="s">
        <v>611</v>
      </c>
      <c r="E54" s="14" t="str">
        <f t="shared" si="8"/>
        <v/>
      </c>
      <c r="F54" s="41" t="s">
        <v>611</v>
      </c>
      <c r="G54" s="191">
        <v>202500652</v>
      </c>
      <c r="H54" s="191" t="s">
        <v>3581</v>
      </c>
      <c r="I54" s="191" t="s">
        <v>3311</v>
      </c>
      <c r="J54" s="192">
        <v>45887</v>
      </c>
      <c r="K54" s="192">
        <v>46465</v>
      </c>
      <c r="L54" s="191" t="s">
        <v>2734</v>
      </c>
      <c r="M54" s="191" t="s">
        <v>2764</v>
      </c>
      <c r="N54" s="13" t="s">
        <v>3582</v>
      </c>
      <c r="O54" s="17" t="s">
        <v>3583</v>
      </c>
      <c r="P54" s="191" t="s">
        <v>207</v>
      </c>
      <c r="Q54" s="13" t="s">
        <v>618</v>
      </c>
      <c r="R54" s="13" t="str">
        <f>VLOOKUP(P54,'Dados das Regiões '!A:B,2,0)</f>
        <v>CASCAVEL</v>
      </c>
      <c r="S54" s="191" t="s">
        <v>2767</v>
      </c>
      <c r="T54" s="191" t="s">
        <v>3584</v>
      </c>
      <c r="U54" s="13"/>
      <c r="V54" s="191" t="s">
        <v>3585</v>
      </c>
      <c r="W54" s="195">
        <v>0.54166666666666663</v>
      </c>
      <c r="X54" s="420">
        <v>0.625</v>
      </c>
      <c r="Y54" s="16" t="s">
        <v>3315</v>
      </c>
      <c r="Z54" s="36"/>
      <c r="AA54" s="175" t="str">
        <f>VLOOKUP(Tabela2[[#This Row],[Turma]],CC!E55:F110,2,TRUE)</f>
        <v>465905AAE</v>
      </c>
    </row>
    <row r="55" spans="1:27">
      <c r="A55" s="14"/>
      <c r="B55" s="13" t="str">
        <f t="shared" ref="B55:B85" si="9">IF(ISBLANK(A55), "Pendente", "Realizada")</f>
        <v>Pendente</v>
      </c>
      <c r="C55" s="14" t="str">
        <f t="shared" ref="C55:C85" si="10">IF(A55="", "", EDATE(A55, 3))</f>
        <v/>
      </c>
      <c r="D55" s="41" t="s">
        <v>611</v>
      </c>
      <c r="E55" s="14" t="str">
        <f t="shared" ref="E55:E85" si="11">IF(C55="", "", EDATE(C55, 3))</f>
        <v/>
      </c>
      <c r="F55" s="41" t="s">
        <v>611</v>
      </c>
      <c r="G55" s="191">
        <v>202500598</v>
      </c>
      <c r="H55" s="191" t="s">
        <v>3586</v>
      </c>
      <c r="I55" s="191" t="s">
        <v>3311</v>
      </c>
      <c r="J55" s="192">
        <v>45831</v>
      </c>
      <c r="K55" s="192">
        <v>46408</v>
      </c>
      <c r="L55" s="191" t="s">
        <v>672</v>
      </c>
      <c r="M55" s="191" t="s">
        <v>1463</v>
      </c>
      <c r="N55" s="13" t="s">
        <v>3587</v>
      </c>
      <c r="O55" s="17" t="s">
        <v>3588</v>
      </c>
      <c r="P55" s="191" t="s">
        <v>474</v>
      </c>
      <c r="Q55" s="13" t="s">
        <v>618</v>
      </c>
      <c r="R55" s="13" t="str">
        <f>VLOOKUP(P55,'Dados das Regiões '!A:B,2,0)</f>
        <v>TOLEDO</v>
      </c>
      <c r="S55" s="191" t="s">
        <v>3589</v>
      </c>
      <c r="T55" s="191" t="s">
        <v>3590</v>
      </c>
      <c r="U55" s="191" t="s">
        <v>3591</v>
      </c>
      <c r="V55" s="191" t="s">
        <v>3592</v>
      </c>
      <c r="W55" s="195">
        <v>0.39583333333333331</v>
      </c>
      <c r="X55" s="420">
        <v>0.3125</v>
      </c>
      <c r="Y55" s="16" t="s">
        <v>3315</v>
      </c>
      <c r="Z55" s="36"/>
      <c r="AA55" s="175" t="e">
        <f>VLOOKUP(Tabela2[[#This Row],[Turma]],CC!E56:F111,2,TRUE)</f>
        <v>#N/A</v>
      </c>
    </row>
    <row r="56" spans="1:27">
      <c r="A56" s="14"/>
      <c r="B56" s="13" t="str">
        <f t="shared" si="9"/>
        <v>Pendente</v>
      </c>
      <c r="C56" s="14" t="str">
        <f t="shared" si="10"/>
        <v/>
      </c>
      <c r="D56" s="41" t="s">
        <v>611</v>
      </c>
      <c r="E56" s="14" t="str">
        <f t="shared" si="11"/>
        <v/>
      </c>
      <c r="F56" s="41" t="s">
        <v>611</v>
      </c>
      <c r="G56" s="191">
        <v>202500598</v>
      </c>
      <c r="H56" s="191" t="s">
        <v>3593</v>
      </c>
      <c r="I56" s="191" t="s">
        <v>3311</v>
      </c>
      <c r="J56" s="192">
        <v>45831</v>
      </c>
      <c r="K56" s="192">
        <v>46408</v>
      </c>
      <c r="L56" s="191" t="s">
        <v>672</v>
      </c>
      <c r="M56" s="191" t="s">
        <v>1463</v>
      </c>
      <c r="N56" s="13" t="s">
        <v>3587</v>
      </c>
      <c r="O56" s="17" t="s">
        <v>3588</v>
      </c>
      <c r="P56" s="191" t="s">
        <v>474</v>
      </c>
      <c r="Q56" s="13" t="s">
        <v>618</v>
      </c>
      <c r="R56" s="13" t="str">
        <f>VLOOKUP(P56,'Dados das Regiões '!A:B,2,0)</f>
        <v>TOLEDO</v>
      </c>
      <c r="S56" s="191" t="s">
        <v>3589</v>
      </c>
      <c r="T56" s="191" t="s">
        <v>3590</v>
      </c>
      <c r="U56" s="191" t="s">
        <v>3591</v>
      </c>
      <c r="V56" s="191" t="s">
        <v>3592</v>
      </c>
      <c r="W56" s="195">
        <v>0.5625</v>
      </c>
      <c r="X56" s="420">
        <v>0.64583333333333337</v>
      </c>
      <c r="Y56" s="16" t="s">
        <v>3315</v>
      </c>
      <c r="Z56" s="36"/>
      <c r="AA56" s="175" t="e">
        <f>VLOOKUP(Tabela2[[#This Row],[Turma]],CC!E57:F112,2,TRUE)</f>
        <v>#N/A</v>
      </c>
    </row>
    <row r="57" spans="1:27">
      <c r="A57" s="14"/>
      <c r="B57" s="13" t="str">
        <f t="shared" si="9"/>
        <v>Pendente</v>
      </c>
      <c r="C57" s="14" t="str">
        <f t="shared" si="10"/>
        <v/>
      </c>
      <c r="D57" s="41" t="s">
        <v>611</v>
      </c>
      <c r="E57" s="14" t="str">
        <f t="shared" si="11"/>
        <v/>
      </c>
      <c r="F57" s="41" t="s">
        <v>611</v>
      </c>
      <c r="G57" s="191">
        <v>202500598</v>
      </c>
      <c r="H57" s="191" t="s">
        <v>3594</v>
      </c>
      <c r="I57" s="191" t="s">
        <v>3311</v>
      </c>
      <c r="J57" s="192">
        <v>45831</v>
      </c>
      <c r="K57" s="192">
        <v>46408</v>
      </c>
      <c r="L57" s="191" t="s">
        <v>672</v>
      </c>
      <c r="M57" s="191" t="s">
        <v>1463</v>
      </c>
      <c r="N57" s="13" t="s">
        <v>3587</v>
      </c>
      <c r="O57" s="17" t="s">
        <v>3588</v>
      </c>
      <c r="P57" s="191" t="s">
        <v>474</v>
      </c>
      <c r="Q57" s="13" t="s">
        <v>618</v>
      </c>
      <c r="R57" s="13" t="str">
        <f>VLOOKUP(P57,'Dados das Regiões '!A:B,2,0)</f>
        <v>TOLEDO</v>
      </c>
      <c r="S57" s="191" t="s">
        <v>3589</v>
      </c>
      <c r="T57" s="191" t="s">
        <v>3590</v>
      </c>
      <c r="U57" s="191" t="s">
        <v>3591</v>
      </c>
      <c r="V57" s="191" t="s">
        <v>3592</v>
      </c>
      <c r="W57" s="195">
        <v>0.3125</v>
      </c>
      <c r="X57" s="420">
        <v>0.39583333333333331</v>
      </c>
      <c r="Y57" s="16" t="s">
        <v>3315</v>
      </c>
      <c r="Z57" s="36"/>
      <c r="AA57" s="175" t="e">
        <f>VLOOKUP(Tabela2[[#This Row],[Turma]],CC!E58:F113,2,TRUE)</f>
        <v>#N/A</v>
      </c>
    </row>
    <row r="58" spans="1:27">
      <c r="A58" s="14"/>
      <c r="B58" s="13" t="str">
        <f t="shared" si="9"/>
        <v>Pendente</v>
      </c>
      <c r="C58" s="14" t="str">
        <f t="shared" si="10"/>
        <v/>
      </c>
      <c r="D58" s="41" t="s">
        <v>611</v>
      </c>
      <c r="E58" s="14" t="str">
        <f t="shared" si="11"/>
        <v/>
      </c>
      <c r="F58" s="41" t="s">
        <v>611</v>
      </c>
      <c r="G58" s="191">
        <v>202500598</v>
      </c>
      <c r="H58" s="191" t="s">
        <v>3595</v>
      </c>
      <c r="I58" s="191" t="s">
        <v>3311</v>
      </c>
      <c r="J58" s="192">
        <v>45831</v>
      </c>
      <c r="K58" s="192">
        <v>46408</v>
      </c>
      <c r="L58" s="191" t="s">
        <v>3596</v>
      </c>
      <c r="M58" s="191" t="s">
        <v>3597</v>
      </c>
      <c r="N58" s="13" t="s">
        <v>3598</v>
      </c>
      <c r="O58" s="17" t="s">
        <v>3599</v>
      </c>
      <c r="P58" s="191" t="s">
        <v>454</v>
      </c>
      <c r="Q58" s="13" t="s">
        <v>618</v>
      </c>
      <c r="R58" s="13" t="str">
        <f>VLOOKUP(P58,'Dados das Regiões '!A:B,2,0)</f>
        <v>RIO NEGRO</v>
      </c>
      <c r="S58" s="191" t="s">
        <v>3600</v>
      </c>
      <c r="T58" s="191" t="s">
        <v>3601</v>
      </c>
      <c r="U58" s="191" t="s">
        <v>3602</v>
      </c>
      <c r="V58" s="191" t="s">
        <v>3603</v>
      </c>
      <c r="W58" s="195">
        <v>0.54166666666666663</v>
      </c>
      <c r="X58" s="426" t="s">
        <v>3604</v>
      </c>
      <c r="Y58" s="16" t="s">
        <v>3315</v>
      </c>
      <c r="Z58" s="36"/>
      <c r="AA58" s="175" t="e">
        <f>VLOOKUP(Tabela2[[#This Row],[Turma]],CC!E59:F114,2,TRUE)</f>
        <v>#N/A</v>
      </c>
    </row>
    <row r="59" spans="1:27">
      <c r="A59" s="14"/>
      <c r="B59" s="13" t="str">
        <f t="shared" si="9"/>
        <v>Pendente</v>
      </c>
      <c r="C59" s="14" t="str">
        <f t="shared" si="10"/>
        <v/>
      </c>
      <c r="D59" s="41" t="s">
        <v>611</v>
      </c>
      <c r="E59" s="14" t="str">
        <f t="shared" si="11"/>
        <v/>
      </c>
      <c r="F59" s="41" t="s">
        <v>611</v>
      </c>
      <c r="G59" s="191">
        <v>202500598</v>
      </c>
      <c r="H59" s="191" t="s">
        <v>3605</v>
      </c>
      <c r="I59" s="191" t="s">
        <v>3311</v>
      </c>
      <c r="J59" s="192">
        <v>45831</v>
      </c>
      <c r="K59" s="192">
        <v>46408</v>
      </c>
      <c r="L59" s="191" t="s">
        <v>3596</v>
      </c>
      <c r="M59" s="191" t="s">
        <v>3597</v>
      </c>
      <c r="N59" s="17" t="s">
        <v>3598</v>
      </c>
      <c r="O59" s="17" t="s">
        <v>3599</v>
      </c>
      <c r="P59" s="191" t="s">
        <v>454</v>
      </c>
      <c r="Q59" s="13" t="s">
        <v>618</v>
      </c>
      <c r="R59" s="13" t="str">
        <f>VLOOKUP(P59,'Dados das Regiões '!A:B,2,0)</f>
        <v>RIO NEGRO</v>
      </c>
      <c r="S59" s="191" t="s">
        <v>3600</v>
      </c>
      <c r="T59" s="191" t="s">
        <v>3601</v>
      </c>
      <c r="U59" s="191" t="s">
        <v>3602</v>
      </c>
      <c r="V59" s="191" t="s">
        <v>3603</v>
      </c>
      <c r="W59" s="195">
        <v>0.54166666666666663</v>
      </c>
      <c r="X59" s="426" t="s">
        <v>3604</v>
      </c>
      <c r="Y59" s="16" t="s">
        <v>3315</v>
      </c>
      <c r="Z59" s="36"/>
      <c r="AA59" s="175" t="e">
        <f>VLOOKUP(Tabela2[[#This Row],[Turma]],CC!E60:F115,2,TRUE)</f>
        <v>#N/A</v>
      </c>
    </row>
    <row r="60" spans="1:27">
      <c r="A60" s="14"/>
      <c r="B60" s="13" t="str">
        <f t="shared" si="9"/>
        <v>Pendente</v>
      </c>
      <c r="C60" s="14" t="str">
        <f t="shared" si="10"/>
        <v/>
      </c>
      <c r="D60" s="41" t="s">
        <v>611</v>
      </c>
      <c r="E60" s="14" t="str">
        <f t="shared" si="11"/>
        <v/>
      </c>
      <c r="F60" s="41" t="s">
        <v>611</v>
      </c>
      <c r="G60" s="191">
        <v>202500598</v>
      </c>
      <c r="H60" s="191" t="s">
        <v>3606</v>
      </c>
      <c r="I60" s="191" t="s">
        <v>3311</v>
      </c>
      <c r="J60" s="192">
        <v>45831</v>
      </c>
      <c r="K60" s="192">
        <v>46408</v>
      </c>
      <c r="L60" s="191" t="s">
        <v>1417</v>
      </c>
      <c r="M60" s="191" t="s">
        <v>3607</v>
      </c>
      <c r="N60" s="13" t="s">
        <v>3608</v>
      </c>
      <c r="O60" s="17" t="s">
        <v>3609</v>
      </c>
      <c r="P60" s="191" t="s">
        <v>263</v>
      </c>
      <c r="Q60" s="13" t="s">
        <v>618</v>
      </c>
      <c r="R60" s="13" t="str">
        <f>VLOOKUP(P60,'Dados das Regiões '!A:B,2,0)</f>
        <v>FRANCISCO BELTRÃO</v>
      </c>
      <c r="S60" s="191" t="s">
        <v>3610</v>
      </c>
      <c r="T60" s="191" t="s">
        <v>1555</v>
      </c>
      <c r="U60" s="191" t="s">
        <v>3611</v>
      </c>
      <c r="V60" s="191" t="s">
        <v>3612</v>
      </c>
      <c r="W60" s="195">
        <v>0.5625</v>
      </c>
      <c r="X60" s="426" t="s">
        <v>3613</v>
      </c>
      <c r="Y60" s="16" t="s">
        <v>3315</v>
      </c>
      <c r="Z60" s="36"/>
      <c r="AA60" s="175" t="e">
        <f>VLOOKUP(Tabela2[[#This Row],[Turma]],CC!E61:F116,2,TRUE)</f>
        <v>#N/A</v>
      </c>
    </row>
    <row r="61" spans="1:27">
      <c r="A61" s="14"/>
      <c r="B61" s="13" t="str">
        <f t="shared" si="9"/>
        <v>Pendente</v>
      </c>
      <c r="C61" s="14" t="str">
        <f t="shared" si="10"/>
        <v/>
      </c>
      <c r="D61" s="41" t="s">
        <v>611</v>
      </c>
      <c r="E61" s="14" t="str">
        <f t="shared" si="11"/>
        <v/>
      </c>
      <c r="F61" s="41" t="s">
        <v>611</v>
      </c>
      <c r="G61" s="191">
        <v>202500598</v>
      </c>
      <c r="H61" s="191" t="s">
        <v>3614</v>
      </c>
      <c r="I61" s="191" t="s">
        <v>3311</v>
      </c>
      <c r="J61" s="192">
        <v>45831</v>
      </c>
      <c r="K61" s="192">
        <v>46408</v>
      </c>
      <c r="L61" s="191" t="s">
        <v>1417</v>
      </c>
      <c r="M61" s="191" t="s">
        <v>3615</v>
      </c>
      <c r="N61" s="13" t="s">
        <v>3616</v>
      </c>
      <c r="O61" s="17" t="s">
        <v>3617</v>
      </c>
      <c r="P61" s="191" t="s">
        <v>263</v>
      </c>
      <c r="Q61" s="13" t="s">
        <v>618</v>
      </c>
      <c r="R61" s="13" t="str">
        <f>VLOOKUP(P61,'Dados das Regiões '!A:B,2,0)</f>
        <v>FRANCISCO BELTRÃO</v>
      </c>
      <c r="S61" s="191" t="s">
        <v>3618</v>
      </c>
      <c r="T61" s="191" t="s">
        <v>1555</v>
      </c>
      <c r="U61" s="191" t="s">
        <v>3619</v>
      </c>
      <c r="V61" s="191" t="s">
        <v>3620</v>
      </c>
      <c r="W61" s="195">
        <v>0.5625</v>
      </c>
      <c r="X61" s="420">
        <v>0.64583333333333337</v>
      </c>
      <c r="Y61" s="16" t="s">
        <v>3315</v>
      </c>
      <c r="Z61" s="36"/>
      <c r="AA61" s="175" t="e">
        <f>VLOOKUP(Tabela2[[#This Row],[Turma]],CC!E62:F117,2,TRUE)</f>
        <v>#N/A</v>
      </c>
    </row>
    <row r="62" spans="1:27">
      <c r="A62" s="14"/>
      <c r="B62" s="13" t="str">
        <f t="shared" si="9"/>
        <v>Pendente</v>
      </c>
      <c r="C62" s="14" t="str">
        <f t="shared" si="10"/>
        <v/>
      </c>
      <c r="D62" s="41" t="s">
        <v>611</v>
      </c>
      <c r="E62" s="14" t="str">
        <f t="shared" si="11"/>
        <v/>
      </c>
      <c r="F62" s="41" t="s">
        <v>611</v>
      </c>
      <c r="G62" s="191">
        <v>202500598</v>
      </c>
      <c r="H62" s="191" t="s">
        <v>3621</v>
      </c>
      <c r="I62" s="191" t="s">
        <v>3311</v>
      </c>
      <c r="J62" s="192">
        <v>45831</v>
      </c>
      <c r="K62" s="192">
        <v>46408</v>
      </c>
      <c r="L62" s="191" t="s">
        <v>1417</v>
      </c>
      <c r="M62" s="191" t="s">
        <v>3622</v>
      </c>
      <c r="N62" s="13" t="s">
        <v>3608</v>
      </c>
      <c r="O62" s="17" t="s">
        <v>3609</v>
      </c>
      <c r="P62" s="191" t="s">
        <v>263</v>
      </c>
      <c r="Q62" s="13" t="s">
        <v>618</v>
      </c>
      <c r="R62" s="13" t="str">
        <f>VLOOKUP(P62,'Dados das Regiões '!A:B,2,0)</f>
        <v>FRANCISCO BELTRÃO</v>
      </c>
      <c r="S62" s="191" t="s">
        <v>3623</v>
      </c>
      <c r="T62" s="191" t="s">
        <v>1555</v>
      </c>
      <c r="U62" s="191" t="s">
        <v>3624</v>
      </c>
      <c r="V62" s="191" t="s">
        <v>3625</v>
      </c>
      <c r="W62" s="195">
        <v>0.33333333333333331</v>
      </c>
      <c r="X62" s="420">
        <v>0.41666666666666669</v>
      </c>
      <c r="Y62" s="16" t="s">
        <v>3315</v>
      </c>
      <c r="Z62" s="36"/>
      <c r="AA62" s="175" t="e">
        <f>VLOOKUP(Tabela2[[#This Row],[Turma]],CC!E63:F118,2,TRUE)</f>
        <v>#N/A</v>
      </c>
    </row>
    <row r="63" spans="1:27">
      <c r="A63" s="14"/>
      <c r="B63" s="13" t="str">
        <f t="shared" si="9"/>
        <v>Pendente</v>
      </c>
      <c r="C63" s="14" t="str">
        <f t="shared" si="10"/>
        <v/>
      </c>
      <c r="D63" s="41" t="s">
        <v>611</v>
      </c>
      <c r="E63" s="14" t="str">
        <f t="shared" si="11"/>
        <v/>
      </c>
      <c r="F63" s="41" t="s">
        <v>611</v>
      </c>
      <c r="G63" s="191">
        <v>202500598</v>
      </c>
      <c r="H63" s="191" t="s">
        <v>3626</v>
      </c>
      <c r="I63" s="191" t="s">
        <v>3311</v>
      </c>
      <c r="J63" s="192">
        <v>45831</v>
      </c>
      <c r="K63" s="192">
        <v>46408</v>
      </c>
      <c r="L63" s="191" t="s">
        <v>1417</v>
      </c>
      <c r="M63" s="191" t="s">
        <v>3622</v>
      </c>
      <c r="N63" s="13" t="s">
        <v>3608</v>
      </c>
      <c r="O63" s="17" t="s">
        <v>3609</v>
      </c>
      <c r="P63" s="191" t="s">
        <v>263</v>
      </c>
      <c r="Q63" s="13" t="s">
        <v>618</v>
      </c>
      <c r="R63" s="13" t="str">
        <f>VLOOKUP(P63,'Dados das Regiões '!A:B,2,0)</f>
        <v>FRANCISCO BELTRÃO</v>
      </c>
      <c r="S63" s="191" t="s">
        <v>3623</v>
      </c>
      <c r="T63" s="191" t="s">
        <v>1555</v>
      </c>
      <c r="U63" s="191" t="s">
        <v>3624</v>
      </c>
      <c r="V63" s="191" t="s">
        <v>3625</v>
      </c>
      <c r="W63" s="195">
        <v>0.5625</v>
      </c>
      <c r="X63" s="426" t="s">
        <v>3627</v>
      </c>
      <c r="Y63" s="16" t="s">
        <v>3315</v>
      </c>
      <c r="Z63" s="36"/>
      <c r="AA63" s="175" t="e">
        <f>VLOOKUP(Tabela2[[#This Row],[Turma]],CC!E64:F119,2,TRUE)</f>
        <v>#N/A</v>
      </c>
    </row>
    <row r="64" spans="1:27">
      <c r="A64" s="14"/>
      <c r="B64" s="13" t="str">
        <f t="shared" si="9"/>
        <v>Pendente</v>
      </c>
      <c r="C64" s="14" t="str">
        <f t="shared" si="10"/>
        <v/>
      </c>
      <c r="D64" s="41" t="s">
        <v>611</v>
      </c>
      <c r="E64" s="14" t="str">
        <f t="shared" si="11"/>
        <v/>
      </c>
      <c r="F64" s="41" t="s">
        <v>611</v>
      </c>
      <c r="G64" s="191">
        <v>202500598</v>
      </c>
      <c r="H64" s="191" t="s">
        <v>3628</v>
      </c>
      <c r="I64" s="191" t="s">
        <v>3311</v>
      </c>
      <c r="J64" s="192">
        <v>45831</v>
      </c>
      <c r="K64" s="192">
        <v>46408</v>
      </c>
      <c r="L64" s="191" t="s">
        <v>1417</v>
      </c>
      <c r="M64" s="191" t="s">
        <v>3629</v>
      </c>
      <c r="N64" s="13" t="s">
        <v>3616</v>
      </c>
      <c r="O64" s="17" t="s">
        <v>3617</v>
      </c>
      <c r="P64" s="191" t="s">
        <v>263</v>
      </c>
      <c r="Q64" s="13" t="s">
        <v>618</v>
      </c>
      <c r="R64" s="13" t="str">
        <f>VLOOKUP(P64,'Dados das Regiões '!A:B,2,0)</f>
        <v>FRANCISCO BELTRÃO</v>
      </c>
      <c r="S64" s="191" t="s">
        <v>3630</v>
      </c>
      <c r="T64" s="191" t="s">
        <v>1555</v>
      </c>
      <c r="U64" s="191" t="s">
        <v>3631</v>
      </c>
      <c r="V64" s="191" t="s">
        <v>3632</v>
      </c>
      <c r="W64" s="195">
        <v>0.5625</v>
      </c>
      <c r="X64" s="420">
        <v>0.64583333333333337</v>
      </c>
      <c r="Y64" s="16" t="s">
        <v>3315</v>
      </c>
      <c r="Z64" s="36"/>
      <c r="AA64" s="175" t="e">
        <f>VLOOKUP(Tabela2[[#This Row],[Turma]],CC!E65:F120,2,TRUE)</f>
        <v>#N/A</v>
      </c>
    </row>
    <row r="65" spans="1:27">
      <c r="A65" s="14"/>
      <c r="B65" s="13" t="str">
        <f t="shared" si="9"/>
        <v>Pendente</v>
      </c>
      <c r="C65" s="14" t="str">
        <f t="shared" si="10"/>
        <v/>
      </c>
      <c r="D65" s="41" t="s">
        <v>611</v>
      </c>
      <c r="E65" s="14" t="str">
        <f t="shared" si="11"/>
        <v/>
      </c>
      <c r="F65" s="41" t="s">
        <v>611</v>
      </c>
      <c r="G65" s="191">
        <v>202500598</v>
      </c>
      <c r="H65" s="191" t="s">
        <v>3633</v>
      </c>
      <c r="I65" s="191" t="s">
        <v>3311</v>
      </c>
      <c r="J65" s="192">
        <v>45831</v>
      </c>
      <c r="K65" s="192">
        <v>46408</v>
      </c>
      <c r="L65" s="191" t="s">
        <v>1417</v>
      </c>
      <c r="M65" s="191" t="s">
        <v>3607</v>
      </c>
      <c r="N65" s="13" t="s">
        <v>3608</v>
      </c>
      <c r="O65" s="17" t="s">
        <v>3609</v>
      </c>
      <c r="P65" s="191" t="s">
        <v>263</v>
      </c>
      <c r="Q65" s="13" t="s">
        <v>618</v>
      </c>
      <c r="R65" s="13" t="str">
        <f>VLOOKUP(P65,'Dados das Regiões '!A:B,2,0)</f>
        <v>FRANCISCO BELTRÃO</v>
      </c>
      <c r="S65" s="191" t="s">
        <v>3610</v>
      </c>
      <c r="T65" s="191" t="s">
        <v>1555</v>
      </c>
      <c r="U65" s="191" t="s">
        <v>3611</v>
      </c>
      <c r="V65" s="191" t="s">
        <v>3612</v>
      </c>
      <c r="W65" s="195">
        <v>0.33333333333333331</v>
      </c>
      <c r="X65" s="420">
        <v>0.41666666666666669</v>
      </c>
      <c r="Y65" s="16" t="s">
        <v>3315</v>
      </c>
      <c r="Z65" s="36"/>
      <c r="AA65" s="175" t="e">
        <f>VLOOKUP(Tabela2[[#This Row],[Turma]],CC!E66:F121,2,TRUE)</f>
        <v>#N/A</v>
      </c>
    </row>
    <row r="66" spans="1:27">
      <c r="A66" s="14"/>
      <c r="B66" s="13" t="str">
        <f t="shared" si="9"/>
        <v>Pendente</v>
      </c>
      <c r="C66" s="14" t="str">
        <f t="shared" si="10"/>
        <v/>
      </c>
      <c r="D66" s="41" t="s">
        <v>611</v>
      </c>
      <c r="E66" s="14" t="str">
        <f t="shared" si="11"/>
        <v/>
      </c>
      <c r="F66" s="41" t="s">
        <v>611</v>
      </c>
      <c r="G66" s="191">
        <v>202500598</v>
      </c>
      <c r="H66" s="191" t="s">
        <v>3634</v>
      </c>
      <c r="I66" s="191" t="s">
        <v>3311</v>
      </c>
      <c r="J66" s="192">
        <v>45831</v>
      </c>
      <c r="K66" s="192">
        <v>46408</v>
      </c>
      <c r="L66" s="191" t="s">
        <v>3635</v>
      </c>
      <c r="M66" s="191" t="s">
        <v>3636</v>
      </c>
      <c r="N66" s="13" t="s">
        <v>3637</v>
      </c>
      <c r="O66" s="17" t="s">
        <v>3638</v>
      </c>
      <c r="P66" s="191" t="s">
        <v>435</v>
      </c>
      <c r="Q66" s="13" t="s">
        <v>618</v>
      </c>
      <c r="R66" s="13" t="str">
        <f>VLOOKUP(P66,'Dados das Regiões '!A:B,2,0)</f>
        <v>PATO BRANCO</v>
      </c>
      <c r="S66" s="191" t="s">
        <v>3639</v>
      </c>
      <c r="T66" s="191" t="s">
        <v>3640</v>
      </c>
      <c r="U66" s="191" t="s">
        <v>3641</v>
      </c>
      <c r="V66" s="191" t="s">
        <v>3642</v>
      </c>
      <c r="W66" s="195">
        <v>0.33333333333333331</v>
      </c>
      <c r="X66" s="420">
        <v>0.41666666666666669</v>
      </c>
      <c r="Y66" s="16" t="s">
        <v>3315</v>
      </c>
      <c r="Z66" s="36"/>
      <c r="AA66" s="175" t="e">
        <f>VLOOKUP(Tabela2[[#This Row],[Turma]],CC!E67:F122,2,TRUE)</f>
        <v>#N/A</v>
      </c>
    </row>
    <row r="67" spans="1:27">
      <c r="A67" s="14"/>
      <c r="B67" s="13" t="str">
        <f t="shared" si="9"/>
        <v>Pendente</v>
      </c>
      <c r="C67" s="14" t="str">
        <f t="shared" si="10"/>
        <v/>
      </c>
      <c r="D67" s="41" t="s">
        <v>611</v>
      </c>
      <c r="E67" s="14" t="str">
        <f t="shared" si="11"/>
        <v/>
      </c>
      <c r="F67" s="41" t="s">
        <v>611</v>
      </c>
      <c r="G67" s="191">
        <v>202500598</v>
      </c>
      <c r="H67" s="191" t="s">
        <v>3643</v>
      </c>
      <c r="I67" s="191" t="s">
        <v>3311</v>
      </c>
      <c r="J67" s="192">
        <v>45831</v>
      </c>
      <c r="K67" s="192">
        <v>46408</v>
      </c>
      <c r="L67" s="191" t="s">
        <v>3635</v>
      </c>
      <c r="M67" s="191" t="s">
        <v>3636</v>
      </c>
      <c r="N67" s="13" t="s">
        <v>3637</v>
      </c>
      <c r="O67" s="17" t="s">
        <v>3638</v>
      </c>
      <c r="P67" s="191" t="s">
        <v>435</v>
      </c>
      <c r="Q67" s="13" t="s">
        <v>618</v>
      </c>
      <c r="R67" s="13" t="str">
        <f>VLOOKUP(P67,'Dados das Regiões '!A:B,2,0)</f>
        <v>PATO BRANCO</v>
      </c>
      <c r="S67" s="191" t="s">
        <v>3639</v>
      </c>
      <c r="T67" s="191"/>
      <c r="U67" s="191" t="s">
        <v>3641</v>
      </c>
      <c r="V67" s="191" t="s">
        <v>3642</v>
      </c>
      <c r="W67" s="195">
        <v>0.66666666666666663</v>
      </c>
      <c r="X67" s="426" t="s">
        <v>3644</v>
      </c>
      <c r="Y67" s="16" t="s">
        <v>3315</v>
      </c>
      <c r="Z67" s="36"/>
      <c r="AA67" s="175" t="e">
        <f>VLOOKUP(Tabela2[[#This Row],[Turma]],CC!E68:F123,2,TRUE)</f>
        <v>#N/A</v>
      </c>
    </row>
    <row r="68" spans="1:27">
      <c r="A68" s="14"/>
      <c r="B68" s="13" t="str">
        <f t="shared" si="9"/>
        <v>Pendente</v>
      </c>
      <c r="C68" s="14" t="str">
        <f t="shared" si="10"/>
        <v/>
      </c>
      <c r="D68" s="41" t="s">
        <v>611</v>
      </c>
      <c r="E68" s="14" t="str">
        <f t="shared" si="11"/>
        <v/>
      </c>
      <c r="F68" s="41" t="s">
        <v>611</v>
      </c>
      <c r="G68" s="191">
        <v>202500598</v>
      </c>
      <c r="H68" s="191" t="s">
        <v>3645</v>
      </c>
      <c r="I68" s="191" t="s">
        <v>3311</v>
      </c>
      <c r="J68" s="192">
        <v>45831</v>
      </c>
      <c r="K68" s="192">
        <v>46408</v>
      </c>
      <c r="L68" s="191" t="s">
        <v>672</v>
      </c>
      <c r="M68" s="191" t="s">
        <v>3646</v>
      </c>
      <c r="N68" s="13" t="s">
        <v>3647</v>
      </c>
      <c r="O68" s="17" t="s">
        <v>3648</v>
      </c>
      <c r="P68" s="191" t="s">
        <v>436</v>
      </c>
      <c r="Q68" s="13" t="s">
        <v>618</v>
      </c>
      <c r="R68" s="13" t="str">
        <f>VLOOKUP(P68,'Dados das Regiões '!A:B,2,0)</f>
        <v>PATO BRANCO</v>
      </c>
      <c r="S68" s="191" t="s">
        <v>3649</v>
      </c>
      <c r="T68" s="191" t="s">
        <v>3650</v>
      </c>
      <c r="U68" s="191" t="s">
        <v>3651</v>
      </c>
      <c r="V68" s="191" t="s">
        <v>3652</v>
      </c>
      <c r="W68" s="195">
        <v>0.64583333333333337</v>
      </c>
      <c r="X68" s="420">
        <v>0.5625</v>
      </c>
      <c r="Y68" s="16" t="s">
        <v>3315</v>
      </c>
      <c r="Z68" s="36"/>
      <c r="AA68" s="175" t="e">
        <f>VLOOKUP(Tabela2[[#This Row],[Turma]],CC!E69:F124,2,TRUE)</f>
        <v>#N/A</v>
      </c>
    </row>
    <row r="69" spans="1:27">
      <c r="A69" s="14"/>
      <c r="B69" s="13" t="str">
        <f t="shared" si="9"/>
        <v>Pendente</v>
      </c>
      <c r="C69" s="14" t="str">
        <f t="shared" si="10"/>
        <v/>
      </c>
      <c r="D69" s="41" t="s">
        <v>611</v>
      </c>
      <c r="E69" s="14" t="str">
        <f t="shared" si="11"/>
        <v/>
      </c>
      <c r="F69" s="41" t="s">
        <v>611</v>
      </c>
      <c r="G69" s="191">
        <v>202500598</v>
      </c>
      <c r="H69" s="191" t="s">
        <v>3653</v>
      </c>
      <c r="I69" s="191" t="s">
        <v>3311</v>
      </c>
      <c r="J69" s="192">
        <v>45831</v>
      </c>
      <c r="K69" s="192">
        <v>46408</v>
      </c>
      <c r="L69" s="191" t="s">
        <v>672</v>
      </c>
      <c r="M69" s="191" t="s">
        <v>3646</v>
      </c>
      <c r="N69" s="13" t="s">
        <v>3647</v>
      </c>
      <c r="O69" s="17" t="s">
        <v>3648</v>
      </c>
      <c r="P69" s="191" t="s">
        <v>436</v>
      </c>
      <c r="Q69" s="13" t="s">
        <v>618</v>
      </c>
      <c r="R69" s="13" t="str">
        <f>VLOOKUP(P69,'Dados das Regiões '!A:B,2,0)</f>
        <v>PATO BRANCO</v>
      </c>
      <c r="S69" s="191" t="s">
        <v>3649</v>
      </c>
      <c r="T69" s="191" t="s">
        <v>3650</v>
      </c>
      <c r="U69" s="191" t="s">
        <v>3651</v>
      </c>
      <c r="V69" s="191" t="s">
        <v>3652</v>
      </c>
      <c r="W69" s="195">
        <v>0.5625</v>
      </c>
      <c r="X69" s="426" t="s">
        <v>3654</v>
      </c>
      <c r="Y69" s="16" t="s">
        <v>3315</v>
      </c>
      <c r="Z69" s="36"/>
      <c r="AA69" s="175" t="e">
        <f>VLOOKUP(Tabela2[[#This Row],[Turma]],CC!E70:F125,2,TRUE)</f>
        <v>#N/A</v>
      </c>
    </row>
    <row r="70" spans="1:27">
      <c r="A70" s="14"/>
      <c r="B70" s="13" t="str">
        <f t="shared" si="9"/>
        <v>Pendente</v>
      </c>
      <c r="C70" s="14" t="str">
        <f t="shared" si="10"/>
        <v/>
      </c>
      <c r="D70" s="41" t="s">
        <v>611</v>
      </c>
      <c r="E70" s="14" t="str">
        <f t="shared" si="11"/>
        <v/>
      </c>
      <c r="F70" s="41" t="s">
        <v>611</v>
      </c>
      <c r="G70" s="191">
        <v>202500598</v>
      </c>
      <c r="H70" s="191" t="s">
        <v>3655</v>
      </c>
      <c r="I70" s="191" t="s">
        <v>3311</v>
      </c>
      <c r="J70" s="192">
        <v>45831</v>
      </c>
      <c r="K70" s="192">
        <v>46408</v>
      </c>
      <c r="L70" s="191" t="s">
        <v>672</v>
      </c>
      <c r="M70" s="191" t="s">
        <v>3656</v>
      </c>
      <c r="N70" s="13" t="s">
        <v>3657</v>
      </c>
      <c r="O70" s="17" t="s">
        <v>3658</v>
      </c>
      <c r="P70" s="191" t="s">
        <v>436</v>
      </c>
      <c r="Q70" s="13" t="s">
        <v>618</v>
      </c>
      <c r="R70" s="13" t="str">
        <f>VLOOKUP(P70,'Dados das Regiões '!A:B,2,0)</f>
        <v>PATO BRANCO</v>
      </c>
      <c r="S70" s="191" t="s">
        <v>3659</v>
      </c>
      <c r="T70" s="191"/>
      <c r="U70" s="191" t="s">
        <v>3660</v>
      </c>
      <c r="V70" s="191" t="s">
        <v>3661</v>
      </c>
      <c r="W70" s="195">
        <v>0.5625</v>
      </c>
      <c r="X70" s="420">
        <v>0.64583333333333337</v>
      </c>
      <c r="Y70" s="16" t="s">
        <v>3315</v>
      </c>
      <c r="Z70" s="36"/>
      <c r="AA70" s="175" t="e">
        <f>VLOOKUP(Tabela2[[#This Row],[Turma]],CC!E71:F126,2,TRUE)</f>
        <v>#N/A</v>
      </c>
    </row>
    <row r="71" spans="1:27">
      <c r="A71" s="14"/>
      <c r="B71" s="13" t="str">
        <f t="shared" si="9"/>
        <v>Pendente</v>
      </c>
      <c r="C71" s="14" t="str">
        <f t="shared" si="10"/>
        <v/>
      </c>
      <c r="D71" s="41" t="s">
        <v>611</v>
      </c>
      <c r="E71" s="14" t="str">
        <f t="shared" si="11"/>
        <v/>
      </c>
      <c r="F71" s="41" t="s">
        <v>611</v>
      </c>
      <c r="G71" s="191">
        <v>202500598</v>
      </c>
      <c r="H71" s="191" t="s">
        <v>3662</v>
      </c>
      <c r="I71" s="191" t="s">
        <v>3311</v>
      </c>
      <c r="J71" s="192">
        <v>45831</v>
      </c>
      <c r="K71" s="192">
        <v>46408</v>
      </c>
      <c r="L71" s="191" t="s">
        <v>672</v>
      </c>
      <c r="M71" s="191" t="s">
        <v>3656</v>
      </c>
      <c r="N71" s="13" t="s">
        <v>3657</v>
      </c>
      <c r="O71" s="17" t="s">
        <v>3658</v>
      </c>
      <c r="P71" s="191" t="s">
        <v>436</v>
      </c>
      <c r="Q71" s="13" t="s">
        <v>618</v>
      </c>
      <c r="R71" s="13" t="str">
        <f>VLOOKUP(P71,'Dados das Regiões '!A:B,2,0)</f>
        <v>PATO BRANCO</v>
      </c>
      <c r="S71" s="191" t="s">
        <v>3659</v>
      </c>
      <c r="T71" s="191"/>
      <c r="U71" s="191" t="s">
        <v>3660</v>
      </c>
      <c r="V71" s="191" t="s">
        <v>3661</v>
      </c>
      <c r="W71" s="195">
        <v>0.3125</v>
      </c>
      <c r="X71" s="420">
        <v>0.39583333333333331</v>
      </c>
      <c r="Y71" s="16" t="s">
        <v>3315</v>
      </c>
      <c r="Z71" s="36"/>
      <c r="AA71" s="175" t="e">
        <f>VLOOKUP(Tabela2[[#This Row],[Turma]],CC!E72:F127,2,TRUE)</f>
        <v>#N/A</v>
      </c>
    </row>
    <row r="72" spans="1:27">
      <c r="A72" s="14"/>
      <c r="B72" s="13" t="str">
        <f t="shared" si="9"/>
        <v>Pendente</v>
      </c>
      <c r="C72" s="14" t="str">
        <f t="shared" si="10"/>
        <v/>
      </c>
      <c r="D72" s="41" t="s">
        <v>611</v>
      </c>
      <c r="E72" s="14" t="str">
        <f t="shared" si="11"/>
        <v/>
      </c>
      <c r="F72" s="41" t="s">
        <v>611</v>
      </c>
      <c r="G72" s="191">
        <v>202500598</v>
      </c>
      <c r="H72" s="191" t="s">
        <v>3663</v>
      </c>
      <c r="I72" s="191" t="s">
        <v>3311</v>
      </c>
      <c r="J72" s="192">
        <v>45831</v>
      </c>
      <c r="K72" s="192">
        <v>46408</v>
      </c>
      <c r="L72" s="191" t="s">
        <v>672</v>
      </c>
      <c r="M72" s="191" t="s">
        <v>3664</v>
      </c>
      <c r="N72" s="13" t="s">
        <v>3665</v>
      </c>
      <c r="O72" s="17" t="s">
        <v>3666</v>
      </c>
      <c r="P72" s="191" t="s">
        <v>54</v>
      </c>
      <c r="Q72" s="13" t="s">
        <v>618</v>
      </c>
      <c r="R72" s="13" t="str">
        <f>VLOOKUP(P72,'Dados das Regiões '!A:B,2,0)</f>
        <v>IVAIPORÃ</v>
      </c>
      <c r="S72" s="191" t="s">
        <v>3667</v>
      </c>
      <c r="T72" s="191" t="s">
        <v>3668</v>
      </c>
      <c r="U72" s="191" t="s">
        <v>3669</v>
      </c>
      <c r="V72" s="191" t="s">
        <v>3670</v>
      </c>
      <c r="W72" s="195">
        <v>0.3125</v>
      </c>
      <c r="X72" s="420">
        <v>0.39583333333333331</v>
      </c>
      <c r="Y72" s="16" t="s">
        <v>3315</v>
      </c>
      <c r="Z72" s="36"/>
      <c r="AA72" s="175" t="e">
        <f>VLOOKUP(Tabela2[[#This Row],[Turma]],CC!E73:F128,2,TRUE)</f>
        <v>#N/A</v>
      </c>
    </row>
    <row r="73" spans="1:27">
      <c r="A73" s="14"/>
      <c r="B73" s="13" t="str">
        <f t="shared" si="9"/>
        <v>Pendente</v>
      </c>
      <c r="C73" s="14" t="str">
        <f t="shared" si="10"/>
        <v/>
      </c>
      <c r="D73" s="41" t="s">
        <v>611</v>
      </c>
      <c r="E73" s="14" t="str">
        <f t="shared" si="11"/>
        <v/>
      </c>
      <c r="F73" s="41" t="s">
        <v>611</v>
      </c>
      <c r="G73" s="191">
        <v>202500598</v>
      </c>
      <c r="H73" s="191" t="s">
        <v>3671</v>
      </c>
      <c r="I73" s="191" t="s">
        <v>3311</v>
      </c>
      <c r="J73" s="192">
        <v>45831</v>
      </c>
      <c r="K73" s="192">
        <v>46408</v>
      </c>
      <c r="L73" s="191" t="s">
        <v>672</v>
      </c>
      <c r="M73" s="191" t="s">
        <v>3672</v>
      </c>
      <c r="N73" s="13" t="s">
        <v>3673</v>
      </c>
      <c r="O73" s="17" t="s">
        <v>3674</v>
      </c>
      <c r="P73" s="191" t="s">
        <v>54</v>
      </c>
      <c r="Q73" s="13" t="s">
        <v>618</v>
      </c>
      <c r="R73" s="13" t="str">
        <f>VLOOKUP(P73,'Dados das Regiões '!A:B,2,0)</f>
        <v>IVAIPORÃ</v>
      </c>
      <c r="S73" s="191" t="s">
        <v>3667</v>
      </c>
      <c r="T73" s="191" t="s">
        <v>3668</v>
      </c>
      <c r="U73" s="191" t="s">
        <v>3669</v>
      </c>
      <c r="V73" s="191" t="s">
        <v>3675</v>
      </c>
      <c r="W73" s="195">
        <v>0.5625</v>
      </c>
      <c r="X73" s="420">
        <v>0.64583333333333337</v>
      </c>
      <c r="Y73" s="16" t="s">
        <v>3315</v>
      </c>
      <c r="Z73" s="36"/>
      <c r="AA73" s="175" t="e">
        <f>VLOOKUP(Tabela2[[#This Row],[Turma]],CC!E74:F129,2,TRUE)</f>
        <v>#N/A</v>
      </c>
    </row>
    <row r="74" spans="1:27">
      <c r="A74" s="14"/>
      <c r="B74" s="13" t="str">
        <f t="shared" si="9"/>
        <v>Pendente</v>
      </c>
      <c r="C74" s="14" t="str">
        <f t="shared" si="10"/>
        <v/>
      </c>
      <c r="D74" s="41" t="s">
        <v>611</v>
      </c>
      <c r="E74" s="14" t="str">
        <f t="shared" si="11"/>
        <v/>
      </c>
      <c r="F74" s="41" t="s">
        <v>611</v>
      </c>
      <c r="G74" s="191">
        <v>202500598</v>
      </c>
      <c r="H74" s="191" t="s">
        <v>3676</v>
      </c>
      <c r="I74" s="191" t="s">
        <v>3311</v>
      </c>
      <c r="J74" s="192">
        <v>45831</v>
      </c>
      <c r="K74" s="192">
        <v>46408</v>
      </c>
      <c r="L74" s="191" t="s">
        <v>632</v>
      </c>
      <c r="M74" s="191" t="s">
        <v>3677</v>
      </c>
      <c r="N74" s="13" t="s">
        <v>3678</v>
      </c>
      <c r="O74" s="17" t="s">
        <v>3679</v>
      </c>
      <c r="P74" s="191" t="s">
        <v>346</v>
      </c>
      <c r="Q74" s="13" t="s">
        <v>618</v>
      </c>
      <c r="R74" s="13" t="str">
        <f>VLOOKUP(P74,'Dados das Regiões '!A:B,2,0)</f>
        <v>LONDRINA NORTE</v>
      </c>
      <c r="S74" s="191" t="s">
        <v>3680</v>
      </c>
      <c r="T74" s="191" t="s">
        <v>3681</v>
      </c>
      <c r="U74" s="191" t="s">
        <v>3682</v>
      </c>
      <c r="V74" s="191" t="s">
        <v>3683</v>
      </c>
      <c r="W74" s="195">
        <v>0.33333333333333331</v>
      </c>
      <c r="X74" s="420">
        <v>0.41666666666666669</v>
      </c>
      <c r="Y74" s="16" t="s">
        <v>3315</v>
      </c>
      <c r="Z74" s="36"/>
      <c r="AA74" s="175" t="e">
        <f>VLOOKUP(Tabela2[[#This Row],[Turma]],CC!E75:F130,2,TRUE)</f>
        <v>#N/A</v>
      </c>
    </row>
    <row r="75" spans="1:27">
      <c r="A75" s="14"/>
      <c r="B75" s="13" t="str">
        <f t="shared" si="9"/>
        <v>Pendente</v>
      </c>
      <c r="C75" s="14" t="str">
        <f t="shared" si="10"/>
        <v/>
      </c>
      <c r="D75" s="41" t="s">
        <v>611</v>
      </c>
      <c r="E75" s="14" t="str">
        <f t="shared" si="11"/>
        <v/>
      </c>
      <c r="F75" s="41" t="s">
        <v>611</v>
      </c>
      <c r="G75" s="191">
        <v>202500598</v>
      </c>
      <c r="H75" s="191" t="s">
        <v>3684</v>
      </c>
      <c r="I75" s="191" t="s">
        <v>3311</v>
      </c>
      <c r="J75" s="192">
        <v>45831</v>
      </c>
      <c r="K75" s="192">
        <v>46408</v>
      </c>
      <c r="L75" s="191" t="s">
        <v>3685</v>
      </c>
      <c r="M75" s="191" t="s">
        <v>3686</v>
      </c>
      <c r="N75" s="13" t="s">
        <v>3687</v>
      </c>
      <c r="O75" s="17" t="s">
        <v>3688</v>
      </c>
      <c r="P75" s="191" t="s">
        <v>440</v>
      </c>
      <c r="Q75" s="13" t="s">
        <v>618</v>
      </c>
      <c r="R75" s="13" t="str">
        <f>VLOOKUP(P75,'Dados das Regiões '!A:B,2,0)</f>
        <v>PATO BRANCO</v>
      </c>
      <c r="S75" s="191" t="s">
        <v>3689</v>
      </c>
      <c r="T75" s="191"/>
      <c r="U75" s="191" t="s">
        <v>3690</v>
      </c>
      <c r="V75" s="191" t="s">
        <v>3691</v>
      </c>
      <c r="W75" s="195">
        <v>0.41666666666666669</v>
      </c>
      <c r="X75" s="420">
        <v>0.33333333333333331</v>
      </c>
      <c r="Y75" s="16" t="s">
        <v>3315</v>
      </c>
      <c r="Z75" s="36"/>
      <c r="AA75" s="175" t="e">
        <f>VLOOKUP(Tabela2[[#This Row],[Turma]],CC!E76:F131,2,TRUE)</f>
        <v>#N/A</v>
      </c>
    </row>
    <row r="76" spans="1:27">
      <c r="A76" s="14"/>
      <c r="B76" s="13" t="str">
        <f t="shared" si="9"/>
        <v>Pendente</v>
      </c>
      <c r="C76" s="14" t="str">
        <f t="shared" si="10"/>
        <v/>
      </c>
      <c r="D76" s="41" t="s">
        <v>611</v>
      </c>
      <c r="E76" s="14" t="str">
        <f t="shared" si="11"/>
        <v/>
      </c>
      <c r="F76" s="41" t="s">
        <v>611</v>
      </c>
      <c r="G76" s="191">
        <v>202500598</v>
      </c>
      <c r="H76" s="191" t="s">
        <v>3692</v>
      </c>
      <c r="I76" s="191" t="s">
        <v>3311</v>
      </c>
      <c r="J76" s="192">
        <v>45831</v>
      </c>
      <c r="K76" s="192">
        <v>46408</v>
      </c>
      <c r="L76" s="191" t="s">
        <v>3693</v>
      </c>
      <c r="M76" s="191" t="s">
        <v>3694</v>
      </c>
      <c r="N76" s="13" t="s">
        <v>3695</v>
      </c>
      <c r="O76" s="17" t="s">
        <v>3696</v>
      </c>
      <c r="P76" s="191" t="s">
        <v>440</v>
      </c>
      <c r="Q76" s="13" t="s">
        <v>618</v>
      </c>
      <c r="R76" s="13" t="str">
        <f>VLOOKUP(P76,'Dados das Regiões '!A:B,2,0)</f>
        <v>PATO BRANCO</v>
      </c>
      <c r="S76" s="191" t="s">
        <v>3697</v>
      </c>
      <c r="T76" s="191"/>
      <c r="U76" s="191" t="s">
        <v>3698</v>
      </c>
      <c r="V76" s="191" t="s">
        <v>3699</v>
      </c>
      <c r="W76" s="195">
        <v>0.625</v>
      </c>
      <c r="X76" s="420">
        <v>0.54166666666666663</v>
      </c>
      <c r="Y76" s="16" t="s">
        <v>3315</v>
      </c>
      <c r="Z76" s="36"/>
      <c r="AA76" s="175" t="e">
        <f>VLOOKUP(Tabela2[[#This Row],[Turma]],CC!E77:F132,2,TRUE)</f>
        <v>#N/A</v>
      </c>
    </row>
    <row r="77" spans="1:27">
      <c r="A77" s="14"/>
      <c r="B77" s="13" t="str">
        <f t="shared" si="9"/>
        <v>Pendente</v>
      </c>
      <c r="C77" s="14" t="str">
        <f t="shared" si="10"/>
        <v/>
      </c>
      <c r="D77" s="41" t="s">
        <v>611</v>
      </c>
      <c r="E77" s="14" t="str">
        <f t="shared" si="11"/>
        <v/>
      </c>
      <c r="F77" s="41" t="s">
        <v>611</v>
      </c>
      <c r="G77" s="191">
        <v>202500598</v>
      </c>
      <c r="H77" s="191" t="s">
        <v>3700</v>
      </c>
      <c r="I77" s="191" t="s">
        <v>3311</v>
      </c>
      <c r="J77" s="192">
        <v>45831</v>
      </c>
      <c r="K77" s="192">
        <v>46408</v>
      </c>
      <c r="L77" s="191" t="s">
        <v>3685</v>
      </c>
      <c r="M77" s="191" t="s">
        <v>3686</v>
      </c>
      <c r="N77" s="13" t="s">
        <v>3687</v>
      </c>
      <c r="O77" s="17" t="s">
        <v>3688</v>
      </c>
      <c r="P77" s="191" t="s">
        <v>440</v>
      </c>
      <c r="Q77" s="13" t="s">
        <v>618</v>
      </c>
      <c r="R77" s="13" t="str">
        <f>VLOOKUP(P77,'Dados das Regiões '!A:B,2,0)</f>
        <v>PATO BRANCO</v>
      </c>
      <c r="S77" s="191" t="s">
        <v>3689</v>
      </c>
      <c r="T77" s="191"/>
      <c r="U77" s="191" t="s">
        <v>3690</v>
      </c>
      <c r="V77" s="191" t="s">
        <v>3691</v>
      </c>
      <c r="W77" s="195">
        <v>0.625</v>
      </c>
      <c r="X77" s="420">
        <v>0.54166666666666663</v>
      </c>
      <c r="Y77" s="16" t="s">
        <v>3315</v>
      </c>
      <c r="Z77" s="36"/>
      <c r="AA77" s="175" t="e">
        <f>VLOOKUP(Tabela2[[#This Row],[Turma]],CC!E78:F133,2,TRUE)</f>
        <v>#N/A</v>
      </c>
    </row>
    <row r="78" spans="1:27">
      <c r="A78" s="14"/>
      <c r="B78" s="13" t="str">
        <f t="shared" si="9"/>
        <v>Pendente</v>
      </c>
      <c r="C78" s="14" t="str">
        <f t="shared" si="10"/>
        <v/>
      </c>
      <c r="D78" s="41" t="s">
        <v>611</v>
      </c>
      <c r="E78" s="14" t="str">
        <f t="shared" si="11"/>
        <v/>
      </c>
      <c r="F78" s="41" t="s">
        <v>611</v>
      </c>
      <c r="G78" s="191">
        <v>202500598</v>
      </c>
      <c r="H78" s="191" t="s">
        <v>3701</v>
      </c>
      <c r="I78" s="191" t="s">
        <v>3311</v>
      </c>
      <c r="J78" s="192">
        <v>45831</v>
      </c>
      <c r="K78" s="192">
        <v>46408</v>
      </c>
      <c r="L78" s="191" t="s">
        <v>672</v>
      </c>
      <c r="M78" s="191" t="s">
        <v>3702</v>
      </c>
      <c r="N78" s="13" t="s">
        <v>3703</v>
      </c>
      <c r="O78" s="17" t="s">
        <v>3704</v>
      </c>
      <c r="P78" s="191" t="s">
        <v>77</v>
      </c>
      <c r="Q78" s="13" t="s">
        <v>618</v>
      </c>
      <c r="R78" s="13" t="str">
        <f>VLOOKUP(P78,'Dados das Regiões '!A:B,2,0)</f>
        <v>TOLEDO</v>
      </c>
      <c r="S78" s="191" t="s">
        <v>3705</v>
      </c>
      <c r="T78" s="191" t="s">
        <v>3706</v>
      </c>
      <c r="U78" s="191" t="s">
        <v>3707</v>
      </c>
      <c r="V78" s="191" t="s">
        <v>3708</v>
      </c>
      <c r="W78" s="195">
        <v>0.3125</v>
      </c>
      <c r="X78" s="420">
        <v>0.39583333333333331</v>
      </c>
      <c r="Y78" s="16" t="s">
        <v>3315</v>
      </c>
      <c r="Z78" s="36"/>
      <c r="AA78" s="175" t="e">
        <f>VLOOKUP(Tabela2[[#This Row],[Turma]],CC!E79:F134,2,TRUE)</f>
        <v>#N/A</v>
      </c>
    </row>
    <row r="79" spans="1:27">
      <c r="A79" s="14"/>
      <c r="B79" s="13" t="str">
        <f t="shared" si="9"/>
        <v>Pendente</v>
      </c>
      <c r="C79" s="14" t="str">
        <f t="shared" si="10"/>
        <v/>
      </c>
      <c r="D79" s="41" t="s">
        <v>611</v>
      </c>
      <c r="E79" s="14" t="str">
        <f t="shared" si="11"/>
        <v/>
      </c>
      <c r="F79" s="41" t="s">
        <v>611</v>
      </c>
      <c r="G79" s="191">
        <v>202500598</v>
      </c>
      <c r="H79" s="191" t="s">
        <v>3709</v>
      </c>
      <c r="I79" s="191" t="s">
        <v>3311</v>
      </c>
      <c r="J79" s="192">
        <v>45831</v>
      </c>
      <c r="K79" s="192">
        <v>46408</v>
      </c>
      <c r="L79" s="191" t="s">
        <v>672</v>
      </c>
      <c r="M79" s="191" t="s">
        <v>3702</v>
      </c>
      <c r="N79" s="13" t="s">
        <v>3703</v>
      </c>
      <c r="O79" s="17" t="s">
        <v>3704</v>
      </c>
      <c r="P79" s="191" t="s">
        <v>77</v>
      </c>
      <c r="Q79" s="13" t="s">
        <v>618</v>
      </c>
      <c r="R79" s="13" t="str">
        <f>VLOOKUP(P79,'Dados das Regiões '!A:B,2,0)</f>
        <v>TOLEDO</v>
      </c>
      <c r="S79" s="191" t="s">
        <v>3705</v>
      </c>
      <c r="T79" s="191" t="s">
        <v>3706</v>
      </c>
      <c r="U79" s="191" t="s">
        <v>3707</v>
      </c>
      <c r="V79" s="191" t="s">
        <v>3708</v>
      </c>
      <c r="W79" s="195">
        <v>0.5625</v>
      </c>
      <c r="X79" s="420">
        <v>0.64583333333333337</v>
      </c>
      <c r="Y79" s="16" t="s">
        <v>3315</v>
      </c>
      <c r="Z79" s="36"/>
      <c r="AA79" s="175" t="e">
        <f>VLOOKUP(Tabela2[[#This Row],[Turma]],CC!E80:F135,2,TRUE)</f>
        <v>#N/A</v>
      </c>
    </row>
    <row r="80" spans="1:27">
      <c r="A80" s="14"/>
      <c r="B80" s="13" t="str">
        <f t="shared" si="9"/>
        <v>Pendente</v>
      </c>
      <c r="C80" s="14" t="str">
        <f t="shared" si="10"/>
        <v/>
      </c>
      <c r="D80" s="41" t="s">
        <v>611</v>
      </c>
      <c r="E80" s="14" t="str">
        <f t="shared" si="11"/>
        <v/>
      </c>
      <c r="F80" s="41" t="s">
        <v>611</v>
      </c>
      <c r="G80" s="191">
        <v>202500598</v>
      </c>
      <c r="H80" s="191" t="s">
        <v>3710</v>
      </c>
      <c r="I80" s="191" t="s">
        <v>3311</v>
      </c>
      <c r="J80" s="192">
        <v>45831</v>
      </c>
      <c r="K80" s="192">
        <v>46408</v>
      </c>
      <c r="L80" s="191" t="s">
        <v>672</v>
      </c>
      <c r="M80" s="191" t="s">
        <v>3711</v>
      </c>
      <c r="N80" s="13" t="s">
        <v>3712</v>
      </c>
      <c r="O80" s="17" t="s">
        <v>3713</v>
      </c>
      <c r="P80" s="191" t="s">
        <v>77</v>
      </c>
      <c r="Q80" s="13" t="s">
        <v>618</v>
      </c>
      <c r="R80" s="13" t="str">
        <f>VLOOKUP(P80,'Dados das Regiões '!A:B,2,0)</f>
        <v>TOLEDO</v>
      </c>
      <c r="S80" s="191" t="s">
        <v>3714</v>
      </c>
      <c r="T80" s="191"/>
      <c r="U80" s="191" t="s">
        <v>3715</v>
      </c>
      <c r="V80" s="191" t="s">
        <v>3716</v>
      </c>
      <c r="W80" s="195">
        <v>0.5625</v>
      </c>
      <c r="X80" s="420">
        <v>0.64583333333333337</v>
      </c>
      <c r="Y80" s="16" t="s">
        <v>3315</v>
      </c>
      <c r="Z80" s="36"/>
      <c r="AA80" s="175" t="e">
        <f>VLOOKUP(Tabela2[[#This Row],[Turma]],CC!E81:F136,2,TRUE)</f>
        <v>#N/A</v>
      </c>
    </row>
    <row r="81" spans="1:27">
      <c r="A81" s="14"/>
      <c r="B81" s="13" t="str">
        <f t="shared" si="9"/>
        <v>Pendente</v>
      </c>
      <c r="C81" s="14" t="str">
        <f t="shared" si="10"/>
        <v/>
      </c>
      <c r="D81" s="41" t="s">
        <v>611</v>
      </c>
      <c r="E81" s="14" t="str">
        <f t="shared" si="11"/>
        <v/>
      </c>
      <c r="F81" s="41" t="s">
        <v>611</v>
      </c>
      <c r="G81" s="191">
        <v>202500598</v>
      </c>
      <c r="H81" s="191" t="s">
        <v>3717</v>
      </c>
      <c r="I81" s="191" t="s">
        <v>3311</v>
      </c>
      <c r="J81" s="192">
        <v>45831</v>
      </c>
      <c r="K81" s="192">
        <v>46408</v>
      </c>
      <c r="L81" s="191" t="s">
        <v>672</v>
      </c>
      <c r="M81" s="191" t="s">
        <v>3711</v>
      </c>
      <c r="N81" s="13" t="s">
        <v>3712</v>
      </c>
      <c r="O81" s="17" t="s">
        <v>3713</v>
      </c>
      <c r="P81" s="191" t="s">
        <v>77</v>
      </c>
      <c r="Q81" s="13" t="s">
        <v>618</v>
      </c>
      <c r="R81" s="13" t="str">
        <f>VLOOKUP(P81,'Dados das Regiões '!A:B,2,0)</f>
        <v>TOLEDO</v>
      </c>
      <c r="S81" s="191" t="s">
        <v>3714</v>
      </c>
      <c r="T81" s="191"/>
      <c r="U81" s="191" t="s">
        <v>3715</v>
      </c>
      <c r="V81" s="191" t="s">
        <v>3718</v>
      </c>
      <c r="W81" s="195">
        <v>0.5625</v>
      </c>
      <c r="X81" s="420">
        <v>0.64583333333333337</v>
      </c>
      <c r="Y81" s="16" t="s">
        <v>3315</v>
      </c>
      <c r="Z81" s="36"/>
      <c r="AA81" s="175" t="e">
        <f>VLOOKUP(Tabela2[[#This Row],[Turma]],CC!E82:F137,2,TRUE)</f>
        <v>#N/A</v>
      </c>
    </row>
    <row r="82" spans="1:27">
      <c r="A82" s="14"/>
      <c r="B82" s="13" t="str">
        <f t="shared" si="9"/>
        <v>Pendente</v>
      </c>
      <c r="C82" s="14" t="str">
        <f t="shared" si="10"/>
        <v/>
      </c>
      <c r="D82" s="41" t="s">
        <v>611</v>
      </c>
      <c r="E82" s="14" t="str">
        <f t="shared" si="11"/>
        <v/>
      </c>
      <c r="F82" s="41" t="s">
        <v>611</v>
      </c>
      <c r="G82" s="191">
        <v>202500598</v>
      </c>
      <c r="H82" s="191" t="s">
        <v>3719</v>
      </c>
      <c r="I82" s="191" t="s">
        <v>3311</v>
      </c>
      <c r="J82" s="192">
        <v>45831</v>
      </c>
      <c r="K82" s="192">
        <v>46408</v>
      </c>
      <c r="L82" s="191" t="s">
        <v>672</v>
      </c>
      <c r="M82" s="191" t="s">
        <v>3711</v>
      </c>
      <c r="N82" s="13" t="s">
        <v>3712</v>
      </c>
      <c r="O82" s="17" t="s">
        <v>3713</v>
      </c>
      <c r="P82" s="191" t="s">
        <v>77</v>
      </c>
      <c r="Q82" s="13" t="s">
        <v>618</v>
      </c>
      <c r="R82" s="13" t="str">
        <f>VLOOKUP(P82,'Dados das Regiões '!A:B,2,0)</f>
        <v>TOLEDO</v>
      </c>
      <c r="S82" s="191" t="s">
        <v>3714</v>
      </c>
      <c r="T82" s="191"/>
      <c r="U82" s="191" t="s">
        <v>3715</v>
      </c>
      <c r="V82" s="191" t="s">
        <v>3716</v>
      </c>
      <c r="W82" s="195">
        <v>0.64583333333333337</v>
      </c>
      <c r="X82" s="420">
        <v>0.5625</v>
      </c>
      <c r="Y82" s="16" t="s">
        <v>3315</v>
      </c>
      <c r="Z82" s="36"/>
      <c r="AA82" s="175" t="e">
        <f>VLOOKUP(Tabela2[[#This Row],[Turma]],CC!E83:F138,2,TRUE)</f>
        <v>#N/A</v>
      </c>
    </row>
    <row r="83" spans="1:27">
      <c r="A83" s="14"/>
      <c r="B83" s="13" t="str">
        <f t="shared" si="9"/>
        <v>Pendente</v>
      </c>
      <c r="C83" s="14" t="str">
        <f t="shared" si="10"/>
        <v/>
      </c>
      <c r="D83" s="41" t="s">
        <v>611</v>
      </c>
      <c r="E83" s="14" t="str">
        <f t="shared" si="11"/>
        <v/>
      </c>
      <c r="F83" s="41" t="s">
        <v>611</v>
      </c>
      <c r="G83" s="191">
        <v>202500598</v>
      </c>
      <c r="H83" s="191" t="s">
        <v>3720</v>
      </c>
      <c r="I83" s="191" t="s">
        <v>3311</v>
      </c>
      <c r="J83" s="192">
        <v>45831</v>
      </c>
      <c r="K83" s="192">
        <v>46408</v>
      </c>
      <c r="L83" s="191" t="s">
        <v>3721</v>
      </c>
      <c r="M83" s="191" t="s">
        <v>3722</v>
      </c>
      <c r="N83" s="13" t="s">
        <v>3723</v>
      </c>
      <c r="O83" s="17" t="s">
        <v>3724</v>
      </c>
      <c r="P83" s="191" t="s">
        <v>207</v>
      </c>
      <c r="Q83" s="13" t="s">
        <v>618</v>
      </c>
      <c r="R83" s="13" t="str">
        <f>VLOOKUP(P83,'Dados das Regiões '!A:B,2,0)</f>
        <v>CASCAVEL</v>
      </c>
      <c r="S83" s="191" t="s">
        <v>3725</v>
      </c>
      <c r="T83" s="191" t="s">
        <v>3726</v>
      </c>
      <c r="U83" s="191" t="s">
        <v>3727</v>
      </c>
      <c r="V83" s="191" t="s">
        <v>3728</v>
      </c>
      <c r="W83" s="195">
        <v>0.64583333333333337</v>
      </c>
      <c r="X83" s="420">
        <v>0.5625</v>
      </c>
      <c r="Y83" s="16" t="s">
        <v>3315</v>
      </c>
      <c r="Z83" s="36"/>
      <c r="AA83" s="175" t="e">
        <f>VLOOKUP(Tabela2[[#This Row],[Turma]],CC!E84:F139,2,TRUE)</f>
        <v>#N/A</v>
      </c>
    </row>
    <row r="84" spans="1:27">
      <c r="A84" s="14"/>
      <c r="B84" s="13" t="str">
        <f t="shared" si="9"/>
        <v>Pendente</v>
      </c>
      <c r="C84" s="14" t="str">
        <f t="shared" si="10"/>
        <v/>
      </c>
      <c r="D84" s="41" t="s">
        <v>611</v>
      </c>
      <c r="E84" s="14" t="str">
        <f t="shared" si="11"/>
        <v/>
      </c>
      <c r="F84" s="41" t="s">
        <v>611</v>
      </c>
      <c r="G84" s="191">
        <v>202500598</v>
      </c>
      <c r="H84" s="191" t="s">
        <v>3729</v>
      </c>
      <c r="I84" s="191" t="s">
        <v>3311</v>
      </c>
      <c r="J84" s="192">
        <v>45831</v>
      </c>
      <c r="K84" s="192">
        <v>46408</v>
      </c>
      <c r="L84" s="191" t="s">
        <v>3721</v>
      </c>
      <c r="M84" s="191" t="s">
        <v>3722</v>
      </c>
      <c r="N84" s="13" t="s">
        <v>3723</v>
      </c>
      <c r="O84" s="17" t="s">
        <v>3724</v>
      </c>
      <c r="P84" s="191" t="s">
        <v>207</v>
      </c>
      <c r="Q84" s="13" t="s">
        <v>618</v>
      </c>
      <c r="R84" s="13" t="str">
        <f>VLOOKUP(P84,'Dados das Regiões '!A:B,2,0)</f>
        <v>CASCAVEL</v>
      </c>
      <c r="S84" s="191" t="s">
        <v>3725</v>
      </c>
      <c r="T84" s="191" t="s">
        <v>3726</v>
      </c>
      <c r="U84" s="191" t="s">
        <v>3727</v>
      </c>
      <c r="V84" s="191" t="s">
        <v>3728</v>
      </c>
      <c r="W84" s="195">
        <v>0.64583333333333337</v>
      </c>
      <c r="X84" s="420">
        <v>0.5625</v>
      </c>
      <c r="Y84" s="16" t="s">
        <v>3315</v>
      </c>
      <c r="Z84" s="36"/>
      <c r="AA84" s="175" t="e">
        <f>VLOOKUP(Tabela2[[#This Row],[Turma]],CC!E85:F140,2,TRUE)</f>
        <v>#N/A</v>
      </c>
    </row>
    <row r="85" spans="1:27">
      <c r="A85" s="91"/>
      <c r="B85" s="41" t="str">
        <f t="shared" si="9"/>
        <v>Pendente</v>
      </c>
      <c r="C85" s="91" t="str">
        <f t="shared" si="10"/>
        <v/>
      </c>
      <c r="D85" s="41" t="s">
        <v>611</v>
      </c>
      <c r="E85" s="91" t="str">
        <f t="shared" si="11"/>
        <v/>
      </c>
      <c r="F85" s="41" t="s">
        <v>611</v>
      </c>
      <c r="G85" s="191">
        <v>202500598</v>
      </c>
      <c r="H85" s="191" t="s">
        <v>3730</v>
      </c>
      <c r="I85" s="191" t="s">
        <v>3311</v>
      </c>
      <c r="J85" s="192">
        <v>45831</v>
      </c>
      <c r="K85" s="192">
        <v>46408</v>
      </c>
      <c r="L85" s="191" t="s">
        <v>3721</v>
      </c>
      <c r="M85" s="191" t="s">
        <v>3722</v>
      </c>
      <c r="N85" s="41" t="s">
        <v>3723</v>
      </c>
      <c r="O85" s="75" t="s">
        <v>3724</v>
      </c>
      <c r="P85" s="191" t="s">
        <v>207</v>
      </c>
      <c r="Q85" s="13" t="s">
        <v>618</v>
      </c>
      <c r="R85" s="41" t="str">
        <f>VLOOKUP(P85,'Dados das Regiões '!A:B,2,0)</f>
        <v>CASCAVEL</v>
      </c>
      <c r="S85" s="191" t="s">
        <v>3725</v>
      </c>
      <c r="T85" s="191" t="s">
        <v>3726</v>
      </c>
      <c r="U85" s="191" t="s">
        <v>3727</v>
      </c>
      <c r="V85" s="191" t="s">
        <v>3728</v>
      </c>
      <c r="W85" s="195">
        <v>0.64583333333333337</v>
      </c>
      <c r="X85" s="420">
        <v>0.5625</v>
      </c>
      <c r="Y85" s="16" t="s">
        <v>3315</v>
      </c>
      <c r="Z85" s="49"/>
      <c r="AA85" s="175" t="e">
        <f>VLOOKUP(Tabela2[[#This Row],[Turma]],CC!E86:F141,2,TRUE)</f>
        <v>#N/A</v>
      </c>
    </row>
    <row r="88" spans="1:27">
      <c r="M88" s="509"/>
    </row>
    <row r="89" spans="1:27">
      <c r="M89" s="509"/>
    </row>
  </sheetData>
  <sheetProtection algorithmName="SHA-512" hashValue="ZmszJApKN+XTo/rvEqu/5Dwv6a6hcExu+r8/BtK19yjWhRgDDajR54f1f9Eu32da3rSVSrfYie0W/k/brMDhpw==" saltValue="8QxpXRph6YXWmN6xL5DvIA==" spinCount="100000" sheet="1" objects="1" scenarios="1" autoFilter="0"/>
  <protectedRanges>
    <protectedRange sqref="A3:P9 Z3:Z9 AB3:AH9 A1:AH2 R3:X9 Q3:Q85 Y3:Y85 AA3:AA85 D10:D85 F10:F85" name="Range1"/>
  </protectedRanges>
  <conditionalFormatting sqref="B1:B85 D1:D85 F1:F85">
    <cfRule type="containsBlanks" dxfId="197" priority="16">
      <formula>LEN(TRIM(B1))=0</formula>
    </cfRule>
    <cfRule type="containsText" dxfId="196" priority="17" operator="containsText" text="Pendente">
      <formula>NOT(ISERROR(SEARCH("Pendente",B1)))</formula>
    </cfRule>
    <cfRule type="containsText" dxfId="195" priority="18" operator="containsText" text="Realizada">
      <formula>NOT(ISERROR(SEARCH("Realizada",B1)))</formula>
    </cfRule>
  </conditionalFormatting>
  <conditionalFormatting sqref="H1">
    <cfRule type="duplicateValues" dxfId="194" priority="13"/>
  </conditionalFormatting>
  <conditionalFormatting sqref="J1">
    <cfRule type="cellIs" dxfId="193" priority="19" operator="equal">
      <formula>45733</formula>
    </cfRule>
  </conditionalFormatting>
  <conditionalFormatting sqref="K1">
    <cfRule type="cellIs" dxfId="192" priority="11" operator="equal">
      <formula>45870</formula>
    </cfRule>
  </conditionalFormatting>
  <conditionalFormatting sqref="M1">
    <cfRule type="duplicateValues" dxfId="191" priority="14"/>
  </conditionalFormatting>
  <conditionalFormatting sqref="M1">
    <cfRule type="duplicateValues" dxfId="190" priority="15"/>
  </conditionalFormatting>
  <conditionalFormatting sqref="N1 N2:O85">
    <cfRule type="cellIs" dxfId="189" priority="20" operator="equal">
      <formula>0</formula>
    </cfRule>
  </conditionalFormatting>
  <conditionalFormatting sqref="Z1:Z85">
    <cfRule type="notContainsBlanks" dxfId="188" priority="12" stopIfTrue="1">
      <formula>LEN(TRIM(Z1))&gt;0</formula>
    </cfRule>
  </conditionalFormatting>
  <conditionalFormatting sqref="M1">
    <cfRule type="duplicateValues" dxfId="187" priority="7"/>
  </conditionalFormatting>
  <conditionalFormatting sqref="M1">
    <cfRule type="duplicateValues" dxfId="186" priority="6"/>
  </conditionalFormatting>
  <conditionalFormatting sqref="M90:M1048576 M1:M54 M86:M88">
    <cfRule type="duplicateValues" dxfId="185" priority="5"/>
  </conditionalFormatting>
  <conditionalFormatting sqref="M90:M1048576 M1:M88">
    <cfRule type="duplicateValues" dxfId="184" priority="4"/>
  </conditionalFormatting>
  <conditionalFormatting sqref="O59">
    <cfRule type="duplicateValues" dxfId="183" priority="3"/>
  </conditionalFormatting>
  <conditionalFormatting sqref="O22">
    <cfRule type="duplicateValues" dxfId="182" priority="2"/>
  </conditionalFormatting>
  <conditionalFormatting sqref="O23">
    <cfRule type="duplicateValues" dxfId="181" priority="1"/>
  </conditionalFormatting>
  <conditionalFormatting sqref="N1:N85">
    <cfRule type="duplicateValues" dxfId="180" priority="1987"/>
  </conditionalFormatting>
  <dataValidations count="1">
    <dataValidation allowBlank="1" showInputMessage="1" showErrorMessage="1" sqref="A1:F1 Z1:Z85 B2:B85" xr:uid="{9B7BDA39-BC2E-4050-B495-46E919353771}"/>
  </dataValidations>
  <hyperlinks>
    <hyperlink ref="O14" r:id="rId1" xr:uid="{681FBDF7-DAD2-4D9E-A721-26DDCA5112D8}"/>
    <hyperlink ref="O13" r:id="rId2" xr:uid="{3562E28F-4E6B-4A3E-841C-1C5803B40E94}"/>
    <hyperlink ref="O16" r:id="rId3" xr:uid="{9BB2A228-E2C9-41A5-AD0F-EE8EE51C0EA7}"/>
    <hyperlink ref="O15" r:id="rId4" xr:uid="{81FC55D0-B677-4FAC-8351-7E2ACCC152FB}"/>
    <hyperlink ref="O17" r:id="rId5" xr:uid="{1765E589-5DB3-444D-A316-9D90AB9CAE11}"/>
    <hyperlink ref="O8" r:id="rId6" xr:uid="{E4D52486-BE7F-4CA2-88C0-2B283D3775E4}"/>
    <hyperlink ref="O9" r:id="rId7" xr:uid="{DA2010FB-1D40-45E1-85E3-CA512BA7B94D}"/>
    <hyperlink ref="O50" r:id="rId8" xr:uid="{E6AAB85E-1563-4577-95DB-970CE853B2B0}"/>
    <hyperlink ref="O2" r:id="rId9" xr:uid="{C2D3DBA6-CDDA-49F3-9FF8-8BC241158D95}"/>
    <hyperlink ref="O5" r:id="rId10" xr:uid="{A667076B-8FF6-409C-ABAB-3A603FBC8B14}"/>
    <hyperlink ref="O6" r:id="rId11" xr:uid="{620E8B39-E3E0-45DA-BD90-40E86471C316}"/>
    <hyperlink ref="O12" r:id="rId12" xr:uid="{28A01BC6-BB51-4B7E-BB9F-5BC055FAC14C}"/>
    <hyperlink ref="O39" r:id="rId13" xr:uid="{80568EA2-D500-4FC4-BEA1-DA498F9C37BF}"/>
    <hyperlink ref="O19" r:id="rId14" xr:uid="{E9037DB5-23C7-4126-9733-54B1437C55C2}"/>
    <hyperlink ref="O44" r:id="rId15" xr:uid="{4D0C6B7B-7D8D-4DF8-AFA8-F6268979BABE}"/>
    <hyperlink ref="O45" r:id="rId16" xr:uid="{4DF3BA49-9CCE-41AE-87C0-BB067F9CBB3E}"/>
    <hyperlink ref="O31" r:id="rId17" xr:uid="{3CA07B4E-F41A-4A37-BDDA-96CEBE8895C2}"/>
    <hyperlink ref="O40" r:id="rId18" xr:uid="{B538E4EE-E56D-4690-B7F1-09D229B3AA38}"/>
    <hyperlink ref="O41" r:id="rId19" xr:uid="{F8FE2565-C81A-4B7D-A972-50C5520A6D37}"/>
    <hyperlink ref="O42" r:id="rId20" xr:uid="{7A5017F3-700E-473A-9290-85D0EEB2F0C5}"/>
    <hyperlink ref="O43" r:id="rId21" xr:uid="{2312119C-7265-4E8F-A050-EA6778ED9B7B}"/>
    <hyperlink ref="O48" r:id="rId22" xr:uid="{93FAD383-BFE4-48D9-97DE-C8B478254477}"/>
    <hyperlink ref="O49" r:id="rId23" xr:uid="{F8CF0DFA-AC18-4064-A3BE-51D75F377697}"/>
    <hyperlink ref="O26" r:id="rId24" xr:uid="{F594B952-03D8-43E1-A369-FC7B70FB03DD}"/>
    <hyperlink ref="O29" r:id="rId25" xr:uid="{8A8BC7F7-ACF9-4450-9D27-84E65C925B75}"/>
    <hyperlink ref="O4" r:id="rId26" xr:uid="{FD0D1A03-53E0-4AA3-BB6A-72826EB52BD7}"/>
    <hyperlink ref="O51" r:id="rId27" xr:uid="{7AA4A787-EB96-4F5F-9BE0-C9E17033C86F}"/>
    <hyperlink ref="O52" r:id="rId28" xr:uid="{76D0A8CA-D71F-421E-A322-1F31BF93B013}"/>
    <hyperlink ref="O53" r:id="rId29" xr:uid="{9F85E2DA-12C8-4777-A975-E7A9B34FDE76}"/>
    <hyperlink ref="O54" r:id="rId30" xr:uid="{92375DEE-FAFE-4C4B-8FCC-FC6FE62D2BE4}"/>
    <hyperlink ref="O24" r:id="rId31" xr:uid="{758E2EA2-73AF-49E3-AF83-A0780454E607}"/>
    <hyperlink ref="O38" r:id="rId32" xr:uid="{39BC219B-CC5F-43EB-A4CF-42626DF751D6}"/>
    <hyperlink ref="O21" r:id="rId33" xr:uid="{7222E140-7E2E-4B24-A459-A05BC7F348F9}"/>
    <hyperlink ref="O25" r:id="rId34" xr:uid="{311566E4-57E2-4693-A0A2-A9539BA2D9B7}"/>
    <hyperlink ref="N22" r:id="rId35" xr:uid="{0EC41376-E407-47CF-B318-BD98E3E35382}"/>
    <hyperlink ref="O46" r:id="rId36" xr:uid="{609253A5-F013-48F0-83F5-D0A2E9EB49DE}"/>
    <hyperlink ref="O30" r:id="rId37" xr:uid="{A1378753-7226-4D96-8A42-E0C70DAE52D4}"/>
    <hyperlink ref="O27" r:id="rId38" xr:uid="{3195AFC0-237F-4D75-8C6C-2CFBE3FAB032}"/>
    <hyperlink ref="O28" r:id="rId39" xr:uid="{05A1CFC8-066E-44AC-848B-0600A38F8961}"/>
    <hyperlink ref="O37" r:id="rId40" xr:uid="{2EF5023A-37F8-493A-9DAC-6D1E667264F7}"/>
    <hyperlink ref="O7" r:id="rId41" xr:uid="{66ACE22B-2258-4F7E-83FC-8EA0C053D91C}"/>
    <hyperlink ref="O10" r:id="rId42" xr:uid="{E7F019F0-6310-4571-B8B0-781116194A9F}"/>
    <hyperlink ref="O47" r:id="rId43" xr:uid="{50310593-6825-4284-9309-6EB7DADBB0D0}"/>
    <hyperlink ref="O18" r:id="rId44" xr:uid="{30EB4922-FEA9-4E20-8E3B-EAB22BFF8C28}"/>
    <hyperlink ref="O3" r:id="rId45" xr:uid="{D540BA82-EC2C-49AB-9558-DD8654C8578A}"/>
    <hyperlink ref="O32" r:id="rId46" xr:uid="{B132B8E3-D02D-4896-BF95-25AB1F2039C5}"/>
    <hyperlink ref="O34" r:id="rId47" xr:uid="{22BD5559-04EE-48D5-BD42-A4E026E93322}"/>
    <hyperlink ref="O35" r:id="rId48" xr:uid="{F6B29E96-4BE6-4086-AF7C-2FAA4B5B1E94}"/>
    <hyperlink ref="O36" r:id="rId49" xr:uid="{7BB7A526-3329-417C-90BF-FEBBF9EAB187}"/>
    <hyperlink ref="O33" r:id="rId50" xr:uid="{D73ECB11-921F-4286-96FA-1E1989C06892}"/>
    <hyperlink ref="O11" r:id="rId51" xr:uid="{6D8D71AE-7C42-4D36-ABF7-44DBB3FAE443}"/>
    <hyperlink ref="O20" r:id="rId52" xr:uid="{821988C3-BE85-47BA-A0AE-554C221EBEA6}"/>
    <hyperlink ref="O55" r:id="rId53" xr:uid="{E8C4A3F5-CBA7-49AA-8571-27A9A244940F}"/>
    <hyperlink ref="O58" r:id="rId54" xr:uid="{7C8B953C-8A9F-44D8-B955-E5D793B7ED2A}"/>
    <hyperlink ref="N59" r:id="rId55" display="https://maps.app.goo.gl/PE6GYcgeCYuMYJh29" xr:uid="{B6CAC1BF-0361-42C4-BBCF-59AF048DD512}"/>
    <hyperlink ref="O60" r:id="rId56" xr:uid="{798707D5-6E1A-441B-88FC-7068D6227DC0}"/>
    <hyperlink ref="O59" r:id="rId57" xr:uid="{CBC432C3-40B1-4B7C-8BFF-B7F35B6AC631}"/>
    <hyperlink ref="O65" r:id="rId58" xr:uid="{E3D0AB39-0DBF-44FF-BA82-84EB7CDB3958}"/>
    <hyperlink ref="O62" r:id="rId59" xr:uid="{03219837-065B-4A2D-9749-05D6C55C6D16}"/>
    <hyperlink ref="O63" r:id="rId60" xr:uid="{9B92F70A-52B4-451E-8BA3-B9444DCCE80F}"/>
    <hyperlink ref="O66" r:id="rId61" xr:uid="{6CAEC326-2698-4DF1-B0B0-D1D6F65719A6}"/>
    <hyperlink ref="O67" r:id="rId62" xr:uid="{1AFDE49B-585F-4060-83F1-C12C4F569F85}"/>
    <hyperlink ref="O61" r:id="rId63" xr:uid="{D20FED49-F5C7-4B23-A89C-534F9254C185}"/>
    <hyperlink ref="O64" r:id="rId64" xr:uid="{A6826C1D-7E6B-445A-88B4-2A1506FD0D6F}"/>
    <hyperlink ref="O68" r:id="rId65" xr:uid="{866DF509-ACE5-48AE-8010-E93CD89EBF0F}"/>
    <hyperlink ref="O70" r:id="rId66" xr:uid="{F6F1DD7E-8659-4D8E-9C7B-6A974127247E}"/>
    <hyperlink ref="O69" r:id="rId67" xr:uid="{E8ADC787-7CD1-4457-B95D-0C444EB136B1}"/>
    <hyperlink ref="O71" r:id="rId68" xr:uid="{A0539BF8-8CB5-4CAE-9506-6C56BC3C1E6B}"/>
    <hyperlink ref="O72" r:id="rId69" xr:uid="{CCE6D721-94B7-48EB-8E03-E4E11E8F6DE3}"/>
    <hyperlink ref="O73" r:id="rId70" xr:uid="{614AC89B-5CE1-42B7-A3AB-D90DF6726C8A}"/>
    <hyperlink ref="O74" r:id="rId71" xr:uid="{A449FF10-A6FB-4C7E-902C-C5816F0C43DA}"/>
    <hyperlink ref="O75" r:id="rId72" xr:uid="{099F0AC0-1243-4C02-ABA9-9388D3F87F48}"/>
    <hyperlink ref="O76" r:id="rId73" xr:uid="{C50C1171-2E4B-432A-8D28-E7C45EE83ED6}"/>
    <hyperlink ref="O78" r:id="rId74" xr:uid="{C1627FED-158F-4A31-B93D-1B77F19DCA10}"/>
    <hyperlink ref="O77" r:id="rId75" xr:uid="{6682FB3D-94D8-4FAB-AA08-4D98171FC56D}"/>
    <hyperlink ref="O79" r:id="rId76" xr:uid="{FC7C21DE-9E02-4998-8354-EEA419CD9868}"/>
    <hyperlink ref="O80" r:id="rId77" xr:uid="{5C88D620-55D2-49E8-8EAC-2FA534F4A2C9}"/>
    <hyperlink ref="O81" r:id="rId78" xr:uid="{D1D102AD-19B5-48F1-9E42-C0CC8735BF03}"/>
    <hyperlink ref="O82" r:id="rId79" xr:uid="{5C4C7617-D7D5-4029-A752-372742E20CD9}"/>
    <hyperlink ref="O83" r:id="rId80" xr:uid="{532BCE9C-2801-45B5-BF15-B2C8F7502DE3}"/>
    <hyperlink ref="O84" r:id="rId81" xr:uid="{A1CFEFFB-8A5A-41E6-8CBB-BA0926DCBCF7}"/>
    <hyperlink ref="O85" r:id="rId82" xr:uid="{EB1EE518-B18A-4394-A271-B7588E722F9A}"/>
    <hyperlink ref="O56" r:id="rId83" xr:uid="{4460AC01-BDC4-4150-BF96-3703E4F59C7E}"/>
    <hyperlink ref="O57" r:id="rId84" xr:uid="{AEED2984-319F-4130-AEEE-4863A0CF6592}"/>
    <hyperlink ref="O22" r:id="rId85" xr:uid="{BBAF7872-D1CC-4273-AEC7-1274E4D02B74}"/>
    <hyperlink ref="O23" r:id="rId86" xr:uid="{0D5B9896-BA46-488B-B525-16DEDB5F5F05}"/>
    <hyperlink ref="N23" r:id="rId87" xr:uid="{B0FD3C5F-5110-4242-8421-44653E4CC176}"/>
  </hyperlinks>
  <pageMargins left="0.7" right="0.7" top="0.75" bottom="0.75" header="0.3" footer="0.3"/>
  <legacyDrawing r:id="rId88"/>
  <tableParts count="1">
    <tablePart r:id="rId8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4535A9-00E5-448C-9D33-C7336C05C40F}">
          <x14:formula1>
            <xm:f>'Dados das Regiões '!$M$2</xm:f>
          </x14:formula1>
          <xm:sqref>D2:D85 F2:F85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4520-E78B-44AC-A96C-FB6165FAE79A}">
  <sheetPr codeName="Planilha10">
    <tabColor theme="3" tint="0.89999084444715716"/>
  </sheetPr>
  <dimension ref="A1:AR1047939"/>
  <sheetViews>
    <sheetView zoomScale="115" zoomScaleNormal="115" workbookViewId="0">
      <pane ySplit="1" topLeftCell="A437" activePane="bottomLeft" state="frozen"/>
      <selection pane="bottomLeft" activeCell="A465" sqref="A465:XFD465"/>
    </sheetView>
  </sheetViews>
  <sheetFormatPr defaultRowHeight="15"/>
  <cols>
    <col min="1" max="1" width="17.140625" style="14" bestFit="1" customWidth="1"/>
    <col min="2" max="2" width="16.140625" style="13" bestFit="1" customWidth="1"/>
    <col min="3" max="3" width="17.140625" style="14" bestFit="1" customWidth="1"/>
    <col min="4" max="4" width="15.7109375" style="13" customWidth="1"/>
    <col min="5" max="5" width="18.28515625" style="14" customWidth="1"/>
    <col min="6" max="6" width="15.7109375" style="13" customWidth="1"/>
    <col min="7" max="7" width="13" style="46" customWidth="1"/>
    <col min="8" max="8" width="42.7109375" style="13" customWidth="1"/>
    <col min="9" max="9" width="10.42578125" style="13" customWidth="1"/>
    <col min="10" max="10" width="13.28515625" style="13" customWidth="1"/>
    <col min="11" max="11" width="12.7109375" style="13" customWidth="1"/>
    <col min="12" max="12" width="51.140625" style="13" customWidth="1"/>
    <col min="13" max="13" width="21.85546875" style="13" customWidth="1"/>
    <col min="14" max="14" width="20.42578125" style="13" customWidth="1"/>
    <col min="15" max="15" width="18.5703125" style="13" customWidth="1"/>
    <col min="16" max="16" width="30.85546875" style="79" bestFit="1" customWidth="1"/>
    <col min="17" max="17" width="5.140625" style="13" customWidth="1"/>
    <col min="18" max="18" width="28.140625" style="13" customWidth="1"/>
    <col min="19" max="19" width="37.5703125" style="13" customWidth="1"/>
    <col min="20" max="20" width="20" style="13" bestFit="1" customWidth="1"/>
    <col min="21" max="21" width="14.28515625" style="79" customWidth="1"/>
    <col min="22" max="22" width="14.85546875" style="13" customWidth="1"/>
    <col min="23" max="23" width="28.140625" style="13" bestFit="1" customWidth="1"/>
    <col min="24" max="24" width="13.28515625" style="13" bestFit="1" customWidth="1"/>
    <col min="25" max="25" width="23" style="488" customWidth="1"/>
    <col min="26" max="26" width="14.7109375" style="23" customWidth="1"/>
    <col min="27" max="27" width="58.42578125" style="36" bestFit="1" customWidth="1"/>
    <col min="28" max="28" width="10.85546875" style="170" bestFit="1" customWidth="1"/>
    <col min="29" max="29" width="19.28515625" style="55" bestFit="1" customWidth="1"/>
    <col min="45" max="16384" width="9.140625" style="13"/>
  </cols>
  <sheetData>
    <row r="1" spans="1:44" s="50" customFormat="1" ht="15.75" customHeight="1">
      <c r="A1" s="99" t="s">
        <v>595</v>
      </c>
      <c r="B1" s="96" t="s">
        <v>596</v>
      </c>
      <c r="C1" s="99" t="s">
        <v>597</v>
      </c>
      <c r="D1" s="96" t="s">
        <v>598</v>
      </c>
      <c r="E1" s="99" t="s">
        <v>599</v>
      </c>
      <c r="F1" s="96" t="s">
        <v>598</v>
      </c>
      <c r="G1" s="393" t="s">
        <v>0</v>
      </c>
      <c r="H1" s="52" t="s">
        <v>516</v>
      </c>
      <c r="I1" s="52" t="s">
        <v>517</v>
      </c>
      <c r="J1" s="52" t="s">
        <v>600</v>
      </c>
      <c r="K1" s="259" t="s">
        <v>601</v>
      </c>
      <c r="L1" s="52" t="s">
        <v>518</v>
      </c>
      <c r="M1" s="52" t="s">
        <v>602</v>
      </c>
      <c r="N1" s="52" t="s">
        <v>519</v>
      </c>
      <c r="O1" t="s">
        <v>520</v>
      </c>
      <c r="P1" s="80" t="s">
        <v>521</v>
      </c>
      <c r="Q1" s="52" t="s">
        <v>604</v>
      </c>
      <c r="R1" s="80" t="s">
        <v>605</v>
      </c>
      <c r="S1" s="52" t="s">
        <v>606</v>
      </c>
      <c r="T1" s="52" t="s">
        <v>522</v>
      </c>
      <c r="U1" s="80" t="s">
        <v>607</v>
      </c>
      <c r="V1" s="52" t="s">
        <v>523</v>
      </c>
      <c r="W1" s="52" t="s">
        <v>524</v>
      </c>
      <c r="X1" s="52" t="s">
        <v>608</v>
      </c>
      <c r="Y1" s="487" t="s">
        <v>609</v>
      </c>
      <c r="Z1" s="53" t="s">
        <v>610</v>
      </c>
      <c r="AA1" s="54" t="s">
        <v>525</v>
      </c>
      <c r="AB1" s="163" t="s">
        <v>0</v>
      </c>
      <c r="AC1" s="179" t="s">
        <v>1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>
      <c r="B2" s="13" t="str">
        <f t="shared" ref="B2:B34" si="0">IF(ISBLANK(A2), "Pendente", "Realizada")</f>
        <v>Pendente</v>
      </c>
      <c r="C2" s="14" t="str">
        <f t="shared" ref="C2:C4" si="1">IF(A2="", "", EDATE(A2, 3))</f>
        <v/>
      </c>
      <c r="D2" s="13" t="s">
        <v>611</v>
      </c>
      <c r="E2" s="14" t="str">
        <f t="shared" ref="E2" si="2">IF(C2="", "", EDATE(C2, 3))</f>
        <v/>
      </c>
      <c r="F2" s="13" t="s">
        <v>611</v>
      </c>
      <c r="G2" s="40">
        <v>202500029</v>
      </c>
      <c r="H2" s="13" t="s">
        <v>3731</v>
      </c>
      <c r="I2" s="13" t="s">
        <v>613</v>
      </c>
      <c r="J2" s="14">
        <v>45705</v>
      </c>
      <c r="K2" s="14">
        <v>46064</v>
      </c>
      <c r="L2" s="13" t="s">
        <v>2618</v>
      </c>
      <c r="M2" s="13" t="s">
        <v>2619</v>
      </c>
      <c r="N2" s="13" t="s">
        <v>2620</v>
      </c>
      <c r="O2" s="13" t="s">
        <v>2621</v>
      </c>
      <c r="P2" s="79" t="s">
        <v>491</v>
      </c>
      <c r="Q2" s="13" t="s">
        <v>618</v>
      </c>
      <c r="R2" s="246" t="str">
        <f>VLOOKUP(P2,'Dados das Regiões '!A:B,2,0)</f>
        <v>UMUARAMA</v>
      </c>
      <c r="S2" s="13" t="s">
        <v>3732</v>
      </c>
      <c r="T2" s="34"/>
      <c r="U2" s="79" t="s">
        <v>3733</v>
      </c>
      <c r="V2" s="13" t="s">
        <v>3733</v>
      </c>
      <c r="W2" s="13" t="s">
        <v>3734</v>
      </c>
      <c r="X2" s="15">
        <v>0.58333333333333337</v>
      </c>
      <c r="Y2" s="516">
        <v>0.66666666666666663</v>
      </c>
      <c r="Z2" s="16" t="s">
        <v>622</v>
      </c>
      <c r="AB2" s="164">
        <v>202500029</v>
      </c>
      <c r="AC2" s="55" t="s">
        <v>21</v>
      </c>
      <c r="AD2" s="40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</row>
    <row r="3" spans="1:44">
      <c r="B3" s="13" t="str">
        <f t="shared" si="0"/>
        <v>Pendente</v>
      </c>
      <c r="C3" s="14" t="str">
        <f t="shared" si="1"/>
        <v/>
      </c>
      <c r="D3" s="13" t="s">
        <v>611</v>
      </c>
      <c r="E3" s="14" t="str">
        <f t="shared" ref="E3" si="3">IF(C3="", "", EDATE(C3, 3))</f>
        <v/>
      </c>
      <c r="F3" s="13" t="s">
        <v>611</v>
      </c>
      <c r="G3" s="40">
        <v>202500029</v>
      </c>
      <c r="H3" s="13" t="s">
        <v>3735</v>
      </c>
      <c r="I3" s="13" t="s">
        <v>613</v>
      </c>
      <c r="J3" s="14">
        <v>45705</v>
      </c>
      <c r="K3" s="14">
        <v>46064</v>
      </c>
      <c r="L3" s="13" t="s">
        <v>2618</v>
      </c>
      <c r="M3" s="13" t="s">
        <v>2619</v>
      </c>
      <c r="N3" s="13" t="s">
        <v>2620</v>
      </c>
      <c r="O3" s="13" t="s">
        <v>2621</v>
      </c>
      <c r="P3" s="79" t="s">
        <v>491</v>
      </c>
      <c r="Q3" s="13" t="s">
        <v>618</v>
      </c>
      <c r="R3" s="246" t="str">
        <f>VLOOKUP(P3,'Dados das Regiões '!A:B,2,0)</f>
        <v>UMUARAMA</v>
      </c>
      <c r="S3" s="13" t="s">
        <v>3736</v>
      </c>
      <c r="U3" s="79" t="s">
        <v>3737</v>
      </c>
      <c r="V3" s="13" t="s">
        <v>3737</v>
      </c>
      <c r="W3" s="13" t="s">
        <v>3738</v>
      </c>
      <c r="X3" s="15">
        <v>0.33333333333333331</v>
      </c>
      <c r="Y3" s="516">
        <v>0.41666666666666669</v>
      </c>
      <c r="Z3" s="16" t="s">
        <v>622</v>
      </c>
      <c r="AB3" s="164">
        <v>202500029</v>
      </c>
      <c r="AC3" s="55" t="s">
        <v>21</v>
      </c>
      <c r="AD3" s="40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</row>
    <row r="4" spans="1:44">
      <c r="B4" s="13" t="str">
        <f t="shared" si="0"/>
        <v>Pendente</v>
      </c>
      <c r="C4" s="14" t="str">
        <f t="shared" si="1"/>
        <v/>
      </c>
      <c r="D4" s="13" t="s">
        <v>611</v>
      </c>
      <c r="E4" s="14" t="str">
        <f t="shared" ref="E4" si="4">IF(C4="", "", EDATE(C4, 3))</f>
        <v/>
      </c>
      <c r="F4" s="13" t="s">
        <v>611</v>
      </c>
      <c r="G4" s="40">
        <v>202500029</v>
      </c>
      <c r="H4" s="13" t="s">
        <v>3739</v>
      </c>
      <c r="I4" s="13" t="s">
        <v>613</v>
      </c>
      <c r="J4" s="14">
        <v>45705</v>
      </c>
      <c r="K4" s="14">
        <v>46064</v>
      </c>
      <c r="L4" s="13" t="s">
        <v>2618</v>
      </c>
      <c r="M4" s="13" t="s">
        <v>3740</v>
      </c>
      <c r="N4" s="13" t="s">
        <v>2620</v>
      </c>
      <c r="O4" s="13" t="s">
        <v>2621</v>
      </c>
      <c r="P4" s="79" t="s">
        <v>491</v>
      </c>
      <c r="Q4" s="13" t="s">
        <v>618</v>
      </c>
      <c r="R4" s="246" t="str">
        <f>VLOOKUP(P4,'Dados das Regiões '!A:B,2,0)</f>
        <v>UMUARAMA</v>
      </c>
      <c r="S4" s="13" t="s">
        <v>3741</v>
      </c>
      <c r="U4" s="79" t="s">
        <v>3742</v>
      </c>
      <c r="V4" s="13" t="s">
        <v>3742</v>
      </c>
      <c r="W4" s="13" t="s">
        <v>3743</v>
      </c>
      <c r="X4" s="15">
        <v>0.33333333333333331</v>
      </c>
      <c r="Y4" s="516">
        <v>0.41666666666666669</v>
      </c>
      <c r="Z4" s="16" t="s">
        <v>622</v>
      </c>
      <c r="AB4" s="164">
        <v>202500029</v>
      </c>
      <c r="AC4" s="55" t="s">
        <v>21</v>
      </c>
      <c r="AD4" s="40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</row>
    <row r="5" spans="1:44">
      <c r="B5" s="13" t="str">
        <f t="shared" si="0"/>
        <v>Pendente</v>
      </c>
      <c r="C5" s="14" t="str">
        <f t="shared" ref="C5:C64" si="5">IF(A5="", "", EDATE(A5, 3))</f>
        <v/>
      </c>
      <c r="D5" s="13" t="s">
        <v>611</v>
      </c>
      <c r="E5" s="14" t="str">
        <f t="shared" ref="E5" si="6">IF(C5="", "", EDATE(C5, 3))</f>
        <v/>
      </c>
      <c r="F5" s="13" t="s">
        <v>611</v>
      </c>
      <c r="G5" s="40">
        <v>202500029</v>
      </c>
      <c r="H5" s="13" t="s">
        <v>3744</v>
      </c>
      <c r="I5" s="13" t="s">
        <v>613</v>
      </c>
      <c r="J5" s="14">
        <v>45705</v>
      </c>
      <c r="K5" s="14">
        <v>46064</v>
      </c>
      <c r="L5" s="13" t="s">
        <v>2618</v>
      </c>
      <c r="M5" s="13" t="s">
        <v>2619</v>
      </c>
      <c r="N5" s="13" t="s">
        <v>2620</v>
      </c>
      <c r="O5" s="13" t="s">
        <v>2621</v>
      </c>
      <c r="P5" s="79" t="s">
        <v>491</v>
      </c>
      <c r="Q5" s="13" t="s">
        <v>618</v>
      </c>
      <c r="R5" s="246" t="str">
        <f>VLOOKUP(P5,'Dados das Regiões '!A:B,2,0)</f>
        <v>UMUARAMA</v>
      </c>
      <c r="S5" s="13" t="s">
        <v>3745</v>
      </c>
      <c r="V5" s="13" t="s">
        <v>3746</v>
      </c>
      <c r="W5" s="13" t="s">
        <v>3747</v>
      </c>
      <c r="X5" s="15">
        <v>0.33333333333333331</v>
      </c>
      <c r="Y5" s="516">
        <v>0.41666666666666669</v>
      </c>
      <c r="Z5" s="16" t="s">
        <v>622</v>
      </c>
      <c r="AB5" s="164">
        <v>202500029</v>
      </c>
      <c r="AC5" s="55" t="s">
        <v>21</v>
      </c>
      <c r="AD5" s="40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</row>
    <row r="6" spans="1:44">
      <c r="B6" s="13" t="str">
        <f t="shared" si="0"/>
        <v>Pendente</v>
      </c>
      <c r="C6" s="14" t="str">
        <f t="shared" si="5"/>
        <v/>
      </c>
      <c r="D6" s="13" t="s">
        <v>611</v>
      </c>
      <c r="E6" s="14" t="str">
        <f t="shared" ref="E6" si="7">IF(C6="", "", EDATE(C6, 3))</f>
        <v/>
      </c>
      <c r="F6" s="13" t="s">
        <v>611</v>
      </c>
      <c r="G6" s="40">
        <v>202500029</v>
      </c>
      <c r="H6" s="13" t="s">
        <v>3748</v>
      </c>
      <c r="I6" s="13" t="s">
        <v>613</v>
      </c>
      <c r="J6" s="14">
        <v>45705</v>
      </c>
      <c r="K6" s="14">
        <v>46064</v>
      </c>
      <c r="L6" s="13" t="s">
        <v>2618</v>
      </c>
      <c r="M6" s="13" t="s">
        <v>2619</v>
      </c>
      <c r="N6" s="13" t="s">
        <v>2620</v>
      </c>
      <c r="O6" s="13" t="s">
        <v>2621</v>
      </c>
      <c r="P6" s="79" t="s">
        <v>491</v>
      </c>
      <c r="Q6" s="13" t="s">
        <v>618</v>
      </c>
      <c r="R6" s="246" t="str">
        <f>VLOOKUP(P6,'Dados das Regiões '!A:B,2,0)</f>
        <v>UMUARAMA</v>
      </c>
      <c r="S6" s="13" t="s">
        <v>3749</v>
      </c>
      <c r="V6" s="13" t="s">
        <v>3750</v>
      </c>
      <c r="W6" s="13" t="s">
        <v>3751</v>
      </c>
      <c r="X6" s="15">
        <v>0.58333333333333337</v>
      </c>
      <c r="Y6" s="516">
        <v>0.66666666666666663</v>
      </c>
      <c r="Z6" s="16" t="s">
        <v>622</v>
      </c>
      <c r="AB6" s="164">
        <v>202500029</v>
      </c>
      <c r="AC6" s="55" t="s">
        <v>21</v>
      </c>
      <c r="AD6" s="40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</row>
    <row r="7" spans="1:44">
      <c r="B7" s="13" t="str">
        <f t="shared" si="0"/>
        <v>Pendente</v>
      </c>
      <c r="C7" s="14" t="str">
        <f t="shared" si="5"/>
        <v/>
      </c>
      <c r="D7" s="13" t="s">
        <v>611</v>
      </c>
      <c r="E7" s="14" t="str">
        <f t="shared" ref="E7" si="8">IF(C7="", "", EDATE(C7, 3))</f>
        <v/>
      </c>
      <c r="F7" s="13" t="s">
        <v>611</v>
      </c>
      <c r="G7" s="40">
        <v>202500029</v>
      </c>
      <c r="H7" s="13" t="s">
        <v>3752</v>
      </c>
      <c r="I7" s="13" t="s">
        <v>613</v>
      </c>
      <c r="J7" s="14">
        <v>45705</v>
      </c>
      <c r="K7" s="14">
        <v>46064</v>
      </c>
      <c r="L7" s="13" t="s">
        <v>2618</v>
      </c>
      <c r="M7" s="13" t="s">
        <v>2619</v>
      </c>
      <c r="N7" s="13" t="s">
        <v>2620</v>
      </c>
      <c r="O7" s="13" t="s">
        <v>2621</v>
      </c>
      <c r="P7" s="79" t="s">
        <v>491</v>
      </c>
      <c r="Q7" s="13" t="s">
        <v>618</v>
      </c>
      <c r="R7" s="246" t="str">
        <f>VLOOKUP(P7,'Dados das Regiões '!A:B,2,0)</f>
        <v>UMUARAMA</v>
      </c>
      <c r="S7" s="13" t="s">
        <v>3753</v>
      </c>
      <c r="U7" s="79" t="s">
        <v>3754</v>
      </c>
      <c r="V7" s="13" t="s">
        <v>3754</v>
      </c>
      <c r="W7" s="13" t="s">
        <v>3755</v>
      </c>
      <c r="X7" s="15">
        <v>0.58333333333333337</v>
      </c>
      <c r="Y7" s="516">
        <v>0.66666666666666663</v>
      </c>
      <c r="Z7" s="16" t="s">
        <v>622</v>
      </c>
      <c r="AB7" s="164">
        <v>202500029</v>
      </c>
      <c r="AC7" s="55" t="s">
        <v>21</v>
      </c>
      <c r="AD7" s="40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</row>
    <row r="8" spans="1:44">
      <c r="B8" s="13" t="str">
        <f t="shared" si="0"/>
        <v>Pendente</v>
      </c>
      <c r="C8" s="14" t="str">
        <f t="shared" si="5"/>
        <v/>
      </c>
      <c r="D8" s="13" t="s">
        <v>611</v>
      </c>
      <c r="E8" s="14" t="str">
        <f t="shared" ref="E8" si="9">IF(C8="", "", EDATE(C8, 3))</f>
        <v/>
      </c>
      <c r="F8" s="13" t="s">
        <v>611</v>
      </c>
      <c r="G8" s="40">
        <v>202500029</v>
      </c>
      <c r="H8" s="13" t="s">
        <v>3756</v>
      </c>
      <c r="I8" s="13" t="s">
        <v>613</v>
      </c>
      <c r="J8" s="14">
        <v>45705</v>
      </c>
      <c r="K8" s="14">
        <v>46064</v>
      </c>
      <c r="L8" s="13" t="s">
        <v>2618</v>
      </c>
      <c r="M8" s="13" t="s">
        <v>2619</v>
      </c>
      <c r="N8" s="13" t="s">
        <v>2620</v>
      </c>
      <c r="O8" s="13" t="s">
        <v>2621</v>
      </c>
      <c r="P8" s="79" t="s">
        <v>491</v>
      </c>
      <c r="Q8" s="13" t="s">
        <v>618</v>
      </c>
      <c r="R8" s="246" t="str">
        <f>VLOOKUP(P8,'Dados das Regiões '!A:B,2,0)</f>
        <v>UMUARAMA</v>
      </c>
      <c r="S8" s="13" t="s">
        <v>3757</v>
      </c>
      <c r="U8" s="79" t="s">
        <v>3758</v>
      </c>
      <c r="V8" s="13" t="s">
        <v>3758</v>
      </c>
      <c r="W8" s="13" t="s">
        <v>3759</v>
      </c>
      <c r="X8" s="15">
        <v>0.58333333333333337</v>
      </c>
      <c r="Y8" s="516">
        <v>0.66666666666666663</v>
      </c>
      <c r="Z8" s="16" t="s">
        <v>622</v>
      </c>
      <c r="AB8" s="164">
        <v>202500029</v>
      </c>
      <c r="AC8" s="55" t="s">
        <v>21</v>
      </c>
      <c r="AD8" s="40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</row>
    <row r="9" spans="1:44">
      <c r="B9" s="13" t="str">
        <f t="shared" si="0"/>
        <v>Pendente</v>
      </c>
      <c r="C9" s="14" t="str">
        <f t="shared" si="5"/>
        <v/>
      </c>
      <c r="D9" s="13" t="s">
        <v>611</v>
      </c>
      <c r="E9" s="14" t="str">
        <f t="shared" ref="E9" si="10">IF(C9="", "", EDATE(C9, 3))</f>
        <v/>
      </c>
      <c r="F9" s="13" t="s">
        <v>611</v>
      </c>
      <c r="G9" s="40">
        <v>202500029</v>
      </c>
      <c r="H9" s="13" t="s">
        <v>3760</v>
      </c>
      <c r="I9" s="13" t="s">
        <v>613</v>
      </c>
      <c r="J9" s="14">
        <v>45705</v>
      </c>
      <c r="K9" s="14">
        <v>46064</v>
      </c>
      <c r="L9" s="13" t="s">
        <v>2618</v>
      </c>
      <c r="M9" s="13" t="s">
        <v>2619</v>
      </c>
      <c r="N9" s="13" t="s">
        <v>2620</v>
      </c>
      <c r="O9" s="13" t="s">
        <v>2621</v>
      </c>
      <c r="P9" s="79" t="s">
        <v>491</v>
      </c>
      <c r="Q9" s="13" t="s">
        <v>618</v>
      </c>
      <c r="R9" s="246" t="str">
        <f>VLOOKUP(P9,'Dados das Regiões '!A:B,2,0)</f>
        <v>UMUARAMA</v>
      </c>
      <c r="S9" s="13" t="s">
        <v>3761</v>
      </c>
      <c r="U9" s="79" t="s">
        <v>3762</v>
      </c>
      <c r="V9" s="13" t="s">
        <v>3762</v>
      </c>
      <c r="W9" s="13" t="s">
        <v>3763</v>
      </c>
      <c r="X9" s="15">
        <v>0.33333333333333331</v>
      </c>
      <c r="Y9" s="516">
        <v>0.41666666666666669</v>
      </c>
      <c r="Z9" s="16" t="s">
        <v>622</v>
      </c>
      <c r="AB9" s="164">
        <v>202500029</v>
      </c>
      <c r="AC9" s="55" t="s">
        <v>21</v>
      </c>
      <c r="AD9" s="40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1:44">
      <c r="B10" s="13" t="str">
        <f t="shared" si="0"/>
        <v>Pendente</v>
      </c>
      <c r="C10" s="14" t="str">
        <f t="shared" si="5"/>
        <v/>
      </c>
      <c r="D10" s="13" t="s">
        <v>611</v>
      </c>
      <c r="E10" s="14" t="str">
        <f t="shared" ref="E10" si="11">IF(C10="", "", EDATE(C10, 3))</f>
        <v/>
      </c>
      <c r="F10" s="13" t="s">
        <v>611</v>
      </c>
      <c r="G10" s="40">
        <v>202500029</v>
      </c>
      <c r="H10" s="13" t="s">
        <v>3764</v>
      </c>
      <c r="I10" s="13" t="s">
        <v>613</v>
      </c>
      <c r="J10" s="14">
        <v>45705</v>
      </c>
      <c r="K10" s="14">
        <v>46064</v>
      </c>
      <c r="L10" s="13" t="s">
        <v>2618</v>
      </c>
      <c r="M10" s="13" t="s">
        <v>2619</v>
      </c>
      <c r="N10" s="13" t="s">
        <v>2620</v>
      </c>
      <c r="O10" s="13" t="s">
        <v>2621</v>
      </c>
      <c r="P10" s="79" t="s">
        <v>491</v>
      </c>
      <c r="Q10" s="13" t="s">
        <v>618</v>
      </c>
      <c r="R10" s="246" t="str">
        <f>VLOOKUP(P10,'Dados das Regiões '!A:B,2,0)</f>
        <v>UMUARAMA</v>
      </c>
      <c r="S10" s="13" t="s">
        <v>3765</v>
      </c>
      <c r="U10" s="79" t="s">
        <v>3766</v>
      </c>
      <c r="V10" s="13" t="s">
        <v>3766</v>
      </c>
      <c r="W10" s="13" t="s">
        <v>3767</v>
      </c>
      <c r="X10" s="15">
        <v>0.58333333333333337</v>
      </c>
      <c r="Y10" s="516">
        <v>0.66666666666666663</v>
      </c>
      <c r="Z10" s="16" t="s">
        <v>622</v>
      </c>
      <c r="AB10" s="164">
        <v>202500029</v>
      </c>
      <c r="AC10" s="55" t="s">
        <v>21</v>
      </c>
      <c r="AD10" s="40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</row>
    <row r="11" spans="1:44">
      <c r="B11" s="13" t="str">
        <f t="shared" si="0"/>
        <v>Pendente</v>
      </c>
      <c r="C11" s="14" t="str">
        <f t="shared" si="5"/>
        <v/>
      </c>
      <c r="D11" s="13" t="s">
        <v>611</v>
      </c>
      <c r="E11" s="14" t="str">
        <f t="shared" ref="E11" si="12">IF(C11="", "", EDATE(C11, 3))</f>
        <v/>
      </c>
      <c r="F11" s="13" t="s">
        <v>611</v>
      </c>
      <c r="G11" s="40">
        <v>202500029</v>
      </c>
      <c r="H11" s="13" t="s">
        <v>3768</v>
      </c>
      <c r="I11" s="13" t="s">
        <v>613</v>
      </c>
      <c r="J11" s="14">
        <v>45705</v>
      </c>
      <c r="K11" s="14">
        <v>46064</v>
      </c>
      <c r="L11" s="13" t="s">
        <v>2618</v>
      </c>
      <c r="M11" s="13" t="s">
        <v>2619</v>
      </c>
      <c r="N11" s="13" t="s">
        <v>2620</v>
      </c>
      <c r="O11" s="13" t="s">
        <v>2621</v>
      </c>
      <c r="P11" s="79" t="s">
        <v>491</v>
      </c>
      <c r="Q11" s="13" t="s">
        <v>618</v>
      </c>
      <c r="R11" s="246" t="str">
        <f>VLOOKUP(P11,'Dados das Regiões '!A:B,2,0)</f>
        <v>UMUARAMA</v>
      </c>
      <c r="S11" s="13" t="s">
        <v>3769</v>
      </c>
      <c r="U11" s="79" t="s">
        <v>3770</v>
      </c>
      <c r="V11" s="13" t="s">
        <v>3770</v>
      </c>
      <c r="W11" s="13" t="s">
        <v>3771</v>
      </c>
      <c r="X11" s="15">
        <v>0.33333333333333331</v>
      </c>
      <c r="Y11" s="516">
        <v>0.41666666666666669</v>
      </c>
      <c r="Z11" s="16" t="s">
        <v>622</v>
      </c>
      <c r="AB11" s="164">
        <v>202500029</v>
      </c>
      <c r="AC11" s="55" t="s">
        <v>21</v>
      </c>
      <c r="AD11" s="40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1:44">
      <c r="B12" s="13" t="str">
        <f t="shared" si="0"/>
        <v>Pendente</v>
      </c>
      <c r="C12" s="14" t="str">
        <f t="shared" si="5"/>
        <v/>
      </c>
      <c r="D12" s="13" t="s">
        <v>611</v>
      </c>
      <c r="E12" s="14" t="str">
        <f t="shared" ref="E12" si="13">IF(C12="", "", EDATE(C12, 3))</f>
        <v/>
      </c>
      <c r="F12" s="13" t="s">
        <v>611</v>
      </c>
      <c r="G12" s="40">
        <v>202500029</v>
      </c>
      <c r="H12" s="13" t="s">
        <v>3772</v>
      </c>
      <c r="I12" s="13" t="s">
        <v>613</v>
      </c>
      <c r="J12" s="14">
        <v>45705</v>
      </c>
      <c r="K12" s="14">
        <v>46064</v>
      </c>
      <c r="L12" s="13" t="s">
        <v>2618</v>
      </c>
      <c r="M12" s="13" t="s">
        <v>2619</v>
      </c>
      <c r="N12" s="13" t="s">
        <v>2620</v>
      </c>
      <c r="O12" s="13" t="s">
        <v>2621</v>
      </c>
      <c r="P12" s="79" t="s">
        <v>491</v>
      </c>
      <c r="Q12" s="13" t="s">
        <v>618</v>
      </c>
      <c r="R12" s="246" t="str">
        <f>VLOOKUP(P12,'Dados das Regiões '!A:B,2,0)</f>
        <v>UMUARAMA</v>
      </c>
      <c r="S12" s="13" t="s">
        <v>3773</v>
      </c>
      <c r="U12" s="79" t="s">
        <v>2902</v>
      </c>
      <c r="V12" s="13" t="s">
        <v>2902</v>
      </c>
      <c r="W12" s="13" t="s">
        <v>2903</v>
      </c>
      <c r="X12" s="15">
        <v>0.58333333333333337</v>
      </c>
      <c r="Y12" s="516">
        <v>0.66666666666666663</v>
      </c>
      <c r="Z12" s="16" t="s">
        <v>622</v>
      </c>
      <c r="AB12" s="164">
        <v>202500029</v>
      </c>
      <c r="AC12" s="55" t="s">
        <v>21</v>
      </c>
      <c r="AD12" s="40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</row>
    <row r="13" spans="1:44">
      <c r="B13" s="13" t="str">
        <f t="shared" si="0"/>
        <v>Pendente</v>
      </c>
      <c r="C13" s="14" t="str">
        <f t="shared" si="5"/>
        <v/>
      </c>
      <c r="D13" s="13" t="s">
        <v>611</v>
      </c>
      <c r="E13" s="14" t="str">
        <f t="shared" ref="E13" si="14">IF(C13="", "", EDATE(C13, 3))</f>
        <v/>
      </c>
      <c r="F13" s="13" t="s">
        <v>611</v>
      </c>
      <c r="G13" s="40">
        <v>202500029</v>
      </c>
      <c r="H13" s="13" t="s">
        <v>3774</v>
      </c>
      <c r="I13" s="13" t="s">
        <v>613</v>
      </c>
      <c r="J13" s="14">
        <v>45705</v>
      </c>
      <c r="K13" s="14">
        <v>46064</v>
      </c>
      <c r="L13" s="13" t="s">
        <v>2618</v>
      </c>
      <c r="M13" s="13" t="s">
        <v>2619</v>
      </c>
      <c r="N13" s="13" t="s">
        <v>2620</v>
      </c>
      <c r="O13" s="13" t="s">
        <v>2621</v>
      </c>
      <c r="P13" s="79" t="s">
        <v>491</v>
      </c>
      <c r="Q13" s="13" t="s">
        <v>618</v>
      </c>
      <c r="R13" s="246" t="str">
        <f>VLOOKUP(P13,'Dados das Regiões '!A:B,2,0)</f>
        <v>UMUARAMA</v>
      </c>
      <c r="S13" s="13" t="s">
        <v>3773</v>
      </c>
      <c r="U13" s="79" t="s">
        <v>2902</v>
      </c>
      <c r="V13" s="13" t="s">
        <v>2902</v>
      </c>
      <c r="W13" s="13" t="s">
        <v>2903</v>
      </c>
      <c r="X13" s="15">
        <v>0.33333333333333331</v>
      </c>
      <c r="Y13" s="516">
        <v>0.41666666666666669</v>
      </c>
      <c r="Z13" s="16" t="s">
        <v>622</v>
      </c>
      <c r="AB13" s="164">
        <v>202500029</v>
      </c>
      <c r="AC13" s="55" t="s">
        <v>21</v>
      </c>
      <c r="AD13" s="40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</row>
    <row r="14" spans="1:44">
      <c r="B14" s="13" t="str">
        <f t="shared" si="0"/>
        <v>Pendente</v>
      </c>
      <c r="C14" s="14" t="str">
        <f t="shared" si="5"/>
        <v/>
      </c>
      <c r="D14" s="13" t="s">
        <v>611</v>
      </c>
      <c r="E14" s="14" t="str">
        <f t="shared" ref="E14" si="15">IF(C14="", "", EDATE(C14, 3))</f>
        <v/>
      </c>
      <c r="F14" s="13" t="s">
        <v>611</v>
      </c>
      <c r="G14" s="40">
        <v>202500029</v>
      </c>
      <c r="H14" s="13" t="s">
        <v>3775</v>
      </c>
      <c r="I14" s="13" t="s">
        <v>613</v>
      </c>
      <c r="J14" s="14">
        <v>45705</v>
      </c>
      <c r="K14" s="14">
        <v>46064</v>
      </c>
      <c r="L14" s="13" t="s">
        <v>2618</v>
      </c>
      <c r="M14" s="13" t="s">
        <v>2619</v>
      </c>
      <c r="N14" s="13" t="s">
        <v>2620</v>
      </c>
      <c r="O14" s="13" t="s">
        <v>2621</v>
      </c>
      <c r="P14" s="79" t="s">
        <v>491</v>
      </c>
      <c r="Q14" s="13" t="s">
        <v>618</v>
      </c>
      <c r="R14" s="246" t="str">
        <f>VLOOKUP(P14,'Dados das Regiões '!A:B,2,0)</f>
        <v>UMUARAMA</v>
      </c>
      <c r="S14" s="13" t="s">
        <v>3776</v>
      </c>
      <c r="U14" s="79" t="s">
        <v>3777</v>
      </c>
      <c r="V14" s="13" t="s">
        <v>3777</v>
      </c>
      <c r="W14" s="13" t="s">
        <v>3778</v>
      </c>
      <c r="X14" s="15">
        <v>0.33333333333333331</v>
      </c>
      <c r="Y14" s="516">
        <v>0.41666666666666669</v>
      </c>
      <c r="Z14" s="16" t="s">
        <v>622</v>
      </c>
      <c r="AB14" s="164">
        <v>202500029</v>
      </c>
      <c r="AC14" s="55" t="s">
        <v>21</v>
      </c>
      <c r="AD14" s="40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</row>
    <row r="15" spans="1:44">
      <c r="B15" s="13" t="str">
        <f t="shared" si="0"/>
        <v>Pendente</v>
      </c>
      <c r="C15" s="14" t="str">
        <f t="shared" si="5"/>
        <v/>
      </c>
      <c r="D15" s="13" t="s">
        <v>611</v>
      </c>
      <c r="E15" s="14" t="str">
        <f t="shared" ref="E15" si="16">IF(C15="", "", EDATE(C15, 3))</f>
        <v/>
      </c>
      <c r="F15" s="13" t="s">
        <v>611</v>
      </c>
      <c r="G15" s="40">
        <v>202500029</v>
      </c>
      <c r="H15" s="13" t="s">
        <v>3779</v>
      </c>
      <c r="I15" s="13" t="s">
        <v>613</v>
      </c>
      <c r="J15" s="14">
        <v>45705</v>
      </c>
      <c r="K15" s="14">
        <v>46064</v>
      </c>
      <c r="L15" s="13" t="s">
        <v>2618</v>
      </c>
      <c r="M15" s="13" t="s">
        <v>2619</v>
      </c>
      <c r="N15" s="13" t="s">
        <v>2620</v>
      </c>
      <c r="O15" s="13" t="s">
        <v>2621</v>
      </c>
      <c r="P15" s="79" t="s">
        <v>491</v>
      </c>
      <c r="Q15" s="13" t="s">
        <v>618</v>
      </c>
      <c r="R15" s="246" t="str">
        <f>VLOOKUP(P15,'Dados das Regiões '!A:B,2,0)</f>
        <v>UMUARAMA</v>
      </c>
      <c r="S15" s="13" t="s">
        <v>3769</v>
      </c>
      <c r="U15" s="79" t="s">
        <v>3780</v>
      </c>
      <c r="V15" s="13" t="s">
        <v>3770</v>
      </c>
      <c r="W15" s="13" t="s">
        <v>3771</v>
      </c>
      <c r="X15" s="15">
        <v>0.33333333333333331</v>
      </c>
      <c r="Y15" s="516">
        <v>0.41666666666666669</v>
      </c>
      <c r="Z15" s="16" t="s">
        <v>622</v>
      </c>
      <c r="AB15" s="164">
        <v>202500029</v>
      </c>
      <c r="AC15" s="55" t="s">
        <v>21</v>
      </c>
      <c r="AD15" s="40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</row>
    <row r="16" spans="1:44">
      <c r="B16" s="13" t="str">
        <f t="shared" si="0"/>
        <v>Pendente</v>
      </c>
      <c r="C16" s="14" t="str">
        <f t="shared" si="5"/>
        <v/>
      </c>
      <c r="D16" s="13" t="s">
        <v>611</v>
      </c>
      <c r="E16" s="14" t="str">
        <f t="shared" ref="E16" si="17">IF(C16="", "", EDATE(C16, 3))</f>
        <v/>
      </c>
      <c r="F16" s="13" t="s">
        <v>611</v>
      </c>
      <c r="G16" s="40">
        <v>202500029</v>
      </c>
      <c r="H16" s="13" t="s">
        <v>3781</v>
      </c>
      <c r="I16" s="13" t="s">
        <v>613</v>
      </c>
      <c r="J16" s="14">
        <v>45705</v>
      </c>
      <c r="K16" s="14">
        <v>46064</v>
      </c>
      <c r="L16" s="13" t="s">
        <v>2618</v>
      </c>
      <c r="M16" s="13" t="s">
        <v>2619</v>
      </c>
      <c r="N16" s="13" t="s">
        <v>2620</v>
      </c>
      <c r="O16" s="13" t="s">
        <v>2621</v>
      </c>
      <c r="P16" s="79" t="s">
        <v>491</v>
      </c>
      <c r="Q16" s="13" t="s">
        <v>618</v>
      </c>
      <c r="R16" s="246" t="str">
        <f>VLOOKUP(P16,'Dados das Regiões '!A:B,2,0)</f>
        <v>UMUARAMA</v>
      </c>
      <c r="S16" s="13" t="s">
        <v>3782</v>
      </c>
      <c r="U16" s="79" t="s">
        <v>3770</v>
      </c>
      <c r="V16" s="13" t="s">
        <v>3770</v>
      </c>
      <c r="W16" s="13" t="s">
        <v>3771</v>
      </c>
      <c r="X16" s="15">
        <v>0.58333333333333337</v>
      </c>
      <c r="Y16" s="516">
        <v>0.66666666666666663</v>
      </c>
      <c r="Z16" s="16" t="s">
        <v>622</v>
      </c>
      <c r="AB16" s="164">
        <v>202500029</v>
      </c>
      <c r="AC16" s="55" t="s">
        <v>21</v>
      </c>
      <c r="AD16" s="40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</row>
    <row r="17" spans="2:44">
      <c r="B17" s="13" t="str">
        <f t="shared" si="0"/>
        <v>Pendente</v>
      </c>
      <c r="C17" s="14" t="str">
        <f t="shared" si="5"/>
        <v/>
      </c>
      <c r="D17" s="13" t="s">
        <v>611</v>
      </c>
      <c r="E17" s="14" t="str">
        <f t="shared" ref="E17" si="18">IF(C17="", "", EDATE(C17, 3))</f>
        <v/>
      </c>
      <c r="F17" s="13" t="s">
        <v>611</v>
      </c>
      <c r="G17" s="40">
        <v>202500029</v>
      </c>
      <c r="H17" s="13" t="s">
        <v>3783</v>
      </c>
      <c r="I17" s="13" t="s">
        <v>613</v>
      </c>
      <c r="J17" s="14">
        <v>45705</v>
      </c>
      <c r="K17" s="14">
        <v>46064</v>
      </c>
      <c r="L17" s="13" t="s">
        <v>2618</v>
      </c>
      <c r="M17" s="13" t="s">
        <v>2619</v>
      </c>
      <c r="N17" s="13" t="s">
        <v>2620</v>
      </c>
      <c r="O17" s="13" t="s">
        <v>2621</v>
      </c>
      <c r="P17" s="79" t="s">
        <v>491</v>
      </c>
      <c r="Q17" s="13" t="s">
        <v>618</v>
      </c>
      <c r="R17" s="246" t="str">
        <f>VLOOKUP(P17,'Dados das Regiões '!A:B,2,0)</f>
        <v>UMUARAMA</v>
      </c>
      <c r="S17" s="13" t="s">
        <v>3765</v>
      </c>
      <c r="U17" s="79" t="s">
        <v>3766</v>
      </c>
      <c r="V17" s="13" t="s">
        <v>3766</v>
      </c>
      <c r="W17" s="13" t="s">
        <v>3784</v>
      </c>
      <c r="X17" s="15">
        <v>0.33333333333333331</v>
      </c>
      <c r="Y17" s="516">
        <v>0.41666666666666669</v>
      </c>
      <c r="Z17" s="16" t="s">
        <v>622</v>
      </c>
      <c r="AB17" s="164">
        <v>202500029</v>
      </c>
      <c r="AC17" s="55" t="s">
        <v>21</v>
      </c>
      <c r="AD17" s="40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</row>
    <row r="18" spans="2:44">
      <c r="B18" s="13" t="str">
        <f t="shared" si="0"/>
        <v>Pendente</v>
      </c>
      <c r="C18" s="14" t="str">
        <f t="shared" si="5"/>
        <v/>
      </c>
      <c r="D18" s="13" t="s">
        <v>611</v>
      </c>
      <c r="E18" s="14" t="str">
        <f t="shared" ref="E18" si="19">IF(C18="", "", EDATE(C18, 3))</f>
        <v/>
      </c>
      <c r="F18" s="13" t="s">
        <v>611</v>
      </c>
      <c r="G18" s="40">
        <v>202500029</v>
      </c>
      <c r="H18" s="13" t="s">
        <v>3785</v>
      </c>
      <c r="I18" s="13" t="s">
        <v>613</v>
      </c>
      <c r="J18" s="14">
        <v>45705</v>
      </c>
      <c r="K18" s="14">
        <v>46064</v>
      </c>
      <c r="L18" s="13" t="s">
        <v>2618</v>
      </c>
      <c r="M18" s="13" t="s">
        <v>2619</v>
      </c>
      <c r="N18" s="13" t="s">
        <v>2620</v>
      </c>
      <c r="O18" s="13" t="s">
        <v>2621</v>
      </c>
      <c r="P18" s="79" t="s">
        <v>491</v>
      </c>
      <c r="Q18" s="13" t="s">
        <v>618</v>
      </c>
      <c r="R18" s="246" t="str">
        <f>VLOOKUP(P18,'Dados das Regiões '!A:B,2,0)</f>
        <v>UMUARAMA</v>
      </c>
      <c r="S18" s="13" t="s">
        <v>3786</v>
      </c>
      <c r="U18" s="79" t="s">
        <v>3787</v>
      </c>
      <c r="V18" s="13" t="s">
        <v>3787</v>
      </c>
      <c r="W18" s="13" t="s">
        <v>3788</v>
      </c>
      <c r="X18" s="15">
        <v>0.58333333333333337</v>
      </c>
      <c r="Y18" s="516">
        <v>0.66666666666666663</v>
      </c>
      <c r="Z18" s="16" t="s">
        <v>622</v>
      </c>
      <c r="AB18" s="164">
        <v>202500029</v>
      </c>
      <c r="AC18" s="55" t="s">
        <v>21</v>
      </c>
      <c r="AD18" s="40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</row>
    <row r="19" spans="2:44">
      <c r="B19" s="13" t="str">
        <f t="shared" si="0"/>
        <v>Pendente</v>
      </c>
      <c r="C19" s="14" t="str">
        <f t="shared" si="5"/>
        <v/>
      </c>
      <c r="D19" s="13" t="s">
        <v>611</v>
      </c>
      <c r="E19" s="14" t="str">
        <f t="shared" ref="E19" si="20">IF(C19="", "", EDATE(C19, 3))</f>
        <v/>
      </c>
      <c r="F19" s="13" t="s">
        <v>611</v>
      </c>
      <c r="G19" s="40">
        <v>202500029</v>
      </c>
      <c r="H19" s="13" t="s">
        <v>3789</v>
      </c>
      <c r="I19" s="13" t="s">
        <v>613</v>
      </c>
      <c r="J19" s="14">
        <v>45705</v>
      </c>
      <c r="K19" s="14">
        <v>46064</v>
      </c>
      <c r="L19" s="13" t="s">
        <v>2618</v>
      </c>
      <c r="M19" s="13" t="s">
        <v>2619</v>
      </c>
      <c r="N19" s="13" t="s">
        <v>2620</v>
      </c>
      <c r="O19" s="13" t="s">
        <v>2621</v>
      </c>
      <c r="P19" s="79" t="s">
        <v>491</v>
      </c>
      <c r="Q19" s="13" t="s">
        <v>618</v>
      </c>
      <c r="R19" s="246" t="str">
        <f>VLOOKUP(P19,'Dados das Regiões '!A:B,2,0)</f>
        <v>UMUARAMA</v>
      </c>
      <c r="S19" s="13" t="s">
        <v>3790</v>
      </c>
      <c r="U19" s="79" t="s">
        <v>3791</v>
      </c>
      <c r="V19" s="13" t="s">
        <v>3791</v>
      </c>
      <c r="W19" s="13" t="s">
        <v>3792</v>
      </c>
      <c r="X19" s="15">
        <v>0.58333333333333337</v>
      </c>
      <c r="Y19" s="516">
        <v>0.66666666666666663</v>
      </c>
      <c r="Z19" s="16" t="s">
        <v>622</v>
      </c>
      <c r="AB19" s="164">
        <v>202500029</v>
      </c>
      <c r="AC19" s="55" t="s">
        <v>21</v>
      </c>
      <c r="AD19" s="40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</row>
    <row r="20" spans="2:44">
      <c r="B20" s="13" t="str">
        <f t="shared" si="0"/>
        <v>Pendente</v>
      </c>
      <c r="C20" s="14" t="str">
        <f t="shared" si="5"/>
        <v/>
      </c>
      <c r="D20" s="13" t="s">
        <v>611</v>
      </c>
      <c r="E20" s="14" t="str">
        <f t="shared" ref="E20" si="21">IF(C20="", "", EDATE(C20, 3))</f>
        <v/>
      </c>
      <c r="F20" s="13" t="s">
        <v>611</v>
      </c>
      <c r="G20" s="40">
        <v>202500029</v>
      </c>
      <c r="H20" s="13" t="s">
        <v>3793</v>
      </c>
      <c r="I20" s="13" t="s">
        <v>613</v>
      </c>
      <c r="J20" s="14">
        <v>45705</v>
      </c>
      <c r="K20" s="14">
        <v>46064</v>
      </c>
      <c r="L20" s="13" t="s">
        <v>2618</v>
      </c>
      <c r="M20" s="13" t="s">
        <v>2619</v>
      </c>
      <c r="N20" s="13" t="s">
        <v>2620</v>
      </c>
      <c r="O20" s="13" t="s">
        <v>2621</v>
      </c>
      <c r="P20" s="79" t="s">
        <v>491</v>
      </c>
      <c r="Q20" s="13" t="s">
        <v>618</v>
      </c>
      <c r="R20" s="246" t="str">
        <f>VLOOKUP(P20,'Dados das Regiões '!A:B,2,0)</f>
        <v>UMUARAMA</v>
      </c>
      <c r="S20" s="13" t="s">
        <v>3794</v>
      </c>
      <c r="U20" s="79" t="s">
        <v>3733</v>
      </c>
      <c r="V20" s="13" t="s">
        <v>3733</v>
      </c>
      <c r="W20" s="13" t="s">
        <v>3734</v>
      </c>
      <c r="X20" s="15">
        <v>0.33333333333333331</v>
      </c>
      <c r="Y20" s="516">
        <v>0.41666666666666669</v>
      </c>
      <c r="Z20" s="16" t="s">
        <v>622</v>
      </c>
      <c r="AB20" s="164">
        <v>202500029</v>
      </c>
      <c r="AC20" s="55" t="s">
        <v>21</v>
      </c>
      <c r="AD20" s="40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</row>
    <row r="21" spans="2:44">
      <c r="B21" s="13" t="str">
        <f t="shared" si="0"/>
        <v>Pendente</v>
      </c>
      <c r="C21" s="14" t="str">
        <f t="shared" si="5"/>
        <v/>
      </c>
      <c r="D21" s="13" t="s">
        <v>611</v>
      </c>
      <c r="E21" s="14" t="str">
        <f t="shared" ref="E21" si="22">IF(C21="", "", EDATE(C21, 3))</f>
        <v/>
      </c>
      <c r="F21" s="13" t="s">
        <v>611</v>
      </c>
      <c r="G21" s="40">
        <v>202500029</v>
      </c>
      <c r="H21" s="13" t="s">
        <v>3795</v>
      </c>
      <c r="I21" s="13" t="s">
        <v>613</v>
      </c>
      <c r="J21" s="14">
        <v>45705</v>
      </c>
      <c r="K21" s="14">
        <v>46064</v>
      </c>
      <c r="L21" s="13" t="s">
        <v>2618</v>
      </c>
      <c r="M21" s="13" t="s">
        <v>2619</v>
      </c>
      <c r="N21" s="13" t="s">
        <v>2620</v>
      </c>
      <c r="O21" s="13" t="s">
        <v>2621</v>
      </c>
      <c r="P21" s="79" t="s">
        <v>491</v>
      </c>
      <c r="Q21" s="13" t="s">
        <v>618</v>
      </c>
      <c r="R21" s="246" t="str">
        <f>VLOOKUP(P21,'Dados das Regiões '!A:B,2,0)</f>
        <v>UMUARAMA</v>
      </c>
      <c r="S21" s="13" t="s">
        <v>3796</v>
      </c>
      <c r="U21" s="79" t="s">
        <v>3797</v>
      </c>
      <c r="V21" s="13" t="s">
        <v>3797</v>
      </c>
      <c r="W21" s="13" t="s">
        <v>3798</v>
      </c>
      <c r="X21" s="15">
        <v>0.58333333333333337</v>
      </c>
      <c r="Y21" s="516">
        <v>0.66666666666666663</v>
      </c>
      <c r="Z21" s="16" t="s">
        <v>622</v>
      </c>
      <c r="AB21" s="164">
        <v>202500029</v>
      </c>
      <c r="AC21" s="55" t="s">
        <v>21</v>
      </c>
      <c r="AD21" s="40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</row>
    <row r="22" spans="2:44">
      <c r="B22" s="13" t="str">
        <f t="shared" si="0"/>
        <v>Pendente</v>
      </c>
      <c r="C22" s="14" t="str">
        <f t="shared" si="5"/>
        <v/>
      </c>
      <c r="D22" s="13" t="s">
        <v>611</v>
      </c>
      <c r="E22" s="14" t="str">
        <f t="shared" ref="E22" si="23">IF(C22="", "", EDATE(C22, 3))</f>
        <v/>
      </c>
      <c r="F22" s="13" t="s">
        <v>611</v>
      </c>
      <c r="G22" s="40">
        <v>202500029</v>
      </c>
      <c r="H22" s="13" t="s">
        <v>3799</v>
      </c>
      <c r="I22" s="13" t="s">
        <v>613</v>
      </c>
      <c r="J22" s="14">
        <v>45705</v>
      </c>
      <c r="K22" s="14">
        <v>46064</v>
      </c>
      <c r="L22" s="13" t="s">
        <v>2618</v>
      </c>
      <c r="M22" s="13" t="s">
        <v>2619</v>
      </c>
      <c r="N22" s="13" t="s">
        <v>2620</v>
      </c>
      <c r="O22" s="13" t="s">
        <v>2621</v>
      </c>
      <c r="P22" s="79" t="s">
        <v>491</v>
      </c>
      <c r="Q22" s="13" t="s">
        <v>618</v>
      </c>
      <c r="R22" s="246" t="str">
        <f>VLOOKUP(P22,'Dados das Regiões '!A:B,2,0)</f>
        <v>UMUARAMA</v>
      </c>
      <c r="S22" s="13" t="s">
        <v>3800</v>
      </c>
      <c r="U22" s="79" t="s">
        <v>3801</v>
      </c>
      <c r="V22" s="13" t="s">
        <v>3801</v>
      </c>
      <c r="W22" s="13" t="s">
        <v>3802</v>
      </c>
      <c r="X22" s="15">
        <v>0.33333333333333331</v>
      </c>
      <c r="Y22" s="516">
        <v>0.41666666666666669</v>
      </c>
      <c r="Z22" s="16" t="s">
        <v>622</v>
      </c>
      <c r="AB22" s="164">
        <v>202500029</v>
      </c>
      <c r="AC22" s="55" t="s">
        <v>21</v>
      </c>
      <c r="AD22" s="40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</row>
    <row r="23" spans="2:44">
      <c r="B23" s="13" t="str">
        <f t="shared" si="0"/>
        <v>Pendente</v>
      </c>
      <c r="C23" s="14" t="str">
        <f t="shared" si="5"/>
        <v/>
      </c>
      <c r="D23" s="13" t="s">
        <v>611</v>
      </c>
      <c r="E23" s="14" t="str">
        <f t="shared" ref="E23" si="24">IF(C23="", "", EDATE(C23, 3))</f>
        <v/>
      </c>
      <c r="F23" s="13" t="s">
        <v>611</v>
      </c>
      <c r="G23" s="40">
        <v>202500029</v>
      </c>
      <c r="H23" s="13" t="s">
        <v>3803</v>
      </c>
      <c r="I23" s="13" t="s">
        <v>613</v>
      </c>
      <c r="J23" s="14">
        <v>45705</v>
      </c>
      <c r="K23" s="14">
        <v>46064</v>
      </c>
      <c r="L23" s="13" t="s">
        <v>2618</v>
      </c>
      <c r="M23" s="13" t="s">
        <v>2619</v>
      </c>
      <c r="N23" s="13" t="s">
        <v>2620</v>
      </c>
      <c r="O23" s="13" t="s">
        <v>2621</v>
      </c>
      <c r="P23" s="79" t="s">
        <v>491</v>
      </c>
      <c r="Q23" s="13" t="s">
        <v>618</v>
      </c>
      <c r="R23" s="246" t="str">
        <f>VLOOKUP(P23,'Dados das Regiões '!A:B,2,0)</f>
        <v>UMUARAMA</v>
      </c>
      <c r="S23" s="13" t="s">
        <v>3804</v>
      </c>
      <c r="U23" s="79" t="s">
        <v>3805</v>
      </c>
      <c r="V23" s="13" t="s">
        <v>3805</v>
      </c>
      <c r="W23" s="13" t="s">
        <v>3806</v>
      </c>
      <c r="X23" s="15">
        <v>0.58333333333333337</v>
      </c>
      <c r="Y23" s="516">
        <v>0.66666666666666663</v>
      </c>
      <c r="Z23" s="16" t="s">
        <v>622</v>
      </c>
      <c r="AB23" s="164">
        <v>202500029</v>
      </c>
      <c r="AC23" s="55" t="s">
        <v>21</v>
      </c>
      <c r="AD23" s="40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</row>
    <row r="24" spans="2:44">
      <c r="B24" s="13" t="str">
        <f t="shared" si="0"/>
        <v>Pendente</v>
      </c>
      <c r="C24" s="14" t="str">
        <f t="shared" si="5"/>
        <v/>
      </c>
      <c r="D24" s="13" t="s">
        <v>611</v>
      </c>
      <c r="E24" s="14" t="str">
        <f t="shared" ref="E24" si="25">IF(C24="", "", EDATE(C24, 3))</f>
        <v/>
      </c>
      <c r="F24" s="13" t="s">
        <v>611</v>
      </c>
      <c r="G24" s="40">
        <v>202500029</v>
      </c>
      <c r="H24" s="13" t="s">
        <v>3807</v>
      </c>
      <c r="I24" s="13" t="s">
        <v>613</v>
      </c>
      <c r="J24" s="14">
        <v>45705</v>
      </c>
      <c r="K24" s="14">
        <v>46064</v>
      </c>
      <c r="L24" s="13" t="s">
        <v>2618</v>
      </c>
      <c r="M24" s="13" t="s">
        <v>2619</v>
      </c>
      <c r="N24" s="13" t="s">
        <v>2620</v>
      </c>
      <c r="O24" s="13" t="s">
        <v>2621</v>
      </c>
      <c r="P24" s="79" t="s">
        <v>491</v>
      </c>
      <c r="Q24" s="13" t="s">
        <v>618</v>
      </c>
      <c r="R24" s="246" t="str">
        <f>VLOOKUP(P24,'Dados das Regiões '!A:B,2,0)</f>
        <v>UMUARAMA</v>
      </c>
      <c r="S24" s="13" t="s">
        <v>3790</v>
      </c>
      <c r="U24" s="79" t="s">
        <v>3791</v>
      </c>
      <c r="V24" s="13" t="s">
        <v>3791</v>
      </c>
      <c r="W24" s="13" t="s">
        <v>3792</v>
      </c>
      <c r="X24" s="15">
        <v>0.33333333333333331</v>
      </c>
      <c r="Y24" s="516">
        <v>0.41666666666666669</v>
      </c>
      <c r="Z24" s="16" t="s">
        <v>622</v>
      </c>
      <c r="AB24" s="164">
        <v>202500029</v>
      </c>
      <c r="AC24" s="55" t="s">
        <v>21</v>
      </c>
      <c r="AD24" s="40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</row>
    <row r="25" spans="2:44">
      <c r="B25" s="13" t="str">
        <f t="shared" si="0"/>
        <v>Pendente</v>
      </c>
      <c r="C25" s="14" t="str">
        <f t="shared" si="5"/>
        <v/>
      </c>
      <c r="D25" s="13" t="s">
        <v>611</v>
      </c>
      <c r="E25" s="14" t="str">
        <f t="shared" ref="E25" si="26">IF(C25="", "", EDATE(C25, 3))</f>
        <v/>
      </c>
      <c r="F25" s="13" t="s">
        <v>611</v>
      </c>
      <c r="G25" s="40">
        <v>202500029</v>
      </c>
      <c r="H25" s="13" t="s">
        <v>3808</v>
      </c>
      <c r="I25" s="13" t="s">
        <v>613</v>
      </c>
      <c r="J25" s="14">
        <v>45705</v>
      </c>
      <c r="K25" s="14">
        <v>46064</v>
      </c>
      <c r="L25" s="13" t="s">
        <v>2618</v>
      </c>
      <c r="M25" s="13" t="s">
        <v>3809</v>
      </c>
      <c r="N25" s="13" t="s">
        <v>2620</v>
      </c>
      <c r="O25" s="13" t="s">
        <v>2621</v>
      </c>
      <c r="P25" s="79" t="s">
        <v>491</v>
      </c>
      <c r="Q25" s="13" t="s">
        <v>618</v>
      </c>
      <c r="R25" s="246" t="str">
        <f>VLOOKUP(P25,'Dados das Regiões '!A:B,2,0)</f>
        <v>UMUARAMA</v>
      </c>
      <c r="S25" s="13" t="s">
        <v>3810</v>
      </c>
      <c r="U25" s="79" t="s">
        <v>3811</v>
      </c>
      <c r="V25" s="13" t="s">
        <v>3811</v>
      </c>
      <c r="W25" s="13" t="s">
        <v>3812</v>
      </c>
      <c r="X25" s="15">
        <v>0.33333333333333331</v>
      </c>
      <c r="Y25" s="516">
        <v>0.41666666666666669</v>
      </c>
      <c r="Z25" s="16" t="s">
        <v>622</v>
      </c>
      <c r="AB25" s="164">
        <v>202500029</v>
      </c>
      <c r="AC25" s="55" t="s">
        <v>21</v>
      </c>
      <c r="AD25" s="40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</row>
    <row r="26" spans="2:44">
      <c r="B26" s="13" t="str">
        <f t="shared" si="0"/>
        <v>Pendente</v>
      </c>
      <c r="C26" s="14" t="str">
        <f t="shared" si="5"/>
        <v/>
      </c>
      <c r="D26" s="13" t="s">
        <v>611</v>
      </c>
      <c r="E26" s="14" t="str">
        <f t="shared" ref="E26" si="27">IF(C26="", "", EDATE(C26, 3))</f>
        <v/>
      </c>
      <c r="F26" s="13" t="s">
        <v>611</v>
      </c>
      <c r="G26" s="40">
        <v>202500029</v>
      </c>
      <c r="H26" s="13" t="s">
        <v>3813</v>
      </c>
      <c r="I26" s="13" t="s">
        <v>613</v>
      </c>
      <c r="J26" s="14">
        <v>45705</v>
      </c>
      <c r="K26" s="14">
        <v>46064</v>
      </c>
      <c r="L26" s="13" t="s">
        <v>2618</v>
      </c>
      <c r="M26" s="13" t="s">
        <v>2619</v>
      </c>
      <c r="N26" s="13" t="s">
        <v>2620</v>
      </c>
      <c r="O26" s="13" t="s">
        <v>2621</v>
      </c>
      <c r="P26" s="79" t="s">
        <v>491</v>
      </c>
      <c r="Q26" s="13" t="s">
        <v>618</v>
      </c>
      <c r="R26" s="246" t="str">
        <f>VLOOKUP(P26,'Dados das Regiões '!A:B,2,0)</f>
        <v>UMUARAMA</v>
      </c>
      <c r="S26" s="13" t="s">
        <v>3814</v>
      </c>
      <c r="U26" s="79" t="s">
        <v>3815</v>
      </c>
      <c r="V26" s="13" t="s">
        <v>3815</v>
      </c>
      <c r="W26" s="13" t="s">
        <v>3763</v>
      </c>
      <c r="X26" s="15">
        <v>0.33333333333333331</v>
      </c>
      <c r="Y26" s="516">
        <v>0.41666666666666669</v>
      </c>
      <c r="Z26" s="16" t="s">
        <v>622</v>
      </c>
      <c r="AB26" s="164">
        <v>202500029</v>
      </c>
      <c r="AC26" s="55" t="s">
        <v>21</v>
      </c>
      <c r="AD26" s="40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</row>
    <row r="27" spans="2:44">
      <c r="B27" s="13" t="str">
        <f t="shared" si="0"/>
        <v>Pendente</v>
      </c>
      <c r="C27" s="14" t="str">
        <f t="shared" si="5"/>
        <v/>
      </c>
      <c r="D27" s="13" t="s">
        <v>611</v>
      </c>
      <c r="E27" s="14" t="str">
        <f t="shared" ref="E27" si="28">IF(C27="", "", EDATE(C27, 3))</f>
        <v/>
      </c>
      <c r="F27" s="13" t="s">
        <v>611</v>
      </c>
      <c r="G27" s="40">
        <v>202500029</v>
      </c>
      <c r="H27" s="13" t="s">
        <v>3816</v>
      </c>
      <c r="I27" s="13" t="s">
        <v>613</v>
      </c>
      <c r="J27" s="14">
        <v>45705</v>
      </c>
      <c r="K27" s="14">
        <v>46064</v>
      </c>
      <c r="L27" s="13" t="s">
        <v>2618</v>
      </c>
      <c r="M27" s="13" t="s">
        <v>2619</v>
      </c>
      <c r="N27" s="13" t="s">
        <v>2620</v>
      </c>
      <c r="O27" s="13" t="s">
        <v>2621</v>
      </c>
      <c r="P27" s="79" t="s">
        <v>491</v>
      </c>
      <c r="Q27" s="13" t="s">
        <v>618</v>
      </c>
      <c r="R27" s="246" t="str">
        <f>VLOOKUP(P27,'Dados das Regiões '!A:B,2,0)</f>
        <v>UMUARAMA</v>
      </c>
      <c r="S27" s="13" t="s">
        <v>3817</v>
      </c>
      <c r="U27" s="79" t="s">
        <v>3780</v>
      </c>
      <c r="V27" s="13" t="s">
        <v>3780</v>
      </c>
      <c r="W27" s="13" t="s">
        <v>3818</v>
      </c>
      <c r="X27" s="15">
        <v>0.58333333333333337</v>
      </c>
      <c r="Y27" s="516">
        <v>0.66666666666666663</v>
      </c>
      <c r="Z27" s="16" t="s">
        <v>622</v>
      </c>
      <c r="AB27" s="164">
        <v>202500029</v>
      </c>
      <c r="AC27" s="55" t="s">
        <v>21</v>
      </c>
      <c r="AD27" s="40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</row>
    <row r="28" spans="2:44">
      <c r="B28" s="13" t="str">
        <f t="shared" si="0"/>
        <v>Pendente</v>
      </c>
      <c r="C28" s="14" t="str">
        <f t="shared" si="5"/>
        <v/>
      </c>
      <c r="D28" s="13" t="s">
        <v>611</v>
      </c>
      <c r="E28" s="14" t="str">
        <f t="shared" ref="E28" si="29">IF(C28="", "", EDATE(C28, 3))</f>
        <v/>
      </c>
      <c r="F28" s="13" t="s">
        <v>611</v>
      </c>
      <c r="G28" s="40">
        <v>202500029</v>
      </c>
      <c r="H28" s="13" t="s">
        <v>3819</v>
      </c>
      <c r="I28" s="13" t="s">
        <v>613</v>
      </c>
      <c r="J28" s="14">
        <v>45705</v>
      </c>
      <c r="K28" s="14">
        <v>46064</v>
      </c>
      <c r="L28" s="13" t="s">
        <v>2618</v>
      </c>
      <c r="M28" s="13" t="s">
        <v>2619</v>
      </c>
      <c r="N28" s="13" t="s">
        <v>2620</v>
      </c>
      <c r="O28" s="13" t="s">
        <v>2621</v>
      </c>
      <c r="P28" s="79" t="s">
        <v>491</v>
      </c>
      <c r="Q28" s="13" t="s">
        <v>618</v>
      </c>
      <c r="R28" s="246" t="str">
        <f>VLOOKUP(P28,'Dados das Regiões '!A:B,2,0)</f>
        <v>UMUARAMA</v>
      </c>
      <c r="S28" s="13" t="s">
        <v>3800</v>
      </c>
      <c r="V28" s="13" t="s">
        <v>3801</v>
      </c>
      <c r="W28" s="13" t="s">
        <v>3802</v>
      </c>
      <c r="X28" s="15">
        <v>0.58333333333333337</v>
      </c>
      <c r="Y28" s="516">
        <v>0.66666666666666663</v>
      </c>
      <c r="Z28" s="16" t="s">
        <v>622</v>
      </c>
      <c r="AB28" s="164">
        <v>202500029</v>
      </c>
      <c r="AC28" s="55" t="s">
        <v>21</v>
      </c>
      <c r="AD28" s="40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</row>
    <row r="29" spans="2:44">
      <c r="B29" s="13" t="str">
        <f t="shared" si="0"/>
        <v>Pendente</v>
      </c>
      <c r="C29" s="14" t="str">
        <f t="shared" si="5"/>
        <v/>
      </c>
      <c r="D29" s="13" t="s">
        <v>611</v>
      </c>
      <c r="E29" s="14" t="str">
        <f t="shared" ref="E29" si="30">IF(C29="", "", EDATE(C29, 3))</f>
        <v/>
      </c>
      <c r="F29" s="13" t="s">
        <v>611</v>
      </c>
      <c r="G29" s="40">
        <v>202500029</v>
      </c>
      <c r="H29" s="13" t="s">
        <v>3820</v>
      </c>
      <c r="I29" s="13" t="s">
        <v>613</v>
      </c>
      <c r="J29" s="14">
        <v>45705</v>
      </c>
      <c r="K29" s="14">
        <v>46064</v>
      </c>
      <c r="L29" s="13" t="s">
        <v>2618</v>
      </c>
      <c r="M29" s="13" t="s">
        <v>2619</v>
      </c>
      <c r="N29" s="13" t="s">
        <v>2620</v>
      </c>
      <c r="O29" s="13" t="s">
        <v>2621</v>
      </c>
      <c r="P29" s="79" t="s">
        <v>491</v>
      </c>
      <c r="Q29" s="13" t="s">
        <v>618</v>
      </c>
      <c r="R29" s="246" t="str">
        <f>VLOOKUP(P29,'Dados das Regiões '!A:B,2,0)</f>
        <v>UMUARAMA</v>
      </c>
      <c r="S29" s="13" t="s">
        <v>3761</v>
      </c>
      <c r="U29" s="79" t="s">
        <v>3762</v>
      </c>
      <c r="V29" s="13" t="s">
        <v>3762</v>
      </c>
      <c r="W29" s="13" t="s">
        <v>3763</v>
      </c>
      <c r="X29" s="15">
        <v>0.33333333333333331</v>
      </c>
      <c r="Y29" s="516">
        <v>0.41666666666666669</v>
      </c>
      <c r="Z29" s="16" t="s">
        <v>622</v>
      </c>
      <c r="AB29" s="164">
        <v>202500029</v>
      </c>
      <c r="AC29" s="55" t="s">
        <v>21</v>
      </c>
      <c r="AD29" s="40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</row>
    <row r="30" spans="2:44">
      <c r="B30" s="13" t="str">
        <f t="shared" si="0"/>
        <v>Pendente</v>
      </c>
      <c r="C30" s="14" t="str">
        <f t="shared" si="5"/>
        <v/>
      </c>
      <c r="D30" s="13" t="s">
        <v>611</v>
      </c>
      <c r="E30" s="14" t="str">
        <f t="shared" ref="E30" si="31">IF(C30="", "", EDATE(C30, 3))</f>
        <v/>
      </c>
      <c r="F30" s="13" t="s">
        <v>611</v>
      </c>
      <c r="G30" s="40">
        <v>202500029</v>
      </c>
      <c r="H30" s="13" t="s">
        <v>3821</v>
      </c>
      <c r="I30" s="13" t="s">
        <v>613</v>
      </c>
      <c r="J30" s="14">
        <v>45705</v>
      </c>
      <c r="K30" s="14">
        <v>46064</v>
      </c>
      <c r="L30" s="13" t="s">
        <v>2618</v>
      </c>
      <c r="M30" s="13" t="s">
        <v>2619</v>
      </c>
      <c r="N30" s="13" t="s">
        <v>2620</v>
      </c>
      <c r="O30" s="13" t="s">
        <v>2621</v>
      </c>
      <c r="P30" s="79" t="s">
        <v>491</v>
      </c>
      <c r="Q30" s="13" t="s">
        <v>618</v>
      </c>
      <c r="R30" s="246" t="str">
        <f>VLOOKUP(P30,'Dados das Regiões '!A:B,2,0)</f>
        <v>UMUARAMA</v>
      </c>
      <c r="S30" s="13" t="s">
        <v>3769</v>
      </c>
      <c r="U30" s="79" t="s">
        <v>3770</v>
      </c>
      <c r="V30" s="13" t="s">
        <v>3770</v>
      </c>
      <c r="W30" s="13" t="s">
        <v>3771</v>
      </c>
      <c r="X30" s="15">
        <v>0.58333333333333337</v>
      </c>
      <c r="Y30" s="516">
        <v>0.66666666666666663</v>
      </c>
      <c r="Z30" s="16" t="s">
        <v>622</v>
      </c>
      <c r="AB30" s="164">
        <v>202500029</v>
      </c>
      <c r="AC30" s="55" t="s">
        <v>21</v>
      </c>
      <c r="AD30" s="40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</row>
    <row r="31" spans="2:44">
      <c r="B31" s="13" t="str">
        <f t="shared" si="0"/>
        <v>Pendente</v>
      </c>
      <c r="C31" s="14" t="str">
        <f t="shared" si="5"/>
        <v/>
      </c>
      <c r="D31" s="13" t="s">
        <v>611</v>
      </c>
      <c r="E31" s="14" t="str">
        <f t="shared" ref="E31" si="32">IF(C31="", "", EDATE(C31, 3))</f>
        <v/>
      </c>
      <c r="F31" s="13" t="s">
        <v>611</v>
      </c>
      <c r="G31" s="40">
        <v>202500029</v>
      </c>
      <c r="H31" s="13" t="s">
        <v>3822</v>
      </c>
      <c r="I31" s="13" t="s">
        <v>613</v>
      </c>
      <c r="J31" s="14">
        <v>45705</v>
      </c>
      <c r="K31" s="14">
        <v>46064</v>
      </c>
      <c r="L31" s="13" t="s">
        <v>2618</v>
      </c>
      <c r="M31" s="13" t="s">
        <v>2619</v>
      </c>
      <c r="N31" s="13" t="s">
        <v>2620</v>
      </c>
      <c r="O31" s="13" t="s">
        <v>2621</v>
      </c>
      <c r="P31" s="79" t="s">
        <v>491</v>
      </c>
      <c r="Q31" s="13" t="s">
        <v>618</v>
      </c>
      <c r="R31" s="246" t="str">
        <f>VLOOKUP(P31,'Dados das Regiões '!A:B,2,0)</f>
        <v>UMUARAMA</v>
      </c>
      <c r="S31" s="13" t="s">
        <v>3823</v>
      </c>
      <c r="U31" s="79" t="s">
        <v>3780</v>
      </c>
      <c r="V31" s="13" t="s">
        <v>3780</v>
      </c>
      <c r="W31" s="13" t="s">
        <v>3763</v>
      </c>
      <c r="X31" s="15">
        <v>0.58333333333333337</v>
      </c>
      <c r="Y31" s="516">
        <v>0.66666666666666663</v>
      </c>
      <c r="Z31" s="16" t="s">
        <v>622</v>
      </c>
      <c r="AB31" s="164">
        <v>202500029</v>
      </c>
      <c r="AC31" s="55" t="s">
        <v>21</v>
      </c>
      <c r="AD31" s="40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</row>
    <row r="32" spans="2:44">
      <c r="B32" s="13" t="str">
        <f t="shared" si="0"/>
        <v>Pendente</v>
      </c>
      <c r="C32" s="14" t="str">
        <f t="shared" si="5"/>
        <v/>
      </c>
      <c r="D32" s="13" t="s">
        <v>611</v>
      </c>
      <c r="E32" s="14" t="str">
        <f t="shared" ref="E32" si="33">IF(C32="", "", EDATE(C32, 3))</f>
        <v/>
      </c>
      <c r="F32" s="13" t="s">
        <v>611</v>
      </c>
      <c r="G32" s="40">
        <v>202500030</v>
      </c>
      <c r="H32" s="13" t="s">
        <v>3824</v>
      </c>
      <c r="I32" s="13" t="s">
        <v>1176</v>
      </c>
      <c r="J32" s="14">
        <v>45705</v>
      </c>
      <c r="K32" s="14">
        <v>46064</v>
      </c>
      <c r="L32" s="13" t="s">
        <v>1185</v>
      </c>
      <c r="M32" s="13" t="s">
        <v>3825</v>
      </c>
      <c r="N32" s="13" t="s">
        <v>3826</v>
      </c>
      <c r="O32" s="13" t="s">
        <v>2744</v>
      </c>
      <c r="P32" s="79" t="s">
        <v>53</v>
      </c>
      <c r="Q32" s="13" t="s">
        <v>618</v>
      </c>
      <c r="R32" s="246" t="str">
        <f>VLOOKUP(P32,'Dados das Regiões '!A:B,2,0)</f>
        <v>GOIOERÊ</v>
      </c>
      <c r="S32" s="13" t="s">
        <v>3827</v>
      </c>
      <c r="U32" s="79" t="s">
        <v>3828</v>
      </c>
      <c r="V32" s="13" t="s">
        <v>3829</v>
      </c>
      <c r="W32" s="13" t="s">
        <v>3830</v>
      </c>
      <c r="X32" s="15">
        <v>0.58333333333333337</v>
      </c>
      <c r="Y32" s="516">
        <v>0.66666666666666663</v>
      </c>
      <c r="Z32" s="16" t="s">
        <v>622</v>
      </c>
      <c r="AB32" s="164">
        <v>202500030</v>
      </c>
      <c r="AC32" s="55" t="s">
        <v>22</v>
      </c>
      <c r="AD32" s="40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</row>
    <row r="33" spans="1:44">
      <c r="B33" s="13" t="str">
        <f t="shared" si="0"/>
        <v>Pendente</v>
      </c>
      <c r="C33" s="14" t="str">
        <f t="shared" si="5"/>
        <v/>
      </c>
      <c r="D33" s="13" t="s">
        <v>611</v>
      </c>
      <c r="E33" s="14" t="str">
        <f t="shared" ref="E33" si="34">IF(C33="", "", EDATE(C33, 3))</f>
        <v/>
      </c>
      <c r="F33" s="13" t="s">
        <v>611</v>
      </c>
      <c r="G33" s="40">
        <v>202500030</v>
      </c>
      <c r="H33" s="13" t="s">
        <v>3831</v>
      </c>
      <c r="I33" s="13" t="s">
        <v>1176</v>
      </c>
      <c r="J33" s="14">
        <v>45705</v>
      </c>
      <c r="K33" s="14">
        <v>46064</v>
      </c>
      <c r="L33" s="13" t="s">
        <v>1185</v>
      </c>
      <c r="M33" s="13" t="s">
        <v>3832</v>
      </c>
      <c r="N33" s="13" t="s">
        <v>3833</v>
      </c>
      <c r="O33" s="13" t="s">
        <v>3834</v>
      </c>
      <c r="P33" s="79" t="s">
        <v>458</v>
      </c>
      <c r="Q33" s="13" t="s">
        <v>618</v>
      </c>
      <c r="R33" s="246" t="str">
        <f>VLOOKUP(P33,'Dados das Regiões '!A:B,2,0)</f>
        <v>SANTO ANTONIO DA PLATINA</v>
      </c>
      <c r="S33" s="13" t="s">
        <v>3835</v>
      </c>
      <c r="V33" s="13" t="s">
        <v>3836</v>
      </c>
      <c r="W33" s="13" t="s">
        <v>3837</v>
      </c>
      <c r="X33" s="15">
        <v>0.58333333333333337</v>
      </c>
      <c r="Y33" s="516">
        <v>0.66666666666666663</v>
      </c>
      <c r="Z33" s="16" t="s">
        <v>622</v>
      </c>
      <c r="AB33" s="164">
        <v>202500030</v>
      </c>
      <c r="AC33" s="55" t="s">
        <v>22</v>
      </c>
      <c r="AD33" s="40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</row>
    <row r="34" spans="1:44">
      <c r="A34" s="14">
        <v>45866</v>
      </c>
      <c r="B34" s="13" t="str">
        <f t="shared" si="0"/>
        <v>Realizada</v>
      </c>
      <c r="C34" s="14">
        <v>45964</v>
      </c>
      <c r="D34" s="13" t="s">
        <v>104</v>
      </c>
      <c r="E34" s="14">
        <f t="shared" ref="E34" si="35">IF(C34="", "", EDATE(C34, 3))</f>
        <v>46056</v>
      </c>
      <c r="F34" s="13" t="s">
        <v>611</v>
      </c>
      <c r="G34" s="40">
        <v>202500030</v>
      </c>
      <c r="H34" s="13" t="s">
        <v>3251</v>
      </c>
      <c r="I34" s="13" t="s">
        <v>1176</v>
      </c>
      <c r="J34" s="14">
        <v>45705</v>
      </c>
      <c r="K34" s="14">
        <v>46064</v>
      </c>
      <c r="L34" s="13" t="s">
        <v>3252</v>
      </c>
      <c r="M34" s="13" t="s">
        <v>3838</v>
      </c>
      <c r="N34" s="13" t="s">
        <v>3253</v>
      </c>
      <c r="O34" s="13" t="s">
        <v>1935</v>
      </c>
      <c r="P34" s="79" t="s">
        <v>446</v>
      </c>
      <c r="Q34" s="13" t="s">
        <v>618</v>
      </c>
      <c r="R34" s="246" t="str">
        <f>VLOOKUP(P34,'Dados das Regiões '!A:B,2,0)</f>
        <v>PONTA GROSSA</v>
      </c>
      <c r="S34" s="13" t="s">
        <v>3839</v>
      </c>
      <c r="U34" s="79" t="s">
        <v>3840</v>
      </c>
      <c r="V34" s="13" t="s">
        <v>3840</v>
      </c>
      <c r="W34" s="13" t="s">
        <v>3841</v>
      </c>
      <c r="X34" s="15">
        <v>0.54166666666666663</v>
      </c>
      <c r="Y34" s="516">
        <v>0.625</v>
      </c>
      <c r="Z34" s="16" t="s">
        <v>622</v>
      </c>
      <c r="AB34" s="164">
        <v>202500030</v>
      </c>
      <c r="AC34" s="55" t="s">
        <v>22</v>
      </c>
      <c r="AD34" s="40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</row>
    <row r="35" spans="1:44">
      <c r="B35" s="13" t="str">
        <f t="shared" ref="B35:B88" si="36">IF(ISBLANK(A35), "Pendente", "Realizada")</f>
        <v>Pendente</v>
      </c>
      <c r="C35" s="14" t="str">
        <f t="shared" si="5"/>
        <v/>
      </c>
      <c r="D35" s="13" t="s">
        <v>611</v>
      </c>
      <c r="E35" s="14" t="str">
        <f t="shared" ref="E35" si="37">IF(C35="", "", EDATE(C35, 3))</f>
        <v/>
      </c>
      <c r="F35" s="13" t="s">
        <v>611</v>
      </c>
      <c r="G35" s="40">
        <v>202500030</v>
      </c>
      <c r="H35" s="13" t="s">
        <v>3842</v>
      </c>
      <c r="I35" s="13" t="s">
        <v>1176</v>
      </c>
      <c r="J35" s="14">
        <v>45705</v>
      </c>
      <c r="K35" s="14">
        <v>46064</v>
      </c>
      <c r="L35" s="13" t="s">
        <v>1185</v>
      </c>
      <c r="M35" s="13" t="s">
        <v>3843</v>
      </c>
      <c r="N35" s="13" t="s">
        <v>3844</v>
      </c>
      <c r="O35" s="13" t="s">
        <v>3845</v>
      </c>
      <c r="P35" s="79" t="s">
        <v>192</v>
      </c>
      <c r="Q35" s="13" t="s">
        <v>618</v>
      </c>
      <c r="R35" s="246" t="str">
        <f>VLOOKUP(P35,'Dados das Regiões '!A:B,2,0)</f>
        <v>CASCAVEL</v>
      </c>
      <c r="S35" s="13" t="s">
        <v>3846</v>
      </c>
      <c r="V35" s="13" t="s">
        <v>3847</v>
      </c>
      <c r="W35" s="13" t="s">
        <v>3848</v>
      </c>
      <c r="X35" s="15">
        <v>0.33333333333333331</v>
      </c>
      <c r="Y35" s="516">
        <v>0.41666666666666669</v>
      </c>
      <c r="Z35" s="16" t="s">
        <v>622</v>
      </c>
      <c r="AB35" s="164">
        <v>202500030</v>
      </c>
      <c r="AC35" s="55" t="s">
        <v>22</v>
      </c>
      <c r="AD35" s="40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</row>
    <row r="36" spans="1:44">
      <c r="B36" s="13" t="str">
        <f t="shared" si="36"/>
        <v>Pendente</v>
      </c>
      <c r="C36" s="14" t="str">
        <f t="shared" si="5"/>
        <v/>
      </c>
      <c r="D36" s="13" t="s">
        <v>611</v>
      </c>
      <c r="E36" s="14" t="str">
        <f t="shared" ref="E36" si="38">IF(C36="", "", EDATE(C36, 3))</f>
        <v/>
      </c>
      <c r="F36" s="13" t="s">
        <v>611</v>
      </c>
      <c r="G36" s="40">
        <v>202500030</v>
      </c>
      <c r="H36" s="13" t="s">
        <v>3849</v>
      </c>
      <c r="I36" s="13" t="s">
        <v>1176</v>
      </c>
      <c r="J36" s="14">
        <v>45705</v>
      </c>
      <c r="K36" s="14">
        <v>46064</v>
      </c>
      <c r="L36" s="13" t="s">
        <v>1185</v>
      </c>
      <c r="M36" s="13" t="s">
        <v>3850</v>
      </c>
      <c r="N36" s="13" t="s">
        <v>3851</v>
      </c>
      <c r="O36" s="13" t="s">
        <v>3852</v>
      </c>
      <c r="P36" s="79" t="s">
        <v>333</v>
      </c>
      <c r="Q36" s="13" t="s">
        <v>618</v>
      </c>
      <c r="R36" s="246" t="str">
        <f>VLOOKUP(P36,'Dados das Regiões '!A:B,2,0)</f>
        <v>LONDRINA CENTRO</v>
      </c>
      <c r="S36" s="13" t="s">
        <v>3853</v>
      </c>
      <c r="V36" s="13" t="s">
        <v>3854</v>
      </c>
      <c r="W36" s="13" t="s">
        <v>3855</v>
      </c>
      <c r="X36" s="15">
        <v>0.33333333333333331</v>
      </c>
      <c r="Y36" s="516">
        <v>0.41666666666666669</v>
      </c>
      <c r="Z36" s="16" t="s">
        <v>622</v>
      </c>
      <c r="AB36" s="164">
        <v>202500030</v>
      </c>
      <c r="AC36" s="55" t="s">
        <v>22</v>
      </c>
      <c r="AD36" s="40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</row>
    <row r="37" spans="1:44">
      <c r="B37" s="13" t="str">
        <f t="shared" si="36"/>
        <v>Pendente</v>
      </c>
      <c r="C37" s="14" t="str">
        <f t="shared" si="5"/>
        <v/>
      </c>
      <c r="D37" s="13" t="s">
        <v>611</v>
      </c>
      <c r="E37" s="14" t="str">
        <f t="shared" ref="E37" si="39">IF(C37="", "", EDATE(C37, 3))</f>
        <v/>
      </c>
      <c r="F37" s="13" t="s">
        <v>611</v>
      </c>
      <c r="G37" s="40">
        <v>202500030</v>
      </c>
      <c r="H37" s="13" t="s">
        <v>3856</v>
      </c>
      <c r="I37" s="13" t="s">
        <v>1176</v>
      </c>
      <c r="J37" s="14">
        <v>45705</v>
      </c>
      <c r="K37" s="14">
        <v>46064</v>
      </c>
      <c r="L37" s="13" t="s">
        <v>1185</v>
      </c>
      <c r="M37" s="13" t="s">
        <v>3857</v>
      </c>
      <c r="N37" s="13" t="s">
        <v>3858</v>
      </c>
      <c r="O37" s="13" t="s">
        <v>3859</v>
      </c>
      <c r="P37" s="79" t="s">
        <v>340</v>
      </c>
      <c r="Q37" s="13" t="s">
        <v>618</v>
      </c>
      <c r="R37" s="246" t="str">
        <f>VLOOKUP(P37,'Dados das Regiões '!A:B,2,0)</f>
        <v>LONDRINA CENTRO</v>
      </c>
      <c r="S37" s="13" t="s">
        <v>3860</v>
      </c>
      <c r="U37" s="79" t="s">
        <v>3861</v>
      </c>
      <c r="V37" s="13" t="s">
        <v>3861</v>
      </c>
      <c r="W37" s="13" t="s">
        <v>3862</v>
      </c>
      <c r="X37" s="15">
        <v>0.58333333333333337</v>
      </c>
      <c r="Y37" s="516">
        <v>0.66666666666666663</v>
      </c>
      <c r="Z37" s="16" t="s">
        <v>622</v>
      </c>
      <c r="AB37" s="164">
        <v>202500030</v>
      </c>
      <c r="AC37" s="55" t="s">
        <v>22</v>
      </c>
      <c r="AD37" s="40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</row>
    <row r="38" spans="1:44">
      <c r="B38" s="13" t="str">
        <f t="shared" si="36"/>
        <v>Pendente</v>
      </c>
      <c r="C38" s="14" t="str">
        <f t="shared" si="5"/>
        <v/>
      </c>
      <c r="D38" s="13" t="s">
        <v>611</v>
      </c>
      <c r="E38" s="14" t="str">
        <f t="shared" ref="E38" si="40">IF(C38="", "", EDATE(C38, 3))</f>
        <v/>
      </c>
      <c r="F38" s="13" t="s">
        <v>611</v>
      </c>
      <c r="G38" s="40">
        <v>202500030</v>
      </c>
      <c r="H38" s="13" t="s">
        <v>3863</v>
      </c>
      <c r="I38" s="13" t="s">
        <v>1176</v>
      </c>
      <c r="J38" s="14">
        <v>45705</v>
      </c>
      <c r="K38" s="14">
        <v>46064</v>
      </c>
      <c r="L38" s="13" t="s">
        <v>1185</v>
      </c>
      <c r="M38" s="13" t="s">
        <v>3864</v>
      </c>
      <c r="N38" s="13" t="s">
        <v>3865</v>
      </c>
      <c r="O38" s="13" t="s">
        <v>2350</v>
      </c>
      <c r="P38" s="79" t="s">
        <v>378</v>
      </c>
      <c r="Q38" s="13" t="s">
        <v>618</v>
      </c>
      <c r="R38" s="246" t="str">
        <f>VLOOKUP(P38,'Dados das Regiões '!A:B,2,0)</f>
        <v>MARINGÁ</v>
      </c>
      <c r="S38" s="13" t="s">
        <v>3866</v>
      </c>
      <c r="U38" s="79" t="s">
        <v>3867</v>
      </c>
      <c r="V38" s="13" t="s">
        <v>3867</v>
      </c>
      <c r="W38" s="13" t="s">
        <v>3868</v>
      </c>
      <c r="X38" s="15">
        <v>0.58333333333333337</v>
      </c>
      <c r="Y38" s="516">
        <v>0.66666666666666663</v>
      </c>
      <c r="Z38" s="16" t="s">
        <v>622</v>
      </c>
      <c r="AB38" s="164">
        <v>202500030</v>
      </c>
      <c r="AC38" s="55" t="s">
        <v>22</v>
      </c>
      <c r="AD38" s="40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</row>
    <row r="39" spans="1:44">
      <c r="B39" s="13" t="str">
        <f t="shared" si="36"/>
        <v>Pendente</v>
      </c>
      <c r="C39" s="14" t="str">
        <f t="shared" si="5"/>
        <v/>
      </c>
      <c r="D39" s="13" t="s">
        <v>611</v>
      </c>
      <c r="E39" s="14" t="str">
        <f t="shared" ref="E39" si="41">IF(C39="", "", EDATE(C39, 3))</f>
        <v/>
      </c>
      <c r="F39" s="13" t="s">
        <v>611</v>
      </c>
      <c r="G39" s="40">
        <v>202500030</v>
      </c>
      <c r="H39" s="13" t="s">
        <v>3869</v>
      </c>
      <c r="I39" s="13" t="s">
        <v>1176</v>
      </c>
      <c r="J39" s="14">
        <v>45705</v>
      </c>
      <c r="K39" s="14">
        <v>46064</v>
      </c>
      <c r="L39" s="13" t="s">
        <v>2571</v>
      </c>
      <c r="M39" s="13" t="s">
        <v>3870</v>
      </c>
      <c r="N39" s="13" t="s">
        <v>3871</v>
      </c>
      <c r="O39" s="13" t="s">
        <v>3872</v>
      </c>
      <c r="P39" s="79" t="s">
        <v>502</v>
      </c>
      <c r="Q39" s="13" t="s">
        <v>618</v>
      </c>
      <c r="R39" s="246" t="str">
        <f>VLOOKUP(P39,'Dados das Regiões '!A:B,2,0)</f>
        <v>UMUARAMA</v>
      </c>
      <c r="S39" s="13" t="s">
        <v>3873</v>
      </c>
      <c r="U39" s="79" t="s">
        <v>3874</v>
      </c>
      <c r="V39" s="13" t="s">
        <v>3874</v>
      </c>
      <c r="W39" s="13" t="s">
        <v>3875</v>
      </c>
      <c r="X39" s="15">
        <v>0.33333333333333331</v>
      </c>
      <c r="Y39" s="516">
        <v>0.41666666666666669</v>
      </c>
      <c r="Z39" s="16" t="s">
        <v>622</v>
      </c>
      <c r="AB39" s="164">
        <v>202500030</v>
      </c>
      <c r="AC39" s="55" t="s">
        <v>22</v>
      </c>
      <c r="AD39" s="40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  <row r="40" spans="1:44">
      <c r="B40" s="13" t="str">
        <f t="shared" si="36"/>
        <v>Pendente</v>
      </c>
      <c r="C40" s="14" t="str">
        <f t="shared" si="5"/>
        <v/>
      </c>
      <c r="D40" s="13" t="s">
        <v>611</v>
      </c>
      <c r="E40" s="14" t="str">
        <f t="shared" ref="E40" si="42">IF(C40="", "", EDATE(C40, 3))</f>
        <v/>
      </c>
      <c r="F40" s="13" t="s">
        <v>611</v>
      </c>
      <c r="G40" s="40">
        <v>202500030</v>
      </c>
      <c r="H40" s="13" t="s">
        <v>3876</v>
      </c>
      <c r="I40" s="13" t="s">
        <v>1176</v>
      </c>
      <c r="J40" s="14">
        <v>45705</v>
      </c>
      <c r="K40" s="14">
        <v>46064</v>
      </c>
      <c r="L40" s="13" t="s">
        <v>2571</v>
      </c>
      <c r="M40" s="13" t="s">
        <v>3877</v>
      </c>
      <c r="N40" s="13" t="s">
        <v>3878</v>
      </c>
      <c r="O40" s="17" t="s">
        <v>3879</v>
      </c>
      <c r="P40" s="79" t="s">
        <v>510</v>
      </c>
      <c r="Q40" s="13" t="s">
        <v>618</v>
      </c>
      <c r="R40" s="246" t="str">
        <f>VLOOKUP(P40,'Dados das Regiões '!A:B,2,0)</f>
        <v>UNIÃO DA VITÓRIA</v>
      </c>
      <c r="S40" s="13" t="s">
        <v>3880</v>
      </c>
      <c r="V40" s="13" t="s">
        <v>3881</v>
      </c>
      <c r="W40" s="13" t="s">
        <v>3882</v>
      </c>
      <c r="X40" s="15">
        <v>0.5625</v>
      </c>
      <c r="Y40" s="516">
        <v>0.64583333333333337</v>
      </c>
      <c r="Z40" s="16" t="s">
        <v>622</v>
      </c>
      <c r="AB40" s="164">
        <v>202500030</v>
      </c>
      <c r="AC40" s="55" t="s">
        <v>22</v>
      </c>
      <c r="AD40" s="40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</row>
    <row r="41" spans="1:44">
      <c r="B41" s="13" t="str">
        <f t="shared" si="36"/>
        <v>Pendente</v>
      </c>
      <c r="C41" s="14" t="str">
        <f t="shared" si="5"/>
        <v/>
      </c>
      <c r="D41" s="13" t="s">
        <v>611</v>
      </c>
      <c r="E41" s="14" t="str">
        <f t="shared" ref="E41" si="43">IF(C41="", "", EDATE(C41, 3))</f>
        <v/>
      </c>
      <c r="F41" s="13" t="s">
        <v>611</v>
      </c>
      <c r="G41" s="40">
        <v>202500030</v>
      </c>
      <c r="H41" s="13" t="s">
        <v>3883</v>
      </c>
      <c r="I41" s="13" t="s">
        <v>1176</v>
      </c>
      <c r="J41" s="14">
        <v>45705</v>
      </c>
      <c r="K41" s="14">
        <v>46064</v>
      </c>
      <c r="L41" s="13" t="s">
        <v>1185</v>
      </c>
      <c r="M41" s="13" t="s">
        <v>3884</v>
      </c>
      <c r="N41" s="13" t="s">
        <v>3885</v>
      </c>
      <c r="O41" s="13" t="s">
        <v>3886</v>
      </c>
      <c r="P41" s="79" t="s">
        <v>412</v>
      </c>
      <c r="Q41" s="13" t="s">
        <v>618</v>
      </c>
      <c r="R41" s="246" t="str">
        <f>VLOOKUP(P41,'Dados das Regiões '!A:B,2,0)</f>
        <v>PARANAVAÍ</v>
      </c>
      <c r="S41" s="13" t="s">
        <v>3887</v>
      </c>
      <c r="U41" s="79" t="s">
        <v>3888</v>
      </c>
      <c r="V41" s="13" t="s">
        <v>3889</v>
      </c>
      <c r="W41" s="13" t="s">
        <v>3890</v>
      </c>
      <c r="X41" s="15">
        <v>0.58333333333333337</v>
      </c>
      <c r="Y41" s="516">
        <v>0.66666666666666663</v>
      </c>
      <c r="Z41" s="16" t="s">
        <v>622</v>
      </c>
      <c r="AB41" s="164">
        <v>202500030</v>
      </c>
      <c r="AC41" s="55" t="s">
        <v>22</v>
      </c>
      <c r="AD41" s="40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</row>
    <row r="42" spans="1:44">
      <c r="B42" s="13" t="str">
        <f t="shared" si="36"/>
        <v>Pendente</v>
      </c>
      <c r="C42" s="14" t="str">
        <f t="shared" si="5"/>
        <v/>
      </c>
      <c r="D42" s="13" t="s">
        <v>611</v>
      </c>
      <c r="E42" s="14" t="str">
        <f t="shared" ref="E42" si="44">IF(C42="", "", EDATE(C42, 3))</f>
        <v/>
      </c>
      <c r="F42" s="13" t="s">
        <v>611</v>
      </c>
      <c r="G42" s="40">
        <v>202500030</v>
      </c>
      <c r="H42" s="13" t="s">
        <v>3891</v>
      </c>
      <c r="I42" s="13" t="s">
        <v>1176</v>
      </c>
      <c r="J42" s="14">
        <v>45705</v>
      </c>
      <c r="K42" s="14">
        <v>46064</v>
      </c>
      <c r="L42" s="13" t="s">
        <v>1185</v>
      </c>
      <c r="M42" s="13" t="s">
        <v>3892</v>
      </c>
      <c r="N42" s="13" t="s">
        <v>3893</v>
      </c>
      <c r="O42" s="13" t="s">
        <v>3894</v>
      </c>
      <c r="P42" s="79" t="s">
        <v>401</v>
      </c>
      <c r="Q42" s="13" t="s">
        <v>618</v>
      </c>
      <c r="R42" s="246" t="str">
        <f>VLOOKUP(P42,'Dados das Regiões '!A:B,2,0)</f>
        <v>NOVA LONDRINA</v>
      </c>
      <c r="S42" s="13" t="s">
        <v>3895</v>
      </c>
      <c r="U42" s="79" t="s">
        <v>3896</v>
      </c>
      <c r="V42" s="13" t="s">
        <v>3896</v>
      </c>
      <c r="W42" s="13" t="s">
        <v>3897</v>
      </c>
      <c r="X42" s="15">
        <v>0.33333333333333331</v>
      </c>
      <c r="Y42" s="516">
        <v>0.41666666666666669</v>
      </c>
      <c r="Z42" s="16" t="s">
        <v>622</v>
      </c>
      <c r="AB42" s="164">
        <v>202500030</v>
      </c>
      <c r="AC42" s="55" t="s">
        <v>22</v>
      </c>
      <c r="AD42" s="40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</row>
    <row r="43" spans="1:44">
      <c r="A43" s="14">
        <v>45967</v>
      </c>
      <c r="B43" s="13" t="str">
        <f t="shared" si="36"/>
        <v>Realizada</v>
      </c>
      <c r="C43" s="14">
        <f t="shared" si="5"/>
        <v>46059</v>
      </c>
      <c r="D43" s="13" t="s">
        <v>611</v>
      </c>
      <c r="E43" s="14">
        <f t="shared" ref="E43" si="45">IF(C43="", "", EDATE(C43, 3))</f>
        <v>46148</v>
      </c>
      <c r="F43" s="13" t="s">
        <v>611</v>
      </c>
      <c r="G43" s="40">
        <v>202500030</v>
      </c>
      <c r="H43" s="13" t="s">
        <v>3898</v>
      </c>
      <c r="I43" s="13" t="s">
        <v>1176</v>
      </c>
      <c r="J43" s="14">
        <v>45705</v>
      </c>
      <c r="K43" s="14">
        <v>46064</v>
      </c>
      <c r="L43" s="13" t="s">
        <v>1185</v>
      </c>
      <c r="M43" s="13" t="s">
        <v>3899</v>
      </c>
      <c r="N43" s="13" t="s">
        <v>3900</v>
      </c>
      <c r="O43" s="13" t="s">
        <v>3901</v>
      </c>
      <c r="P43" s="79" t="s">
        <v>175</v>
      </c>
      <c r="Q43" s="13" t="s">
        <v>618</v>
      </c>
      <c r="R43" s="246" t="str">
        <f>VLOOKUP(P43,'Dados das Regiões '!A:B,2,0)</f>
        <v>CAMPO MOURÃO</v>
      </c>
      <c r="S43" s="13" t="s">
        <v>3902</v>
      </c>
      <c r="U43" s="79" t="s">
        <v>3903</v>
      </c>
      <c r="V43" s="13" t="s">
        <v>3904</v>
      </c>
      <c r="W43" s="13" t="s">
        <v>3905</v>
      </c>
      <c r="X43" s="15">
        <v>0.375</v>
      </c>
      <c r="Y43" s="516">
        <v>0.45833333333333331</v>
      </c>
      <c r="Z43" s="16" t="s">
        <v>622</v>
      </c>
      <c r="AB43" s="164">
        <v>202500030</v>
      </c>
      <c r="AC43" s="55" t="s">
        <v>22</v>
      </c>
      <c r="AD43" s="40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</row>
    <row r="44" spans="1:44">
      <c r="A44" s="14">
        <v>45932</v>
      </c>
      <c r="B44" s="13" t="str">
        <f t="shared" si="36"/>
        <v>Realizada</v>
      </c>
      <c r="C44" s="14">
        <f t="shared" si="5"/>
        <v>46024</v>
      </c>
      <c r="D44" s="13" t="s">
        <v>611</v>
      </c>
      <c r="E44" s="14">
        <f t="shared" ref="E44" si="46">IF(C44="", "", EDATE(C44, 3))</f>
        <v>46114</v>
      </c>
      <c r="F44" s="13" t="s">
        <v>611</v>
      </c>
      <c r="G44" s="40">
        <v>202500030</v>
      </c>
      <c r="H44" s="13" t="s">
        <v>3906</v>
      </c>
      <c r="I44" s="13" t="s">
        <v>1176</v>
      </c>
      <c r="J44" s="14">
        <v>45705</v>
      </c>
      <c r="K44" s="14">
        <v>46064</v>
      </c>
      <c r="L44" s="13" t="s">
        <v>1185</v>
      </c>
      <c r="M44" s="13" t="s">
        <v>3907</v>
      </c>
      <c r="N44" s="13" t="s">
        <v>3908</v>
      </c>
      <c r="O44" s="13" t="s">
        <v>3909</v>
      </c>
      <c r="P44" s="79" t="s">
        <v>271</v>
      </c>
      <c r="Q44" s="13" t="s">
        <v>618</v>
      </c>
      <c r="R44" s="246" t="str">
        <f>VLOOKUP(P44,'Dados das Regiões '!A:B,2,0)</f>
        <v>FRANCISCO BELTRÃO</v>
      </c>
      <c r="S44" s="13" t="s">
        <v>3910</v>
      </c>
      <c r="U44" s="79" t="s">
        <v>3911</v>
      </c>
      <c r="V44" s="13" t="s">
        <v>3912</v>
      </c>
      <c r="W44" s="13" t="s">
        <v>3913</v>
      </c>
      <c r="X44" s="15">
        <v>0.5625</v>
      </c>
      <c r="Y44" s="516">
        <v>0.64583333333333337</v>
      </c>
      <c r="Z44" s="16" t="s">
        <v>622</v>
      </c>
      <c r="AB44" s="164">
        <v>202500030</v>
      </c>
      <c r="AC44" s="55" t="s">
        <v>22</v>
      </c>
      <c r="AD44" s="40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</row>
    <row r="45" spans="1:44">
      <c r="B45" s="13" t="str">
        <f t="shared" si="36"/>
        <v>Pendente</v>
      </c>
      <c r="C45" s="14" t="str">
        <f t="shared" si="5"/>
        <v/>
      </c>
      <c r="D45" s="13" t="s">
        <v>611</v>
      </c>
      <c r="E45" s="14" t="str">
        <f t="shared" ref="E45" si="47">IF(C45="", "", EDATE(C45, 3))</f>
        <v/>
      </c>
      <c r="F45" s="13" t="s">
        <v>611</v>
      </c>
      <c r="G45" s="40">
        <v>202500030</v>
      </c>
      <c r="H45" s="13" t="s">
        <v>3914</v>
      </c>
      <c r="I45" s="13" t="s">
        <v>1176</v>
      </c>
      <c r="J45" s="14">
        <v>45705</v>
      </c>
      <c r="K45" s="14">
        <v>46064</v>
      </c>
      <c r="L45" s="13" t="s">
        <v>1185</v>
      </c>
      <c r="M45" s="13" t="s">
        <v>3915</v>
      </c>
      <c r="N45" s="13" t="s">
        <v>3916</v>
      </c>
      <c r="O45" s="13" t="s">
        <v>3917</v>
      </c>
      <c r="P45" s="79" t="s">
        <v>424</v>
      </c>
      <c r="Q45" s="13" t="s">
        <v>618</v>
      </c>
      <c r="R45" s="246" t="str">
        <f>VLOOKUP(P45,'Dados das Regiões '!A:B,2,0)</f>
        <v>PARANAVAÍ</v>
      </c>
      <c r="S45" s="13" t="s">
        <v>3918</v>
      </c>
      <c r="U45" s="79" t="s">
        <v>3919</v>
      </c>
      <c r="V45" s="13" t="s">
        <v>3920</v>
      </c>
      <c r="W45" s="13" t="s">
        <v>3921</v>
      </c>
      <c r="X45" s="15">
        <v>0.58333333333333337</v>
      </c>
      <c r="Y45" s="516">
        <v>0.66666666666666663</v>
      </c>
      <c r="Z45" s="16" t="s">
        <v>622</v>
      </c>
      <c r="AB45" s="164">
        <v>202500030</v>
      </c>
      <c r="AC45" s="55" t="s">
        <v>22</v>
      </c>
      <c r="AD45" s="40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</row>
    <row r="46" spans="1:44">
      <c r="B46" s="13" t="str">
        <f t="shared" si="36"/>
        <v>Pendente</v>
      </c>
      <c r="C46" s="14" t="str">
        <f t="shared" si="5"/>
        <v/>
      </c>
      <c r="D46" s="13" t="s">
        <v>611</v>
      </c>
      <c r="E46" s="14" t="str">
        <f t="shared" ref="E46" si="48">IF(C46="", "", EDATE(C46, 3))</f>
        <v/>
      </c>
      <c r="F46" s="13" t="s">
        <v>611</v>
      </c>
      <c r="G46" s="40">
        <v>202500030</v>
      </c>
      <c r="H46" s="13" t="s">
        <v>3922</v>
      </c>
      <c r="I46" s="13" t="s">
        <v>1176</v>
      </c>
      <c r="J46" s="14">
        <v>45705</v>
      </c>
      <c r="K46" s="14">
        <v>46064</v>
      </c>
      <c r="L46" s="13" t="s">
        <v>1185</v>
      </c>
      <c r="M46" s="13" t="s">
        <v>3923</v>
      </c>
      <c r="N46" s="13" t="s">
        <v>3924</v>
      </c>
      <c r="O46" s="13" t="s">
        <v>3925</v>
      </c>
      <c r="P46" s="79" t="s">
        <v>206</v>
      </c>
      <c r="Q46" s="13" t="s">
        <v>618</v>
      </c>
      <c r="R46" s="246" t="str">
        <f>VLOOKUP(P46,'Dados das Regiões '!A:B,2,0)</f>
        <v>CASCAVEL</v>
      </c>
      <c r="S46" s="13" t="s">
        <v>3926</v>
      </c>
      <c r="U46" s="79" t="s">
        <v>3927</v>
      </c>
      <c r="V46" s="13" t="s">
        <v>3927</v>
      </c>
      <c r="W46" s="13" t="s">
        <v>3928</v>
      </c>
      <c r="X46" s="15">
        <v>0.58333333333333337</v>
      </c>
      <c r="Y46" s="516">
        <v>0.66666666666666663</v>
      </c>
      <c r="Z46" s="16" t="s">
        <v>622</v>
      </c>
      <c r="AB46" s="164">
        <v>202500030</v>
      </c>
      <c r="AC46" s="55" t="s">
        <v>22</v>
      </c>
      <c r="AD46" s="40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</row>
    <row r="47" spans="1:44">
      <c r="B47" s="13" t="str">
        <f t="shared" si="36"/>
        <v>Pendente</v>
      </c>
      <c r="C47" s="14" t="str">
        <f t="shared" si="5"/>
        <v/>
      </c>
      <c r="D47" s="13" t="s">
        <v>611</v>
      </c>
      <c r="E47" s="14" t="str">
        <f t="shared" ref="E47" si="49">IF(C47="", "", EDATE(C47, 3))</f>
        <v/>
      </c>
      <c r="F47" s="13" t="s">
        <v>611</v>
      </c>
      <c r="G47" s="40">
        <v>202500030</v>
      </c>
      <c r="H47" s="13" t="s">
        <v>3929</v>
      </c>
      <c r="I47" s="13" t="s">
        <v>1176</v>
      </c>
      <c r="J47" s="14">
        <v>45705</v>
      </c>
      <c r="K47" s="14">
        <v>46064</v>
      </c>
      <c r="L47" s="13" t="s">
        <v>1185</v>
      </c>
      <c r="M47" s="13" t="s">
        <v>3930</v>
      </c>
      <c r="N47" s="13" t="s">
        <v>3931</v>
      </c>
      <c r="O47" s="13" t="s">
        <v>3932</v>
      </c>
      <c r="P47" s="79" t="s">
        <v>418</v>
      </c>
      <c r="Q47" s="13" t="s">
        <v>618</v>
      </c>
      <c r="R47" s="246" t="str">
        <f>VLOOKUP(P47,'Dados das Regiões '!A:B,2,0)</f>
        <v>PARANAVAÍ</v>
      </c>
      <c r="S47" s="13" t="s">
        <v>3933</v>
      </c>
      <c r="U47" s="79" t="s">
        <v>3934</v>
      </c>
      <c r="V47" s="13" t="s">
        <v>3934</v>
      </c>
      <c r="W47" s="13" t="s">
        <v>3935</v>
      </c>
      <c r="X47" s="15">
        <v>0.58333333333333337</v>
      </c>
      <c r="Y47" s="516">
        <v>0.66666666666666663</v>
      </c>
      <c r="Z47" s="16" t="s">
        <v>622</v>
      </c>
      <c r="AB47" s="164">
        <v>202500030</v>
      </c>
      <c r="AC47" s="55" t="s">
        <v>22</v>
      </c>
      <c r="AD47" s="40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</row>
    <row r="48" spans="1:44">
      <c r="B48" s="13" t="str">
        <f t="shared" si="36"/>
        <v>Pendente</v>
      </c>
      <c r="C48" s="14" t="str">
        <f t="shared" si="5"/>
        <v/>
      </c>
      <c r="D48" s="13" t="s">
        <v>611</v>
      </c>
      <c r="E48" s="14" t="str">
        <f t="shared" ref="E48" si="50">IF(C48="", "", EDATE(C48, 3))</f>
        <v/>
      </c>
      <c r="F48" s="13" t="s">
        <v>611</v>
      </c>
      <c r="G48" s="40">
        <v>202500030</v>
      </c>
      <c r="H48" s="13" t="s">
        <v>3936</v>
      </c>
      <c r="I48" s="13" t="s">
        <v>1176</v>
      </c>
      <c r="J48" s="14">
        <v>45705</v>
      </c>
      <c r="K48" s="14">
        <v>46064</v>
      </c>
      <c r="L48" s="13" t="s">
        <v>1185</v>
      </c>
      <c r="M48" s="13" t="s">
        <v>3843</v>
      </c>
      <c r="N48" s="13" t="s">
        <v>3844</v>
      </c>
      <c r="O48" s="13" t="s">
        <v>3845</v>
      </c>
      <c r="P48" s="79" t="s">
        <v>192</v>
      </c>
      <c r="Q48" s="13" t="s">
        <v>618</v>
      </c>
      <c r="R48" s="246" t="str">
        <f>VLOOKUP(P48,'Dados das Regiões '!A:B,2,0)</f>
        <v>CASCAVEL</v>
      </c>
      <c r="S48" s="41" t="s">
        <v>3937</v>
      </c>
      <c r="V48" s="13" t="s">
        <v>3847</v>
      </c>
      <c r="W48" s="13" t="s">
        <v>3848</v>
      </c>
      <c r="X48" s="15">
        <v>0.33333333333333331</v>
      </c>
      <c r="Y48" s="516">
        <v>0.41666666666666669</v>
      </c>
      <c r="Z48" s="16" t="s">
        <v>622</v>
      </c>
      <c r="AB48" s="164">
        <v>202500030</v>
      </c>
      <c r="AC48" s="55" t="s">
        <v>22</v>
      </c>
      <c r="AD48" s="40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</row>
    <row r="49" spans="1:44">
      <c r="A49" s="14">
        <v>45924</v>
      </c>
      <c r="B49" s="13" t="str">
        <f t="shared" si="36"/>
        <v>Realizada</v>
      </c>
      <c r="C49" s="14">
        <f t="shared" si="5"/>
        <v>46015</v>
      </c>
      <c r="D49" s="13" t="s">
        <v>611</v>
      </c>
      <c r="E49" s="14">
        <f t="shared" ref="E49" si="51">IF(C49="", "", EDATE(C49, 3))</f>
        <v>46105</v>
      </c>
      <c r="F49" s="13" t="s">
        <v>611</v>
      </c>
      <c r="G49" s="237">
        <v>202500868</v>
      </c>
      <c r="H49" s="22" t="s">
        <v>3114</v>
      </c>
      <c r="I49" s="190" t="s">
        <v>1192</v>
      </c>
      <c r="J49" s="200">
        <v>45880</v>
      </c>
      <c r="K49" s="200">
        <v>46239</v>
      </c>
      <c r="L49" s="190" t="s">
        <v>1202</v>
      </c>
      <c r="M49" s="190" t="s">
        <v>1203</v>
      </c>
      <c r="N49" s="13" t="s">
        <v>1204</v>
      </c>
      <c r="O49" s="17" t="s">
        <v>1205</v>
      </c>
      <c r="P49" s="189" t="s">
        <v>453</v>
      </c>
      <c r="Q49" s="13" t="s">
        <v>618</v>
      </c>
      <c r="R49" s="510" t="str">
        <f>VLOOKUP(P49,'Dados das Regiões '!A:B,2,0)</f>
        <v>PRUDENTÓPOLIS</v>
      </c>
      <c r="S49" s="22" t="s">
        <v>3938</v>
      </c>
      <c r="T49" s="40"/>
      <c r="U49" s="22" t="s">
        <v>3939</v>
      </c>
      <c r="V49" s="22" t="s">
        <v>3940</v>
      </c>
      <c r="W49" s="22" t="s">
        <v>3941</v>
      </c>
      <c r="X49" s="90">
        <v>0.54166666666666663</v>
      </c>
      <c r="Y49" s="515">
        <v>0.625</v>
      </c>
      <c r="Z49" s="22" t="s">
        <v>3315</v>
      </c>
      <c r="AB49" s="164">
        <v>202500030</v>
      </c>
      <c r="AC49" s="55" t="s">
        <v>22</v>
      </c>
      <c r="AD49" s="40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</row>
    <row r="50" spans="1:44">
      <c r="A50" s="14">
        <v>45911</v>
      </c>
      <c r="B50" s="13" t="str">
        <f t="shared" si="36"/>
        <v>Realizada</v>
      </c>
      <c r="C50" s="14">
        <f t="shared" si="5"/>
        <v>46002</v>
      </c>
      <c r="D50" s="13" t="s">
        <v>611</v>
      </c>
      <c r="E50" s="14">
        <f t="shared" ref="E50" si="52">IF(C50="", "", EDATE(C50, 3))</f>
        <v>46092</v>
      </c>
      <c r="F50" s="13" t="s">
        <v>611</v>
      </c>
      <c r="G50" s="40">
        <v>202500030</v>
      </c>
      <c r="H50" s="13" t="s">
        <v>3942</v>
      </c>
      <c r="I50" s="13" t="s">
        <v>1176</v>
      </c>
      <c r="J50" s="14">
        <v>45705</v>
      </c>
      <c r="K50" s="14">
        <v>46064</v>
      </c>
      <c r="L50" s="13" t="s">
        <v>1185</v>
      </c>
      <c r="M50" s="13" t="s">
        <v>3943</v>
      </c>
      <c r="N50" s="13" t="s">
        <v>3944</v>
      </c>
      <c r="O50" s="13" t="s">
        <v>791</v>
      </c>
      <c r="P50" s="79" t="s">
        <v>161</v>
      </c>
      <c r="Q50" s="13" t="s">
        <v>618</v>
      </c>
      <c r="R50" s="246" t="str">
        <f>VLOOKUP(P50,'Dados das Regiões '!A:B,2,0)</f>
        <v>CAMPO MOURÃO</v>
      </c>
      <c r="S50" s="34" t="s">
        <v>3945</v>
      </c>
      <c r="U50" s="79" t="s">
        <v>3946</v>
      </c>
      <c r="V50" s="13" t="s">
        <v>3946</v>
      </c>
      <c r="W50" s="13" t="s">
        <v>3947</v>
      </c>
      <c r="X50" s="15">
        <v>0.35416666666666669</v>
      </c>
      <c r="Y50" s="516">
        <v>0.4375</v>
      </c>
      <c r="Z50" s="16" t="s">
        <v>622</v>
      </c>
      <c r="AB50" s="164">
        <v>202500030</v>
      </c>
      <c r="AC50" s="55" t="s">
        <v>22</v>
      </c>
      <c r="AD50" s="40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</row>
    <row r="51" spans="1:44">
      <c r="A51" s="14">
        <v>45854</v>
      </c>
      <c r="B51" s="13" t="str">
        <f t="shared" si="36"/>
        <v>Realizada</v>
      </c>
      <c r="C51" s="14">
        <v>45940</v>
      </c>
      <c r="D51" s="13" t="s">
        <v>104</v>
      </c>
      <c r="E51" s="14">
        <f t="shared" ref="E51" si="53">IF(C51="", "", EDATE(C51, 3))</f>
        <v>46032</v>
      </c>
      <c r="F51" s="13" t="s">
        <v>611</v>
      </c>
      <c r="G51" s="40">
        <v>202500030</v>
      </c>
      <c r="H51" s="13" t="s">
        <v>3948</v>
      </c>
      <c r="I51" s="13" t="s">
        <v>1176</v>
      </c>
      <c r="J51" s="14">
        <v>45705</v>
      </c>
      <c r="K51" s="14">
        <v>46064</v>
      </c>
      <c r="L51" s="13" t="s">
        <v>1185</v>
      </c>
      <c r="M51" s="13" t="s">
        <v>3949</v>
      </c>
      <c r="N51" s="13" t="s">
        <v>3950</v>
      </c>
      <c r="O51" s="13" t="s">
        <v>3951</v>
      </c>
      <c r="P51" s="79" t="s">
        <v>294</v>
      </c>
      <c r="Q51" s="13" t="s">
        <v>618</v>
      </c>
      <c r="R51" s="246" t="str">
        <f>VLOOKUP(P51,'Dados das Regiões '!A:B,2,0)</f>
        <v>GUARAPUAVA</v>
      </c>
      <c r="S51" s="13" t="s">
        <v>3952</v>
      </c>
      <c r="U51" s="79" t="s">
        <v>3953</v>
      </c>
      <c r="V51" s="13" t="s">
        <v>3953</v>
      </c>
      <c r="W51" s="13" t="s">
        <v>3954</v>
      </c>
      <c r="X51" s="15">
        <v>0.54166666666666663</v>
      </c>
      <c r="Y51" s="516">
        <v>0.625</v>
      </c>
      <c r="Z51" s="16" t="s">
        <v>622</v>
      </c>
      <c r="AB51" s="164">
        <v>202500030</v>
      </c>
      <c r="AC51" s="55" t="s">
        <v>22</v>
      </c>
      <c r="AD51" s="40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</row>
    <row r="52" spans="1:44">
      <c r="A52" s="14">
        <v>45867</v>
      </c>
      <c r="B52" s="13" t="str">
        <f t="shared" si="36"/>
        <v>Realizada</v>
      </c>
      <c r="C52" s="14">
        <v>45988</v>
      </c>
      <c r="D52" s="13" t="s">
        <v>104</v>
      </c>
      <c r="E52" s="14">
        <f t="shared" ref="E52" si="54">IF(C52="", "", EDATE(C52, 3))</f>
        <v>46080</v>
      </c>
      <c r="F52" s="13" t="s">
        <v>611</v>
      </c>
      <c r="G52" s="40">
        <v>202500030</v>
      </c>
      <c r="H52" s="13" t="s">
        <v>3955</v>
      </c>
      <c r="I52" s="13" t="s">
        <v>1176</v>
      </c>
      <c r="J52" s="14">
        <v>45705</v>
      </c>
      <c r="K52" s="14">
        <v>46064</v>
      </c>
      <c r="L52" s="13" t="s">
        <v>1185</v>
      </c>
      <c r="M52" s="13" t="s">
        <v>3053</v>
      </c>
      <c r="N52" s="13" t="s">
        <v>3054</v>
      </c>
      <c r="O52" s="13" t="s">
        <v>2204</v>
      </c>
      <c r="P52" s="79" t="s">
        <v>295</v>
      </c>
      <c r="Q52" s="13" t="s">
        <v>618</v>
      </c>
      <c r="R52" s="246" t="str">
        <f>VLOOKUP(P52,'Dados das Regiões '!A:B,2,0)</f>
        <v>GUARAPUAVA</v>
      </c>
      <c r="S52" s="13" t="s">
        <v>3055</v>
      </c>
      <c r="U52" s="79" t="s">
        <v>3056</v>
      </c>
      <c r="V52" s="13" t="s">
        <v>3057</v>
      </c>
      <c r="W52" s="13" t="s">
        <v>3058</v>
      </c>
      <c r="X52" s="15">
        <v>0.54166666666666663</v>
      </c>
      <c r="Y52" s="516">
        <v>0.625</v>
      </c>
      <c r="Z52" s="16" t="s">
        <v>622</v>
      </c>
      <c r="AA52" s="36" t="s">
        <v>3956</v>
      </c>
      <c r="AB52" s="164">
        <v>202500030</v>
      </c>
      <c r="AC52" s="55" t="s">
        <v>22</v>
      </c>
      <c r="AD52" s="40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</row>
    <row r="53" spans="1:44">
      <c r="B53" s="13" t="str">
        <f t="shared" si="36"/>
        <v>Pendente</v>
      </c>
      <c r="C53" s="14" t="str">
        <f t="shared" si="5"/>
        <v/>
      </c>
      <c r="D53" s="13" t="s">
        <v>611</v>
      </c>
      <c r="E53" s="14" t="str">
        <f t="shared" ref="E53" si="55">IF(C53="", "", EDATE(C53, 3))</f>
        <v/>
      </c>
      <c r="F53" s="13" t="s">
        <v>611</v>
      </c>
      <c r="G53" s="40">
        <v>202500030</v>
      </c>
      <c r="H53" s="13" t="s">
        <v>3957</v>
      </c>
      <c r="I53" s="13" t="s">
        <v>1176</v>
      </c>
      <c r="J53" s="14">
        <v>45705</v>
      </c>
      <c r="K53" s="14">
        <v>46064</v>
      </c>
      <c r="L53" s="13" t="s">
        <v>1185</v>
      </c>
      <c r="M53" s="13" t="s">
        <v>3958</v>
      </c>
      <c r="N53" s="13" t="s">
        <v>3959</v>
      </c>
      <c r="O53" s="13" t="s">
        <v>2621</v>
      </c>
      <c r="P53" s="79" t="s">
        <v>491</v>
      </c>
      <c r="Q53" s="13" t="s">
        <v>618</v>
      </c>
      <c r="R53" s="246" t="str">
        <f>VLOOKUP(P53,'Dados das Regiões '!A:B,2,0)</f>
        <v>UMUARAMA</v>
      </c>
      <c r="S53" s="13" t="s">
        <v>3960</v>
      </c>
      <c r="V53" s="13" t="s">
        <v>3961</v>
      </c>
      <c r="W53" s="13" t="s">
        <v>3962</v>
      </c>
      <c r="X53" s="15">
        <v>0.33333333333333331</v>
      </c>
      <c r="Y53" s="516">
        <v>0.41666666666666669</v>
      </c>
      <c r="Z53" s="16" t="s">
        <v>622</v>
      </c>
      <c r="AB53" s="164">
        <v>202500030</v>
      </c>
      <c r="AC53" s="55" t="s">
        <v>22</v>
      </c>
      <c r="AD53" s="40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</row>
    <row r="54" spans="1:44">
      <c r="B54" s="13" t="str">
        <f t="shared" si="36"/>
        <v>Pendente</v>
      </c>
      <c r="C54" s="14" t="str">
        <f t="shared" si="5"/>
        <v/>
      </c>
      <c r="D54" s="13" t="s">
        <v>611</v>
      </c>
      <c r="E54" s="14" t="str">
        <f t="shared" ref="E54" si="56">IF(C54="", "", EDATE(C54, 3))</f>
        <v/>
      </c>
      <c r="F54" s="13" t="s">
        <v>611</v>
      </c>
      <c r="G54" s="40">
        <v>202500030</v>
      </c>
      <c r="H54" s="13" t="s">
        <v>3963</v>
      </c>
      <c r="I54" s="13" t="s">
        <v>1176</v>
      </c>
      <c r="J54" s="14">
        <v>45705</v>
      </c>
      <c r="K54" s="14">
        <v>46064</v>
      </c>
      <c r="L54" s="13" t="s">
        <v>1185</v>
      </c>
      <c r="M54" s="13" t="s">
        <v>3964</v>
      </c>
      <c r="N54" s="13" t="s">
        <v>3965</v>
      </c>
      <c r="O54" s="13" t="s">
        <v>3966</v>
      </c>
      <c r="P54" s="79" t="s">
        <v>486</v>
      </c>
      <c r="Q54" s="13" t="s">
        <v>618</v>
      </c>
      <c r="R54" s="246" t="str">
        <f>VLOOKUP(P54,'Dados das Regiões '!A:B,2,0)</f>
        <v>UMUARAMA</v>
      </c>
      <c r="S54" s="13" t="s">
        <v>3967</v>
      </c>
      <c r="U54" s="79" t="s">
        <v>3968</v>
      </c>
      <c r="V54" s="13" t="s">
        <v>3969</v>
      </c>
      <c r="W54" s="13" t="s">
        <v>3970</v>
      </c>
      <c r="X54" s="15">
        <v>0.33333333333333331</v>
      </c>
      <c r="Y54" s="516">
        <v>0.41666666666666669</v>
      </c>
      <c r="Z54" s="16" t="s">
        <v>622</v>
      </c>
      <c r="AB54" s="164">
        <v>202500030</v>
      </c>
      <c r="AC54" s="55" t="s">
        <v>22</v>
      </c>
      <c r="AD54" s="40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</row>
    <row r="55" spans="1:44">
      <c r="B55" s="13" t="str">
        <f t="shared" si="36"/>
        <v>Pendente</v>
      </c>
      <c r="C55" s="14" t="str">
        <f t="shared" si="5"/>
        <v/>
      </c>
      <c r="D55" s="13" t="s">
        <v>611</v>
      </c>
      <c r="E55" s="14" t="str">
        <f t="shared" ref="E55" si="57">IF(C55="", "", EDATE(C55, 3))</f>
        <v/>
      </c>
      <c r="F55" s="13" t="s">
        <v>611</v>
      </c>
      <c r="G55" s="40">
        <v>202500030</v>
      </c>
      <c r="H55" s="13" t="s">
        <v>3971</v>
      </c>
      <c r="I55" s="13" t="s">
        <v>1176</v>
      </c>
      <c r="J55" s="14">
        <v>45705</v>
      </c>
      <c r="K55" s="14">
        <v>46064</v>
      </c>
      <c r="L55" s="13" t="s">
        <v>1185</v>
      </c>
      <c r="M55" s="13" t="s">
        <v>3972</v>
      </c>
      <c r="N55" s="13" t="s">
        <v>3973</v>
      </c>
      <c r="O55" s="13" t="s">
        <v>3974</v>
      </c>
      <c r="P55" s="79" t="s">
        <v>310</v>
      </c>
      <c r="Q55" s="13" t="s">
        <v>618</v>
      </c>
      <c r="R55" s="246" t="str">
        <f>VLOOKUP(P55,'Dados das Regiões '!A:B,2,0)</f>
        <v>IVAIPORÃ</v>
      </c>
      <c r="S55" s="13" t="s">
        <v>3975</v>
      </c>
      <c r="V55" s="13" t="s">
        <v>3976</v>
      </c>
      <c r="W55" s="13" t="s">
        <v>3977</v>
      </c>
      <c r="X55" s="15">
        <v>0.33333333333333331</v>
      </c>
      <c r="Y55" s="516">
        <v>0.41666666666666669</v>
      </c>
      <c r="Z55" s="16" t="s">
        <v>622</v>
      </c>
      <c r="AB55" s="164">
        <v>202500030</v>
      </c>
      <c r="AC55" s="55" t="s">
        <v>22</v>
      </c>
      <c r="AD55" s="40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</row>
    <row r="56" spans="1:44">
      <c r="B56" s="13" t="str">
        <f t="shared" si="36"/>
        <v>Pendente</v>
      </c>
      <c r="C56" s="14" t="str">
        <f t="shared" si="5"/>
        <v/>
      </c>
      <c r="D56" s="13" t="s">
        <v>611</v>
      </c>
      <c r="E56" s="14" t="str">
        <f t="shared" ref="E56" si="58">IF(C56="", "", EDATE(C56, 3))</f>
        <v/>
      </c>
      <c r="F56" s="13" t="s">
        <v>611</v>
      </c>
      <c r="G56" s="40">
        <v>202500030</v>
      </c>
      <c r="H56" s="13" t="s">
        <v>3978</v>
      </c>
      <c r="I56" s="13" t="s">
        <v>1176</v>
      </c>
      <c r="J56" s="14">
        <v>45705</v>
      </c>
      <c r="K56" s="14">
        <v>46064</v>
      </c>
      <c r="L56" s="13" t="s">
        <v>1185</v>
      </c>
      <c r="M56" s="13" t="s">
        <v>3979</v>
      </c>
      <c r="N56" s="13" t="s">
        <v>3980</v>
      </c>
      <c r="O56" s="13" t="s">
        <v>3981</v>
      </c>
      <c r="P56" s="79" t="s">
        <v>343</v>
      </c>
      <c r="Q56" s="13" t="s">
        <v>618</v>
      </c>
      <c r="R56" s="246" t="str">
        <f>VLOOKUP(P56,'Dados das Regiões '!A:B,2,0)</f>
        <v>LONDRINA NORTE</v>
      </c>
      <c r="S56" s="13" t="s">
        <v>3982</v>
      </c>
      <c r="V56" s="13" t="s">
        <v>3983</v>
      </c>
      <c r="W56" s="13" t="s">
        <v>3984</v>
      </c>
      <c r="X56" s="15">
        <v>0.35416666666666669</v>
      </c>
      <c r="Y56" s="516">
        <v>0.4375</v>
      </c>
      <c r="Z56" s="16" t="s">
        <v>622</v>
      </c>
      <c r="AB56" s="164">
        <v>202500030</v>
      </c>
      <c r="AC56" s="55" t="s">
        <v>22</v>
      </c>
      <c r="AD56" s="40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</row>
    <row r="57" spans="1:44">
      <c r="B57" s="13" t="str">
        <f t="shared" si="36"/>
        <v>Pendente</v>
      </c>
      <c r="C57" s="14" t="str">
        <f t="shared" si="5"/>
        <v/>
      </c>
      <c r="D57" s="13" t="s">
        <v>611</v>
      </c>
      <c r="E57" s="14" t="str">
        <f t="shared" ref="E57" si="59">IF(C57="", "", EDATE(C57, 3))</f>
        <v/>
      </c>
      <c r="F57" s="13" t="s">
        <v>611</v>
      </c>
      <c r="G57" s="40">
        <v>202500030</v>
      </c>
      <c r="H57" s="13" t="s">
        <v>3985</v>
      </c>
      <c r="I57" s="13" t="s">
        <v>1176</v>
      </c>
      <c r="J57" s="14">
        <v>45705</v>
      </c>
      <c r="K57" s="14">
        <v>46064</v>
      </c>
      <c r="L57" s="13" t="s">
        <v>1185</v>
      </c>
      <c r="M57" s="13" t="s">
        <v>3986</v>
      </c>
      <c r="N57" s="13" t="s">
        <v>3987</v>
      </c>
      <c r="O57" s="13" t="s">
        <v>3988</v>
      </c>
      <c r="P57" s="79" t="s">
        <v>477</v>
      </c>
      <c r="Q57" s="13" t="s">
        <v>618</v>
      </c>
      <c r="R57" s="246" t="str">
        <f>VLOOKUP(P57,'Dados das Regiões '!A:B,2,0)</f>
        <v>TOLEDO</v>
      </c>
      <c r="S57" s="13" t="s">
        <v>3989</v>
      </c>
      <c r="U57" s="79" t="s">
        <v>3990</v>
      </c>
      <c r="V57" s="13" t="s">
        <v>3990</v>
      </c>
      <c r="W57" s="13" t="s">
        <v>3991</v>
      </c>
      <c r="X57" s="15">
        <v>0.58333333333333337</v>
      </c>
      <c r="Y57" s="516">
        <v>0.66666666666666663</v>
      </c>
      <c r="Z57" s="16" t="s">
        <v>622</v>
      </c>
      <c r="AB57" s="164">
        <v>202500030</v>
      </c>
      <c r="AC57" s="55" t="s">
        <v>22</v>
      </c>
      <c r="AD57" s="40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</row>
    <row r="58" spans="1:44">
      <c r="B58" s="13" t="str">
        <f t="shared" si="36"/>
        <v>Pendente</v>
      </c>
      <c r="C58" s="14" t="str">
        <f t="shared" si="5"/>
        <v/>
      </c>
      <c r="D58" s="13" t="s">
        <v>611</v>
      </c>
      <c r="E58" s="14" t="str">
        <f t="shared" ref="E58" si="60">IF(C58="", "", EDATE(C58, 3))</f>
        <v/>
      </c>
      <c r="F58" s="13" t="s">
        <v>611</v>
      </c>
      <c r="G58" s="40">
        <v>202500030</v>
      </c>
      <c r="H58" s="13" t="s">
        <v>3992</v>
      </c>
      <c r="I58" s="13" t="s">
        <v>1176</v>
      </c>
      <c r="J58" s="14">
        <v>45705</v>
      </c>
      <c r="K58" s="14">
        <v>46064</v>
      </c>
      <c r="L58" s="13" t="s">
        <v>1185</v>
      </c>
      <c r="M58" s="13" t="s">
        <v>3993</v>
      </c>
      <c r="N58" s="13" t="s">
        <v>3994</v>
      </c>
      <c r="O58" s="13" t="s">
        <v>3995</v>
      </c>
      <c r="P58" s="79" t="s">
        <v>354</v>
      </c>
      <c r="Q58" s="13" t="s">
        <v>618</v>
      </c>
      <c r="R58" s="246" t="str">
        <f>VLOOKUP(P58,'Dados das Regiões '!A:B,2,0)</f>
        <v>MARECHAL CÂNDIDO RONDON</v>
      </c>
      <c r="S58" s="13" t="s">
        <v>3996</v>
      </c>
      <c r="V58" s="13" t="s">
        <v>3997</v>
      </c>
      <c r="W58" s="13" t="s">
        <v>3998</v>
      </c>
      <c r="X58" s="15">
        <v>0.33333333333333331</v>
      </c>
      <c r="Y58" s="516">
        <v>0.41666666666666669</v>
      </c>
      <c r="Z58" s="16" t="s">
        <v>622</v>
      </c>
      <c r="AB58" s="164">
        <v>202500030</v>
      </c>
      <c r="AC58" s="55" t="s">
        <v>22</v>
      </c>
      <c r="AD58" s="40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</row>
    <row r="59" spans="1:44">
      <c r="A59" s="14">
        <v>45883</v>
      </c>
      <c r="B59" s="13" t="str">
        <f t="shared" si="36"/>
        <v>Realizada</v>
      </c>
      <c r="C59" s="14">
        <v>45974</v>
      </c>
      <c r="D59" s="13" t="s">
        <v>104</v>
      </c>
      <c r="E59" s="14">
        <f t="shared" ref="E59" si="61">IF(C59="", "", EDATE(C59, 3))</f>
        <v>46066</v>
      </c>
      <c r="F59" s="13" t="s">
        <v>611</v>
      </c>
      <c r="G59" s="40">
        <v>202500030</v>
      </c>
      <c r="H59" s="13" t="s">
        <v>3999</v>
      </c>
      <c r="I59" s="13" t="s">
        <v>1176</v>
      </c>
      <c r="J59" s="14">
        <v>45705</v>
      </c>
      <c r="K59" s="14">
        <v>46064</v>
      </c>
      <c r="L59" s="13" t="s">
        <v>1185</v>
      </c>
      <c r="M59" s="13" t="s">
        <v>4000</v>
      </c>
      <c r="N59" s="13" t="s">
        <v>4001</v>
      </c>
      <c r="O59" s="13" t="s">
        <v>4002</v>
      </c>
      <c r="P59" s="79" t="s">
        <v>299</v>
      </c>
      <c r="Q59" s="13" t="s">
        <v>618</v>
      </c>
      <c r="R59" s="246" t="str">
        <f>VLOOKUP(P59,'Dados das Regiões '!A:B,2,0)</f>
        <v>GUARAPUAVA</v>
      </c>
      <c r="S59" s="13" t="s">
        <v>4003</v>
      </c>
      <c r="U59" s="79" t="s">
        <v>4004</v>
      </c>
      <c r="V59" s="13" t="s">
        <v>4004</v>
      </c>
      <c r="W59" s="13" t="s">
        <v>4005</v>
      </c>
      <c r="X59" s="15">
        <v>0.54166666666666663</v>
      </c>
      <c r="Y59" s="516">
        <v>0.625</v>
      </c>
      <c r="Z59" s="16" t="s">
        <v>622</v>
      </c>
      <c r="AB59" s="164">
        <v>202500030</v>
      </c>
      <c r="AC59" s="55" t="s">
        <v>22</v>
      </c>
      <c r="AD59" s="40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</row>
    <row r="60" spans="1:44">
      <c r="B60" s="13" t="str">
        <f t="shared" si="36"/>
        <v>Pendente</v>
      </c>
      <c r="C60" s="14" t="str">
        <f t="shared" si="5"/>
        <v/>
      </c>
      <c r="D60" s="13" t="s">
        <v>611</v>
      </c>
      <c r="E60" s="14" t="str">
        <f t="shared" ref="E60" si="62">IF(C60="", "", EDATE(C60, 3))</f>
        <v/>
      </c>
      <c r="F60" s="13" t="s">
        <v>611</v>
      </c>
      <c r="G60" s="40">
        <v>202500030</v>
      </c>
      <c r="H60" s="13" t="s">
        <v>4006</v>
      </c>
      <c r="I60" s="13" t="s">
        <v>1176</v>
      </c>
      <c r="J60" s="14">
        <v>45705</v>
      </c>
      <c r="K60" s="14">
        <v>46064</v>
      </c>
      <c r="L60" s="13" t="s">
        <v>1185</v>
      </c>
      <c r="M60" s="13" t="s">
        <v>4007</v>
      </c>
      <c r="N60" s="13" t="s">
        <v>4008</v>
      </c>
      <c r="O60" s="13" t="s">
        <v>1420</v>
      </c>
      <c r="P60" s="79" t="s">
        <v>274</v>
      </c>
      <c r="Q60" s="13" t="s">
        <v>618</v>
      </c>
      <c r="R60" s="246" t="str">
        <f>VLOOKUP(P60,'Dados das Regiões '!A:B,2,0)</f>
        <v>FRANCISCO BELTRÃO</v>
      </c>
      <c r="S60" s="13" t="s">
        <v>4009</v>
      </c>
      <c r="V60" s="13" t="s">
        <v>4010</v>
      </c>
      <c r="W60" s="13" t="s">
        <v>4011</v>
      </c>
      <c r="X60" s="15">
        <v>0.33333333333333331</v>
      </c>
      <c r="Y60" s="516">
        <v>0.33333333333333331</v>
      </c>
      <c r="Z60" s="16" t="s">
        <v>622</v>
      </c>
      <c r="AB60" s="164">
        <v>202500030</v>
      </c>
      <c r="AC60" s="55" t="s">
        <v>22</v>
      </c>
      <c r="AD60" s="40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</row>
    <row r="61" spans="1:44">
      <c r="B61" s="13" t="str">
        <f t="shared" si="36"/>
        <v>Pendente</v>
      </c>
      <c r="C61" s="14" t="str">
        <f t="shared" si="5"/>
        <v/>
      </c>
      <c r="D61" s="13" t="s">
        <v>611</v>
      </c>
      <c r="E61" s="14" t="str">
        <f t="shared" ref="E61" si="63">IF(C61="", "", EDATE(C61, 3))</f>
        <v/>
      </c>
      <c r="F61" s="13" t="s">
        <v>611</v>
      </c>
      <c r="G61" s="40">
        <v>202500031</v>
      </c>
      <c r="H61" s="13" t="s">
        <v>4012</v>
      </c>
      <c r="I61" s="13" t="s">
        <v>1192</v>
      </c>
      <c r="J61" s="14">
        <v>45705</v>
      </c>
      <c r="K61" s="14">
        <v>46064</v>
      </c>
      <c r="L61" s="13" t="s">
        <v>4013</v>
      </c>
      <c r="M61" s="13" t="s">
        <v>4014</v>
      </c>
      <c r="N61" s="13" t="s">
        <v>4015</v>
      </c>
      <c r="O61" s="13" t="s">
        <v>3966</v>
      </c>
      <c r="P61" s="79" t="s">
        <v>486</v>
      </c>
      <c r="Q61" s="13" t="s">
        <v>618</v>
      </c>
      <c r="R61" s="246" t="str">
        <f>VLOOKUP(P61,'Dados das Regiões '!A:B,2,0)</f>
        <v>UMUARAMA</v>
      </c>
      <c r="S61" s="13" t="s">
        <v>4016</v>
      </c>
      <c r="T61" s="41"/>
      <c r="U61" s="79" t="s">
        <v>4017</v>
      </c>
      <c r="V61" s="13" t="s">
        <v>4018</v>
      </c>
      <c r="W61" s="13" t="s">
        <v>4019</v>
      </c>
      <c r="X61" s="15">
        <v>0.5625</v>
      </c>
      <c r="Y61" s="516">
        <v>0.64583333333333337</v>
      </c>
      <c r="Z61" s="16" t="s">
        <v>622</v>
      </c>
      <c r="AB61" s="164">
        <v>202500031</v>
      </c>
      <c r="AC61" s="55" t="s">
        <v>23</v>
      </c>
      <c r="AD61" s="40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</row>
    <row r="62" spans="1:44">
      <c r="A62" s="14">
        <v>45820</v>
      </c>
      <c r="B62" s="13" t="str">
        <f t="shared" si="36"/>
        <v>Realizada</v>
      </c>
      <c r="C62" s="14">
        <f t="shared" si="5"/>
        <v>45912</v>
      </c>
      <c r="D62" s="13" t="s">
        <v>104</v>
      </c>
      <c r="E62" s="14">
        <f t="shared" ref="E62" si="64">IF(C62="", "", EDATE(C62, 3))</f>
        <v>46003</v>
      </c>
      <c r="F62" s="13" t="s">
        <v>611</v>
      </c>
      <c r="G62" s="40">
        <v>202500031</v>
      </c>
      <c r="H62" s="13" t="s">
        <v>582</v>
      </c>
      <c r="I62" s="13" t="s">
        <v>1192</v>
      </c>
      <c r="J62" s="14">
        <v>45705</v>
      </c>
      <c r="K62" s="14">
        <v>46064</v>
      </c>
      <c r="L62" s="13" t="s">
        <v>1923</v>
      </c>
      <c r="M62" s="13" t="s">
        <v>4020</v>
      </c>
      <c r="N62" s="13" t="s">
        <v>577</v>
      </c>
      <c r="O62" s="13" t="s">
        <v>4021</v>
      </c>
      <c r="P62" s="79" t="s">
        <v>454</v>
      </c>
      <c r="Q62" s="13" t="s">
        <v>618</v>
      </c>
      <c r="R62" s="246" t="str">
        <f>VLOOKUP(P62,'Dados das Regiões '!A:B,2,0)</f>
        <v>RIO NEGRO</v>
      </c>
      <c r="S62" s="36" t="s">
        <v>4022</v>
      </c>
      <c r="T62" s="13" t="s">
        <v>4023</v>
      </c>
      <c r="U62" s="46" t="s">
        <v>4024</v>
      </c>
      <c r="V62" s="13" t="s">
        <v>581</v>
      </c>
      <c r="W62" s="13" t="s">
        <v>4025</v>
      </c>
      <c r="X62" s="15">
        <v>0.54166666666666663</v>
      </c>
      <c r="Y62" s="516">
        <v>0.625</v>
      </c>
      <c r="Z62" s="16" t="s">
        <v>622</v>
      </c>
      <c r="AB62" s="164">
        <v>202500031</v>
      </c>
      <c r="AC62" s="55" t="s">
        <v>23</v>
      </c>
    </row>
    <row r="63" spans="1:44">
      <c r="A63" s="14">
        <v>45819</v>
      </c>
      <c r="B63" s="13" t="str">
        <f t="shared" si="36"/>
        <v>Realizada</v>
      </c>
      <c r="C63" s="14">
        <f t="shared" si="5"/>
        <v>45911</v>
      </c>
      <c r="D63" s="13" t="s">
        <v>104</v>
      </c>
      <c r="E63" s="14">
        <f t="shared" ref="E63" si="65">IF(C63="", "", EDATE(C63, 3))</f>
        <v>46002</v>
      </c>
      <c r="F63" s="13" t="s">
        <v>611</v>
      </c>
      <c r="G63" s="40">
        <v>202500031</v>
      </c>
      <c r="H63" s="13" t="s">
        <v>570</v>
      </c>
      <c r="I63" s="13" t="s">
        <v>1192</v>
      </c>
      <c r="J63" s="14">
        <v>45705</v>
      </c>
      <c r="K63" s="14">
        <v>46064</v>
      </c>
      <c r="L63" s="13" t="s">
        <v>565</v>
      </c>
      <c r="M63" s="13" t="s">
        <v>4026</v>
      </c>
      <c r="N63" s="13" t="s">
        <v>566</v>
      </c>
      <c r="O63" s="13" t="s">
        <v>4021</v>
      </c>
      <c r="P63" s="79" t="s">
        <v>457</v>
      </c>
      <c r="Q63" s="13" t="s">
        <v>618</v>
      </c>
      <c r="R63" s="246" t="str">
        <f>VLOOKUP(P63,'Dados das Regiões '!A:B,2,0)</f>
        <v>RIO NEGRO</v>
      </c>
      <c r="S63" s="36" t="s">
        <v>4027</v>
      </c>
      <c r="T63" s="37" t="s">
        <v>4028</v>
      </c>
      <c r="U63" s="46" t="s">
        <v>3089</v>
      </c>
      <c r="V63" s="13" t="s">
        <v>569</v>
      </c>
      <c r="W63" s="13" t="s">
        <v>4029</v>
      </c>
      <c r="X63" s="15">
        <v>0.625</v>
      </c>
      <c r="Y63" s="516">
        <v>0.54166666666666663</v>
      </c>
      <c r="Z63" s="16" t="s">
        <v>622</v>
      </c>
      <c r="AB63" s="164">
        <v>202500031</v>
      </c>
      <c r="AC63" s="55" t="s">
        <v>23</v>
      </c>
    </row>
    <row r="64" spans="1:44">
      <c r="B64" s="13" t="str">
        <f t="shared" si="36"/>
        <v>Pendente</v>
      </c>
      <c r="C64" s="14" t="str">
        <f t="shared" si="5"/>
        <v/>
      </c>
      <c r="D64" s="13" t="s">
        <v>611</v>
      </c>
      <c r="E64" s="14" t="str">
        <f t="shared" ref="E64" si="66">IF(C64="", "", EDATE(C64, 3))</f>
        <v/>
      </c>
      <c r="F64" s="13" t="s">
        <v>611</v>
      </c>
      <c r="G64" s="40">
        <v>202500031</v>
      </c>
      <c r="H64" s="13" t="s">
        <v>4030</v>
      </c>
      <c r="I64" s="13" t="s">
        <v>1192</v>
      </c>
      <c r="J64" s="14">
        <v>45705</v>
      </c>
      <c r="K64" s="14">
        <v>46064</v>
      </c>
      <c r="L64" s="13" t="s">
        <v>4031</v>
      </c>
      <c r="M64" s="13" t="s">
        <v>4032</v>
      </c>
      <c r="N64" s="13" t="s">
        <v>4033</v>
      </c>
      <c r="O64" s="13" t="s">
        <v>3886</v>
      </c>
      <c r="P64" s="79" t="s">
        <v>412</v>
      </c>
      <c r="Q64" s="13" t="s">
        <v>618</v>
      </c>
      <c r="R64" s="246" t="str">
        <f>VLOOKUP(P64,'Dados das Regiões '!A:B,2,0)</f>
        <v>PARANAVAÍ</v>
      </c>
      <c r="S64" s="13" t="s">
        <v>4034</v>
      </c>
      <c r="T64" s="41"/>
      <c r="U64" s="79" t="s">
        <v>4035</v>
      </c>
      <c r="V64" s="13" t="s">
        <v>4036</v>
      </c>
      <c r="W64" s="13" t="s">
        <v>4037</v>
      </c>
      <c r="X64" s="15">
        <v>0.66666666666666663</v>
      </c>
      <c r="Y64" s="516">
        <v>0.58333333333333337</v>
      </c>
      <c r="Z64" s="16" t="s">
        <v>622</v>
      </c>
      <c r="AB64" s="164">
        <v>202500031</v>
      </c>
      <c r="AC64" s="55" t="s">
        <v>23</v>
      </c>
      <c r="AD64" s="40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</row>
    <row r="65" spans="1:44">
      <c r="A65" s="14">
        <v>45819</v>
      </c>
      <c r="B65" s="13" t="str">
        <f t="shared" si="36"/>
        <v>Realizada</v>
      </c>
      <c r="C65" s="14">
        <f t="shared" ref="C65:C120" si="67">IF(A65="", "", EDATE(A65, 3))</f>
        <v>45911</v>
      </c>
      <c r="D65" s="13" t="s">
        <v>104</v>
      </c>
      <c r="E65" s="14">
        <f t="shared" ref="E65" si="68">IF(C65="", "", EDATE(C65, 3))</f>
        <v>46002</v>
      </c>
      <c r="F65" s="13" t="s">
        <v>611</v>
      </c>
      <c r="G65" s="40">
        <v>202500031</v>
      </c>
      <c r="H65" s="13" t="s">
        <v>563</v>
      </c>
      <c r="I65" s="13" t="s">
        <v>1192</v>
      </c>
      <c r="J65" s="14">
        <v>45705</v>
      </c>
      <c r="K65" s="14">
        <v>46064</v>
      </c>
      <c r="L65" s="13" t="s">
        <v>565</v>
      </c>
      <c r="M65" s="13" t="s">
        <v>4026</v>
      </c>
      <c r="N65" s="13" t="s">
        <v>566</v>
      </c>
      <c r="O65" s="13" t="s">
        <v>4021</v>
      </c>
      <c r="P65" s="79" t="s">
        <v>457</v>
      </c>
      <c r="Q65" s="13" t="s">
        <v>618</v>
      </c>
      <c r="R65" s="246" t="str">
        <f>VLOOKUP(P65,'Dados das Regiões '!A:B,2,0)</f>
        <v>RIO NEGRO</v>
      </c>
      <c r="S65" s="36" t="s">
        <v>4027</v>
      </c>
      <c r="T65" s="37" t="s">
        <v>4028</v>
      </c>
      <c r="U65" s="46" t="s">
        <v>3089</v>
      </c>
      <c r="V65" s="13" t="s">
        <v>569</v>
      </c>
      <c r="W65" s="13" t="s">
        <v>4029</v>
      </c>
      <c r="X65" s="15">
        <v>0.54166666666666663</v>
      </c>
      <c r="Y65" s="516">
        <v>0.625</v>
      </c>
      <c r="Z65" s="16" t="s">
        <v>622</v>
      </c>
      <c r="AB65" s="164">
        <v>202500031</v>
      </c>
      <c r="AC65" s="55" t="s">
        <v>23</v>
      </c>
    </row>
    <row r="66" spans="1:44">
      <c r="B66" s="13" t="str">
        <f t="shared" si="36"/>
        <v>Pendente</v>
      </c>
      <c r="C66" s="14" t="str">
        <f t="shared" si="67"/>
        <v/>
      </c>
      <c r="D66" s="13" t="s">
        <v>611</v>
      </c>
      <c r="E66" s="14" t="str">
        <f t="shared" ref="E66" si="69">IF(C66="", "", EDATE(C66, 3))</f>
        <v/>
      </c>
      <c r="F66" s="13" t="s">
        <v>611</v>
      </c>
      <c r="G66" s="40">
        <v>202500031</v>
      </c>
      <c r="H66" s="13" t="s">
        <v>4038</v>
      </c>
      <c r="I66" s="13" t="s">
        <v>1192</v>
      </c>
      <c r="J66" s="14">
        <v>45705</v>
      </c>
      <c r="K66" s="14">
        <v>46064</v>
      </c>
      <c r="L66" s="13" t="s">
        <v>2347</v>
      </c>
      <c r="M66" s="13" t="s">
        <v>2348</v>
      </c>
      <c r="N66" s="13" t="s">
        <v>2349</v>
      </c>
      <c r="O66" s="13" t="s">
        <v>2350</v>
      </c>
      <c r="P66" s="79" t="s">
        <v>378</v>
      </c>
      <c r="Q66" s="13" t="s">
        <v>618</v>
      </c>
      <c r="R66" s="246" t="str">
        <f>VLOOKUP(P66,'Dados das Regiões '!A:B,2,0)</f>
        <v>MARINGÁ</v>
      </c>
      <c r="S66" s="13" t="s">
        <v>4039</v>
      </c>
      <c r="U66" s="79" t="s">
        <v>2353</v>
      </c>
      <c r="V66" s="13" t="s">
        <v>2353</v>
      </c>
      <c r="W66" s="13" t="s">
        <v>2354</v>
      </c>
      <c r="X66" s="15">
        <v>0.625</v>
      </c>
      <c r="Y66" s="516">
        <v>0.70833333333333337</v>
      </c>
      <c r="Z66" s="16" t="s">
        <v>622</v>
      </c>
      <c r="AB66" s="164">
        <v>202500031</v>
      </c>
      <c r="AC66" s="55" t="s">
        <v>23</v>
      </c>
      <c r="AD66" s="40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</row>
    <row r="67" spans="1:44">
      <c r="B67" s="13" t="str">
        <f t="shared" si="36"/>
        <v>Pendente</v>
      </c>
      <c r="C67" s="14" t="str">
        <f t="shared" si="67"/>
        <v/>
      </c>
      <c r="D67" s="13" t="s">
        <v>611</v>
      </c>
      <c r="E67" s="14" t="str">
        <f t="shared" ref="E67" si="70">IF(C67="", "", EDATE(C67, 3))</f>
        <v/>
      </c>
      <c r="F67" s="13" t="s">
        <v>611</v>
      </c>
      <c r="G67" s="40">
        <v>202500031</v>
      </c>
      <c r="H67" s="13" t="s">
        <v>4040</v>
      </c>
      <c r="I67" s="13" t="s">
        <v>1192</v>
      </c>
      <c r="J67" s="14">
        <v>45705</v>
      </c>
      <c r="K67" s="14">
        <v>46064</v>
      </c>
      <c r="L67" s="13" t="s">
        <v>2347</v>
      </c>
      <c r="M67" s="13" t="s">
        <v>2348</v>
      </c>
      <c r="N67" s="13" t="s">
        <v>2349</v>
      </c>
      <c r="O67" s="13" t="s">
        <v>2350</v>
      </c>
      <c r="P67" s="79" t="s">
        <v>378</v>
      </c>
      <c r="Q67" s="13" t="s">
        <v>618</v>
      </c>
      <c r="R67" s="246" t="str">
        <f>VLOOKUP(P67,'Dados das Regiões '!A:B,2,0)</f>
        <v>MARINGÁ</v>
      </c>
      <c r="S67" s="13" t="s">
        <v>2351</v>
      </c>
      <c r="U67" s="79" t="s">
        <v>2353</v>
      </c>
      <c r="V67" s="13" t="s">
        <v>2353</v>
      </c>
      <c r="W67" s="13" t="s">
        <v>2354</v>
      </c>
      <c r="X67" s="15">
        <v>0.58333333333333337</v>
      </c>
      <c r="Y67" s="516">
        <v>0.66666666666666663</v>
      </c>
      <c r="Z67" s="16" t="s">
        <v>622</v>
      </c>
      <c r="AB67" s="164">
        <v>202500031</v>
      </c>
      <c r="AC67" s="55" t="s">
        <v>23</v>
      </c>
      <c r="AD67" s="40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</row>
    <row r="68" spans="1:44">
      <c r="B68" s="13" t="str">
        <f t="shared" si="36"/>
        <v>Pendente</v>
      </c>
      <c r="C68" s="14" t="str">
        <f t="shared" si="67"/>
        <v/>
      </c>
      <c r="D68" s="13" t="s">
        <v>611</v>
      </c>
      <c r="E68" s="14" t="str">
        <f t="shared" ref="E68" si="71">IF(C68="", "", EDATE(C68, 3))</f>
        <v/>
      </c>
      <c r="F68" s="13" t="s">
        <v>611</v>
      </c>
      <c r="G68" s="40">
        <v>202500031</v>
      </c>
      <c r="H68" s="13" t="s">
        <v>4041</v>
      </c>
      <c r="I68" s="13" t="s">
        <v>1192</v>
      </c>
      <c r="J68" s="14">
        <v>45705</v>
      </c>
      <c r="K68" s="14">
        <v>46064</v>
      </c>
      <c r="L68" s="13" t="s">
        <v>1881</v>
      </c>
      <c r="M68" s="13" t="s">
        <v>4042</v>
      </c>
      <c r="N68" s="13" t="s">
        <v>4043</v>
      </c>
      <c r="O68" s="13" t="s">
        <v>4044</v>
      </c>
      <c r="P68" s="79" t="s">
        <v>130</v>
      </c>
      <c r="Q68" s="13" t="s">
        <v>618</v>
      </c>
      <c r="R68" s="246" t="str">
        <f>VLOOKUP(P68,'Dados das Regiões '!A:B,2,0)</f>
        <v>APUCARANA</v>
      </c>
      <c r="S68" s="13" t="s">
        <v>4045</v>
      </c>
      <c r="T68" s="41"/>
      <c r="U68" s="79" t="s">
        <v>2164</v>
      </c>
      <c r="V68" s="13" t="s">
        <v>3229</v>
      </c>
      <c r="W68" s="13" t="s">
        <v>4046</v>
      </c>
      <c r="X68" s="15">
        <v>0.66666666666666663</v>
      </c>
      <c r="Y68" s="516">
        <v>0.58333333333333337</v>
      </c>
      <c r="Z68" s="16" t="s">
        <v>622</v>
      </c>
      <c r="AB68" s="164">
        <v>202500031</v>
      </c>
      <c r="AC68" s="55" t="s">
        <v>23</v>
      </c>
      <c r="AD68" s="40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</row>
    <row r="69" spans="1:44">
      <c r="A69" s="14">
        <v>45819</v>
      </c>
      <c r="B69" s="13" t="str">
        <f t="shared" si="36"/>
        <v>Realizada</v>
      </c>
      <c r="C69" s="14">
        <f t="shared" si="67"/>
        <v>45911</v>
      </c>
      <c r="D69" s="13" t="s">
        <v>104</v>
      </c>
      <c r="E69" s="14">
        <f t="shared" ref="E69" si="72">IF(C69="", "", EDATE(C69, 3))</f>
        <v>46002</v>
      </c>
      <c r="F69" s="13" t="s">
        <v>611</v>
      </c>
      <c r="G69" s="40">
        <v>202500031</v>
      </c>
      <c r="H69" s="13" t="s">
        <v>571</v>
      </c>
      <c r="I69" s="13" t="s">
        <v>1192</v>
      </c>
      <c r="J69" s="14">
        <v>45705</v>
      </c>
      <c r="K69" s="14">
        <v>46064</v>
      </c>
      <c r="L69" s="13" t="s">
        <v>565</v>
      </c>
      <c r="M69" s="13" t="s">
        <v>4047</v>
      </c>
      <c r="N69" s="13" t="s">
        <v>572</v>
      </c>
      <c r="O69" s="17" t="s">
        <v>567</v>
      </c>
      <c r="P69" s="79" t="s">
        <v>457</v>
      </c>
      <c r="Q69" s="13" t="s">
        <v>618</v>
      </c>
      <c r="R69" s="246" t="str">
        <f>VLOOKUP(P69,'Dados das Regiões '!A:B,2,0)</f>
        <v>RIO NEGRO</v>
      </c>
      <c r="S69" s="36" t="s">
        <v>4048</v>
      </c>
      <c r="T69" s="38" t="s">
        <v>573</v>
      </c>
      <c r="U69" s="46" t="s">
        <v>3089</v>
      </c>
      <c r="V69" s="13" t="s">
        <v>574</v>
      </c>
      <c r="W69" s="13" t="s">
        <v>4029</v>
      </c>
      <c r="X69" s="15">
        <v>0.625</v>
      </c>
      <c r="Y69" s="516">
        <v>0.54166666666666663</v>
      </c>
      <c r="Z69" s="16" t="s">
        <v>622</v>
      </c>
      <c r="AB69" s="164">
        <v>202500031</v>
      </c>
      <c r="AC69" s="55" t="s">
        <v>23</v>
      </c>
    </row>
    <row r="70" spans="1:44">
      <c r="A70" s="14">
        <v>45820</v>
      </c>
      <c r="B70" s="13" t="str">
        <f t="shared" si="36"/>
        <v>Realizada</v>
      </c>
      <c r="C70" s="14">
        <f t="shared" si="67"/>
        <v>45912</v>
      </c>
      <c r="D70" s="13" t="s">
        <v>104</v>
      </c>
      <c r="E70" s="14">
        <f t="shared" ref="E70" si="73">IF(C70="", "", EDATE(C70, 3))</f>
        <v>46003</v>
      </c>
      <c r="F70" s="13" t="s">
        <v>611</v>
      </c>
      <c r="G70" s="40">
        <v>202500031</v>
      </c>
      <c r="H70" s="13" t="s">
        <v>576</v>
      </c>
      <c r="I70" s="13" t="s">
        <v>1192</v>
      </c>
      <c r="J70" s="14">
        <v>45705</v>
      </c>
      <c r="K70" s="14">
        <v>46064</v>
      </c>
      <c r="L70" s="13" t="s">
        <v>1923</v>
      </c>
      <c r="M70" s="13" t="s">
        <v>4020</v>
      </c>
      <c r="N70" s="13" t="s">
        <v>577</v>
      </c>
      <c r="O70" s="13" t="s">
        <v>4021</v>
      </c>
      <c r="P70" s="79" t="s">
        <v>454</v>
      </c>
      <c r="Q70" s="13" t="s">
        <v>618</v>
      </c>
      <c r="R70" s="246" t="str">
        <f>VLOOKUP(P70,'Dados das Regiões '!A:B,2,0)</f>
        <v>RIO NEGRO</v>
      </c>
      <c r="S70" s="36" t="s">
        <v>4022</v>
      </c>
      <c r="T70" s="13" t="s">
        <v>4023</v>
      </c>
      <c r="U70" s="46" t="s">
        <v>4024</v>
      </c>
      <c r="V70" s="13" t="s">
        <v>581</v>
      </c>
      <c r="W70" s="13" t="s">
        <v>4025</v>
      </c>
      <c r="X70" s="15">
        <v>0.33333333333333331</v>
      </c>
      <c r="Y70" s="516">
        <v>0.41666666666666669</v>
      </c>
      <c r="Z70" s="16" t="s">
        <v>622</v>
      </c>
      <c r="AB70" s="164">
        <v>202500031</v>
      </c>
      <c r="AC70" s="55" t="s">
        <v>23</v>
      </c>
    </row>
    <row r="71" spans="1:44">
      <c r="B71" s="13" t="str">
        <f t="shared" si="36"/>
        <v>Pendente</v>
      </c>
      <c r="C71" s="14" t="str">
        <f t="shared" si="67"/>
        <v/>
      </c>
      <c r="D71" s="13" t="s">
        <v>611</v>
      </c>
      <c r="E71" s="14" t="str">
        <f t="shared" ref="E71" si="74">IF(C71="", "", EDATE(C71, 3))</f>
        <v/>
      </c>
      <c r="F71" s="13" t="s">
        <v>611</v>
      </c>
      <c r="G71" s="40">
        <v>202500031</v>
      </c>
      <c r="H71" s="13" t="s">
        <v>4049</v>
      </c>
      <c r="I71" s="13" t="s">
        <v>1192</v>
      </c>
      <c r="J71" s="14">
        <v>45705</v>
      </c>
      <c r="K71" s="14">
        <v>46064</v>
      </c>
      <c r="L71" s="13" t="s">
        <v>4031</v>
      </c>
      <c r="M71" s="13" t="s">
        <v>4032</v>
      </c>
      <c r="N71" s="13" t="s">
        <v>4033</v>
      </c>
      <c r="O71" s="13" t="s">
        <v>3886</v>
      </c>
      <c r="P71" s="79" t="s">
        <v>412</v>
      </c>
      <c r="Q71" s="13" t="s">
        <v>618</v>
      </c>
      <c r="R71" s="246" t="str">
        <f>VLOOKUP(P71,'Dados das Regiões '!A:B,2,0)</f>
        <v>PARANAVAÍ</v>
      </c>
      <c r="S71" s="13" t="s">
        <v>4050</v>
      </c>
      <c r="T71" s="34"/>
      <c r="U71" s="79" t="s">
        <v>4035</v>
      </c>
      <c r="V71" s="13" t="s">
        <v>4036</v>
      </c>
      <c r="W71" s="13" t="s">
        <v>4037</v>
      </c>
      <c r="X71" s="15">
        <v>0.58333333333333337</v>
      </c>
      <c r="Y71" s="516">
        <v>0.66666666666666663</v>
      </c>
      <c r="Z71" s="16" t="s">
        <v>622</v>
      </c>
      <c r="AB71" s="164">
        <v>202500031</v>
      </c>
      <c r="AC71" s="55" t="s">
        <v>23</v>
      </c>
      <c r="AD71" s="40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</row>
    <row r="72" spans="1:44">
      <c r="A72" s="14">
        <v>45819</v>
      </c>
      <c r="B72" s="13" t="str">
        <f t="shared" si="36"/>
        <v>Realizada</v>
      </c>
      <c r="C72" s="14">
        <f t="shared" si="67"/>
        <v>45911</v>
      </c>
      <c r="D72" s="13" t="s">
        <v>104</v>
      </c>
      <c r="E72" s="14">
        <f t="shared" ref="E72" si="75">IF(C72="", "", EDATE(C72, 3))</f>
        <v>46002</v>
      </c>
      <c r="F72" s="13" t="s">
        <v>611</v>
      </c>
      <c r="G72" s="40">
        <v>202500031</v>
      </c>
      <c r="H72" s="13" t="s">
        <v>575</v>
      </c>
      <c r="I72" s="13" t="s">
        <v>1192</v>
      </c>
      <c r="J72" s="14">
        <v>45705</v>
      </c>
      <c r="K72" s="14">
        <v>46064</v>
      </c>
      <c r="L72" s="13" t="s">
        <v>565</v>
      </c>
      <c r="M72" s="13" t="s">
        <v>4047</v>
      </c>
      <c r="N72" s="13" t="s">
        <v>572</v>
      </c>
      <c r="O72" s="13" t="s">
        <v>4021</v>
      </c>
      <c r="P72" s="79" t="s">
        <v>457</v>
      </c>
      <c r="Q72" s="13" t="s">
        <v>618</v>
      </c>
      <c r="R72" s="246" t="str">
        <f>VLOOKUP(P72,'Dados das Regiões '!A:B,2,0)</f>
        <v>RIO NEGRO</v>
      </c>
      <c r="S72" s="13" t="s">
        <v>4027</v>
      </c>
      <c r="T72" s="38" t="s">
        <v>573</v>
      </c>
      <c r="U72" s="79" t="s">
        <v>3089</v>
      </c>
      <c r="V72" s="13" t="s">
        <v>574</v>
      </c>
      <c r="W72" s="13" t="s">
        <v>4029</v>
      </c>
      <c r="X72" s="15">
        <v>0.54166666666666663</v>
      </c>
      <c r="Y72" s="516">
        <v>0.625</v>
      </c>
      <c r="Z72" s="16" t="s">
        <v>622</v>
      </c>
      <c r="AB72" s="164">
        <v>202500031</v>
      </c>
      <c r="AC72" s="55" t="s">
        <v>23</v>
      </c>
    </row>
    <row r="73" spans="1:44">
      <c r="B73" s="13" t="str">
        <f t="shared" si="36"/>
        <v>Pendente</v>
      </c>
      <c r="C73" s="14" t="str">
        <f t="shared" si="67"/>
        <v/>
      </c>
      <c r="D73" s="13" t="s">
        <v>611</v>
      </c>
      <c r="E73" s="14" t="str">
        <f t="shared" ref="E73" si="76">IF(C73="", "", EDATE(C73, 3))</f>
        <v/>
      </c>
      <c r="F73" s="13" t="s">
        <v>611</v>
      </c>
      <c r="G73" s="40">
        <v>202500031</v>
      </c>
      <c r="H73" s="13" t="s">
        <v>4051</v>
      </c>
      <c r="I73" s="13" t="s">
        <v>1192</v>
      </c>
      <c r="J73" s="14">
        <v>45705</v>
      </c>
      <c r="K73" s="14">
        <v>46064</v>
      </c>
      <c r="L73" s="13" t="s">
        <v>1881</v>
      </c>
      <c r="M73" s="13" t="s">
        <v>4042</v>
      </c>
      <c r="N73" s="13" t="s">
        <v>4043</v>
      </c>
      <c r="O73" s="13" t="s">
        <v>4044</v>
      </c>
      <c r="P73" s="79" t="s">
        <v>130</v>
      </c>
      <c r="Q73" s="13" t="s">
        <v>618</v>
      </c>
      <c r="R73" s="246" t="str">
        <f>VLOOKUP(P73,'Dados das Regiões '!A:B,2,0)</f>
        <v>APUCARANA</v>
      </c>
      <c r="S73" s="13" t="s">
        <v>4052</v>
      </c>
      <c r="U73" s="79" t="s">
        <v>2164</v>
      </c>
      <c r="V73" s="13" t="s">
        <v>3229</v>
      </c>
      <c r="W73" s="13" t="s">
        <v>4046</v>
      </c>
      <c r="X73" s="15">
        <v>0.58333333333333337</v>
      </c>
      <c r="Y73" s="516">
        <v>0.66666666666666663</v>
      </c>
      <c r="Z73" s="16" t="s">
        <v>622</v>
      </c>
      <c r="AB73" s="164">
        <v>202500031</v>
      </c>
      <c r="AC73" s="55" t="s">
        <v>23</v>
      </c>
      <c r="AD73" s="40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</row>
    <row r="74" spans="1:44">
      <c r="A74" s="14">
        <v>45840</v>
      </c>
      <c r="B74" s="13" t="str">
        <f t="shared" si="36"/>
        <v>Realizada</v>
      </c>
      <c r="C74" s="14">
        <v>45944</v>
      </c>
      <c r="D74" s="13" t="s">
        <v>104</v>
      </c>
      <c r="E74" s="14">
        <f t="shared" ref="E74" si="77">IF(C74="", "", EDATE(C74, 3))</f>
        <v>46036</v>
      </c>
      <c r="F74" s="13" t="s">
        <v>611</v>
      </c>
      <c r="G74" s="40">
        <v>202500031</v>
      </c>
      <c r="H74" s="13" t="s">
        <v>3228</v>
      </c>
      <c r="I74" s="13" t="s">
        <v>1192</v>
      </c>
      <c r="J74" s="14">
        <v>45705</v>
      </c>
      <c r="K74" s="14">
        <v>46064</v>
      </c>
      <c r="L74" s="13" t="s">
        <v>1881</v>
      </c>
      <c r="M74" s="13" t="s">
        <v>2160</v>
      </c>
      <c r="N74" s="13" t="s">
        <v>2161</v>
      </c>
      <c r="O74" s="13" t="s">
        <v>2162</v>
      </c>
      <c r="P74" s="79" t="s">
        <v>215</v>
      </c>
      <c r="Q74" s="13" t="s">
        <v>618</v>
      </c>
      <c r="R74" s="246" t="str">
        <f>VLOOKUP(P74,'Dados das Regiões '!A:B,2,0)</f>
        <v>CASTRO</v>
      </c>
      <c r="S74" s="13" t="s">
        <v>2163</v>
      </c>
      <c r="U74" s="79" t="s">
        <v>2164</v>
      </c>
      <c r="V74" s="13" t="s">
        <v>3229</v>
      </c>
      <c r="W74" s="17" t="s">
        <v>3230</v>
      </c>
      <c r="X74" s="15">
        <v>0.58333333333333337</v>
      </c>
      <c r="Y74" s="246" t="s">
        <v>848</v>
      </c>
      <c r="Z74" s="16" t="s">
        <v>622</v>
      </c>
      <c r="AA74" s="56" t="s">
        <v>4053</v>
      </c>
      <c r="AB74" s="164">
        <v>202500031</v>
      </c>
      <c r="AC74" s="55" t="s">
        <v>23</v>
      </c>
    </row>
    <row r="75" spans="1:44">
      <c r="A75" s="14">
        <v>45840</v>
      </c>
      <c r="B75" s="13" t="str">
        <f t="shared" si="36"/>
        <v>Realizada</v>
      </c>
      <c r="C75" s="14">
        <v>45944</v>
      </c>
      <c r="D75" s="13" t="s">
        <v>104</v>
      </c>
      <c r="E75" s="14">
        <f t="shared" ref="E75" si="78">IF(C75="", "", EDATE(C75, 3))</f>
        <v>46036</v>
      </c>
      <c r="F75" s="13" t="s">
        <v>611</v>
      </c>
      <c r="G75" s="40">
        <v>202500031</v>
      </c>
      <c r="H75" s="13" t="s">
        <v>3231</v>
      </c>
      <c r="I75" s="13" t="s">
        <v>1192</v>
      </c>
      <c r="J75" s="14">
        <v>45705</v>
      </c>
      <c r="K75" s="14">
        <v>46064</v>
      </c>
      <c r="L75" s="13" t="s">
        <v>1881</v>
      </c>
      <c r="M75" s="13" t="s">
        <v>2160</v>
      </c>
      <c r="N75" s="13" t="s">
        <v>2161</v>
      </c>
      <c r="O75" s="13" t="s">
        <v>2162</v>
      </c>
      <c r="P75" s="79" t="s">
        <v>215</v>
      </c>
      <c r="Q75" s="13" t="s">
        <v>618</v>
      </c>
      <c r="R75" s="246" t="str">
        <f>VLOOKUP(P75,'Dados das Regiões '!A:B,2,0)</f>
        <v>CASTRO</v>
      </c>
      <c r="S75" s="13" t="s">
        <v>2163</v>
      </c>
      <c r="U75" s="79" t="s">
        <v>2164</v>
      </c>
      <c r="V75" s="13" t="s">
        <v>3229</v>
      </c>
      <c r="W75" s="17" t="s">
        <v>3230</v>
      </c>
      <c r="X75" s="15">
        <v>0.58333333333333337</v>
      </c>
      <c r="Y75" s="516">
        <v>0.625</v>
      </c>
      <c r="Z75" s="16" t="s">
        <v>622</v>
      </c>
      <c r="AA75" s="56" t="s">
        <v>4053</v>
      </c>
      <c r="AB75" s="164">
        <v>202500031</v>
      </c>
      <c r="AC75" s="55" t="s">
        <v>23</v>
      </c>
    </row>
    <row r="76" spans="1:44">
      <c r="A76" s="14">
        <v>45911</v>
      </c>
      <c r="B76" s="13" t="str">
        <f t="shared" si="36"/>
        <v>Realizada</v>
      </c>
      <c r="C76" s="14">
        <f t="shared" si="67"/>
        <v>46002</v>
      </c>
      <c r="D76" s="13" t="s">
        <v>611</v>
      </c>
      <c r="E76" s="14">
        <f t="shared" ref="E76" si="79">IF(C76="", "", EDATE(C76, 3))</f>
        <v>46092</v>
      </c>
      <c r="F76" s="13" t="s">
        <v>611</v>
      </c>
      <c r="G76" s="40">
        <v>202500034</v>
      </c>
      <c r="H76" s="13" t="s">
        <v>4054</v>
      </c>
      <c r="I76" s="13" t="s">
        <v>613</v>
      </c>
      <c r="J76" s="14">
        <v>45707</v>
      </c>
      <c r="K76" s="14">
        <v>46066</v>
      </c>
      <c r="L76" s="13" t="s">
        <v>672</v>
      </c>
      <c r="M76" s="13" t="s">
        <v>789</v>
      </c>
      <c r="N76" s="13" t="s">
        <v>790</v>
      </c>
      <c r="O76" s="13" t="s">
        <v>791</v>
      </c>
      <c r="P76" s="79" t="s">
        <v>161</v>
      </c>
      <c r="Q76" s="13" t="s">
        <v>618</v>
      </c>
      <c r="R76" s="246" t="str">
        <f>VLOOKUP(P76,'Dados das Regiões '!A:B,2,0)</f>
        <v>CAMPO MOURÃO</v>
      </c>
      <c r="S76" s="13" t="s">
        <v>4055</v>
      </c>
      <c r="U76" s="79" t="s">
        <v>793</v>
      </c>
      <c r="V76" s="13" t="s">
        <v>794</v>
      </c>
      <c r="W76" s="13" t="s">
        <v>795</v>
      </c>
      <c r="X76" s="15">
        <v>0.3125</v>
      </c>
      <c r="Y76" s="516">
        <v>0.39583333333333331</v>
      </c>
      <c r="Z76" s="16" t="s">
        <v>622</v>
      </c>
      <c r="AB76" s="164">
        <v>202500034</v>
      </c>
      <c r="AC76" s="55" t="s">
        <v>24</v>
      </c>
      <c r="AD76" s="40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</row>
    <row r="77" spans="1:44">
      <c r="B77" s="13" t="str">
        <f t="shared" si="36"/>
        <v>Pendente</v>
      </c>
      <c r="C77" s="14" t="str">
        <f t="shared" si="67"/>
        <v/>
      </c>
      <c r="D77" s="13" t="s">
        <v>611</v>
      </c>
      <c r="E77" s="14" t="str">
        <f t="shared" ref="E77" si="80">IF(C77="", "", EDATE(C77, 3))</f>
        <v/>
      </c>
      <c r="F77" s="13" t="s">
        <v>611</v>
      </c>
      <c r="G77" s="40">
        <v>202500034</v>
      </c>
      <c r="H77" s="13" t="s">
        <v>4056</v>
      </c>
      <c r="I77" s="13" t="s">
        <v>613</v>
      </c>
      <c r="J77" s="14">
        <v>45707</v>
      </c>
      <c r="K77" s="14">
        <v>46066</v>
      </c>
      <c r="L77" s="13" t="s">
        <v>672</v>
      </c>
      <c r="M77" s="13" t="s">
        <v>1484</v>
      </c>
      <c r="N77" s="13" t="s">
        <v>1485</v>
      </c>
      <c r="O77" s="13" t="s">
        <v>1486</v>
      </c>
      <c r="P77" s="79" t="s">
        <v>169</v>
      </c>
      <c r="Q77" s="13" t="s">
        <v>618</v>
      </c>
      <c r="R77" s="246" t="str">
        <f>VLOOKUP(P77,'Dados das Regiões '!A:B,2,0)</f>
        <v>CAMPO MOURÃO</v>
      </c>
      <c r="S77" s="13" t="s">
        <v>4057</v>
      </c>
      <c r="U77" s="79" t="s">
        <v>4058</v>
      </c>
      <c r="V77" s="13" t="s">
        <v>4058</v>
      </c>
      <c r="W77" s="13" t="s">
        <v>4059</v>
      </c>
      <c r="X77" s="15">
        <v>0.5625</v>
      </c>
      <c r="Y77" s="516">
        <v>0.64583333333333337</v>
      </c>
      <c r="Z77" s="16" t="s">
        <v>622</v>
      </c>
      <c r="AB77" s="164">
        <v>202500034</v>
      </c>
      <c r="AC77" s="55" t="s">
        <v>24</v>
      </c>
      <c r="AD77" s="40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</row>
    <row r="78" spans="1:44">
      <c r="B78" s="13" t="str">
        <f t="shared" si="36"/>
        <v>Pendente</v>
      </c>
      <c r="C78" s="14" t="str">
        <f t="shared" si="67"/>
        <v/>
      </c>
      <c r="D78" s="13" t="s">
        <v>611</v>
      </c>
      <c r="E78" s="14" t="str">
        <f t="shared" ref="E78" si="81">IF(C78="", "", EDATE(C78, 3))</f>
        <v/>
      </c>
      <c r="F78" s="13" t="s">
        <v>611</v>
      </c>
      <c r="G78" s="40">
        <v>202500034</v>
      </c>
      <c r="H78" s="13" t="s">
        <v>4060</v>
      </c>
      <c r="I78" s="13" t="s">
        <v>613</v>
      </c>
      <c r="J78" s="14">
        <v>45707</v>
      </c>
      <c r="K78" s="14">
        <v>46066</v>
      </c>
      <c r="L78" s="13" t="s">
        <v>672</v>
      </c>
      <c r="M78" s="13" t="s">
        <v>673</v>
      </c>
      <c r="N78" s="13" t="s">
        <v>674</v>
      </c>
      <c r="O78" s="13" t="s">
        <v>675</v>
      </c>
      <c r="P78" s="79" t="s">
        <v>119</v>
      </c>
      <c r="Q78" s="13" t="s">
        <v>618</v>
      </c>
      <c r="R78" s="246" t="str">
        <f>VLOOKUP(P78,'Dados das Regiões '!A:B,2,0)</f>
        <v>APUCARANA</v>
      </c>
      <c r="S78" s="13" t="s">
        <v>676</v>
      </c>
      <c r="U78" s="79" t="s">
        <v>4061</v>
      </c>
      <c r="V78" s="13" t="s">
        <v>4061</v>
      </c>
      <c r="W78" s="13" t="s">
        <v>679</v>
      </c>
      <c r="X78" s="15">
        <v>0.5625</v>
      </c>
      <c r="Y78" s="516">
        <v>0.64583333333333337</v>
      </c>
      <c r="Z78" s="16" t="s">
        <v>622</v>
      </c>
      <c r="AB78" s="164">
        <v>202500034</v>
      </c>
      <c r="AC78" s="55" t="s">
        <v>24</v>
      </c>
      <c r="AD78" s="40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</row>
    <row r="79" spans="1:44">
      <c r="A79" s="14">
        <v>45883</v>
      </c>
      <c r="B79" s="13" t="str">
        <f t="shared" si="36"/>
        <v>Realizada</v>
      </c>
      <c r="C79" s="14">
        <v>45974</v>
      </c>
      <c r="D79" s="13" t="s">
        <v>104</v>
      </c>
      <c r="E79" s="14">
        <f t="shared" ref="E79" si="82">IF(C79="", "", EDATE(C79, 3))</f>
        <v>46066</v>
      </c>
      <c r="F79" s="13" t="s">
        <v>611</v>
      </c>
      <c r="G79" s="40">
        <v>202500034</v>
      </c>
      <c r="H79" s="13" t="s">
        <v>4062</v>
      </c>
      <c r="I79" s="13" t="s">
        <v>613</v>
      </c>
      <c r="J79" s="14">
        <v>45707</v>
      </c>
      <c r="K79" s="14">
        <v>46066</v>
      </c>
      <c r="L79" s="13" t="s">
        <v>672</v>
      </c>
      <c r="M79" s="13" t="s">
        <v>4063</v>
      </c>
      <c r="N79" s="13" t="s">
        <v>4064</v>
      </c>
      <c r="O79" s="17" t="s">
        <v>4065</v>
      </c>
      <c r="P79" s="79" t="s">
        <v>293</v>
      </c>
      <c r="Q79" s="13" t="s">
        <v>618</v>
      </c>
      <c r="R79" s="246" t="str">
        <f>VLOOKUP(P79,'Dados das Regiões '!A:B,2,0)</f>
        <v>GUARAPUAVA</v>
      </c>
      <c r="S79" s="13" t="s">
        <v>4066</v>
      </c>
      <c r="U79" s="79" t="s">
        <v>4067</v>
      </c>
      <c r="V79" s="13" t="s">
        <v>4068</v>
      </c>
      <c r="W79" s="13" t="s">
        <v>4069</v>
      </c>
      <c r="X79" s="15">
        <v>0.3125</v>
      </c>
      <c r="Y79" s="516">
        <v>0.39583333333333331</v>
      </c>
      <c r="Z79" s="16" t="s">
        <v>622</v>
      </c>
      <c r="AB79" s="164">
        <v>202500034</v>
      </c>
      <c r="AC79" s="55" t="s">
        <v>24</v>
      </c>
      <c r="AD79" s="40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</row>
    <row r="80" spans="1:44">
      <c r="A80" s="14">
        <v>45867</v>
      </c>
      <c r="B80" s="13" t="str">
        <f t="shared" si="36"/>
        <v>Realizada</v>
      </c>
      <c r="C80" s="14">
        <v>45964</v>
      </c>
      <c r="D80" s="13" t="s">
        <v>611</v>
      </c>
      <c r="E80" s="14">
        <f t="shared" ref="E80" si="83">IF(C80="", "", EDATE(C80, 3))</f>
        <v>46056</v>
      </c>
      <c r="F80" s="13" t="s">
        <v>611</v>
      </c>
      <c r="G80" s="40">
        <v>202500034</v>
      </c>
      <c r="H80" s="13" t="s">
        <v>3271</v>
      </c>
      <c r="I80" s="13" t="s">
        <v>613</v>
      </c>
      <c r="J80" s="14">
        <v>45707</v>
      </c>
      <c r="K80" s="14">
        <v>46066</v>
      </c>
      <c r="L80" s="13" t="s">
        <v>672</v>
      </c>
      <c r="M80" s="13" t="s">
        <v>4070</v>
      </c>
      <c r="N80" s="13" t="s">
        <v>3272</v>
      </c>
      <c r="O80" s="13" t="s">
        <v>3273</v>
      </c>
      <c r="P80" s="79" t="s">
        <v>449</v>
      </c>
      <c r="Q80" s="13" t="s">
        <v>618</v>
      </c>
      <c r="R80" s="246" t="str">
        <f>VLOOKUP(P80,'Dados das Regiões '!A:B,2,0)</f>
        <v>PONTA GROSSA</v>
      </c>
      <c r="S80" s="13" t="s">
        <v>3274</v>
      </c>
      <c r="U80" s="79" t="s">
        <v>4071</v>
      </c>
      <c r="V80" s="13" t="s">
        <v>3275</v>
      </c>
      <c r="W80" s="13" t="s">
        <v>3276</v>
      </c>
      <c r="X80" s="15">
        <v>0.39583333333333331</v>
      </c>
      <c r="Y80" s="516">
        <v>0.3125</v>
      </c>
      <c r="Z80" s="16" t="s">
        <v>622</v>
      </c>
      <c r="AB80" s="164">
        <v>202500034</v>
      </c>
      <c r="AC80" s="55" t="s">
        <v>24</v>
      </c>
      <c r="AD80" s="40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</row>
    <row r="81" spans="1:44">
      <c r="B81" s="13" t="str">
        <f t="shared" si="36"/>
        <v>Pendente</v>
      </c>
      <c r="C81" s="14" t="str">
        <f t="shared" si="67"/>
        <v/>
      </c>
      <c r="D81" s="13" t="s">
        <v>611</v>
      </c>
      <c r="E81" s="14" t="str">
        <f t="shared" ref="E81" si="84">IF(C81="", "", EDATE(C81, 3))</f>
        <v/>
      </c>
      <c r="F81" s="13" t="s">
        <v>611</v>
      </c>
      <c r="G81" s="40">
        <v>202500034</v>
      </c>
      <c r="H81" s="13" t="s">
        <v>4072</v>
      </c>
      <c r="I81" s="13" t="s">
        <v>613</v>
      </c>
      <c r="J81" s="14">
        <v>45707</v>
      </c>
      <c r="K81" s="14">
        <v>46066</v>
      </c>
      <c r="L81" s="13" t="s">
        <v>672</v>
      </c>
      <c r="M81" s="13" t="s">
        <v>1454</v>
      </c>
      <c r="N81" s="13" t="s">
        <v>1455</v>
      </c>
      <c r="O81" s="13" t="s">
        <v>1456</v>
      </c>
      <c r="P81" s="79" t="s">
        <v>437</v>
      </c>
      <c r="Q81" s="13" t="s">
        <v>618</v>
      </c>
      <c r="R81" s="246" t="str">
        <f>VLOOKUP(P81,'Dados das Regiões '!A:B,2,0)</f>
        <v>PATO BRANCO</v>
      </c>
      <c r="S81" s="13" t="s">
        <v>4073</v>
      </c>
      <c r="U81" s="79" t="s">
        <v>1458</v>
      </c>
      <c r="V81" s="13" t="s">
        <v>1459</v>
      </c>
      <c r="W81" s="13" t="s">
        <v>4074</v>
      </c>
      <c r="X81" s="15">
        <v>0.5625</v>
      </c>
      <c r="Y81" s="516">
        <v>0.64583333333333337</v>
      </c>
      <c r="Z81" s="16" t="s">
        <v>622</v>
      </c>
      <c r="AB81" s="164">
        <v>202500034</v>
      </c>
      <c r="AC81" s="55" t="s">
        <v>24</v>
      </c>
      <c r="AD81" s="40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</row>
    <row r="82" spans="1:44">
      <c r="B82" s="13" t="str">
        <f t="shared" si="36"/>
        <v>Pendente</v>
      </c>
      <c r="C82" s="14" t="str">
        <f t="shared" si="67"/>
        <v/>
      </c>
      <c r="D82" s="13" t="s">
        <v>611</v>
      </c>
      <c r="E82" s="14" t="str">
        <f t="shared" ref="E82" si="85">IF(C82="", "", EDATE(C82, 3))</f>
        <v/>
      </c>
      <c r="F82" s="13" t="s">
        <v>611</v>
      </c>
      <c r="G82" s="40">
        <v>202500034</v>
      </c>
      <c r="H82" s="13" t="s">
        <v>4075</v>
      </c>
      <c r="I82" s="13" t="s">
        <v>613</v>
      </c>
      <c r="J82" s="14">
        <v>45707</v>
      </c>
      <c r="K82" s="14">
        <v>46066</v>
      </c>
      <c r="L82" s="13" t="s">
        <v>672</v>
      </c>
      <c r="M82" s="13" t="s">
        <v>4076</v>
      </c>
      <c r="N82" s="13" t="s">
        <v>4077</v>
      </c>
      <c r="O82" s="13" t="s">
        <v>4078</v>
      </c>
      <c r="P82" s="79" t="s">
        <v>151</v>
      </c>
      <c r="Q82" s="13" t="s">
        <v>618</v>
      </c>
      <c r="R82" s="246" t="str">
        <f>VLOOKUP(P82,'Dados das Regiões '!A:B,2,0)</f>
        <v>CAMPO MOURÃO</v>
      </c>
      <c r="S82" s="13" t="s">
        <v>4079</v>
      </c>
      <c r="U82" s="79" t="s">
        <v>4080</v>
      </c>
      <c r="V82" s="13" t="s">
        <v>4081</v>
      </c>
      <c r="W82" s="13" t="s">
        <v>4082</v>
      </c>
      <c r="X82" s="15">
        <v>0.3125</v>
      </c>
      <c r="Y82" s="516">
        <v>0.39583333333333331</v>
      </c>
      <c r="Z82" s="16" t="s">
        <v>622</v>
      </c>
      <c r="AB82" s="164">
        <v>202500034</v>
      </c>
      <c r="AC82" s="55" t="s">
        <v>24</v>
      </c>
      <c r="AD82" s="40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</row>
    <row r="83" spans="1:44">
      <c r="B83" s="13" t="str">
        <f t="shared" si="36"/>
        <v>Pendente</v>
      </c>
      <c r="C83" s="14" t="str">
        <f t="shared" si="67"/>
        <v/>
      </c>
      <c r="D83" s="13" t="s">
        <v>611</v>
      </c>
      <c r="E83" s="14" t="str">
        <f t="shared" ref="E83" si="86">IF(C83="", "", EDATE(C83, 3))</f>
        <v/>
      </c>
      <c r="F83" s="13" t="s">
        <v>611</v>
      </c>
      <c r="G83" s="40">
        <v>202500034</v>
      </c>
      <c r="H83" s="13" t="s">
        <v>4083</v>
      </c>
      <c r="I83" s="13" t="s">
        <v>613</v>
      </c>
      <c r="J83" s="14">
        <v>45707</v>
      </c>
      <c r="K83" s="14">
        <v>46066</v>
      </c>
      <c r="L83" s="13" t="s">
        <v>672</v>
      </c>
      <c r="M83" s="13" t="s">
        <v>4076</v>
      </c>
      <c r="N83" s="13" t="s">
        <v>4077</v>
      </c>
      <c r="O83" s="13" t="s">
        <v>4078</v>
      </c>
      <c r="P83" s="79" t="s">
        <v>151</v>
      </c>
      <c r="Q83" s="13" t="s">
        <v>618</v>
      </c>
      <c r="R83" s="246" t="str">
        <f>VLOOKUP(P83,'Dados das Regiões '!A:B,2,0)</f>
        <v>CAMPO MOURÃO</v>
      </c>
      <c r="S83" s="13" t="s">
        <v>4079</v>
      </c>
      <c r="U83" s="79" t="s">
        <v>4080</v>
      </c>
      <c r="V83" s="13" t="s">
        <v>4081</v>
      </c>
      <c r="W83" s="13" t="s">
        <v>4082</v>
      </c>
      <c r="X83" s="15">
        <v>0.5625</v>
      </c>
      <c r="Y83" s="516">
        <v>0.64583333333333337</v>
      </c>
      <c r="Z83" s="16" t="s">
        <v>622</v>
      </c>
      <c r="AB83" s="164">
        <v>202500034</v>
      </c>
      <c r="AC83" s="55" t="s">
        <v>24</v>
      </c>
      <c r="AD83" s="40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</row>
    <row r="84" spans="1:44">
      <c r="B84" s="13" t="str">
        <f t="shared" si="36"/>
        <v>Pendente</v>
      </c>
      <c r="C84" s="14" t="str">
        <f t="shared" si="67"/>
        <v/>
      </c>
      <c r="D84" s="13" t="s">
        <v>611</v>
      </c>
      <c r="E84" s="14" t="str">
        <f t="shared" ref="E84" si="87">IF(C84="", "", EDATE(C84, 3))</f>
        <v/>
      </c>
      <c r="F84" s="13" t="s">
        <v>611</v>
      </c>
      <c r="G84" s="40">
        <v>202500034</v>
      </c>
      <c r="H84" s="13" t="s">
        <v>4084</v>
      </c>
      <c r="I84" s="13" t="s">
        <v>613</v>
      </c>
      <c r="J84" s="14">
        <v>45707</v>
      </c>
      <c r="K84" s="14">
        <v>46066</v>
      </c>
      <c r="L84" s="13" t="s">
        <v>672</v>
      </c>
      <c r="M84" s="13" t="s">
        <v>1122</v>
      </c>
      <c r="N84" s="13" t="s">
        <v>1123</v>
      </c>
      <c r="O84" s="13" t="s">
        <v>1124</v>
      </c>
      <c r="P84" s="79" t="s">
        <v>498</v>
      </c>
      <c r="Q84" s="13" t="s">
        <v>618</v>
      </c>
      <c r="R84" s="246" t="str">
        <f>VLOOKUP(P84,'Dados das Regiões '!A:B,2,0)</f>
        <v>UMUARAMA</v>
      </c>
      <c r="S84" s="13" t="s">
        <v>1125</v>
      </c>
      <c r="U84" s="79" t="s">
        <v>1127</v>
      </c>
      <c r="V84" s="13" t="s">
        <v>1127</v>
      </c>
      <c r="W84" s="13" t="s">
        <v>4085</v>
      </c>
      <c r="X84" s="15">
        <v>0.3125</v>
      </c>
      <c r="Y84" s="516">
        <v>0.39583333333333331</v>
      </c>
      <c r="Z84" s="16" t="s">
        <v>622</v>
      </c>
      <c r="AB84" s="164">
        <v>202500034</v>
      </c>
      <c r="AC84" s="55" t="s">
        <v>24</v>
      </c>
      <c r="AD84" s="40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</row>
    <row r="85" spans="1:44">
      <c r="A85" s="14">
        <v>45933</v>
      </c>
      <c r="B85" s="13" t="str">
        <f t="shared" si="36"/>
        <v>Realizada</v>
      </c>
      <c r="C85" s="14">
        <f t="shared" si="67"/>
        <v>46025</v>
      </c>
      <c r="D85" s="13" t="s">
        <v>611</v>
      </c>
      <c r="E85" s="14">
        <f t="shared" ref="E85" si="88">IF(C85="", "", EDATE(C85, 3))</f>
        <v>46115</v>
      </c>
      <c r="F85" s="13" t="s">
        <v>611</v>
      </c>
      <c r="G85" s="40">
        <v>202500034</v>
      </c>
      <c r="H85" s="13" t="s">
        <v>4086</v>
      </c>
      <c r="I85" s="13" t="s">
        <v>613</v>
      </c>
      <c r="J85" s="14">
        <v>45707</v>
      </c>
      <c r="K85" s="14">
        <v>46066</v>
      </c>
      <c r="L85" s="13" t="s">
        <v>672</v>
      </c>
      <c r="M85" s="13" t="s">
        <v>4087</v>
      </c>
      <c r="N85" s="13" t="s">
        <v>1443</v>
      </c>
      <c r="O85" s="13" t="s">
        <v>4088</v>
      </c>
      <c r="P85" s="79" t="s">
        <v>155</v>
      </c>
      <c r="Q85" s="13" t="s">
        <v>618</v>
      </c>
      <c r="R85" s="246" t="str">
        <f>VLOOKUP(P85,'Dados das Regiões '!A:B,2,0)</f>
        <v>CAMPO MOURÃO</v>
      </c>
      <c r="S85" s="13" t="s">
        <v>4089</v>
      </c>
      <c r="U85" s="79" t="s">
        <v>4090</v>
      </c>
      <c r="V85" s="13" t="s">
        <v>4091</v>
      </c>
      <c r="W85" s="13" t="s">
        <v>4092</v>
      </c>
      <c r="X85" s="15">
        <v>0.5625</v>
      </c>
      <c r="Y85" s="516">
        <v>0.64583333333333337</v>
      </c>
      <c r="Z85" s="16" t="s">
        <v>622</v>
      </c>
      <c r="AB85" s="164">
        <v>202500034</v>
      </c>
      <c r="AC85" s="55" t="s">
        <v>24</v>
      </c>
      <c r="AD85" s="40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</row>
    <row r="86" spans="1:44">
      <c r="A86" s="14">
        <v>45910</v>
      </c>
      <c r="B86" s="13" t="str">
        <f t="shared" si="36"/>
        <v>Realizada</v>
      </c>
      <c r="C86" s="14">
        <f t="shared" si="67"/>
        <v>46001</v>
      </c>
      <c r="D86" s="13" t="s">
        <v>611</v>
      </c>
      <c r="E86" s="14">
        <f t="shared" ref="E86" si="89">IF(C86="", "", EDATE(C86, 3))</f>
        <v>46091</v>
      </c>
      <c r="F86" s="13" t="s">
        <v>611</v>
      </c>
      <c r="G86" s="40">
        <v>202500034</v>
      </c>
      <c r="H86" s="13" t="s">
        <v>4093</v>
      </c>
      <c r="I86" s="13" t="s">
        <v>613</v>
      </c>
      <c r="J86" s="14">
        <v>45707</v>
      </c>
      <c r="K86" s="14">
        <v>46066</v>
      </c>
      <c r="L86" s="13" t="s">
        <v>672</v>
      </c>
      <c r="M86" s="13" t="s">
        <v>1442</v>
      </c>
      <c r="N86" s="13" t="s">
        <v>1443</v>
      </c>
      <c r="O86" s="13" t="s">
        <v>1444</v>
      </c>
      <c r="P86" s="79" t="s">
        <v>157</v>
      </c>
      <c r="Q86" s="13" t="s">
        <v>618</v>
      </c>
      <c r="R86" s="246" t="str">
        <f>VLOOKUP(P86,'Dados das Regiões '!A:B,2,0)</f>
        <v>CAMPO MOURÃO</v>
      </c>
      <c r="S86" s="13" t="s">
        <v>1445</v>
      </c>
      <c r="U86" s="79" t="s">
        <v>1446</v>
      </c>
      <c r="V86" s="13" t="s">
        <v>1447</v>
      </c>
      <c r="W86" s="13" t="s">
        <v>1448</v>
      </c>
      <c r="X86" s="15">
        <v>0.39583333333333331</v>
      </c>
      <c r="Y86" s="516">
        <v>0.3125</v>
      </c>
      <c r="Z86" s="16" t="s">
        <v>622</v>
      </c>
      <c r="AB86" s="164">
        <v>202500034</v>
      </c>
      <c r="AC86" s="55" t="s">
        <v>24</v>
      </c>
      <c r="AD86" s="40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</row>
    <row r="87" spans="1:44">
      <c r="A87" s="14">
        <v>45883</v>
      </c>
      <c r="B87" s="13" t="str">
        <f t="shared" si="36"/>
        <v>Realizada</v>
      </c>
      <c r="C87" s="14">
        <v>45974</v>
      </c>
      <c r="D87" s="13" t="s">
        <v>104</v>
      </c>
      <c r="E87" s="14">
        <f t="shared" ref="E87" si="90">IF(C87="", "", EDATE(C87, 3))</f>
        <v>46066</v>
      </c>
      <c r="F87" s="13" t="s">
        <v>611</v>
      </c>
      <c r="G87" s="40">
        <v>202500034</v>
      </c>
      <c r="H87" s="13" t="s">
        <v>4094</v>
      </c>
      <c r="I87" s="13" t="s">
        <v>613</v>
      </c>
      <c r="J87" s="14">
        <v>45707</v>
      </c>
      <c r="K87" s="14">
        <v>46066</v>
      </c>
      <c r="L87" s="13" t="s">
        <v>672</v>
      </c>
      <c r="M87" s="13" t="s">
        <v>4095</v>
      </c>
      <c r="N87" s="13" t="s">
        <v>4096</v>
      </c>
      <c r="O87" s="13" t="s">
        <v>4002</v>
      </c>
      <c r="P87" s="79" t="s">
        <v>299</v>
      </c>
      <c r="Q87" s="13" t="s">
        <v>618</v>
      </c>
      <c r="R87" s="246" t="str">
        <f>VLOOKUP(P87,'Dados das Regiões '!A:B,2,0)</f>
        <v>GUARAPUAVA</v>
      </c>
      <c r="S87" s="13" t="s">
        <v>4097</v>
      </c>
      <c r="U87" s="79" t="s">
        <v>4098</v>
      </c>
      <c r="V87" s="13" t="s">
        <v>4099</v>
      </c>
      <c r="W87" s="13" t="s">
        <v>4100</v>
      </c>
      <c r="X87" s="15">
        <v>0.3125</v>
      </c>
      <c r="Y87" s="516">
        <v>0.39583333333333331</v>
      </c>
      <c r="Z87" s="16" t="s">
        <v>622</v>
      </c>
      <c r="AB87" s="164">
        <v>202500034</v>
      </c>
      <c r="AC87" s="55" t="s">
        <v>24</v>
      </c>
      <c r="AD87" s="40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</row>
    <row r="88" spans="1:44">
      <c r="B88" s="13" t="str">
        <f t="shared" si="36"/>
        <v>Pendente</v>
      </c>
      <c r="C88" s="14" t="str">
        <f t="shared" si="67"/>
        <v/>
      </c>
      <c r="D88" s="13" t="s">
        <v>611</v>
      </c>
      <c r="E88" s="14" t="str">
        <f t="shared" ref="E88" si="91">IF(C88="", "", EDATE(C88, 3))</f>
        <v/>
      </c>
      <c r="F88" s="13" t="s">
        <v>611</v>
      </c>
      <c r="G88" s="40">
        <v>202500034</v>
      </c>
      <c r="H88" s="13" t="s">
        <v>4101</v>
      </c>
      <c r="I88" s="13" t="s">
        <v>613</v>
      </c>
      <c r="J88" s="14">
        <v>45707</v>
      </c>
      <c r="K88" s="14">
        <v>46066</v>
      </c>
      <c r="L88" s="13" t="s">
        <v>672</v>
      </c>
      <c r="M88" s="13" t="s">
        <v>4102</v>
      </c>
      <c r="N88" s="13" t="s">
        <v>4103</v>
      </c>
      <c r="O88" s="13" t="s">
        <v>4104</v>
      </c>
      <c r="P88" s="79" t="s">
        <v>499</v>
      </c>
      <c r="Q88" s="13" t="s">
        <v>618</v>
      </c>
      <c r="R88" s="246" t="str">
        <f>VLOOKUP(P88,'Dados das Regiões '!A:B,2,0)</f>
        <v>UMUARAMA</v>
      </c>
      <c r="S88" s="13" t="s">
        <v>4105</v>
      </c>
      <c r="U88" s="79" t="s">
        <v>4106</v>
      </c>
      <c r="V88" s="13" t="s">
        <v>4107</v>
      </c>
      <c r="W88" s="13" t="s">
        <v>4108</v>
      </c>
      <c r="X88" s="15">
        <v>0.3125</v>
      </c>
      <c r="Y88" s="516">
        <v>0.39583333333333331</v>
      </c>
      <c r="Z88" s="16" t="s">
        <v>622</v>
      </c>
      <c r="AB88" s="164">
        <v>202500034</v>
      </c>
      <c r="AC88" s="55" t="s">
        <v>24</v>
      </c>
      <c r="AD88" s="40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</row>
    <row r="89" spans="1:44">
      <c r="B89" s="13" t="str">
        <f t="shared" ref="B89:B143" si="92">IF(ISBLANK(A89), "Pendente", "Realizada")</f>
        <v>Pendente</v>
      </c>
      <c r="C89" s="14" t="str">
        <f t="shared" si="67"/>
        <v/>
      </c>
      <c r="D89" s="13" t="s">
        <v>611</v>
      </c>
      <c r="E89" s="14" t="str">
        <f t="shared" ref="E89" si="93">IF(C89="", "", EDATE(C89, 3))</f>
        <v/>
      </c>
      <c r="F89" s="13" t="s">
        <v>611</v>
      </c>
      <c r="G89" s="40">
        <v>202500034</v>
      </c>
      <c r="H89" s="13" t="s">
        <v>4109</v>
      </c>
      <c r="I89" s="13" t="s">
        <v>613</v>
      </c>
      <c r="J89" s="14">
        <v>45707</v>
      </c>
      <c r="K89" s="14">
        <v>46066</v>
      </c>
      <c r="L89" s="13" t="s">
        <v>672</v>
      </c>
      <c r="M89" s="13" t="s">
        <v>4102</v>
      </c>
      <c r="N89" s="13" t="s">
        <v>4103</v>
      </c>
      <c r="O89" s="13" t="s">
        <v>4104</v>
      </c>
      <c r="P89" s="79" t="s">
        <v>499</v>
      </c>
      <c r="Q89" s="13" t="s">
        <v>618</v>
      </c>
      <c r="R89" s="246" t="str">
        <f>VLOOKUP(P89,'Dados das Regiões '!A:B,2,0)</f>
        <v>UMUARAMA</v>
      </c>
      <c r="S89" s="13" t="s">
        <v>4105</v>
      </c>
      <c r="U89" s="79" t="s">
        <v>4106</v>
      </c>
      <c r="V89" s="13" t="s">
        <v>4107</v>
      </c>
      <c r="W89" s="13" t="s">
        <v>4108</v>
      </c>
      <c r="X89" s="15">
        <v>0.3125</v>
      </c>
      <c r="Y89" s="516">
        <v>0.39583333333333331</v>
      </c>
      <c r="Z89" s="16" t="s">
        <v>622</v>
      </c>
      <c r="AB89" s="164">
        <v>202500034</v>
      </c>
      <c r="AC89" s="55" t="s">
        <v>24</v>
      </c>
      <c r="AD89" s="40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</row>
    <row r="90" spans="1:44">
      <c r="B90" s="13" t="str">
        <f t="shared" si="92"/>
        <v>Pendente</v>
      </c>
      <c r="C90" s="14" t="str">
        <f t="shared" si="67"/>
        <v/>
      </c>
      <c r="D90" s="13" t="s">
        <v>611</v>
      </c>
      <c r="E90" s="14" t="str">
        <f t="shared" ref="E90" si="94">IF(C90="", "", EDATE(C90, 3))</f>
        <v/>
      </c>
      <c r="F90" s="13" t="s">
        <v>611</v>
      </c>
      <c r="G90" s="40">
        <v>202500034</v>
      </c>
      <c r="H90" s="13" t="s">
        <v>4110</v>
      </c>
      <c r="I90" s="13" t="s">
        <v>613</v>
      </c>
      <c r="J90" s="14">
        <v>45707</v>
      </c>
      <c r="K90" s="14">
        <v>46066</v>
      </c>
      <c r="L90" s="13" t="s">
        <v>672</v>
      </c>
      <c r="M90" s="13" t="s">
        <v>4102</v>
      </c>
      <c r="N90" s="13" t="s">
        <v>4103</v>
      </c>
      <c r="O90" s="13" t="s">
        <v>4104</v>
      </c>
      <c r="P90" s="79" t="s">
        <v>499</v>
      </c>
      <c r="Q90" s="13" t="s">
        <v>618</v>
      </c>
      <c r="R90" s="246" t="str">
        <f>VLOOKUP(P90,'Dados das Regiões '!A:B,2,0)</f>
        <v>UMUARAMA</v>
      </c>
      <c r="S90" s="13" t="s">
        <v>4105</v>
      </c>
      <c r="U90" s="79" t="s">
        <v>4106</v>
      </c>
      <c r="V90" s="13" t="s">
        <v>4107</v>
      </c>
      <c r="W90" s="13" t="s">
        <v>4108</v>
      </c>
      <c r="X90" s="15">
        <v>0.5625</v>
      </c>
      <c r="Y90" s="516">
        <v>0.64583333333333337</v>
      </c>
      <c r="Z90" s="16" t="s">
        <v>622</v>
      </c>
      <c r="AB90" s="164">
        <v>202500034</v>
      </c>
      <c r="AC90" s="55" t="s">
        <v>24</v>
      </c>
      <c r="AD90" s="40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</row>
    <row r="91" spans="1:44">
      <c r="B91" s="13" t="str">
        <f t="shared" si="92"/>
        <v>Pendente</v>
      </c>
      <c r="C91" s="14" t="str">
        <f t="shared" si="67"/>
        <v/>
      </c>
      <c r="D91" s="13" t="s">
        <v>611</v>
      </c>
      <c r="E91" s="14" t="str">
        <f t="shared" ref="E91" si="95">IF(C91="", "", EDATE(C91, 3))</f>
        <v/>
      </c>
      <c r="F91" s="13" t="s">
        <v>611</v>
      </c>
      <c r="G91" s="40">
        <v>202500034</v>
      </c>
      <c r="H91" s="13" t="s">
        <v>4111</v>
      </c>
      <c r="I91" s="13" t="s">
        <v>613</v>
      </c>
      <c r="J91" s="14">
        <v>45707</v>
      </c>
      <c r="K91" s="14">
        <v>46066</v>
      </c>
      <c r="L91" s="13" t="s">
        <v>672</v>
      </c>
      <c r="M91" s="13" t="s">
        <v>4112</v>
      </c>
      <c r="N91" s="13" t="s">
        <v>4113</v>
      </c>
      <c r="O91" s="13" t="s">
        <v>3901</v>
      </c>
      <c r="P91" s="79" t="s">
        <v>175</v>
      </c>
      <c r="Q91" s="13" t="s">
        <v>618</v>
      </c>
      <c r="R91" s="246" t="str">
        <f>VLOOKUP(P91,'Dados das Regiões '!A:B,2,0)</f>
        <v>CAMPO MOURÃO</v>
      </c>
      <c r="S91" s="13" t="s">
        <v>4114</v>
      </c>
      <c r="U91" s="79" t="s">
        <v>4115</v>
      </c>
      <c r="V91" s="13" t="s">
        <v>4115</v>
      </c>
      <c r="W91" s="13" t="s">
        <v>4116</v>
      </c>
      <c r="X91" s="15">
        <v>0.5625</v>
      </c>
      <c r="Y91" s="516">
        <v>0.64583333333333337</v>
      </c>
      <c r="Z91" s="16" t="s">
        <v>622</v>
      </c>
      <c r="AB91" s="164">
        <v>202500034</v>
      </c>
      <c r="AC91" s="55" t="s">
        <v>24</v>
      </c>
      <c r="AD91" s="40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</row>
    <row r="92" spans="1:44">
      <c r="A92" s="14">
        <v>45933</v>
      </c>
      <c r="B92" s="13" t="str">
        <f t="shared" si="92"/>
        <v>Realizada</v>
      </c>
      <c r="C92" s="14">
        <f t="shared" si="67"/>
        <v>46025</v>
      </c>
      <c r="D92" s="13" t="s">
        <v>611</v>
      </c>
      <c r="E92" s="14">
        <f t="shared" ref="E92" si="96">IF(C92="", "", EDATE(C92, 3))</f>
        <v>46115</v>
      </c>
      <c r="F92" s="13" t="s">
        <v>611</v>
      </c>
      <c r="G92" s="40">
        <v>202500034</v>
      </c>
      <c r="H92" s="13" t="s">
        <v>4117</v>
      </c>
      <c r="I92" s="13" t="s">
        <v>613</v>
      </c>
      <c r="J92" s="14">
        <v>45707</v>
      </c>
      <c r="K92" s="14">
        <v>46066</v>
      </c>
      <c r="L92" s="13" t="s">
        <v>672</v>
      </c>
      <c r="M92" s="13" t="s">
        <v>691</v>
      </c>
      <c r="N92" s="13" t="s">
        <v>692</v>
      </c>
      <c r="O92" s="13" t="s">
        <v>693</v>
      </c>
      <c r="P92" s="79" t="s">
        <v>148</v>
      </c>
      <c r="Q92" s="13" t="s">
        <v>618</v>
      </c>
      <c r="R92" s="246" t="str">
        <f>VLOOKUP(P92,'Dados das Regiões '!A:B,2,0)</f>
        <v>CAMPO MOURÃO</v>
      </c>
      <c r="S92" s="13" t="s">
        <v>694</v>
      </c>
      <c r="U92" s="79" t="s">
        <v>695</v>
      </c>
      <c r="V92" s="13" t="s">
        <v>696</v>
      </c>
      <c r="W92" s="13" t="s">
        <v>697</v>
      </c>
      <c r="X92" s="15">
        <v>0.64583333333333337</v>
      </c>
      <c r="Y92" s="516">
        <v>0.64583333333333337</v>
      </c>
      <c r="Z92" s="16" t="s">
        <v>622</v>
      </c>
      <c r="AB92" s="164">
        <v>202500034</v>
      </c>
      <c r="AC92" s="55" t="s">
        <v>24</v>
      </c>
      <c r="AD92" s="40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</row>
    <row r="93" spans="1:44">
      <c r="A93" s="14">
        <v>45967</v>
      </c>
      <c r="B93" s="13" t="str">
        <f t="shared" si="92"/>
        <v>Realizada</v>
      </c>
      <c r="C93" s="14">
        <f t="shared" si="67"/>
        <v>46059</v>
      </c>
      <c r="D93" s="13" t="s">
        <v>611</v>
      </c>
      <c r="E93" s="14">
        <f t="shared" ref="E93" si="97">IF(C93="", "", EDATE(C93, 3))</f>
        <v>46148</v>
      </c>
      <c r="F93" s="13" t="s">
        <v>611</v>
      </c>
      <c r="G93" s="40">
        <v>202500034</v>
      </c>
      <c r="H93" s="13" t="s">
        <v>4118</v>
      </c>
      <c r="I93" s="13" t="s">
        <v>613</v>
      </c>
      <c r="J93" s="14">
        <v>45707</v>
      </c>
      <c r="K93" s="14">
        <v>46066</v>
      </c>
      <c r="L93" s="13" t="s">
        <v>672</v>
      </c>
      <c r="M93" s="13" t="s">
        <v>4112</v>
      </c>
      <c r="N93" s="13" t="s">
        <v>4113</v>
      </c>
      <c r="O93" s="13" t="s">
        <v>3901</v>
      </c>
      <c r="P93" s="79" t="s">
        <v>175</v>
      </c>
      <c r="Q93" s="13" t="s">
        <v>618</v>
      </c>
      <c r="R93" s="246" t="str">
        <f>VLOOKUP(P93,'Dados das Regiões '!A:B,2,0)</f>
        <v>CAMPO MOURÃO</v>
      </c>
      <c r="S93" s="13" t="s">
        <v>4114</v>
      </c>
      <c r="U93" s="79" t="s">
        <v>4115</v>
      </c>
      <c r="V93" s="13" t="s">
        <v>4115</v>
      </c>
      <c r="W93" s="13" t="s">
        <v>4116</v>
      </c>
      <c r="X93" s="15">
        <v>0.3125</v>
      </c>
      <c r="Y93" s="516">
        <v>0.39583333333333331</v>
      </c>
      <c r="Z93" s="16" t="s">
        <v>622</v>
      </c>
      <c r="AB93" s="164">
        <v>202500034</v>
      </c>
      <c r="AC93" s="55" t="s">
        <v>24</v>
      </c>
      <c r="AD93" s="40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</row>
    <row r="94" spans="1:44" s="18" customFormat="1">
      <c r="A94" s="29"/>
      <c r="B94" s="18" t="str">
        <f t="shared" si="92"/>
        <v>Pendente</v>
      </c>
      <c r="C94" s="14" t="str">
        <f t="shared" si="67"/>
        <v/>
      </c>
      <c r="D94" s="18" t="s">
        <v>611</v>
      </c>
      <c r="E94" s="29" t="str">
        <f t="shared" ref="E94" si="98">IF(C94="", "", EDATE(C94, 3))</f>
        <v/>
      </c>
      <c r="F94" s="18" t="s">
        <v>611</v>
      </c>
      <c r="G94" s="44">
        <v>202500034</v>
      </c>
      <c r="H94" s="18" t="s">
        <v>4119</v>
      </c>
      <c r="I94" s="18" t="s">
        <v>613</v>
      </c>
      <c r="J94" s="29">
        <v>45707</v>
      </c>
      <c r="K94" s="29">
        <v>46066</v>
      </c>
      <c r="L94" s="18" t="s">
        <v>672</v>
      </c>
      <c r="M94" s="18" t="s">
        <v>4120</v>
      </c>
      <c r="N94" s="18" t="s">
        <v>3673</v>
      </c>
      <c r="O94" s="28" t="s">
        <v>4121</v>
      </c>
      <c r="P94" s="82" t="s">
        <v>314</v>
      </c>
      <c r="Q94" s="18" t="s">
        <v>618</v>
      </c>
      <c r="R94" s="511" t="str">
        <f>VLOOKUP(P94,'Dados das Regiões '!A:B,2,0)</f>
        <v>IVAIPORÃ</v>
      </c>
      <c r="S94" s="18" t="s">
        <v>4122</v>
      </c>
      <c r="U94" s="82" t="s">
        <v>4123</v>
      </c>
      <c r="V94" s="18" t="s">
        <v>4123</v>
      </c>
      <c r="W94" s="18" t="s">
        <v>4124</v>
      </c>
      <c r="X94" s="30">
        <v>0.3125</v>
      </c>
      <c r="Y94" s="517">
        <v>0.39583333333333331</v>
      </c>
      <c r="Z94" s="31" t="s">
        <v>622</v>
      </c>
      <c r="AA94" s="39"/>
      <c r="AB94" s="166">
        <v>202500034</v>
      </c>
      <c r="AC94" s="55" t="s">
        <v>24</v>
      </c>
      <c r="AD94" s="44"/>
    </row>
    <row r="95" spans="1:44">
      <c r="A95" s="14">
        <v>45911</v>
      </c>
      <c r="B95" s="13" t="str">
        <f t="shared" si="92"/>
        <v>Realizada</v>
      </c>
      <c r="C95" s="14">
        <f t="shared" si="67"/>
        <v>46002</v>
      </c>
      <c r="D95" s="13" t="s">
        <v>611</v>
      </c>
      <c r="E95" s="14">
        <f t="shared" ref="E95" si="99">IF(C95="", "", EDATE(C95, 3))</f>
        <v>46092</v>
      </c>
      <c r="F95" s="13" t="s">
        <v>611</v>
      </c>
      <c r="G95" s="40">
        <v>202500034</v>
      </c>
      <c r="H95" s="13" t="s">
        <v>4125</v>
      </c>
      <c r="I95" s="13" t="s">
        <v>613</v>
      </c>
      <c r="J95" s="14">
        <v>45707</v>
      </c>
      <c r="K95" s="14">
        <v>46066</v>
      </c>
      <c r="L95" s="13" t="s">
        <v>672</v>
      </c>
      <c r="M95" s="13" t="s">
        <v>789</v>
      </c>
      <c r="N95" s="13" t="s">
        <v>790</v>
      </c>
      <c r="O95" s="13" t="s">
        <v>791</v>
      </c>
      <c r="P95" s="79" t="s">
        <v>161</v>
      </c>
      <c r="Q95" s="13" t="s">
        <v>618</v>
      </c>
      <c r="R95" s="246" t="str">
        <f>VLOOKUP(P95,'Dados das Regiões '!A:B,2,0)</f>
        <v>CAMPO MOURÃO</v>
      </c>
      <c r="S95" s="13" t="s">
        <v>4055</v>
      </c>
      <c r="U95" s="79" t="s">
        <v>793</v>
      </c>
      <c r="V95" s="13" t="s">
        <v>794</v>
      </c>
      <c r="W95" s="13" t="s">
        <v>795</v>
      </c>
      <c r="X95" s="15">
        <v>0.5625</v>
      </c>
      <c r="Y95" s="516">
        <v>0.64583333333333337</v>
      </c>
      <c r="Z95" s="16" t="s">
        <v>622</v>
      </c>
      <c r="AB95" s="164">
        <v>202500034</v>
      </c>
      <c r="AC95" s="55" t="s">
        <v>24</v>
      </c>
      <c r="AD95" s="40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</row>
    <row r="96" spans="1:44" s="18" customFormat="1">
      <c r="A96" s="29"/>
      <c r="B96" s="18" t="str">
        <f t="shared" si="92"/>
        <v>Pendente</v>
      </c>
      <c r="C96" s="14" t="str">
        <f t="shared" si="67"/>
        <v/>
      </c>
      <c r="D96" s="18" t="s">
        <v>611</v>
      </c>
      <c r="E96" s="29" t="str">
        <f t="shared" ref="E96" si="100">IF(C96="", "", EDATE(C96, 3))</f>
        <v/>
      </c>
      <c r="F96" s="18" t="s">
        <v>611</v>
      </c>
      <c r="G96" s="44">
        <v>202500034</v>
      </c>
      <c r="H96" s="18" t="s">
        <v>4126</v>
      </c>
      <c r="I96" s="18" t="s">
        <v>613</v>
      </c>
      <c r="J96" s="29">
        <v>45707</v>
      </c>
      <c r="K96" s="29">
        <v>46066</v>
      </c>
      <c r="L96" s="18" t="s">
        <v>672</v>
      </c>
      <c r="M96" s="18" t="s">
        <v>4120</v>
      </c>
      <c r="N96" s="18" t="s">
        <v>3673</v>
      </c>
      <c r="O96" s="28" t="s">
        <v>4121</v>
      </c>
      <c r="P96" s="82" t="s">
        <v>314</v>
      </c>
      <c r="Q96" s="18" t="s">
        <v>618</v>
      </c>
      <c r="R96" s="511" t="str">
        <f>VLOOKUP(P96,'Dados das Regiões '!A:B,2,0)</f>
        <v>IVAIPORÃ</v>
      </c>
      <c r="S96" s="18" t="s">
        <v>4122</v>
      </c>
      <c r="U96" s="82" t="s">
        <v>4123</v>
      </c>
      <c r="V96" s="18" t="s">
        <v>4123</v>
      </c>
      <c r="W96" s="18" t="s">
        <v>4124</v>
      </c>
      <c r="X96" s="30">
        <v>0.5625</v>
      </c>
      <c r="Y96" s="517">
        <v>0.64583333333333337</v>
      </c>
      <c r="Z96" s="31" t="s">
        <v>622</v>
      </c>
      <c r="AA96" s="39"/>
      <c r="AB96" s="166">
        <v>202500034</v>
      </c>
      <c r="AC96" s="55" t="s">
        <v>24</v>
      </c>
      <c r="AD96" s="44"/>
    </row>
    <row r="97" spans="1:44">
      <c r="B97" s="13" t="str">
        <f t="shared" si="92"/>
        <v>Pendente</v>
      </c>
      <c r="C97" s="14" t="str">
        <f t="shared" si="67"/>
        <v/>
      </c>
      <c r="D97" s="13" t="s">
        <v>611</v>
      </c>
      <c r="E97" s="14" t="str">
        <f t="shared" ref="E97" si="101">IF(C97="", "", EDATE(C97, 3))</f>
        <v/>
      </c>
      <c r="F97" s="13" t="s">
        <v>611</v>
      </c>
      <c r="G97" s="40">
        <v>202500034</v>
      </c>
      <c r="H97" s="13" t="s">
        <v>4127</v>
      </c>
      <c r="I97" s="13" t="s">
        <v>613</v>
      </c>
      <c r="J97" s="14">
        <v>45707</v>
      </c>
      <c r="K97" s="14">
        <v>46066</v>
      </c>
      <c r="L97" s="13" t="s">
        <v>672</v>
      </c>
      <c r="M97" s="13" t="s">
        <v>4128</v>
      </c>
      <c r="N97" s="13" t="s">
        <v>4129</v>
      </c>
      <c r="O97" s="13" t="s">
        <v>675</v>
      </c>
      <c r="P97" s="79" t="s">
        <v>127</v>
      </c>
      <c r="Q97" s="13" t="s">
        <v>618</v>
      </c>
      <c r="R97" s="246" t="str">
        <f>VLOOKUP(P97,'Dados das Regiões '!A:B,2,0)</f>
        <v>APUCARANA</v>
      </c>
      <c r="S97" s="13" t="s">
        <v>4130</v>
      </c>
      <c r="U97" s="79" t="s">
        <v>4131</v>
      </c>
      <c r="V97" s="13" t="s">
        <v>4132</v>
      </c>
      <c r="W97" s="13" t="s">
        <v>4133</v>
      </c>
      <c r="X97" s="15">
        <v>0.5625</v>
      </c>
      <c r="Y97" s="516">
        <v>0.64583333333333337</v>
      </c>
      <c r="Z97" s="16" t="s">
        <v>622</v>
      </c>
      <c r="AB97" s="164">
        <v>202500034</v>
      </c>
      <c r="AC97" s="55" t="s">
        <v>24</v>
      </c>
      <c r="AD97" s="40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</row>
    <row r="98" spans="1:44">
      <c r="A98" s="14">
        <v>45911</v>
      </c>
      <c r="B98" s="13" t="str">
        <f t="shared" si="92"/>
        <v>Realizada</v>
      </c>
      <c r="C98" s="14">
        <f t="shared" si="67"/>
        <v>46002</v>
      </c>
      <c r="D98" s="13" t="s">
        <v>611</v>
      </c>
      <c r="E98" s="14">
        <f t="shared" ref="E98" si="102">IF(C98="", "", EDATE(C98, 3))</f>
        <v>46092</v>
      </c>
      <c r="F98" s="13" t="s">
        <v>611</v>
      </c>
      <c r="G98" s="40">
        <v>202500034</v>
      </c>
      <c r="H98" s="13" t="s">
        <v>4134</v>
      </c>
      <c r="I98" s="13" t="s">
        <v>613</v>
      </c>
      <c r="J98" s="14">
        <v>45707</v>
      </c>
      <c r="K98" s="14">
        <v>46066</v>
      </c>
      <c r="L98" s="13" t="s">
        <v>672</v>
      </c>
      <c r="M98" s="13" t="s">
        <v>789</v>
      </c>
      <c r="N98" s="13" t="s">
        <v>790</v>
      </c>
      <c r="O98" s="13" t="s">
        <v>791</v>
      </c>
      <c r="P98" s="79" t="s">
        <v>161</v>
      </c>
      <c r="Q98" s="13" t="s">
        <v>618</v>
      </c>
      <c r="R98" s="246" t="str">
        <f>VLOOKUP(P98,'Dados das Regiões '!A:B,2,0)</f>
        <v>CAMPO MOURÃO</v>
      </c>
      <c r="S98" s="13" t="s">
        <v>4055</v>
      </c>
      <c r="U98" s="79" t="s">
        <v>793</v>
      </c>
      <c r="V98" s="13" t="s">
        <v>794</v>
      </c>
      <c r="W98" s="13" t="s">
        <v>795</v>
      </c>
      <c r="X98" s="15">
        <v>0.5625</v>
      </c>
      <c r="Y98" s="516">
        <v>0.64583333333333337</v>
      </c>
      <c r="Z98" s="16" t="s">
        <v>622</v>
      </c>
      <c r="AB98" s="164">
        <v>202500034</v>
      </c>
      <c r="AC98" s="55" t="s">
        <v>24</v>
      </c>
      <c r="AD98" s="40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</row>
    <row r="99" spans="1:44">
      <c r="B99" s="13" t="str">
        <f t="shared" si="92"/>
        <v>Pendente</v>
      </c>
      <c r="C99" s="14" t="str">
        <f t="shared" si="67"/>
        <v/>
      </c>
      <c r="D99" s="13" t="s">
        <v>611</v>
      </c>
      <c r="E99" s="14" t="str">
        <f t="shared" ref="E99" si="103">IF(C99="", "", EDATE(C99, 3))</f>
        <v/>
      </c>
      <c r="F99" s="13" t="s">
        <v>611</v>
      </c>
      <c r="G99" s="40">
        <v>202500031</v>
      </c>
      <c r="H99" s="13" t="s">
        <v>4135</v>
      </c>
      <c r="I99" s="13" t="s">
        <v>1192</v>
      </c>
      <c r="J99" s="14">
        <v>45705</v>
      </c>
      <c r="K99" s="14">
        <v>46064</v>
      </c>
      <c r="L99" s="13" t="s">
        <v>1881</v>
      </c>
      <c r="M99" s="13" t="s">
        <v>4042</v>
      </c>
      <c r="N99" s="13" t="s">
        <v>4043</v>
      </c>
      <c r="O99" s="13" t="s">
        <v>4044</v>
      </c>
      <c r="P99" s="79" t="s">
        <v>130</v>
      </c>
      <c r="Q99" s="13" t="s">
        <v>618</v>
      </c>
      <c r="R99" s="246" t="str">
        <f>VLOOKUP(P99,'Dados das Regiões '!A:B,2,0)</f>
        <v>APUCARANA</v>
      </c>
      <c r="S99" s="13" t="s">
        <v>4052</v>
      </c>
      <c r="U99" s="79" t="s">
        <v>2164</v>
      </c>
      <c r="V99" s="13" t="s">
        <v>3229</v>
      </c>
      <c r="W99" s="13" t="s">
        <v>4046</v>
      </c>
      <c r="X99" s="15">
        <v>0.33333333333333331</v>
      </c>
      <c r="Y99" s="516">
        <v>0.41666666666666669</v>
      </c>
      <c r="Z99" s="16" t="s">
        <v>622</v>
      </c>
      <c r="AB99" s="164">
        <v>202500031</v>
      </c>
      <c r="AC99" s="55" t="s">
        <v>23</v>
      </c>
      <c r="AD99" s="40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</row>
    <row r="100" spans="1:44">
      <c r="A100" s="14">
        <v>45967</v>
      </c>
      <c r="B100" s="13" t="str">
        <f t="shared" si="92"/>
        <v>Realizada</v>
      </c>
      <c r="C100" s="14">
        <f t="shared" si="67"/>
        <v>46059</v>
      </c>
      <c r="D100" s="13" t="s">
        <v>611</v>
      </c>
      <c r="E100" s="14">
        <f t="shared" ref="E100" si="104">IF(C100="", "", EDATE(C100, 3))</f>
        <v>46148</v>
      </c>
      <c r="F100" s="13" t="s">
        <v>611</v>
      </c>
      <c r="G100" s="40">
        <v>202500034</v>
      </c>
      <c r="H100" s="13" t="s">
        <v>4136</v>
      </c>
      <c r="I100" s="13" t="s">
        <v>613</v>
      </c>
      <c r="J100" s="14">
        <v>45707</v>
      </c>
      <c r="K100" s="14">
        <v>46066</v>
      </c>
      <c r="L100" s="13" t="s">
        <v>672</v>
      </c>
      <c r="M100" s="13" t="s">
        <v>4137</v>
      </c>
      <c r="N100" s="13" t="s">
        <v>4138</v>
      </c>
      <c r="O100" s="13" t="s">
        <v>807</v>
      </c>
      <c r="P100" s="79" t="s">
        <v>164</v>
      </c>
      <c r="Q100" s="13" t="s">
        <v>618</v>
      </c>
      <c r="R100" s="246" t="str">
        <f>VLOOKUP(P100,'Dados das Regiões '!A:B,2,0)</f>
        <v>CAMPO MOURÃO</v>
      </c>
      <c r="S100" s="13" t="s">
        <v>808</v>
      </c>
      <c r="U100" s="79" t="s">
        <v>809</v>
      </c>
      <c r="V100" s="13" t="s">
        <v>809</v>
      </c>
      <c r="W100" s="13" t="s">
        <v>4139</v>
      </c>
      <c r="X100" s="15">
        <v>0.3125</v>
      </c>
      <c r="Y100" s="516">
        <v>0.39583333333333331</v>
      </c>
      <c r="Z100" s="16" t="s">
        <v>622</v>
      </c>
      <c r="AB100" s="164">
        <v>202500034</v>
      </c>
      <c r="AC100" s="55" t="s">
        <v>24</v>
      </c>
      <c r="AD100" s="40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</row>
    <row r="101" spans="1:44">
      <c r="B101" s="13" t="str">
        <f t="shared" si="92"/>
        <v>Pendente</v>
      </c>
      <c r="C101" s="14" t="str">
        <f t="shared" si="67"/>
        <v/>
      </c>
      <c r="D101" s="13" t="s">
        <v>611</v>
      </c>
      <c r="E101" s="14" t="str">
        <f t="shared" ref="E101" si="105">IF(C101="", "", EDATE(C101, 3))</f>
        <v/>
      </c>
      <c r="F101" s="13" t="s">
        <v>611</v>
      </c>
      <c r="G101" s="40">
        <v>202500034</v>
      </c>
      <c r="H101" s="13" t="s">
        <v>4140</v>
      </c>
      <c r="I101" s="13" t="s">
        <v>613</v>
      </c>
      <c r="J101" s="14">
        <v>45707</v>
      </c>
      <c r="K101" s="14">
        <v>46066</v>
      </c>
      <c r="L101" s="13" t="s">
        <v>672</v>
      </c>
      <c r="M101" s="13" t="s">
        <v>805</v>
      </c>
      <c r="N101" s="13" t="s">
        <v>806</v>
      </c>
      <c r="O101" s="13" t="s">
        <v>807</v>
      </c>
      <c r="P101" s="79" t="s">
        <v>164</v>
      </c>
      <c r="Q101" s="13" t="s">
        <v>618</v>
      </c>
      <c r="R101" s="246" t="str">
        <f>VLOOKUP(P101,'Dados das Regiões '!A:B,2,0)</f>
        <v>CAMPO MOURÃO</v>
      </c>
      <c r="S101" s="13" t="s">
        <v>808</v>
      </c>
      <c r="U101" s="79" t="s">
        <v>809</v>
      </c>
      <c r="V101" s="13" t="s">
        <v>809</v>
      </c>
      <c r="W101" s="13" t="s">
        <v>4139</v>
      </c>
      <c r="X101" s="15">
        <v>0.64583333333333337</v>
      </c>
      <c r="Y101" s="516">
        <v>0.5625</v>
      </c>
      <c r="Z101" s="16" t="s">
        <v>622</v>
      </c>
      <c r="AB101" s="164">
        <v>202500034</v>
      </c>
      <c r="AC101" s="55" t="s">
        <v>24</v>
      </c>
      <c r="AD101" s="40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</row>
    <row r="102" spans="1:44">
      <c r="A102" s="14">
        <v>45967</v>
      </c>
      <c r="B102" s="13" t="str">
        <f t="shared" si="92"/>
        <v>Realizada</v>
      </c>
      <c r="C102" s="14">
        <f t="shared" si="67"/>
        <v>46059</v>
      </c>
      <c r="D102" s="13" t="s">
        <v>611</v>
      </c>
      <c r="E102" s="14">
        <f t="shared" ref="E102" si="106">IF(C102="", "", EDATE(C102, 3))</f>
        <v>46148</v>
      </c>
      <c r="F102" s="13" t="s">
        <v>611</v>
      </c>
      <c r="G102" s="40">
        <v>202500034</v>
      </c>
      <c r="H102" s="13" t="s">
        <v>4141</v>
      </c>
      <c r="I102" s="13" t="s">
        <v>613</v>
      </c>
      <c r="J102" s="14">
        <v>45707</v>
      </c>
      <c r="K102" s="14">
        <v>46066</v>
      </c>
      <c r="L102" s="13" t="s">
        <v>672</v>
      </c>
      <c r="M102" s="13" t="s">
        <v>805</v>
      </c>
      <c r="N102" s="13" t="s">
        <v>806</v>
      </c>
      <c r="O102" s="13" t="s">
        <v>807</v>
      </c>
      <c r="P102" s="79" t="s">
        <v>164</v>
      </c>
      <c r="Q102" s="13" t="s">
        <v>618</v>
      </c>
      <c r="R102" s="246" t="str">
        <f>VLOOKUP(P102,'Dados das Regiões '!A:B,2,0)</f>
        <v>CAMPO MOURÃO</v>
      </c>
      <c r="S102" s="13" t="s">
        <v>808</v>
      </c>
      <c r="U102" s="79" t="s">
        <v>809</v>
      </c>
      <c r="V102" s="13" t="s">
        <v>809</v>
      </c>
      <c r="W102" s="13" t="s">
        <v>4139</v>
      </c>
      <c r="X102" s="15">
        <v>0.39583333333333331</v>
      </c>
      <c r="Y102" s="516">
        <v>0.3125</v>
      </c>
      <c r="Z102" s="16" t="s">
        <v>622</v>
      </c>
      <c r="AB102" s="164">
        <v>202500034</v>
      </c>
      <c r="AC102" s="55" t="s">
        <v>24</v>
      </c>
      <c r="AD102" s="40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</row>
    <row r="103" spans="1:44">
      <c r="B103" s="13" t="str">
        <f t="shared" si="92"/>
        <v>Pendente</v>
      </c>
      <c r="C103" s="14" t="str">
        <f t="shared" si="67"/>
        <v/>
      </c>
      <c r="D103" s="13" t="s">
        <v>611</v>
      </c>
      <c r="E103" s="14" t="str">
        <f t="shared" ref="E103" si="107">IF(C103="", "", EDATE(C103, 3))</f>
        <v/>
      </c>
      <c r="F103" s="13" t="s">
        <v>611</v>
      </c>
      <c r="G103" s="40">
        <v>202500034</v>
      </c>
      <c r="H103" s="13" t="s">
        <v>4142</v>
      </c>
      <c r="I103" s="13" t="s">
        <v>613</v>
      </c>
      <c r="J103" s="14">
        <v>45707</v>
      </c>
      <c r="K103" s="14">
        <v>46066</v>
      </c>
      <c r="L103" s="13" t="s">
        <v>672</v>
      </c>
      <c r="M103" s="13" t="s">
        <v>4137</v>
      </c>
      <c r="N103" s="13" t="s">
        <v>4138</v>
      </c>
      <c r="O103" s="13" t="s">
        <v>807</v>
      </c>
      <c r="P103" s="79" t="s">
        <v>164</v>
      </c>
      <c r="Q103" s="13" t="s">
        <v>618</v>
      </c>
      <c r="R103" s="246" t="str">
        <f>VLOOKUP(P103,'Dados das Regiões '!A:B,2,0)</f>
        <v>CAMPO MOURÃO</v>
      </c>
      <c r="S103" s="13" t="s">
        <v>808</v>
      </c>
      <c r="U103" s="79" t="s">
        <v>809</v>
      </c>
      <c r="V103" s="13" t="s">
        <v>809</v>
      </c>
      <c r="W103" s="13" t="s">
        <v>4139</v>
      </c>
      <c r="X103" s="15">
        <v>0.5625</v>
      </c>
      <c r="Y103" s="516">
        <v>0.64583333333333337</v>
      </c>
      <c r="Z103" s="16" t="s">
        <v>622</v>
      </c>
      <c r="AB103" s="164">
        <v>202500034</v>
      </c>
      <c r="AC103" s="55" t="s">
        <v>24</v>
      </c>
      <c r="AD103" s="40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</row>
    <row r="104" spans="1:44">
      <c r="A104" s="14">
        <v>45874</v>
      </c>
      <c r="B104" s="13" t="str">
        <f t="shared" si="92"/>
        <v>Realizada</v>
      </c>
      <c r="C104" s="14">
        <v>45995</v>
      </c>
      <c r="D104" s="13" t="s">
        <v>104</v>
      </c>
      <c r="E104" s="14">
        <f t="shared" ref="E104" si="108">IF(C104="", "", EDATE(C104, 3))</f>
        <v>46085</v>
      </c>
      <c r="F104" s="13" t="s">
        <v>611</v>
      </c>
      <c r="G104" s="40">
        <v>202500034</v>
      </c>
      <c r="H104" s="13" t="s">
        <v>4143</v>
      </c>
      <c r="I104" s="13" t="s">
        <v>613</v>
      </c>
      <c r="J104" s="14">
        <v>45707</v>
      </c>
      <c r="K104" s="14">
        <v>46066</v>
      </c>
      <c r="L104" s="13" t="s">
        <v>672</v>
      </c>
      <c r="M104" s="13" t="s">
        <v>1537</v>
      </c>
      <c r="N104" s="13" t="s">
        <v>1538</v>
      </c>
      <c r="O104" s="13" t="s">
        <v>1539</v>
      </c>
      <c r="P104" s="79" t="s">
        <v>284</v>
      </c>
      <c r="Q104" s="13" t="s">
        <v>618</v>
      </c>
      <c r="R104" s="246" t="str">
        <f>VLOOKUP(P104,'Dados das Regiões '!A:B,2,0)</f>
        <v>GUARAPUAVA</v>
      </c>
      <c r="S104" s="13" t="s">
        <v>1540</v>
      </c>
      <c r="U104" s="79" t="s">
        <v>4144</v>
      </c>
      <c r="V104" s="13" t="s">
        <v>1542</v>
      </c>
      <c r="W104" s="13" t="s">
        <v>1543</v>
      </c>
      <c r="X104" s="15">
        <v>0.5625</v>
      </c>
      <c r="Y104" s="516">
        <v>0.64583333333333337</v>
      </c>
      <c r="Z104" s="16" t="s">
        <v>622</v>
      </c>
      <c r="AB104" s="164">
        <v>202500034</v>
      </c>
      <c r="AC104" s="55" t="s">
        <v>24</v>
      </c>
      <c r="AD104" s="40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</row>
    <row r="105" spans="1:44">
      <c r="A105" s="14">
        <v>45874</v>
      </c>
      <c r="B105" s="13" t="str">
        <f t="shared" si="92"/>
        <v>Realizada</v>
      </c>
      <c r="C105" s="14">
        <v>45995</v>
      </c>
      <c r="D105" s="13" t="s">
        <v>104</v>
      </c>
      <c r="E105" s="14">
        <f t="shared" ref="E105" si="109">IF(C105="", "", EDATE(C105, 3))</f>
        <v>46085</v>
      </c>
      <c r="F105" s="13" t="s">
        <v>611</v>
      </c>
      <c r="G105" s="40">
        <v>202500034</v>
      </c>
      <c r="H105" s="13" t="s">
        <v>4145</v>
      </c>
      <c r="I105" s="13" t="s">
        <v>613</v>
      </c>
      <c r="J105" s="14">
        <v>45707</v>
      </c>
      <c r="K105" s="14">
        <v>46066</v>
      </c>
      <c r="L105" s="13" t="s">
        <v>672</v>
      </c>
      <c r="M105" s="13" t="s">
        <v>1537</v>
      </c>
      <c r="N105" s="13" t="s">
        <v>1538</v>
      </c>
      <c r="O105" s="13" t="s">
        <v>1539</v>
      </c>
      <c r="P105" s="79" t="s">
        <v>284</v>
      </c>
      <c r="Q105" s="13" t="s">
        <v>618</v>
      </c>
      <c r="R105" s="246" t="str">
        <f>VLOOKUP(P105,'Dados das Regiões '!A:B,2,0)</f>
        <v>GUARAPUAVA</v>
      </c>
      <c r="S105" s="13" t="s">
        <v>1540</v>
      </c>
      <c r="U105" s="79" t="s">
        <v>4144</v>
      </c>
      <c r="V105" s="13" t="s">
        <v>1542</v>
      </c>
      <c r="W105" s="13" t="s">
        <v>1543</v>
      </c>
      <c r="X105" s="15">
        <v>0.3125</v>
      </c>
      <c r="Y105" s="516">
        <v>0.39583333333333331</v>
      </c>
      <c r="Z105" s="16" t="s">
        <v>622</v>
      </c>
      <c r="AB105" s="164">
        <v>202500034</v>
      </c>
      <c r="AC105" s="55" t="s">
        <v>24</v>
      </c>
      <c r="AD105" s="40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</row>
    <row r="106" spans="1:44">
      <c r="A106" s="14">
        <v>45933</v>
      </c>
      <c r="B106" s="13" t="str">
        <f t="shared" si="92"/>
        <v>Realizada</v>
      </c>
      <c r="C106" s="14">
        <f t="shared" si="67"/>
        <v>46025</v>
      </c>
      <c r="D106" s="13" t="s">
        <v>611</v>
      </c>
      <c r="E106" s="14">
        <f t="shared" ref="E106" si="110">IF(C106="", "", EDATE(C106, 3))</f>
        <v>46115</v>
      </c>
      <c r="F106" s="13" t="s">
        <v>611</v>
      </c>
      <c r="G106" s="40">
        <v>202500034</v>
      </c>
      <c r="H106" s="13" t="s">
        <v>4146</v>
      </c>
      <c r="I106" s="13" t="s">
        <v>613</v>
      </c>
      <c r="J106" s="14">
        <v>45707</v>
      </c>
      <c r="K106" s="14">
        <v>46066</v>
      </c>
      <c r="L106" s="13" t="s">
        <v>672</v>
      </c>
      <c r="M106" s="13" t="s">
        <v>4147</v>
      </c>
      <c r="N106" s="13" t="s">
        <v>4148</v>
      </c>
      <c r="O106" s="13" t="s">
        <v>4149</v>
      </c>
      <c r="P106" s="79" t="s">
        <v>160</v>
      </c>
      <c r="Q106" s="13" t="s">
        <v>618</v>
      </c>
      <c r="R106" s="246" t="str">
        <f>VLOOKUP(P106,'Dados das Regiões '!A:B,2,0)</f>
        <v>CAMPO MOURÃO</v>
      </c>
      <c r="S106" s="13" t="s">
        <v>4089</v>
      </c>
      <c r="U106" s="79" t="s">
        <v>4090</v>
      </c>
      <c r="V106" s="13" t="s">
        <v>4091</v>
      </c>
      <c r="W106" s="13" t="s">
        <v>4092</v>
      </c>
      <c r="X106" s="15">
        <v>0.3125</v>
      </c>
      <c r="Y106" s="516">
        <v>0.39583333333333331</v>
      </c>
      <c r="Z106" s="16" t="s">
        <v>622</v>
      </c>
      <c r="AB106" s="164">
        <v>202500034</v>
      </c>
      <c r="AC106" s="55" t="s">
        <v>24</v>
      </c>
      <c r="AD106" s="40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</row>
    <row r="107" spans="1:44">
      <c r="A107" s="14">
        <v>45933</v>
      </c>
      <c r="B107" s="13" t="str">
        <f t="shared" si="92"/>
        <v>Realizada</v>
      </c>
      <c r="C107" s="14">
        <f t="shared" si="67"/>
        <v>46025</v>
      </c>
      <c r="D107" s="13" t="s">
        <v>611</v>
      </c>
      <c r="E107" s="14">
        <f t="shared" ref="E107" si="111">IF(C107="", "", EDATE(C107, 3))</f>
        <v>46115</v>
      </c>
      <c r="F107" s="13" t="s">
        <v>611</v>
      </c>
      <c r="G107" s="40">
        <v>202500034</v>
      </c>
      <c r="H107" s="13" t="s">
        <v>4150</v>
      </c>
      <c r="I107" s="13" t="s">
        <v>613</v>
      </c>
      <c r="J107" s="14">
        <v>45707</v>
      </c>
      <c r="K107" s="14">
        <v>46066</v>
      </c>
      <c r="L107" s="13" t="s">
        <v>672</v>
      </c>
      <c r="M107" s="13" t="s">
        <v>691</v>
      </c>
      <c r="N107" s="13" t="s">
        <v>692</v>
      </c>
      <c r="O107" s="13" t="s">
        <v>693</v>
      </c>
      <c r="P107" s="79" t="s">
        <v>148</v>
      </c>
      <c r="Q107" s="13" t="s">
        <v>618</v>
      </c>
      <c r="R107" s="246" t="str">
        <f>VLOOKUP(P107,'Dados das Regiões '!A:B,2,0)</f>
        <v>CAMPO MOURÃO</v>
      </c>
      <c r="S107" s="13" t="s">
        <v>694</v>
      </c>
      <c r="U107" s="79" t="s">
        <v>695</v>
      </c>
      <c r="V107" s="13" t="s">
        <v>696</v>
      </c>
      <c r="W107" s="13" t="s">
        <v>697</v>
      </c>
      <c r="X107" s="15">
        <v>0.3125</v>
      </c>
      <c r="Y107" s="516">
        <v>0.39583333333333331</v>
      </c>
      <c r="Z107" s="16" t="s">
        <v>622</v>
      </c>
      <c r="AB107" s="164">
        <v>202500034</v>
      </c>
      <c r="AC107" s="55" t="s">
        <v>24</v>
      </c>
      <c r="AD107" s="40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</row>
    <row r="108" spans="1:44">
      <c r="B108" s="13" t="str">
        <f t="shared" si="92"/>
        <v>Pendente</v>
      </c>
      <c r="C108" s="14" t="str">
        <f t="shared" si="67"/>
        <v/>
      </c>
      <c r="D108" s="13" t="s">
        <v>611</v>
      </c>
      <c r="E108" s="14" t="str">
        <f t="shared" ref="E108" si="112">IF(C108="", "", EDATE(C108, 3))</f>
        <v/>
      </c>
      <c r="F108" s="13" t="s">
        <v>611</v>
      </c>
      <c r="G108" s="40">
        <v>202500034</v>
      </c>
      <c r="H108" s="13" t="s">
        <v>4151</v>
      </c>
      <c r="I108" s="13" t="s">
        <v>613</v>
      </c>
      <c r="J108" s="14">
        <v>45707</v>
      </c>
      <c r="K108" s="14">
        <v>46066</v>
      </c>
      <c r="L108" s="13" t="s">
        <v>672</v>
      </c>
      <c r="M108" s="13" t="s">
        <v>4152</v>
      </c>
      <c r="N108" s="13" t="s">
        <v>4153</v>
      </c>
      <c r="O108" s="13" t="s">
        <v>2213</v>
      </c>
      <c r="P108" s="79" t="s">
        <v>317</v>
      </c>
      <c r="Q108" s="13" t="s">
        <v>618</v>
      </c>
      <c r="R108" s="246" t="str">
        <f>VLOOKUP(P108,'Dados das Regiões '!A:B,2,0)</f>
        <v>IVAIPORÃ</v>
      </c>
      <c r="S108" s="13" t="s">
        <v>990</v>
      </c>
      <c r="U108" s="79" t="s">
        <v>991</v>
      </c>
      <c r="V108" s="13" t="s">
        <v>4154</v>
      </c>
      <c r="W108" s="13" t="s">
        <v>993</v>
      </c>
      <c r="X108" s="15">
        <v>0.64583333333333337</v>
      </c>
      <c r="Y108" s="516">
        <v>0.5625</v>
      </c>
      <c r="Z108" s="16" t="s">
        <v>622</v>
      </c>
      <c r="AB108" s="164">
        <v>202500034</v>
      </c>
      <c r="AC108" s="55" t="s">
        <v>24</v>
      </c>
      <c r="AD108" s="40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</row>
    <row r="109" spans="1:44">
      <c r="B109" s="13" t="str">
        <f t="shared" si="92"/>
        <v>Pendente</v>
      </c>
      <c r="C109" s="14" t="str">
        <f t="shared" si="67"/>
        <v/>
      </c>
      <c r="D109" s="13" t="s">
        <v>611</v>
      </c>
      <c r="E109" s="14" t="str">
        <f t="shared" ref="E109" si="113">IF(C109="", "", EDATE(C109, 3))</f>
        <v/>
      </c>
      <c r="F109" s="13" t="s">
        <v>611</v>
      </c>
      <c r="G109" s="40">
        <v>202500034</v>
      </c>
      <c r="H109" s="13" t="s">
        <v>4155</v>
      </c>
      <c r="I109" s="13" t="s">
        <v>613</v>
      </c>
      <c r="J109" s="14">
        <v>45707</v>
      </c>
      <c r="K109" s="14">
        <v>46066</v>
      </c>
      <c r="L109" s="13" t="s">
        <v>672</v>
      </c>
      <c r="M109" s="13" t="s">
        <v>4152</v>
      </c>
      <c r="N109" s="13" t="s">
        <v>4153</v>
      </c>
      <c r="O109" s="13" t="s">
        <v>2213</v>
      </c>
      <c r="P109" s="79" t="s">
        <v>317</v>
      </c>
      <c r="Q109" s="13" t="s">
        <v>618</v>
      </c>
      <c r="R109" s="246" t="str">
        <f>VLOOKUP(P109,'Dados das Regiões '!A:B,2,0)</f>
        <v>IVAIPORÃ</v>
      </c>
      <c r="S109" s="13" t="s">
        <v>990</v>
      </c>
      <c r="U109" s="79" t="s">
        <v>991</v>
      </c>
      <c r="V109" s="13" t="s">
        <v>4154</v>
      </c>
      <c r="W109" s="13" t="s">
        <v>993</v>
      </c>
      <c r="X109" s="15">
        <v>0.39583333333333331</v>
      </c>
      <c r="Y109" s="516">
        <v>0.3125</v>
      </c>
      <c r="Z109" s="16" t="s">
        <v>622</v>
      </c>
      <c r="AB109" s="164">
        <v>202500034</v>
      </c>
      <c r="AC109" s="55" t="s">
        <v>24</v>
      </c>
      <c r="AD109" s="40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</row>
    <row r="110" spans="1:44">
      <c r="B110" s="13" t="str">
        <f t="shared" si="92"/>
        <v>Pendente</v>
      </c>
      <c r="C110" s="14" t="str">
        <f t="shared" si="67"/>
        <v/>
      </c>
      <c r="D110" s="13" t="s">
        <v>611</v>
      </c>
      <c r="E110" s="14" t="str">
        <f t="shared" ref="E110" si="114">IF(C110="", "", EDATE(C110, 3))</f>
        <v/>
      </c>
      <c r="F110" s="13" t="s">
        <v>611</v>
      </c>
      <c r="G110" s="40">
        <v>202500034</v>
      </c>
      <c r="H110" s="13" t="s">
        <v>4156</v>
      </c>
      <c r="I110" s="13" t="s">
        <v>613</v>
      </c>
      <c r="J110" s="14">
        <v>45707</v>
      </c>
      <c r="K110" s="14">
        <v>46066</v>
      </c>
      <c r="L110" s="13" t="s">
        <v>672</v>
      </c>
      <c r="M110" s="13" t="s">
        <v>4157</v>
      </c>
      <c r="N110" s="13" t="s">
        <v>4158</v>
      </c>
      <c r="O110" s="13" t="s">
        <v>4159</v>
      </c>
      <c r="P110" s="79" t="s">
        <v>321</v>
      </c>
      <c r="Q110" s="13" t="s">
        <v>618</v>
      </c>
      <c r="R110" s="246" t="str">
        <f>VLOOKUP(P110,'Dados das Regiões '!A:B,2,0)</f>
        <v>IVAIPORÃ</v>
      </c>
      <c r="S110" s="13" t="s">
        <v>4160</v>
      </c>
      <c r="U110" s="79" t="s">
        <v>4161</v>
      </c>
      <c r="V110" s="13" t="s">
        <v>4161</v>
      </c>
      <c r="W110" s="13" t="s">
        <v>4162</v>
      </c>
      <c r="X110" s="15">
        <v>0.33333333333333331</v>
      </c>
      <c r="Y110" s="516">
        <v>0.41666666666666669</v>
      </c>
      <c r="Z110" s="16" t="s">
        <v>622</v>
      </c>
      <c r="AB110" s="164">
        <v>202500034</v>
      </c>
      <c r="AC110" s="55" t="s">
        <v>24</v>
      </c>
      <c r="AD110" s="40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</row>
    <row r="111" spans="1:44">
      <c r="A111" s="14">
        <v>45967</v>
      </c>
      <c r="B111" s="13" t="str">
        <f t="shared" si="92"/>
        <v>Realizada</v>
      </c>
      <c r="C111" s="14">
        <f t="shared" si="67"/>
        <v>46059</v>
      </c>
      <c r="D111" s="13" t="s">
        <v>611</v>
      </c>
      <c r="E111" s="14">
        <f t="shared" ref="E111" si="115">IF(C111="", "", EDATE(C111, 3))</f>
        <v>46148</v>
      </c>
      <c r="F111" s="13" t="s">
        <v>611</v>
      </c>
      <c r="G111" s="40">
        <v>202500034</v>
      </c>
      <c r="H111" s="13" t="s">
        <v>4163</v>
      </c>
      <c r="I111" s="13" t="s">
        <v>613</v>
      </c>
      <c r="J111" s="14">
        <v>45707</v>
      </c>
      <c r="K111" s="14">
        <v>46066</v>
      </c>
      <c r="L111" s="13" t="s">
        <v>672</v>
      </c>
      <c r="M111" s="13" t="s">
        <v>1484</v>
      </c>
      <c r="N111" s="13" t="s">
        <v>1485</v>
      </c>
      <c r="O111" s="13" t="s">
        <v>1486</v>
      </c>
      <c r="P111" s="79" t="s">
        <v>169</v>
      </c>
      <c r="Q111" s="13" t="s">
        <v>618</v>
      </c>
      <c r="R111" s="246" t="str">
        <f>VLOOKUP(P111,'Dados das Regiões '!A:B,2,0)</f>
        <v>CAMPO MOURÃO</v>
      </c>
      <c r="S111" s="13" t="s">
        <v>4164</v>
      </c>
      <c r="U111" s="79" t="s">
        <v>1488</v>
      </c>
      <c r="V111" s="13" t="s">
        <v>4165</v>
      </c>
      <c r="W111" s="13" t="s">
        <v>4166</v>
      </c>
      <c r="X111" s="15">
        <v>0.3125</v>
      </c>
      <c r="Y111" s="516">
        <v>0.39583333333333331</v>
      </c>
      <c r="Z111" s="16" t="s">
        <v>622</v>
      </c>
      <c r="AB111" s="164">
        <v>202500034</v>
      </c>
      <c r="AC111" s="55" t="s">
        <v>24</v>
      </c>
      <c r="AD111" s="40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</row>
    <row r="112" spans="1:44">
      <c r="B112" s="13" t="str">
        <f t="shared" si="92"/>
        <v>Pendente</v>
      </c>
      <c r="C112" s="14" t="str">
        <f t="shared" si="67"/>
        <v/>
      </c>
      <c r="D112" s="13" t="s">
        <v>611</v>
      </c>
      <c r="E112" s="14" t="str">
        <f t="shared" ref="E112" si="116">IF(C112="", "", EDATE(C112, 3))</f>
        <v/>
      </c>
      <c r="F112" s="13" t="s">
        <v>611</v>
      </c>
      <c r="G112" s="40">
        <v>202500034</v>
      </c>
      <c r="H112" s="13" t="s">
        <v>4167</v>
      </c>
      <c r="I112" s="13" t="s">
        <v>613</v>
      </c>
      <c r="J112" s="14">
        <v>45707</v>
      </c>
      <c r="K112" s="14">
        <v>46066</v>
      </c>
      <c r="L112" s="13" t="s">
        <v>672</v>
      </c>
      <c r="M112" s="13" t="s">
        <v>4168</v>
      </c>
      <c r="N112" s="13" t="s">
        <v>4169</v>
      </c>
      <c r="O112" s="13" t="s">
        <v>4159</v>
      </c>
      <c r="P112" s="79" t="s">
        <v>321</v>
      </c>
      <c r="Q112" s="13" t="s">
        <v>618</v>
      </c>
      <c r="R112" s="246" t="str">
        <f>VLOOKUP(P112,'Dados das Regiões '!A:B,2,0)</f>
        <v>IVAIPORÃ</v>
      </c>
      <c r="S112" s="13" t="s">
        <v>4170</v>
      </c>
      <c r="U112" s="79" t="s">
        <v>4171</v>
      </c>
      <c r="V112" s="13" t="s">
        <v>4171</v>
      </c>
      <c r="W112" s="13" t="s">
        <v>4172</v>
      </c>
      <c r="X112" s="15">
        <v>0.3125</v>
      </c>
      <c r="Y112" s="516">
        <v>0.39583333333333331</v>
      </c>
      <c r="Z112" s="16" t="s">
        <v>622</v>
      </c>
      <c r="AB112" s="164">
        <v>202500034</v>
      </c>
      <c r="AC112" s="55" t="s">
        <v>24</v>
      </c>
      <c r="AD112" s="40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</row>
    <row r="113" spans="1:44">
      <c r="A113" s="14">
        <v>45967</v>
      </c>
      <c r="B113" s="13" t="str">
        <f t="shared" si="92"/>
        <v>Realizada</v>
      </c>
      <c r="C113" s="14">
        <f t="shared" si="67"/>
        <v>46059</v>
      </c>
      <c r="D113" s="13" t="s">
        <v>611</v>
      </c>
      <c r="E113" s="14">
        <f t="shared" ref="E113" si="117">IF(C113="", "", EDATE(C113, 3))</f>
        <v>46148</v>
      </c>
      <c r="F113" s="13" t="s">
        <v>611</v>
      </c>
      <c r="G113" s="40">
        <v>202500034</v>
      </c>
      <c r="H113" s="13" t="s">
        <v>4173</v>
      </c>
      <c r="I113" s="13" t="s">
        <v>613</v>
      </c>
      <c r="J113" s="14">
        <v>45707</v>
      </c>
      <c r="K113" s="14">
        <v>46066</v>
      </c>
      <c r="L113" s="13" t="s">
        <v>672</v>
      </c>
      <c r="M113" s="13" t="s">
        <v>764</v>
      </c>
      <c r="N113" s="13" t="s">
        <v>765</v>
      </c>
      <c r="O113" s="13" t="s">
        <v>766</v>
      </c>
      <c r="P113" s="79" t="s">
        <v>158</v>
      </c>
      <c r="Q113" s="13" t="s">
        <v>618</v>
      </c>
      <c r="R113" s="246" t="str">
        <f>VLOOKUP(P113,'Dados das Regiões '!A:B,2,0)</f>
        <v>CAMPO MOURÃO</v>
      </c>
      <c r="S113" s="13" t="s">
        <v>767</v>
      </c>
      <c r="U113" s="79" t="s">
        <v>768</v>
      </c>
      <c r="V113" s="13" t="s">
        <v>769</v>
      </c>
      <c r="W113" s="13" t="s">
        <v>770</v>
      </c>
      <c r="X113" s="15">
        <v>0.3125</v>
      </c>
      <c r="Y113" s="516">
        <v>0.39583333333333331</v>
      </c>
      <c r="Z113" s="16" t="s">
        <v>622</v>
      </c>
      <c r="AB113" s="164">
        <v>202500034</v>
      </c>
      <c r="AC113" s="55" t="s">
        <v>24</v>
      </c>
      <c r="AD113" s="40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</row>
    <row r="114" spans="1:44">
      <c r="B114" s="13" t="str">
        <f t="shared" si="92"/>
        <v>Pendente</v>
      </c>
      <c r="C114" s="14" t="str">
        <f t="shared" si="67"/>
        <v/>
      </c>
      <c r="D114" s="13" t="s">
        <v>611</v>
      </c>
      <c r="E114" s="14" t="str">
        <f t="shared" ref="E114" si="118">IF(C114="", "", EDATE(C114, 3))</f>
        <v/>
      </c>
      <c r="F114" s="13" t="s">
        <v>611</v>
      </c>
      <c r="G114" s="40">
        <v>202500034</v>
      </c>
      <c r="H114" s="13" t="s">
        <v>4174</v>
      </c>
      <c r="I114" s="13" t="s">
        <v>613</v>
      </c>
      <c r="J114" s="14">
        <v>45707</v>
      </c>
      <c r="K114" s="14">
        <v>46066</v>
      </c>
      <c r="L114" s="13" t="s">
        <v>4175</v>
      </c>
      <c r="M114" s="13" t="s">
        <v>4176</v>
      </c>
      <c r="N114" s="13" t="s">
        <v>4177</v>
      </c>
      <c r="O114" s="13" t="s">
        <v>4178</v>
      </c>
      <c r="P114" s="79" t="s">
        <v>170</v>
      </c>
      <c r="Q114" s="13" t="s">
        <v>618</v>
      </c>
      <c r="R114" s="246" t="str">
        <f>VLOOKUP(P114,'Dados das Regiões '!A:B,2,0)</f>
        <v>CAMPO MOURÃO</v>
      </c>
      <c r="S114" s="13" t="s">
        <v>4179</v>
      </c>
      <c r="U114" s="79" t="s">
        <v>4180</v>
      </c>
      <c r="V114" s="13" t="s">
        <v>4181</v>
      </c>
      <c r="W114" s="13" t="s">
        <v>4182</v>
      </c>
      <c r="X114" s="15">
        <v>0.5625</v>
      </c>
      <c r="Y114" s="516">
        <v>0.64583333333333337</v>
      </c>
      <c r="Z114" s="16" t="s">
        <v>622</v>
      </c>
      <c r="AB114" s="164">
        <v>202500034</v>
      </c>
      <c r="AC114" s="55" t="s">
        <v>24</v>
      </c>
      <c r="AD114" s="40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</row>
    <row r="115" spans="1:44">
      <c r="B115" s="13" t="str">
        <f t="shared" si="92"/>
        <v>Pendente</v>
      </c>
      <c r="C115" s="14" t="str">
        <f t="shared" si="67"/>
        <v/>
      </c>
      <c r="D115" s="13" t="s">
        <v>611</v>
      </c>
      <c r="E115" s="14" t="str">
        <f t="shared" ref="E115" si="119">IF(C115="", "", EDATE(C115, 3))</f>
        <v/>
      </c>
      <c r="F115" s="13" t="s">
        <v>611</v>
      </c>
      <c r="G115" s="40">
        <v>202500034</v>
      </c>
      <c r="H115" s="13" t="s">
        <v>4183</v>
      </c>
      <c r="I115" s="13" t="s">
        <v>613</v>
      </c>
      <c r="J115" s="14">
        <v>45707</v>
      </c>
      <c r="K115" s="14">
        <v>46066</v>
      </c>
      <c r="L115" s="13" t="s">
        <v>672</v>
      </c>
      <c r="M115" s="13" t="s">
        <v>4184</v>
      </c>
      <c r="N115" s="13" t="s">
        <v>4185</v>
      </c>
      <c r="O115" s="13" t="s">
        <v>4186</v>
      </c>
      <c r="P115" s="79" t="s">
        <v>479</v>
      </c>
      <c r="Q115" s="13" t="s">
        <v>618</v>
      </c>
      <c r="R115" s="246" t="str">
        <f>VLOOKUP(P115,'Dados das Regiões '!A:B,2,0)</f>
        <v>TOLEDO</v>
      </c>
      <c r="S115" s="13" t="s">
        <v>4187</v>
      </c>
      <c r="U115" s="79" t="s">
        <v>4188</v>
      </c>
      <c r="V115" s="13" t="s">
        <v>4189</v>
      </c>
      <c r="W115" s="13" t="s">
        <v>4190</v>
      </c>
      <c r="X115" s="15">
        <v>0.3125</v>
      </c>
      <c r="Y115" s="516">
        <v>0.39583333333333331</v>
      </c>
      <c r="Z115" s="16" t="s">
        <v>622</v>
      </c>
      <c r="AB115" s="164">
        <v>202500034</v>
      </c>
      <c r="AC115" s="55" t="s">
        <v>24</v>
      </c>
      <c r="AD115" s="40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</row>
    <row r="116" spans="1:44">
      <c r="B116" s="13" t="str">
        <f t="shared" si="92"/>
        <v>Pendente</v>
      </c>
      <c r="C116" s="14" t="str">
        <f t="shared" si="67"/>
        <v/>
      </c>
      <c r="D116" s="13" t="s">
        <v>611</v>
      </c>
      <c r="E116" s="14" t="str">
        <f t="shared" ref="E116" si="120">IF(C116="", "", EDATE(C116, 3))</f>
        <v/>
      </c>
      <c r="F116" s="13" t="s">
        <v>611</v>
      </c>
      <c r="G116" s="40">
        <v>202500034</v>
      </c>
      <c r="H116" s="13" t="s">
        <v>4191</v>
      </c>
      <c r="I116" s="13" t="s">
        <v>613</v>
      </c>
      <c r="J116" s="14">
        <v>45707</v>
      </c>
      <c r="K116" s="14">
        <v>46066</v>
      </c>
      <c r="L116" s="13" t="s">
        <v>672</v>
      </c>
      <c r="M116" s="13" t="s">
        <v>673</v>
      </c>
      <c r="N116" s="13" t="s">
        <v>674</v>
      </c>
      <c r="O116" s="13" t="s">
        <v>675</v>
      </c>
      <c r="P116" s="79" t="s">
        <v>119</v>
      </c>
      <c r="Q116" s="13" t="s">
        <v>618</v>
      </c>
      <c r="R116" s="246" t="str">
        <f>VLOOKUP(P116,'Dados das Regiões '!A:B,2,0)</f>
        <v>APUCARANA</v>
      </c>
      <c r="S116" s="13" t="s">
        <v>676</v>
      </c>
      <c r="U116" s="79" t="s">
        <v>4061</v>
      </c>
      <c r="V116" s="13" t="s">
        <v>4061</v>
      </c>
      <c r="W116" s="13" t="s">
        <v>679</v>
      </c>
      <c r="X116" s="15">
        <v>0.3125</v>
      </c>
      <c r="Y116" s="516">
        <v>0.39583333333333331</v>
      </c>
      <c r="Z116" s="16" t="s">
        <v>622</v>
      </c>
      <c r="AB116" s="164">
        <v>202500034</v>
      </c>
      <c r="AC116" s="55" t="s">
        <v>24</v>
      </c>
      <c r="AD116" s="40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</row>
    <row r="117" spans="1:44">
      <c r="B117" s="13" t="str">
        <f t="shared" si="92"/>
        <v>Pendente</v>
      </c>
      <c r="C117" s="14" t="str">
        <f t="shared" si="67"/>
        <v/>
      </c>
      <c r="D117" s="13" t="s">
        <v>611</v>
      </c>
      <c r="E117" s="14" t="str">
        <f t="shared" ref="E117" si="121">IF(C117="", "", EDATE(C117, 3))</f>
        <v/>
      </c>
      <c r="F117" s="13" t="s">
        <v>611</v>
      </c>
      <c r="G117" s="40">
        <v>202500118</v>
      </c>
      <c r="H117" s="13" t="s">
        <v>4192</v>
      </c>
      <c r="I117" s="13" t="s">
        <v>613</v>
      </c>
      <c r="J117" s="14">
        <v>45705</v>
      </c>
      <c r="K117" s="14">
        <v>46064</v>
      </c>
      <c r="L117" s="13" t="s">
        <v>4193</v>
      </c>
      <c r="M117" s="13" t="s">
        <v>4194</v>
      </c>
      <c r="N117" s="13" t="s">
        <v>4195</v>
      </c>
      <c r="O117" s="13" t="s">
        <v>4196</v>
      </c>
      <c r="P117" s="79" t="s">
        <v>259</v>
      </c>
      <c r="Q117" s="13" t="s">
        <v>618</v>
      </c>
      <c r="R117" s="246" t="str">
        <f>VLOOKUP(P117,'Dados das Regiões '!A:B,2,0)</f>
        <v>FRANCISCO BELTRÃO</v>
      </c>
      <c r="S117" s="13" t="s">
        <v>4197</v>
      </c>
      <c r="V117" s="13" t="s">
        <v>4198</v>
      </c>
      <c r="W117" s="13" t="s">
        <v>4199</v>
      </c>
      <c r="X117" s="15">
        <v>0.5625</v>
      </c>
      <c r="Y117" s="516">
        <v>0.64583333333333337</v>
      </c>
      <c r="Z117" s="16" t="s">
        <v>622</v>
      </c>
      <c r="AB117" s="164">
        <v>202500118</v>
      </c>
      <c r="AC117" s="55" t="s">
        <v>25</v>
      </c>
      <c r="AD117" s="40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</row>
    <row r="118" spans="1:44">
      <c r="A118" s="14">
        <v>45933</v>
      </c>
      <c r="B118" s="13" t="str">
        <f t="shared" si="92"/>
        <v>Realizada</v>
      </c>
      <c r="C118" s="14">
        <f t="shared" si="67"/>
        <v>46025</v>
      </c>
      <c r="D118" s="13" t="s">
        <v>611</v>
      </c>
      <c r="E118" s="14">
        <f t="shared" ref="E118" si="122">IF(C118="", "", EDATE(C118, 3))</f>
        <v>46115</v>
      </c>
      <c r="F118" s="13" t="s">
        <v>611</v>
      </c>
      <c r="G118" s="40">
        <v>202500118</v>
      </c>
      <c r="H118" s="13" t="s">
        <v>4200</v>
      </c>
      <c r="I118" s="13" t="s">
        <v>613</v>
      </c>
      <c r="J118" s="14">
        <v>45705</v>
      </c>
      <c r="K118" s="14">
        <v>46064</v>
      </c>
      <c r="L118" s="13" t="s">
        <v>2734</v>
      </c>
      <c r="M118" s="13" t="s">
        <v>4201</v>
      </c>
      <c r="N118" s="13" t="s">
        <v>4202</v>
      </c>
      <c r="O118" s="13" t="s">
        <v>693</v>
      </c>
      <c r="P118" s="79" t="s">
        <v>148</v>
      </c>
      <c r="Q118" s="13" t="s">
        <v>618</v>
      </c>
      <c r="R118" s="246" t="str">
        <f>VLOOKUP(P118,'Dados das Regiões '!A:B,2,0)</f>
        <v>CAMPO MOURÃO</v>
      </c>
      <c r="S118" s="13" t="s">
        <v>4203</v>
      </c>
      <c r="U118" s="79" t="s">
        <v>4204</v>
      </c>
      <c r="V118" s="13" t="s">
        <v>4205</v>
      </c>
      <c r="W118" s="13" t="s">
        <v>4206</v>
      </c>
      <c r="X118" s="15">
        <v>0.33333333333333331</v>
      </c>
      <c r="Y118" s="516">
        <v>0.41666666666666669</v>
      </c>
      <c r="Z118" s="16" t="s">
        <v>622</v>
      </c>
      <c r="AB118" s="164">
        <v>202500118</v>
      </c>
      <c r="AC118" s="55" t="s">
        <v>25</v>
      </c>
      <c r="AD118" s="40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</row>
    <row r="119" spans="1:44">
      <c r="B119" s="13" t="str">
        <f t="shared" si="92"/>
        <v>Pendente</v>
      </c>
      <c r="C119" s="14" t="str">
        <f t="shared" si="67"/>
        <v/>
      </c>
      <c r="D119" s="13" t="s">
        <v>611</v>
      </c>
      <c r="E119" s="14" t="str">
        <f t="shared" ref="E119" si="123">IF(C119="", "", EDATE(C119, 3))</f>
        <v/>
      </c>
      <c r="F119" s="13" t="s">
        <v>611</v>
      </c>
      <c r="G119" s="40">
        <v>202500118</v>
      </c>
      <c r="H119" s="13" t="s">
        <v>4207</v>
      </c>
      <c r="I119" s="13" t="s">
        <v>613</v>
      </c>
      <c r="J119" s="14">
        <v>45705</v>
      </c>
      <c r="K119" s="14">
        <v>46064</v>
      </c>
      <c r="L119" s="13" t="s">
        <v>4208</v>
      </c>
      <c r="M119" s="13" t="s">
        <v>4209</v>
      </c>
      <c r="N119" s="13" t="s">
        <v>4210</v>
      </c>
      <c r="O119" s="13" t="s">
        <v>4211</v>
      </c>
      <c r="P119" s="79" t="s">
        <v>276</v>
      </c>
      <c r="Q119" s="13" t="s">
        <v>618</v>
      </c>
      <c r="R119" s="246" t="str">
        <f>VLOOKUP(P119,'Dados das Regiões '!A:B,2,0)</f>
        <v>FRANCISCO BELTRÃO</v>
      </c>
      <c r="S119" s="13" t="s">
        <v>4212</v>
      </c>
      <c r="V119" s="13" t="s">
        <v>4213</v>
      </c>
      <c r="W119" s="13" t="s">
        <v>4214</v>
      </c>
      <c r="X119" s="15">
        <v>0.5625</v>
      </c>
      <c r="Y119" s="516">
        <v>0.64583333333333337</v>
      </c>
      <c r="Z119" s="16" t="s">
        <v>622</v>
      </c>
      <c r="AB119" s="164">
        <v>202500118</v>
      </c>
      <c r="AC119" s="55" t="s">
        <v>25</v>
      </c>
      <c r="AD119" s="40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</row>
    <row r="120" spans="1:44">
      <c r="A120" s="14">
        <v>45967</v>
      </c>
      <c r="B120" s="13" t="str">
        <f t="shared" si="92"/>
        <v>Realizada</v>
      </c>
      <c r="C120" s="14">
        <f t="shared" si="67"/>
        <v>46059</v>
      </c>
      <c r="D120" s="13" t="s">
        <v>611</v>
      </c>
      <c r="E120" s="14">
        <f t="shared" ref="E120" si="124">IF(C120="", "", EDATE(C120, 3))</f>
        <v>46148</v>
      </c>
      <c r="F120" s="13" t="s">
        <v>611</v>
      </c>
      <c r="G120" s="40">
        <v>202500118</v>
      </c>
      <c r="H120" s="13" t="s">
        <v>4215</v>
      </c>
      <c r="I120" s="13" t="s">
        <v>613</v>
      </c>
      <c r="J120" s="14">
        <v>45705</v>
      </c>
      <c r="K120" s="14">
        <v>46064</v>
      </c>
      <c r="L120" s="13" t="s">
        <v>2734</v>
      </c>
      <c r="M120" s="13" t="s">
        <v>4216</v>
      </c>
      <c r="N120" s="13" t="s">
        <v>4217</v>
      </c>
      <c r="O120" s="13" t="s">
        <v>4218</v>
      </c>
      <c r="P120" s="79" t="s">
        <v>176</v>
      </c>
      <c r="Q120" s="13" t="s">
        <v>618</v>
      </c>
      <c r="R120" s="246" t="str">
        <f>VLOOKUP(P120,'Dados das Regiões '!A:B,2,0)</f>
        <v>CAMPO MOURÃO</v>
      </c>
      <c r="S120" s="13" t="s">
        <v>4219</v>
      </c>
      <c r="U120" s="79" t="s">
        <v>4220</v>
      </c>
      <c r="V120" s="13" t="s">
        <v>4221</v>
      </c>
      <c r="W120" s="13" t="s">
        <v>4222</v>
      </c>
      <c r="X120" s="15">
        <v>0.54166666666666663</v>
      </c>
      <c r="Y120" s="516">
        <v>0.625</v>
      </c>
      <c r="Z120" s="16" t="s">
        <v>622</v>
      </c>
      <c r="AB120" s="164">
        <v>202500118</v>
      </c>
      <c r="AC120" s="55" t="s">
        <v>25</v>
      </c>
      <c r="AD120" s="40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</row>
    <row r="121" spans="1:44">
      <c r="B121" s="13" t="str">
        <f t="shared" si="92"/>
        <v>Pendente</v>
      </c>
      <c r="C121" s="14" t="str">
        <f t="shared" ref="C121:C183" si="125">IF(A121="", "", EDATE(A121, 3))</f>
        <v/>
      </c>
      <c r="D121" s="13" t="s">
        <v>611</v>
      </c>
      <c r="E121" s="14" t="str">
        <f t="shared" ref="E121" si="126">IF(C121="", "", EDATE(C121, 3))</f>
        <v/>
      </c>
      <c r="F121" s="13" t="s">
        <v>611</v>
      </c>
      <c r="G121" s="40">
        <v>202500118</v>
      </c>
      <c r="H121" s="13" t="s">
        <v>4223</v>
      </c>
      <c r="I121" s="13" t="s">
        <v>613</v>
      </c>
      <c r="J121" s="14">
        <v>45705</v>
      </c>
      <c r="K121" s="14">
        <v>46064</v>
      </c>
      <c r="L121" s="13" t="s">
        <v>4224</v>
      </c>
      <c r="M121" s="13" t="s">
        <v>4225</v>
      </c>
      <c r="N121" s="13" t="s">
        <v>4226</v>
      </c>
      <c r="O121" s="13" t="s">
        <v>2621</v>
      </c>
      <c r="P121" s="79" t="s">
        <v>491</v>
      </c>
      <c r="Q121" s="13" t="s">
        <v>618</v>
      </c>
      <c r="R121" s="246" t="str">
        <f>VLOOKUP(P121,'Dados das Regiões '!A:B,2,0)</f>
        <v>UMUARAMA</v>
      </c>
      <c r="S121" s="13" t="s">
        <v>4227</v>
      </c>
      <c r="V121" s="13" t="s">
        <v>4228</v>
      </c>
      <c r="W121" s="13" t="s">
        <v>4229</v>
      </c>
      <c r="X121" s="15">
        <v>0.33333333333333331</v>
      </c>
      <c r="Y121" s="516">
        <v>0.41666666666666669</v>
      </c>
      <c r="Z121" s="16" t="s">
        <v>622</v>
      </c>
      <c r="AB121" s="164">
        <v>202500118</v>
      </c>
      <c r="AC121" s="55" t="s">
        <v>25</v>
      </c>
      <c r="AD121" s="40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</row>
    <row r="122" spans="1:44">
      <c r="B122" s="13" t="str">
        <f t="shared" si="92"/>
        <v>Pendente</v>
      </c>
      <c r="C122" s="14" t="str">
        <f t="shared" si="125"/>
        <v/>
      </c>
      <c r="D122" s="13" t="s">
        <v>611</v>
      </c>
      <c r="E122" s="14" t="str">
        <f t="shared" ref="E122" si="127">IF(C122="", "", EDATE(C122, 3))</f>
        <v/>
      </c>
      <c r="F122" s="13" t="s">
        <v>611</v>
      </c>
      <c r="G122" s="40">
        <v>202500118</v>
      </c>
      <c r="H122" s="13" t="s">
        <v>4230</v>
      </c>
      <c r="I122" s="13" t="s">
        <v>613</v>
      </c>
      <c r="J122" s="14">
        <v>45705</v>
      </c>
      <c r="K122" s="14">
        <v>46064</v>
      </c>
      <c r="L122" s="13" t="s">
        <v>4231</v>
      </c>
      <c r="M122" s="13" t="s">
        <v>4232</v>
      </c>
      <c r="N122" s="13" t="s">
        <v>2620</v>
      </c>
      <c r="O122" s="13" t="s">
        <v>2621</v>
      </c>
      <c r="P122" s="79" t="s">
        <v>491</v>
      </c>
      <c r="Q122" s="13" t="s">
        <v>618</v>
      </c>
      <c r="R122" s="246" t="str">
        <f>VLOOKUP(P122,'Dados das Regiões '!A:B,2,0)</f>
        <v>UMUARAMA</v>
      </c>
      <c r="S122" s="13" t="s">
        <v>3814</v>
      </c>
      <c r="U122" s="79" t="s">
        <v>3780</v>
      </c>
      <c r="V122" s="13" t="s">
        <v>3815</v>
      </c>
      <c r="W122" s="13" t="s">
        <v>4233</v>
      </c>
      <c r="X122" s="15">
        <v>0.33333333333333331</v>
      </c>
      <c r="Y122" s="516">
        <v>0.41666666666666669</v>
      </c>
      <c r="Z122" s="16" t="s">
        <v>622</v>
      </c>
      <c r="AB122" s="164">
        <v>202500118</v>
      </c>
      <c r="AC122" s="55" t="s">
        <v>25</v>
      </c>
      <c r="AD122" s="40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</row>
    <row r="123" spans="1:44">
      <c r="B123" s="13" t="str">
        <f t="shared" si="92"/>
        <v>Pendente</v>
      </c>
      <c r="C123" s="14" t="str">
        <f t="shared" si="125"/>
        <v/>
      </c>
      <c r="D123" s="13" t="s">
        <v>611</v>
      </c>
      <c r="E123" s="14" t="str">
        <f t="shared" ref="E123" si="128">IF(C123="", "", EDATE(C123, 3))</f>
        <v/>
      </c>
      <c r="F123" s="13" t="s">
        <v>611</v>
      </c>
      <c r="G123" s="40">
        <v>202500118</v>
      </c>
      <c r="H123" s="13" t="s">
        <v>4234</v>
      </c>
      <c r="I123" s="13" t="s">
        <v>613</v>
      </c>
      <c r="J123" s="14">
        <v>45705</v>
      </c>
      <c r="K123" s="14">
        <v>46064</v>
      </c>
      <c r="L123" s="13" t="s">
        <v>4235</v>
      </c>
      <c r="M123" s="13" t="s">
        <v>4236</v>
      </c>
      <c r="N123" s="13" t="s">
        <v>4237</v>
      </c>
      <c r="O123" s="13" t="s">
        <v>2621</v>
      </c>
      <c r="P123" s="79" t="s">
        <v>491</v>
      </c>
      <c r="Q123" s="13" t="s">
        <v>618</v>
      </c>
      <c r="R123" s="246" t="str">
        <f>VLOOKUP(P123,'Dados das Regiões '!A:B,2,0)</f>
        <v>UMUARAMA</v>
      </c>
      <c r="S123" s="13" t="s">
        <v>4238</v>
      </c>
      <c r="V123" s="13" t="s">
        <v>4239</v>
      </c>
      <c r="W123" s="13" t="s">
        <v>4240</v>
      </c>
      <c r="X123" s="15">
        <v>0.33333333333333331</v>
      </c>
      <c r="Y123" s="516">
        <v>0.41666666666666669</v>
      </c>
      <c r="Z123" s="16" t="s">
        <v>622</v>
      </c>
      <c r="AB123" s="164">
        <v>202500118</v>
      </c>
      <c r="AC123" s="55" t="s">
        <v>25</v>
      </c>
      <c r="AD123" s="40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44">
      <c r="B124" s="13" t="str">
        <f t="shared" si="92"/>
        <v>Pendente</v>
      </c>
      <c r="C124" s="14" t="str">
        <f t="shared" si="125"/>
        <v/>
      </c>
      <c r="D124" s="13" t="s">
        <v>611</v>
      </c>
      <c r="E124" s="14" t="str">
        <f t="shared" ref="E124" si="129">IF(C124="", "", EDATE(C124, 3))</f>
        <v/>
      </c>
      <c r="F124" s="13" t="s">
        <v>611</v>
      </c>
      <c r="G124" s="40">
        <v>202500118</v>
      </c>
      <c r="H124" s="13" t="s">
        <v>4241</v>
      </c>
      <c r="I124" s="13" t="s">
        <v>613</v>
      </c>
      <c r="J124" s="14">
        <v>45705</v>
      </c>
      <c r="K124" s="14">
        <v>46064</v>
      </c>
      <c r="L124" s="13" t="s">
        <v>4242</v>
      </c>
      <c r="M124" s="13" t="s">
        <v>4243</v>
      </c>
      <c r="N124" s="13" t="s">
        <v>4244</v>
      </c>
      <c r="O124" s="13" t="s">
        <v>2621</v>
      </c>
      <c r="P124" s="79" t="s">
        <v>491</v>
      </c>
      <c r="Q124" s="13" t="s">
        <v>618</v>
      </c>
      <c r="R124" s="246" t="str">
        <f>VLOOKUP(P124,'Dados das Regiões '!A:B,2,0)</f>
        <v>UMUARAMA</v>
      </c>
      <c r="S124" s="13" t="s">
        <v>4245</v>
      </c>
      <c r="V124" s="13" t="s">
        <v>4246</v>
      </c>
      <c r="W124" s="13" t="s">
        <v>4247</v>
      </c>
      <c r="X124" s="15">
        <v>0.33333333333333331</v>
      </c>
      <c r="Y124" s="516">
        <v>0.41666666666666669</v>
      </c>
      <c r="Z124" s="16" t="s">
        <v>622</v>
      </c>
      <c r="AB124" s="164">
        <v>202500118</v>
      </c>
      <c r="AC124" s="55" t="s">
        <v>25</v>
      </c>
      <c r="AD124" s="40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</row>
    <row r="125" spans="1:44">
      <c r="B125" s="13" t="str">
        <f t="shared" si="92"/>
        <v>Pendente</v>
      </c>
      <c r="C125" s="14" t="str">
        <f t="shared" si="125"/>
        <v/>
      </c>
      <c r="D125" s="13" t="s">
        <v>611</v>
      </c>
      <c r="E125" s="14" t="str">
        <f t="shared" ref="E125" si="130">IF(C125="", "", EDATE(C125, 3))</f>
        <v/>
      </c>
      <c r="F125" s="13" t="s">
        <v>611</v>
      </c>
      <c r="G125" s="40">
        <v>202500118</v>
      </c>
      <c r="H125" s="13" t="s">
        <v>4248</v>
      </c>
      <c r="I125" s="13" t="s">
        <v>613</v>
      </c>
      <c r="J125" s="14">
        <v>45705</v>
      </c>
      <c r="K125" s="14">
        <v>46064</v>
      </c>
      <c r="L125" s="13" t="s">
        <v>4224</v>
      </c>
      <c r="M125" s="13" t="s">
        <v>4225</v>
      </c>
      <c r="N125" s="13" t="s">
        <v>4226</v>
      </c>
      <c r="O125" s="13" t="s">
        <v>2621</v>
      </c>
      <c r="P125" s="79" t="s">
        <v>491</v>
      </c>
      <c r="Q125" s="13" t="s">
        <v>618</v>
      </c>
      <c r="R125" s="246" t="str">
        <f>VLOOKUP(P125,'Dados das Regiões '!A:B,2,0)</f>
        <v>UMUARAMA</v>
      </c>
      <c r="S125" s="13" t="s">
        <v>4227</v>
      </c>
      <c r="V125" s="13" t="s">
        <v>4249</v>
      </c>
      <c r="W125" s="13" t="s">
        <v>4229</v>
      </c>
      <c r="X125" s="15">
        <v>0.58333333333333337</v>
      </c>
      <c r="Y125" s="516">
        <v>0.66666666666666663</v>
      </c>
      <c r="Z125" s="16" t="s">
        <v>622</v>
      </c>
      <c r="AB125" s="164">
        <v>202500118</v>
      </c>
      <c r="AC125" s="55" t="s">
        <v>25</v>
      </c>
      <c r="AD125" s="40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</row>
    <row r="126" spans="1:44">
      <c r="B126" s="13" t="str">
        <f t="shared" si="92"/>
        <v>Pendente</v>
      </c>
      <c r="C126" s="14" t="str">
        <f t="shared" si="125"/>
        <v/>
      </c>
      <c r="D126" s="13" t="s">
        <v>611</v>
      </c>
      <c r="E126" s="14" t="str">
        <f t="shared" ref="E126" si="131">IF(C126="", "", EDATE(C126, 3))</f>
        <v/>
      </c>
      <c r="F126" s="13" t="s">
        <v>611</v>
      </c>
      <c r="G126" s="40">
        <v>202500118</v>
      </c>
      <c r="H126" s="13" t="s">
        <v>4250</v>
      </c>
      <c r="I126" s="13" t="s">
        <v>613</v>
      </c>
      <c r="J126" s="14">
        <v>45705</v>
      </c>
      <c r="K126" s="14">
        <v>46064</v>
      </c>
      <c r="L126" s="13" t="s">
        <v>4235</v>
      </c>
      <c r="M126" s="13" t="s">
        <v>4236</v>
      </c>
      <c r="N126" s="13" t="s">
        <v>4237</v>
      </c>
      <c r="O126" s="13" t="s">
        <v>2621</v>
      </c>
      <c r="P126" s="79" t="s">
        <v>491</v>
      </c>
      <c r="Q126" s="13" t="s">
        <v>618</v>
      </c>
      <c r="R126" s="246" t="str">
        <f>VLOOKUP(P126,'Dados das Regiões '!A:B,2,0)</f>
        <v>UMUARAMA</v>
      </c>
      <c r="S126" s="13" t="s">
        <v>4251</v>
      </c>
      <c r="U126" s="79" t="s">
        <v>3780</v>
      </c>
      <c r="V126" s="13" t="s">
        <v>4252</v>
      </c>
      <c r="W126" s="13" t="s">
        <v>4253</v>
      </c>
      <c r="X126" s="15">
        <v>0.58333333333333337</v>
      </c>
      <c r="Y126" s="516">
        <v>0.66666666666666663</v>
      </c>
      <c r="Z126" s="16" t="s">
        <v>622</v>
      </c>
      <c r="AB126" s="164">
        <v>202500118</v>
      </c>
      <c r="AC126" s="55" t="s">
        <v>25</v>
      </c>
      <c r="AD126" s="40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</row>
    <row r="127" spans="1:44">
      <c r="B127" s="13" t="str">
        <f t="shared" si="92"/>
        <v>Pendente</v>
      </c>
      <c r="C127" s="14" t="str">
        <f t="shared" si="125"/>
        <v/>
      </c>
      <c r="D127" s="13" t="s">
        <v>611</v>
      </c>
      <c r="E127" s="14" t="str">
        <f t="shared" ref="E127" si="132">IF(C127="", "", EDATE(C127, 3))</f>
        <v/>
      </c>
      <c r="F127" s="13" t="s">
        <v>611</v>
      </c>
      <c r="G127" s="40">
        <v>202500118</v>
      </c>
      <c r="H127" s="13" t="s">
        <v>4254</v>
      </c>
      <c r="I127" s="13" t="s">
        <v>613</v>
      </c>
      <c r="J127" s="14">
        <v>45705</v>
      </c>
      <c r="K127" s="14">
        <v>46064</v>
      </c>
      <c r="L127" s="13" t="s">
        <v>4231</v>
      </c>
      <c r="M127" s="13" t="s">
        <v>4232</v>
      </c>
      <c r="N127" s="13" t="s">
        <v>2620</v>
      </c>
      <c r="O127" s="13" t="s">
        <v>2621</v>
      </c>
      <c r="P127" s="79" t="s">
        <v>491</v>
      </c>
      <c r="Q127" s="13" t="s">
        <v>618</v>
      </c>
      <c r="R127" s="246" t="str">
        <f>VLOOKUP(P127,'Dados das Regiões '!A:B,2,0)</f>
        <v>UMUARAMA</v>
      </c>
      <c r="S127" s="13" t="s">
        <v>4255</v>
      </c>
      <c r="V127" s="13" t="s">
        <v>4256</v>
      </c>
      <c r="W127" s="13" t="s">
        <v>4257</v>
      </c>
      <c r="X127" s="15">
        <v>0.33333333333333331</v>
      </c>
      <c r="Y127" s="516">
        <v>0.41666666666666669</v>
      </c>
      <c r="Z127" s="16" t="s">
        <v>622</v>
      </c>
      <c r="AB127" s="164">
        <v>202500118</v>
      </c>
      <c r="AC127" s="55" t="s">
        <v>25</v>
      </c>
      <c r="AD127" s="40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</row>
    <row r="128" spans="1:44">
      <c r="B128" s="13" t="str">
        <f t="shared" si="92"/>
        <v>Pendente</v>
      </c>
      <c r="C128" s="14" t="str">
        <f t="shared" si="125"/>
        <v/>
      </c>
      <c r="D128" s="13" t="s">
        <v>611</v>
      </c>
      <c r="E128" s="14" t="str">
        <f t="shared" ref="E128" si="133">IF(C128="", "", EDATE(C128, 3))</f>
        <v/>
      </c>
      <c r="F128" s="13" t="s">
        <v>611</v>
      </c>
      <c r="G128" s="40">
        <v>202500118</v>
      </c>
      <c r="H128" s="13" t="s">
        <v>4258</v>
      </c>
      <c r="I128" s="13" t="s">
        <v>613</v>
      </c>
      <c r="J128" s="14">
        <v>45705</v>
      </c>
      <c r="K128" s="14">
        <v>46064</v>
      </c>
      <c r="L128" s="13" t="s">
        <v>4231</v>
      </c>
      <c r="M128" s="13" t="s">
        <v>4232</v>
      </c>
      <c r="N128" s="13" t="s">
        <v>2620</v>
      </c>
      <c r="O128" s="13" t="s">
        <v>2621</v>
      </c>
      <c r="P128" s="79" t="s">
        <v>491</v>
      </c>
      <c r="Q128" s="13" t="s">
        <v>618</v>
      </c>
      <c r="R128" s="246" t="str">
        <f>VLOOKUP(P128,'Dados das Regiões '!A:B,2,0)</f>
        <v>UMUARAMA</v>
      </c>
      <c r="S128" s="13" t="s">
        <v>4259</v>
      </c>
      <c r="V128" s="13" t="s">
        <v>4260</v>
      </c>
      <c r="W128" s="13" t="s">
        <v>4261</v>
      </c>
      <c r="X128" s="15">
        <v>0.58333333333333337</v>
      </c>
      <c r="Y128" s="516">
        <v>0.66666666666666663</v>
      </c>
      <c r="Z128" s="16" t="s">
        <v>622</v>
      </c>
      <c r="AB128" s="164">
        <v>202500118</v>
      </c>
      <c r="AC128" s="55" t="s">
        <v>25</v>
      </c>
      <c r="AD128" s="40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</row>
    <row r="129" spans="1:44">
      <c r="B129" s="13" t="str">
        <f t="shared" si="92"/>
        <v>Pendente</v>
      </c>
      <c r="C129" s="14" t="str">
        <f t="shared" si="125"/>
        <v/>
      </c>
      <c r="D129" s="13" t="s">
        <v>611</v>
      </c>
      <c r="E129" s="14" t="str">
        <f t="shared" ref="E129" si="134">IF(C129="", "", EDATE(C129, 3))</f>
        <v/>
      </c>
      <c r="F129" s="13" t="s">
        <v>611</v>
      </c>
      <c r="G129" s="40">
        <v>202500118</v>
      </c>
      <c r="H129" s="13" t="s">
        <v>4262</v>
      </c>
      <c r="I129" s="13" t="s">
        <v>613</v>
      </c>
      <c r="J129" s="14">
        <v>45705</v>
      </c>
      <c r="K129" s="14">
        <v>46064</v>
      </c>
      <c r="L129" s="13" t="s">
        <v>4235</v>
      </c>
      <c r="M129" s="13" t="s">
        <v>4236</v>
      </c>
      <c r="N129" s="13" t="s">
        <v>4237</v>
      </c>
      <c r="O129" s="13" t="s">
        <v>2621</v>
      </c>
      <c r="P129" s="79" t="s">
        <v>491</v>
      </c>
      <c r="Q129" s="13" t="s">
        <v>618</v>
      </c>
      <c r="R129" s="246" t="str">
        <f>VLOOKUP(P129,'Dados das Regiões '!A:B,2,0)</f>
        <v>UMUARAMA</v>
      </c>
      <c r="S129" s="13" t="s">
        <v>4263</v>
      </c>
      <c r="U129" s="79" t="s">
        <v>3780</v>
      </c>
      <c r="V129" s="13" t="s">
        <v>4264</v>
      </c>
      <c r="W129" s="13" t="s">
        <v>4265</v>
      </c>
      <c r="X129" s="15">
        <v>0.58333333333333337</v>
      </c>
      <c r="Y129" s="516">
        <v>0.66666666666666663</v>
      </c>
      <c r="Z129" s="16" t="s">
        <v>622</v>
      </c>
      <c r="AB129" s="164">
        <v>202500118</v>
      </c>
      <c r="AC129" s="55" t="s">
        <v>25</v>
      </c>
      <c r="AD129" s="40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</row>
    <row r="130" spans="1:44">
      <c r="B130" s="13" t="str">
        <f t="shared" si="92"/>
        <v>Pendente</v>
      </c>
      <c r="C130" s="14" t="str">
        <f t="shared" si="125"/>
        <v/>
      </c>
      <c r="D130" s="13" t="s">
        <v>611</v>
      </c>
      <c r="E130" s="14" t="str">
        <f t="shared" ref="E130" si="135">IF(C130="", "", EDATE(C130, 3))</f>
        <v/>
      </c>
      <c r="F130" s="13" t="s">
        <v>611</v>
      </c>
      <c r="G130" s="40">
        <v>202500118</v>
      </c>
      <c r="H130" s="13" t="s">
        <v>4266</v>
      </c>
      <c r="I130" s="13" t="s">
        <v>613</v>
      </c>
      <c r="J130" s="14">
        <v>45705</v>
      </c>
      <c r="K130" s="14">
        <v>46064</v>
      </c>
      <c r="L130" s="13" t="s">
        <v>4235</v>
      </c>
      <c r="M130" s="13" t="s">
        <v>4236</v>
      </c>
      <c r="N130" s="13" t="s">
        <v>4237</v>
      </c>
      <c r="O130" s="13" t="s">
        <v>2621</v>
      </c>
      <c r="P130" s="79" t="s">
        <v>491</v>
      </c>
      <c r="Q130" s="13" t="s">
        <v>618</v>
      </c>
      <c r="R130" s="246" t="str">
        <f>VLOOKUP(P130,'Dados das Regiões '!A:B,2,0)</f>
        <v>UMUARAMA</v>
      </c>
      <c r="S130" s="13" t="s">
        <v>3817</v>
      </c>
      <c r="V130" s="13" t="s">
        <v>4267</v>
      </c>
      <c r="W130" s="13" t="s">
        <v>3818</v>
      </c>
      <c r="X130" s="15">
        <v>0.33333333333333331</v>
      </c>
      <c r="Y130" s="516">
        <v>0.41666666666666669</v>
      </c>
      <c r="Z130" s="16" t="s">
        <v>622</v>
      </c>
      <c r="AB130" s="164">
        <v>202500118</v>
      </c>
      <c r="AC130" s="55" t="s">
        <v>25</v>
      </c>
      <c r="AD130" s="40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</row>
    <row r="131" spans="1:44">
      <c r="B131" s="13" t="str">
        <f t="shared" si="92"/>
        <v>Pendente</v>
      </c>
      <c r="C131" s="14" t="str">
        <f t="shared" si="125"/>
        <v/>
      </c>
      <c r="D131" s="13" t="s">
        <v>611</v>
      </c>
      <c r="E131" s="14" t="str">
        <f t="shared" ref="E131" si="136">IF(C131="", "", EDATE(C131, 3))</f>
        <v/>
      </c>
      <c r="F131" s="13" t="s">
        <v>611</v>
      </c>
      <c r="G131" s="40">
        <v>202500118</v>
      </c>
      <c r="H131" s="13" t="s">
        <v>4268</v>
      </c>
      <c r="I131" s="13" t="s">
        <v>613</v>
      </c>
      <c r="J131" s="14">
        <v>45705</v>
      </c>
      <c r="K131" s="14">
        <v>46064</v>
      </c>
      <c r="L131" s="13" t="s">
        <v>4231</v>
      </c>
      <c r="M131" s="13" t="s">
        <v>4232</v>
      </c>
      <c r="N131" s="13" t="s">
        <v>2620</v>
      </c>
      <c r="O131" s="13" t="s">
        <v>2621</v>
      </c>
      <c r="P131" s="79" t="s">
        <v>491</v>
      </c>
      <c r="Q131" s="13" t="s">
        <v>618</v>
      </c>
      <c r="R131" s="246" t="str">
        <f>VLOOKUP(P131,'Dados das Regiões '!A:B,2,0)</f>
        <v>UMUARAMA</v>
      </c>
      <c r="S131" s="13" t="s">
        <v>3814</v>
      </c>
      <c r="V131" s="13" t="s">
        <v>3815</v>
      </c>
      <c r="W131" s="13" t="s">
        <v>4233</v>
      </c>
      <c r="X131" s="15">
        <v>0.33333333333333331</v>
      </c>
      <c r="Y131" s="516">
        <v>0.41666666666666669</v>
      </c>
      <c r="Z131" s="16" t="s">
        <v>622</v>
      </c>
      <c r="AB131" s="164">
        <v>202500118</v>
      </c>
      <c r="AC131" s="55" t="s">
        <v>25</v>
      </c>
      <c r="AD131" s="40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</row>
    <row r="132" spans="1:44">
      <c r="B132" s="13" t="str">
        <f t="shared" si="92"/>
        <v>Pendente</v>
      </c>
      <c r="C132" s="14" t="str">
        <f t="shared" si="125"/>
        <v/>
      </c>
      <c r="D132" s="13" t="s">
        <v>611</v>
      </c>
      <c r="E132" s="14" t="str">
        <f t="shared" ref="E132" si="137">IF(C132="", "", EDATE(C132, 3))</f>
        <v/>
      </c>
      <c r="F132" s="13" t="s">
        <v>611</v>
      </c>
      <c r="G132" s="40">
        <v>202500118</v>
      </c>
      <c r="H132" s="13" t="s">
        <v>4269</v>
      </c>
      <c r="I132" s="13" t="s">
        <v>613</v>
      </c>
      <c r="J132" s="14">
        <v>45705</v>
      </c>
      <c r="K132" s="14">
        <v>46064</v>
      </c>
      <c r="L132" s="13" t="s">
        <v>4231</v>
      </c>
      <c r="M132" s="13" t="s">
        <v>4232</v>
      </c>
      <c r="N132" s="13" t="s">
        <v>2620</v>
      </c>
      <c r="O132" s="13" t="s">
        <v>2621</v>
      </c>
      <c r="P132" s="79" t="s">
        <v>491</v>
      </c>
      <c r="Q132" s="13" t="s">
        <v>618</v>
      </c>
      <c r="R132" s="246" t="str">
        <f>VLOOKUP(P132,'Dados das Regiões '!A:B,2,0)</f>
        <v>UMUARAMA</v>
      </c>
      <c r="S132" s="13" t="s">
        <v>4270</v>
      </c>
      <c r="V132" s="13" t="s">
        <v>4271</v>
      </c>
      <c r="W132" s="13" t="s">
        <v>4272</v>
      </c>
      <c r="X132" s="15">
        <v>0.33333333333333331</v>
      </c>
      <c r="Y132" s="516">
        <v>0.41666666666666669</v>
      </c>
      <c r="Z132" s="16" t="s">
        <v>622</v>
      </c>
      <c r="AB132" s="164">
        <v>202500118</v>
      </c>
      <c r="AC132" s="55" t="s">
        <v>25</v>
      </c>
      <c r="AD132" s="40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</row>
    <row r="133" spans="1:44">
      <c r="B133" s="13" t="str">
        <f t="shared" si="92"/>
        <v>Pendente</v>
      </c>
      <c r="C133" s="14" t="str">
        <f t="shared" si="125"/>
        <v/>
      </c>
      <c r="D133" s="13" t="s">
        <v>611</v>
      </c>
      <c r="E133" s="14" t="str">
        <f t="shared" ref="E133" si="138">IF(C133="", "", EDATE(C133, 3))</f>
        <v/>
      </c>
      <c r="F133" s="13" t="s">
        <v>611</v>
      </c>
      <c r="G133" s="40">
        <v>202500118</v>
      </c>
      <c r="H133" s="13" t="s">
        <v>4273</v>
      </c>
      <c r="I133" s="13" t="s">
        <v>613</v>
      </c>
      <c r="J133" s="14">
        <v>45705</v>
      </c>
      <c r="K133" s="14">
        <v>46064</v>
      </c>
      <c r="L133" s="13" t="s">
        <v>4274</v>
      </c>
      <c r="M133" s="13" t="s">
        <v>4275</v>
      </c>
      <c r="N133" s="13" t="s">
        <v>4276</v>
      </c>
      <c r="O133" s="13" t="s">
        <v>2621</v>
      </c>
      <c r="P133" s="79" t="s">
        <v>491</v>
      </c>
      <c r="Q133" s="13" t="s">
        <v>618</v>
      </c>
      <c r="R133" s="246" t="str">
        <f>VLOOKUP(P133,'Dados das Regiões '!A:B,2,0)</f>
        <v>UMUARAMA</v>
      </c>
      <c r="S133" s="13" t="s">
        <v>4277</v>
      </c>
      <c r="V133" s="13" t="s">
        <v>4278</v>
      </c>
      <c r="W133" s="13" t="s">
        <v>4279</v>
      </c>
      <c r="X133" s="15">
        <v>0.58333333333333337</v>
      </c>
      <c r="Y133" s="516">
        <v>0.66666666666666663</v>
      </c>
      <c r="Z133" s="16" t="s">
        <v>622</v>
      </c>
      <c r="AB133" s="164">
        <v>202500118</v>
      </c>
      <c r="AC133" s="55" t="s">
        <v>25</v>
      </c>
      <c r="AD133" s="40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</row>
    <row r="134" spans="1:44">
      <c r="B134" s="13" t="str">
        <f t="shared" si="92"/>
        <v>Pendente</v>
      </c>
      <c r="C134" s="14" t="str">
        <f t="shared" si="125"/>
        <v/>
      </c>
      <c r="D134" s="13" t="s">
        <v>611</v>
      </c>
      <c r="E134" s="14" t="str">
        <f t="shared" ref="E134" si="139">IF(C134="", "", EDATE(C134, 3))</f>
        <v/>
      </c>
      <c r="F134" s="13" t="s">
        <v>611</v>
      </c>
      <c r="G134" s="40">
        <v>202500118</v>
      </c>
      <c r="H134" s="13" t="s">
        <v>4280</v>
      </c>
      <c r="I134" s="13" t="s">
        <v>613</v>
      </c>
      <c r="J134" s="14">
        <v>45705</v>
      </c>
      <c r="K134" s="14">
        <v>46064</v>
      </c>
      <c r="L134" s="13" t="s">
        <v>4231</v>
      </c>
      <c r="M134" s="13" t="s">
        <v>4232</v>
      </c>
      <c r="N134" s="13" t="s">
        <v>2620</v>
      </c>
      <c r="O134" s="13" t="s">
        <v>2621</v>
      </c>
      <c r="P134" s="79" t="s">
        <v>491</v>
      </c>
      <c r="Q134" s="13" t="s">
        <v>618</v>
      </c>
      <c r="R134" s="246" t="str">
        <f>VLOOKUP(P134,'Dados das Regiões '!A:B,2,0)</f>
        <v>UMUARAMA</v>
      </c>
      <c r="S134" s="13" t="s">
        <v>3814</v>
      </c>
      <c r="V134" s="13" t="s">
        <v>3815</v>
      </c>
      <c r="W134" s="13" t="s">
        <v>4233</v>
      </c>
      <c r="X134" s="15">
        <v>0.58333333333333337</v>
      </c>
      <c r="Y134" s="516">
        <v>0.66666666666666663</v>
      </c>
      <c r="Z134" s="16" t="s">
        <v>622</v>
      </c>
      <c r="AB134" s="164">
        <v>202500118</v>
      </c>
      <c r="AC134" s="55" t="s">
        <v>25</v>
      </c>
      <c r="AD134" s="40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</row>
    <row r="135" spans="1:44">
      <c r="B135" s="13" t="str">
        <f t="shared" si="92"/>
        <v>Pendente</v>
      </c>
      <c r="C135" s="14" t="str">
        <f t="shared" si="125"/>
        <v/>
      </c>
      <c r="D135" s="13" t="s">
        <v>611</v>
      </c>
      <c r="E135" s="14" t="str">
        <f t="shared" ref="E135" si="140">IF(C135="", "", EDATE(C135, 3))</f>
        <v/>
      </c>
      <c r="F135" s="13" t="s">
        <v>611</v>
      </c>
      <c r="G135" s="40">
        <v>202500118</v>
      </c>
      <c r="H135" s="13" t="s">
        <v>4281</v>
      </c>
      <c r="I135" s="13" t="s">
        <v>613</v>
      </c>
      <c r="J135" s="14">
        <v>45705</v>
      </c>
      <c r="K135" s="14">
        <v>46064</v>
      </c>
      <c r="L135" s="13" t="s">
        <v>4235</v>
      </c>
      <c r="M135" s="13" t="s">
        <v>4236</v>
      </c>
      <c r="N135" s="13" t="s">
        <v>4237</v>
      </c>
      <c r="O135" s="13" t="s">
        <v>2621</v>
      </c>
      <c r="P135" s="79" t="s">
        <v>491</v>
      </c>
      <c r="Q135" s="13" t="s">
        <v>618</v>
      </c>
      <c r="R135" s="246" t="str">
        <f>VLOOKUP(P135,'Dados das Regiões '!A:B,2,0)</f>
        <v>UMUARAMA</v>
      </c>
      <c r="S135" s="13" t="s">
        <v>4282</v>
      </c>
      <c r="U135" s="79" t="s">
        <v>3780</v>
      </c>
      <c r="V135" s="13" t="s">
        <v>4283</v>
      </c>
      <c r="W135" s="13" t="s">
        <v>4284</v>
      </c>
      <c r="X135" s="15">
        <v>0.33333333333333331</v>
      </c>
      <c r="Y135" s="516">
        <v>0.41666666666666669</v>
      </c>
      <c r="Z135" s="16" t="s">
        <v>622</v>
      </c>
      <c r="AB135" s="164">
        <v>202500118</v>
      </c>
      <c r="AC135" s="55" t="s">
        <v>25</v>
      </c>
      <c r="AD135" s="40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</row>
    <row r="136" spans="1:44">
      <c r="B136" s="13" t="str">
        <f t="shared" si="92"/>
        <v>Pendente</v>
      </c>
      <c r="C136" s="14" t="str">
        <f t="shared" si="125"/>
        <v/>
      </c>
      <c r="D136" s="13" t="s">
        <v>611</v>
      </c>
      <c r="E136" s="14" t="str">
        <f t="shared" ref="E136" si="141">IF(C136="", "", EDATE(C136, 3))</f>
        <v/>
      </c>
      <c r="F136" s="13" t="s">
        <v>611</v>
      </c>
      <c r="G136" s="40">
        <v>202500118</v>
      </c>
      <c r="H136" s="13" t="s">
        <v>4285</v>
      </c>
      <c r="I136" s="13" t="s">
        <v>613</v>
      </c>
      <c r="J136" s="14">
        <v>45705</v>
      </c>
      <c r="K136" s="14">
        <v>46064</v>
      </c>
      <c r="L136" s="13" t="s">
        <v>4231</v>
      </c>
      <c r="M136" s="13" t="s">
        <v>4232</v>
      </c>
      <c r="N136" s="13" t="s">
        <v>2620</v>
      </c>
      <c r="O136" s="13" t="s">
        <v>2621</v>
      </c>
      <c r="P136" s="79" t="s">
        <v>491</v>
      </c>
      <c r="Q136" s="13" t="s">
        <v>618</v>
      </c>
      <c r="R136" s="246" t="str">
        <f>VLOOKUP(P136,'Dados das Regiões '!A:B,2,0)</f>
        <v>UMUARAMA</v>
      </c>
      <c r="S136" s="13" t="s">
        <v>4286</v>
      </c>
      <c r="V136" s="13" t="s">
        <v>4287</v>
      </c>
      <c r="W136" s="13" t="s">
        <v>4288</v>
      </c>
      <c r="X136" s="15">
        <v>0.33333333333333331</v>
      </c>
      <c r="Y136" s="516">
        <v>0.41666666666666669</v>
      </c>
      <c r="Z136" s="16" t="s">
        <v>622</v>
      </c>
      <c r="AB136" s="164">
        <v>202500118</v>
      </c>
      <c r="AC136" s="55" t="s">
        <v>25</v>
      </c>
      <c r="AD136" s="40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</row>
    <row r="137" spans="1:44">
      <c r="B137" s="13" t="str">
        <f t="shared" si="92"/>
        <v>Pendente</v>
      </c>
      <c r="C137" s="14" t="str">
        <f t="shared" si="125"/>
        <v/>
      </c>
      <c r="D137" s="13" t="s">
        <v>611</v>
      </c>
      <c r="E137" s="14" t="str">
        <f t="shared" ref="E137" si="142">IF(C137="", "", EDATE(C137, 3))</f>
        <v/>
      </c>
      <c r="F137" s="13" t="s">
        <v>611</v>
      </c>
      <c r="G137" s="40">
        <v>202500118</v>
      </c>
      <c r="H137" s="13" t="s">
        <v>4289</v>
      </c>
      <c r="I137" s="13" t="s">
        <v>613</v>
      </c>
      <c r="J137" s="14">
        <v>45705</v>
      </c>
      <c r="K137" s="14">
        <v>46064</v>
      </c>
      <c r="L137" s="13" t="s">
        <v>4231</v>
      </c>
      <c r="M137" s="13" t="s">
        <v>4232</v>
      </c>
      <c r="N137" s="13" t="s">
        <v>2620</v>
      </c>
      <c r="O137" s="13" t="s">
        <v>2621</v>
      </c>
      <c r="P137" s="79" t="s">
        <v>491</v>
      </c>
      <c r="Q137" s="13" t="s">
        <v>618</v>
      </c>
      <c r="R137" s="246" t="str">
        <f>VLOOKUP(P137,'Dados das Regiões '!A:B,2,0)</f>
        <v>UMUARAMA</v>
      </c>
      <c r="S137" s="13" t="s">
        <v>4290</v>
      </c>
      <c r="U137" s="79" t="s">
        <v>4291</v>
      </c>
      <c r="V137" s="13" t="s">
        <v>4291</v>
      </c>
      <c r="W137" s="13" t="s">
        <v>4292</v>
      </c>
      <c r="X137" s="15">
        <v>0.58333333333333337</v>
      </c>
      <c r="Y137" s="516">
        <v>0.66666666666666663</v>
      </c>
      <c r="Z137" s="16" t="s">
        <v>622</v>
      </c>
      <c r="AB137" s="164">
        <v>202500118</v>
      </c>
      <c r="AC137" s="55" t="s">
        <v>25</v>
      </c>
      <c r="AD137" s="40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</row>
    <row r="138" spans="1:44">
      <c r="B138" s="13" t="str">
        <f t="shared" si="92"/>
        <v>Pendente</v>
      </c>
      <c r="C138" s="14" t="str">
        <f t="shared" si="125"/>
        <v/>
      </c>
      <c r="D138" s="13" t="s">
        <v>611</v>
      </c>
      <c r="E138" s="14" t="str">
        <f t="shared" ref="E138" si="143">IF(C138="", "", EDATE(C138, 3))</f>
        <v/>
      </c>
      <c r="F138" s="13" t="s">
        <v>611</v>
      </c>
      <c r="G138" s="40">
        <v>202500118</v>
      </c>
      <c r="H138" s="13" t="s">
        <v>4293</v>
      </c>
      <c r="I138" s="13" t="s">
        <v>613</v>
      </c>
      <c r="J138" s="14">
        <v>45705</v>
      </c>
      <c r="K138" s="14">
        <v>46064</v>
      </c>
      <c r="L138" s="13" t="s">
        <v>4294</v>
      </c>
      <c r="M138" s="13" t="s">
        <v>4295</v>
      </c>
      <c r="N138" s="13" t="s">
        <v>4296</v>
      </c>
      <c r="O138" s="13" t="s">
        <v>4297</v>
      </c>
      <c r="P138" s="79" t="s">
        <v>172</v>
      </c>
      <c r="Q138" s="13" t="s">
        <v>618</v>
      </c>
      <c r="R138" s="246" t="str">
        <f>VLOOKUP(P138,'Dados das Regiões '!A:B,2,0)</f>
        <v>CAMPO MOURÃO</v>
      </c>
      <c r="S138" s="13" t="s">
        <v>4298</v>
      </c>
      <c r="U138" s="79" t="s">
        <v>4299</v>
      </c>
      <c r="V138" s="13" t="s">
        <v>4300</v>
      </c>
      <c r="W138" s="13" t="s">
        <v>4301</v>
      </c>
      <c r="X138" s="15">
        <v>0.64583333333333337</v>
      </c>
      <c r="Y138" s="246" t="s">
        <v>698</v>
      </c>
      <c r="Z138" s="16" t="s">
        <v>622</v>
      </c>
      <c r="AB138" s="164">
        <v>202500118</v>
      </c>
      <c r="AC138" s="55" t="s">
        <v>25</v>
      </c>
      <c r="AD138" s="40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</row>
    <row r="139" spans="1:44">
      <c r="B139" s="13" t="str">
        <f t="shared" si="92"/>
        <v>Pendente</v>
      </c>
      <c r="C139" s="14" t="str">
        <f t="shared" si="125"/>
        <v/>
      </c>
      <c r="D139" s="13" t="s">
        <v>611</v>
      </c>
      <c r="E139" s="14" t="str">
        <f t="shared" ref="E139" si="144">IF(C139="", "", EDATE(C139, 3))</f>
        <v/>
      </c>
      <c r="F139" s="13" t="s">
        <v>611</v>
      </c>
      <c r="G139" s="40">
        <v>202500118</v>
      </c>
      <c r="H139" s="13" t="s">
        <v>4302</v>
      </c>
      <c r="I139" s="13" t="s">
        <v>613</v>
      </c>
      <c r="J139" s="14">
        <v>45705</v>
      </c>
      <c r="K139" s="14">
        <v>46064</v>
      </c>
      <c r="L139" s="13" t="s">
        <v>4294</v>
      </c>
      <c r="M139" s="13" t="s">
        <v>4295</v>
      </c>
      <c r="N139" s="13" t="s">
        <v>4296</v>
      </c>
      <c r="O139" s="13" t="s">
        <v>4297</v>
      </c>
      <c r="P139" s="79" t="s">
        <v>172</v>
      </c>
      <c r="Q139" s="13" t="s">
        <v>618</v>
      </c>
      <c r="R139" s="246" t="str">
        <f>VLOOKUP(P139,'Dados das Regiões '!A:B,2,0)</f>
        <v>CAMPO MOURÃO</v>
      </c>
      <c r="S139" s="13" t="s">
        <v>4303</v>
      </c>
      <c r="U139" s="79" t="s">
        <v>4299</v>
      </c>
      <c r="V139" s="13" t="s">
        <v>4300</v>
      </c>
      <c r="W139" s="13" t="s">
        <v>4301</v>
      </c>
      <c r="X139" s="15">
        <v>0.5625</v>
      </c>
      <c r="Y139" s="246" t="s">
        <v>680</v>
      </c>
      <c r="Z139" s="16" t="s">
        <v>622</v>
      </c>
      <c r="AB139" s="164">
        <v>202500118</v>
      </c>
      <c r="AC139" s="55" t="s">
        <v>25</v>
      </c>
      <c r="AD139" s="40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</row>
    <row r="140" spans="1:44">
      <c r="A140" s="14">
        <v>45867</v>
      </c>
      <c r="B140" s="13" t="str">
        <f t="shared" si="92"/>
        <v>Realizada</v>
      </c>
      <c r="C140" s="14">
        <v>45964</v>
      </c>
      <c r="D140" s="13" t="s">
        <v>611</v>
      </c>
      <c r="E140" s="14">
        <f t="shared" ref="E140" si="145">IF(C140="", "", EDATE(C140, 3))</f>
        <v>46056</v>
      </c>
      <c r="F140" s="13" t="s">
        <v>611</v>
      </c>
      <c r="G140" s="40">
        <v>202500118</v>
      </c>
      <c r="H140" s="13" t="s">
        <v>3279</v>
      </c>
      <c r="I140" s="13" t="s">
        <v>613</v>
      </c>
      <c r="J140" s="14">
        <v>45705</v>
      </c>
      <c r="K140" s="14">
        <v>46064</v>
      </c>
      <c r="L140" s="13" t="s">
        <v>1889</v>
      </c>
      <c r="M140" s="13" t="s">
        <v>4304</v>
      </c>
      <c r="N140" s="13" t="s">
        <v>4305</v>
      </c>
      <c r="O140" s="13" t="s">
        <v>3273</v>
      </c>
      <c r="P140" s="79" t="s">
        <v>449</v>
      </c>
      <c r="Q140" s="13" t="s">
        <v>618</v>
      </c>
      <c r="R140" s="246" t="str">
        <f>VLOOKUP(P140,'Dados das Regiões '!A:B,2,0)</f>
        <v>PONTA GROSSA</v>
      </c>
      <c r="S140" s="13" t="s">
        <v>4306</v>
      </c>
      <c r="V140" s="13" t="s">
        <v>3282</v>
      </c>
      <c r="X140" s="15">
        <v>0.58333333333333337</v>
      </c>
      <c r="Y140" s="516">
        <v>0.66666666666666663</v>
      </c>
      <c r="Z140" s="16" t="s">
        <v>622</v>
      </c>
      <c r="AB140" s="164">
        <v>202500118</v>
      </c>
      <c r="AC140" s="55" t="s">
        <v>25</v>
      </c>
      <c r="AD140" s="40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</row>
    <row r="141" spans="1:44">
      <c r="B141" s="13" t="str">
        <f t="shared" si="92"/>
        <v>Pendente</v>
      </c>
      <c r="C141" s="14" t="str">
        <f t="shared" si="125"/>
        <v/>
      </c>
      <c r="D141" s="13" t="s">
        <v>611</v>
      </c>
      <c r="E141" s="14" t="str">
        <f t="shared" ref="E141" si="146">IF(C141="", "", EDATE(C141, 3))</f>
        <v/>
      </c>
      <c r="F141" s="13" t="s">
        <v>611</v>
      </c>
      <c r="G141" s="40">
        <v>202500118</v>
      </c>
      <c r="H141" s="13" t="s">
        <v>4307</v>
      </c>
      <c r="I141" s="13" t="s">
        <v>613</v>
      </c>
      <c r="J141" s="14">
        <v>45705</v>
      </c>
      <c r="K141" s="14">
        <v>46064</v>
      </c>
      <c r="L141" s="13" t="s">
        <v>4231</v>
      </c>
      <c r="M141" s="13" t="s">
        <v>4232</v>
      </c>
      <c r="N141" s="13" t="s">
        <v>2620</v>
      </c>
      <c r="O141" s="13" t="s">
        <v>2621</v>
      </c>
      <c r="P141" s="79" t="s">
        <v>491</v>
      </c>
      <c r="Q141" s="13" t="s">
        <v>618</v>
      </c>
      <c r="R141" s="246" t="str">
        <f>VLOOKUP(P141,'Dados das Regiões '!A:B,2,0)</f>
        <v>UMUARAMA</v>
      </c>
      <c r="S141" s="13" t="s">
        <v>4255</v>
      </c>
      <c r="V141" s="13" t="s">
        <v>4256</v>
      </c>
      <c r="W141" s="13" t="s">
        <v>4257</v>
      </c>
      <c r="X141" s="15">
        <v>0.58333333333333337</v>
      </c>
      <c r="Y141" s="516">
        <v>0.66666666666666663</v>
      </c>
      <c r="Z141" s="16" t="s">
        <v>622</v>
      </c>
      <c r="AB141" s="164">
        <v>202500118</v>
      </c>
      <c r="AC141" s="55" t="s">
        <v>25</v>
      </c>
      <c r="AD141" s="40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</row>
    <row r="142" spans="1:44">
      <c r="B142" s="13" t="str">
        <f t="shared" si="92"/>
        <v>Pendente</v>
      </c>
      <c r="C142" s="14" t="str">
        <f t="shared" si="125"/>
        <v/>
      </c>
      <c r="D142" s="13" t="s">
        <v>611</v>
      </c>
      <c r="E142" s="14" t="str">
        <f t="shared" ref="E142" si="147">IF(C142="", "", EDATE(C142, 3))</f>
        <v/>
      </c>
      <c r="F142" s="13" t="s">
        <v>611</v>
      </c>
      <c r="G142" s="40">
        <v>202500118</v>
      </c>
      <c r="H142" s="13" t="s">
        <v>4308</v>
      </c>
      <c r="I142" s="13" t="s">
        <v>613</v>
      </c>
      <c r="J142" s="14">
        <v>45705</v>
      </c>
      <c r="K142" s="14">
        <v>46064</v>
      </c>
      <c r="L142" s="13" t="s">
        <v>4231</v>
      </c>
      <c r="M142" s="13" t="s">
        <v>4232</v>
      </c>
      <c r="N142" s="13" t="s">
        <v>2620</v>
      </c>
      <c r="O142" s="13" t="s">
        <v>2621</v>
      </c>
      <c r="P142" s="79" t="s">
        <v>491</v>
      </c>
      <c r="Q142" s="13" t="s">
        <v>618</v>
      </c>
      <c r="R142" s="246" t="str">
        <f>VLOOKUP(P142,'Dados das Regiões '!A:B,2,0)</f>
        <v>UMUARAMA</v>
      </c>
      <c r="S142" s="13" t="s">
        <v>4286</v>
      </c>
      <c r="V142" s="13" t="s">
        <v>4287</v>
      </c>
      <c r="W142" s="13" t="s">
        <v>4288</v>
      </c>
      <c r="X142" s="15">
        <v>0.33333333333333331</v>
      </c>
      <c r="Y142" s="516">
        <v>0.41666666666666669</v>
      </c>
      <c r="Z142" s="16" t="s">
        <v>622</v>
      </c>
      <c r="AB142" s="164">
        <v>202500118</v>
      </c>
      <c r="AC142" s="55" t="s">
        <v>25</v>
      </c>
      <c r="AD142" s="40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</row>
    <row r="143" spans="1:44">
      <c r="B143" s="13" t="str">
        <f t="shared" si="92"/>
        <v>Pendente</v>
      </c>
      <c r="C143" s="14" t="str">
        <f t="shared" si="125"/>
        <v/>
      </c>
      <c r="D143" s="13" t="s">
        <v>611</v>
      </c>
      <c r="E143" s="14" t="str">
        <f t="shared" ref="E143" si="148">IF(C143="", "", EDATE(C143, 3))</f>
        <v/>
      </c>
      <c r="F143" s="13" t="s">
        <v>611</v>
      </c>
      <c r="G143" s="40">
        <v>202500118</v>
      </c>
      <c r="H143" s="13" t="s">
        <v>4309</v>
      </c>
      <c r="I143" s="13" t="s">
        <v>613</v>
      </c>
      <c r="J143" s="14">
        <v>45705</v>
      </c>
      <c r="K143" s="14">
        <v>46064</v>
      </c>
      <c r="L143" s="13" t="s">
        <v>4274</v>
      </c>
      <c r="M143" s="13" t="s">
        <v>4275</v>
      </c>
      <c r="N143" s="13" t="s">
        <v>4276</v>
      </c>
      <c r="O143" s="13" t="s">
        <v>2621</v>
      </c>
      <c r="P143" s="79" t="s">
        <v>491</v>
      </c>
      <c r="Q143" s="13" t="s">
        <v>618</v>
      </c>
      <c r="R143" s="246" t="str">
        <f>VLOOKUP(P143,'Dados das Regiões '!A:B,2,0)</f>
        <v>UMUARAMA</v>
      </c>
      <c r="S143" s="13" t="s">
        <v>4310</v>
      </c>
      <c r="V143" s="13" t="s">
        <v>4278</v>
      </c>
      <c r="W143" s="13" t="s">
        <v>4279</v>
      </c>
      <c r="X143" s="15">
        <v>0.33333333333333331</v>
      </c>
      <c r="Y143" s="516">
        <v>0.41666666666666669</v>
      </c>
      <c r="Z143" s="16" t="s">
        <v>622</v>
      </c>
      <c r="AB143" s="164">
        <v>202500118</v>
      </c>
      <c r="AC143" s="55" t="s">
        <v>25</v>
      </c>
      <c r="AD143" s="40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</row>
    <row r="144" spans="1:44">
      <c r="B144" s="13" t="str">
        <f t="shared" ref="B144:B201" si="149">IF(ISBLANK(A144), "Pendente", "Realizada")</f>
        <v>Pendente</v>
      </c>
      <c r="C144" s="14" t="str">
        <f t="shared" si="125"/>
        <v/>
      </c>
      <c r="D144" s="13" t="s">
        <v>611</v>
      </c>
      <c r="E144" s="14" t="str">
        <f t="shared" ref="E144" si="150">IF(C144="", "", EDATE(C144, 3))</f>
        <v/>
      </c>
      <c r="F144" s="13" t="s">
        <v>611</v>
      </c>
      <c r="G144" s="40">
        <v>202500119</v>
      </c>
      <c r="H144" s="13" t="s">
        <v>4311</v>
      </c>
      <c r="I144" s="13" t="s">
        <v>613</v>
      </c>
      <c r="J144" s="14">
        <v>45705</v>
      </c>
      <c r="K144" s="14">
        <v>46064</v>
      </c>
      <c r="L144" s="13" t="s">
        <v>2891</v>
      </c>
      <c r="M144" s="13" t="s">
        <v>4312</v>
      </c>
      <c r="N144" s="13" t="s">
        <v>4313</v>
      </c>
      <c r="O144" s="13" t="s">
        <v>675</v>
      </c>
      <c r="P144" s="79" t="s">
        <v>119</v>
      </c>
      <c r="Q144" s="13" t="s">
        <v>618</v>
      </c>
      <c r="R144" s="246" t="str">
        <f>VLOOKUP(P144,'Dados das Regiões '!A:B,2,0)</f>
        <v>APUCARANA</v>
      </c>
      <c r="S144" s="13" t="s">
        <v>4314</v>
      </c>
      <c r="U144" s="79" t="s">
        <v>4315</v>
      </c>
      <c r="V144" s="13" t="s">
        <v>4316</v>
      </c>
      <c r="W144" s="13" t="s">
        <v>4317</v>
      </c>
      <c r="X144" s="15">
        <v>0.54166666666666663</v>
      </c>
      <c r="Y144" s="516">
        <v>0.625</v>
      </c>
      <c r="Z144" s="16" t="s">
        <v>622</v>
      </c>
      <c r="AB144" s="164">
        <v>202500119</v>
      </c>
      <c r="AC144" s="55" t="s">
        <v>26</v>
      </c>
      <c r="AD144" s="40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</row>
    <row r="145" spans="1:44">
      <c r="B145" s="13" t="str">
        <f t="shared" si="149"/>
        <v>Pendente</v>
      </c>
      <c r="C145" s="14" t="str">
        <f t="shared" si="125"/>
        <v/>
      </c>
      <c r="D145" s="13" t="s">
        <v>611</v>
      </c>
      <c r="E145" s="14" t="str">
        <f t="shared" ref="E145" si="151">IF(C145="", "", EDATE(C145, 3))</f>
        <v/>
      </c>
      <c r="F145" s="13" t="s">
        <v>611</v>
      </c>
      <c r="G145" s="40">
        <v>202500119</v>
      </c>
      <c r="H145" s="13" t="s">
        <v>4318</v>
      </c>
      <c r="I145" s="13" t="s">
        <v>613</v>
      </c>
      <c r="J145" s="14">
        <v>45705</v>
      </c>
      <c r="K145" s="14">
        <v>46064</v>
      </c>
      <c r="L145" s="13" t="s">
        <v>4319</v>
      </c>
      <c r="M145" s="13" t="s">
        <v>4320</v>
      </c>
      <c r="N145" s="13" t="s">
        <v>4321</v>
      </c>
      <c r="O145" s="13" t="s">
        <v>4322</v>
      </c>
      <c r="P145" s="79" t="s">
        <v>406</v>
      </c>
      <c r="Q145" s="13" t="s">
        <v>618</v>
      </c>
      <c r="R145" s="246" t="str">
        <f>VLOOKUP(P145,'Dados das Regiões '!A:B,2,0)</f>
        <v>PALMAS</v>
      </c>
      <c r="S145" s="13" t="s">
        <v>4323</v>
      </c>
      <c r="U145" s="79" t="s">
        <v>4324</v>
      </c>
      <c r="V145" s="13" t="s">
        <v>4325</v>
      </c>
      <c r="W145" s="13" t="s">
        <v>4326</v>
      </c>
      <c r="X145" s="15">
        <v>0.33333333333333331</v>
      </c>
      <c r="Y145" s="516">
        <v>0.41666666666666669</v>
      </c>
      <c r="Z145" s="16" t="s">
        <v>622</v>
      </c>
      <c r="AB145" s="164">
        <v>202500119</v>
      </c>
      <c r="AC145" s="55" t="s">
        <v>26</v>
      </c>
      <c r="AD145" s="40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</row>
    <row r="146" spans="1:44">
      <c r="A146" s="14">
        <v>45866</v>
      </c>
      <c r="B146" s="13" t="str">
        <f t="shared" si="149"/>
        <v>Realizada</v>
      </c>
      <c r="C146" s="14">
        <v>45964</v>
      </c>
      <c r="D146" s="13" t="s">
        <v>611</v>
      </c>
      <c r="E146" s="14">
        <f t="shared" ref="E146" si="152">IF(C146="", "", EDATE(C146, 3))</f>
        <v>46056</v>
      </c>
      <c r="F146" s="13" t="s">
        <v>611</v>
      </c>
      <c r="G146" s="40">
        <v>202500119</v>
      </c>
      <c r="H146" s="13" t="s">
        <v>3266</v>
      </c>
      <c r="I146" s="13" t="s">
        <v>613</v>
      </c>
      <c r="J146" s="14">
        <v>45705</v>
      </c>
      <c r="K146" s="14">
        <v>46064</v>
      </c>
      <c r="L146" s="13" t="s">
        <v>1932</v>
      </c>
      <c r="M146" s="13" t="s">
        <v>1933</v>
      </c>
      <c r="N146" s="13" t="s">
        <v>1934</v>
      </c>
      <c r="O146" s="13" t="s">
        <v>1935</v>
      </c>
      <c r="P146" s="79" t="s">
        <v>446</v>
      </c>
      <c r="Q146" s="13" t="s">
        <v>618</v>
      </c>
      <c r="R146" s="246" t="str">
        <f>VLOOKUP(P146,'Dados das Regiões '!A:B,2,0)</f>
        <v>PONTA GROSSA</v>
      </c>
      <c r="S146" s="13" t="s">
        <v>1936</v>
      </c>
      <c r="U146" s="79" t="s">
        <v>1937</v>
      </c>
      <c r="V146" s="13" t="s">
        <v>1937</v>
      </c>
      <c r="W146" s="13" t="s">
        <v>1938</v>
      </c>
      <c r="X146" s="15">
        <v>0.625</v>
      </c>
      <c r="Y146" s="516">
        <v>0.70833333333333337</v>
      </c>
      <c r="Z146" s="16" t="s">
        <v>622</v>
      </c>
      <c r="AA146" s="36" t="s">
        <v>4327</v>
      </c>
      <c r="AB146" s="164">
        <v>202500119</v>
      </c>
      <c r="AC146" s="55" t="s">
        <v>26</v>
      </c>
      <c r="AD146" s="40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</row>
    <row r="147" spans="1:44">
      <c r="A147" s="14">
        <v>45936</v>
      </c>
      <c r="B147" s="13" t="str">
        <f t="shared" si="149"/>
        <v>Realizada</v>
      </c>
      <c r="C147" s="14">
        <f t="shared" si="125"/>
        <v>46028</v>
      </c>
      <c r="D147" s="13" t="s">
        <v>611</v>
      </c>
      <c r="E147" s="14">
        <f t="shared" ref="E147" si="153">IF(C147="", "", EDATE(C147, 3))</f>
        <v>46118</v>
      </c>
      <c r="F147" s="13" t="s">
        <v>611</v>
      </c>
      <c r="G147" s="40">
        <v>202500119</v>
      </c>
      <c r="H147" s="13" t="s">
        <v>3142</v>
      </c>
      <c r="I147" s="13" t="s">
        <v>613</v>
      </c>
      <c r="J147" s="14">
        <v>45705</v>
      </c>
      <c r="K147" s="14">
        <v>46064</v>
      </c>
      <c r="L147" s="13" t="s">
        <v>3143</v>
      </c>
      <c r="M147" s="13" t="s">
        <v>4328</v>
      </c>
      <c r="N147" s="13" t="s">
        <v>3144</v>
      </c>
      <c r="O147" s="17" t="s">
        <v>3145</v>
      </c>
      <c r="P147" s="82" t="s">
        <v>302</v>
      </c>
      <c r="Q147" s="13" t="s">
        <v>618</v>
      </c>
      <c r="R147" s="246" t="str">
        <f>VLOOKUP(P147,'Dados das Regiões '!A:B,2,0)</f>
        <v>IRATI</v>
      </c>
      <c r="S147" s="13" t="s">
        <v>3146</v>
      </c>
      <c r="U147" s="79" t="s">
        <v>4329</v>
      </c>
      <c r="V147" s="13" t="s">
        <v>3147</v>
      </c>
      <c r="W147" s="13" t="s">
        <v>3148</v>
      </c>
      <c r="X147" s="15">
        <v>0.5625</v>
      </c>
      <c r="Y147" s="516">
        <v>0.64583333333333337</v>
      </c>
      <c r="Z147" s="16" t="s">
        <v>622</v>
      </c>
      <c r="AA147" s="56" t="s">
        <v>4330</v>
      </c>
      <c r="AB147" s="164">
        <v>202500119</v>
      </c>
      <c r="AC147" s="55" t="s">
        <v>26</v>
      </c>
      <c r="AD147" s="40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</row>
    <row r="148" spans="1:44">
      <c r="B148" s="13" t="str">
        <f t="shared" si="149"/>
        <v>Pendente</v>
      </c>
      <c r="C148" s="14" t="str">
        <f t="shared" si="125"/>
        <v/>
      </c>
      <c r="D148" s="13" t="s">
        <v>611</v>
      </c>
      <c r="E148" s="14" t="str">
        <f t="shared" ref="E148" si="154">IF(C148="", "", EDATE(C148, 3))</f>
        <v/>
      </c>
      <c r="F148" s="13" t="s">
        <v>611</v>
      </c>
      <c r="G148" s="40">
        <v>202500119</v>
      </c>
      <c r="H148" s="13" t="s">
        <v>4331</v>
      </c>
      <c r="I148" s="13" t="s">
        <v>613</v>
      </c>
      <c r="J148" s="14">
        <v>45705</v>
      </c>
      <c r="K148" s="14">
        <v>46064</v>
      </c>
      <c r="L148" s="13" t="s">
        <v>4332</v>
      </c>
      <c r="M148" s="13" t="s">
        <v>4333</v>
      </c>
      <c r="N148" s="13" t="s">
        <v>4334</v>
      </c>
      <c r="O148" s="13" t="s">
        <v>4335</v>
      </c>
      <c r="P148" s="79" t="s">
        <v>381</v>
      </c>
      <c r="Q148" s="13" t="s">
        <v>618</v>
      </c>
      <c r="R148" s="246" t="str">
        <f>VLOOKUP(P148,'Dados das Regiões '!A:B,2,0)</f>
        <v>MARINGÁ</v>
      </c>
      <c r="S148" s="13" t="s">
        <v>4336</v>
      </c>
      <c r="U148" s="79" t="s">
        <v>4337</v>
      </c>
      <c r="V148" s="13" t="s">
        <v>4338</v>
      </c>
      <c r="W148" s="13" t="s">
        <v>4339</v>
      </c>
      <c r="X148" s="15">
        <v>0.33333333333333331</v>
      </c>
      <c r="Y148" s="516">
        <v>0.41666666666666669</v>
      </c>
      <c r="Z148" s="16" t="s">
        <v>622</v>
      </c>
      <c r="AB148" s="164">
        <v>202500119</v>
      </c>
      <c r="AC148" s="55" t="s">
        <v>26</v>
      </c>
      <c r="AD148" s="40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</row>
    <row r="149" spans="1:44">
      <c r="B149" s="13" t="str">
        <f t="shared" si="149"/>
        <v>Pendente</v>
      </c>
      <c r="C149" s="14" t="str">
        <f t="shared" si="125"/>
        <v/>
      </c>
      <c r="D149" s="13" t="s">
        <v>611</v>
      </c>
      <c r="E149" s="14" t="str">
        <f t="shared" ref="E149" si="155">IF(C149="", "", EDATE(C149, 3))</f>
        <v/>
      </c>
      <c r="F149" s="13" t="s">
        <v>611</v>
      </c>
      <c r="G149" s="40">
        <v>202500119</v>
      </c>
      <c r="H149" s="13" t="s">
        <v>4340</v>
      </c>
      <c r="I149" s="13" t="s">
        <v>613</v>
      </c>
      <c r="J149" s="14">
        <v>45705</v>
      </c>
      <c r="K149" s="14">
        <v>46064</v>
      </c>
      <c r="L149" s="13" t="s">
        <v>2891</v>
      </c>
      <c r="M149" s="13" t="s">
        <v>4341</v>
      </c>
      <c r="N149" s="13" t="s">
        <v>4342</v>
      </c>
      <c r="O149" s="13" t="s">
        <v>4159</v>
      </c>
      <c r="P149" s="79" t="s">
        <v>321</v>
      </c>
      <c r="Q149" s="13" t="s">
        <v>618</v>
      </c>
      <c r="R149" s="246" t="str">
        <f>VLOOKUP(P149,'Dados das Regiões '!A:B,2,0)</f>
        <v>IVAIPORÃ</v>
      </c>
      <c r="S149" s="13" t="s">
        <v>4343</v>
      </c>
      <c r="U149" s="79" t="s">
        <v>4344</v>
      </c>
      <c r="V149" s="13" t="s">
        <v>4345</v>
      </c>
      <c r="W149" s="13" t="s">
        <v>4346</v>
      </c>
      <c r="X149" s="15">
        <v>0.33333333333333331</v>
      </c>
      <c r="Y149" s="516">
        <v>0.41666666666666669</v>
      </c>
      <c r="Z149" s="16" t="s">
        <v>622</v>
      </c>
      <c r="AB149" s="164">
        <v>202500119</v>
      </c>
      <c r="AC149" s="55" t="s">
        <v>26</v>
      </c>
      <c r="AD149" s="40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</row>
    <row r="150" spans="1:44">
      <c r="A150" s="14">
        <v>45825</v>
      </c>
      <c r="B150" s="13" t="str">
        <f t="shared" si="149"/>
        <v>Realizada</v>
      </c>
      <c r="C150" s="14">
        <f t="shared" si="125"/>
        <v>45917</v>
      </c>
      <c r="D150" s="13" t="s">
        <v>104</v>
      </c>
      <c r="E150" s="14">
        <f t="shared" ref="E150" si="156">IF(C150="", "", EDATE(C150, 3))</f>
        <v>46008</v>
      </c>
      <c r="F150" s="13" t="s">
        <v>611</v>
      </c>
      <c r="G150" s="40">
        <v>202500119</v>
      </c>
      <c r="H150" s="13" t="s">
        <v>583</v>
      </c>
      <c r="I150" s="13" t="s">
        <v>613</v>
      </c>
      <c r="J150" s="14">
        <v>45705</v>
      </c>
      <c r="K150" s="14">
        <v>46064</v>
      </c>
      <c r="L150" s="13" t="s">
        <v>4347</v>
      </c>
      <c r="M150" s="13" t="s">
        <v>4348</v>
      </c>
      <c r="N150" s="13" t="s">
        <v>585</v>
      </c>
      <c r="O150" s="17" t="s">
        <v>586</v>
      </c>
      <c r="P150" s="79" t="s">
        <v>473</v>
      </c>
      <c r="Q150" s="13" t="s">
        <v>618</v>
      </c>
      <c r="R150" s="246" t="str">
        <f>VLOOKUP(P150,'Dados das Regiões '!A:B,2,0)</f>
        <v>SÃO MATEUS DO SUL</v>
      </c>
      <c r="S150" s="13" t="s">
        <v>4349</v>
      </c>
      <c r="U150" s="79" t="s">
        <v>4350</v>
      </c>
      <c r="V150" s="13" t="s">
        <v>4351</v>
      </c>
      <c r="W150" s="13" t="s">
        <v>4352</v>
      </c>
      <c r="X150" s="15">
        <v>0.33333333333333331</v>
      </c>
      <c r="Y150" s="516">
        <v>0.41666666666666669</v>
      </c>
      <c r="Z150" s="16" t="s">
        <v>622</v>
      </c>
      <c r="AB150" s="164">
        <v>202500119</v>
      </c>
      <c r="AC150" s="55" t="s">
        <v>26</v>
      </c>
    </row>
    <row r="151" spans="1:44">
      <c r="B151" s="13" t="str">
        <f t="shared" si="149"/>
        <v>Pendente</v>
      </c>
      <c r="C151" s="14" t="str">
        <f t="shared" si="125"/>
        <v/>
      </c>
      <c r="D151" s="13" t="s">
        <v>611</v>
      </c>
      <c r="E151" s="14" t="str">
        <f t="shared" ref="E151" si="157">IF(C151="", "", EDATE(C151, 3))</f>
        <v/>
      </c>
      <c r="F151" s="13" t="s">
        <v>611</v>
      </c>
      <c r="G151" s="40">
        <v>202500119</v>
      </c>
      <c r="H151" s="13" t="s">
        <v>4353</v>
      </c>
      <c r="I151" s="13" t="s">
        <v>613</v>
      </c>
      <c r="J151" s="14">
        <v>45705</v>
      </c>
      <c r="K151" s="14">
        <v>46064</v>
      </c>
      <c r="L151" s="13" t="s">
        <v>1801</v>
      </c>
      <c r="M151" s="13" t="s">
        <v>4354</v>
      </c>
      <c r="N151" s="13" t="s">
        <v>4355</v>
      </c>
      <c r="O151" s="13" t="s">
        <v>4356</v>
      </c>
      <c r="P151" s="79" t="s">
        <v>372</v>
      </c>
      <c r="Q151" s="13" t="s">
        <v>618</v>
      </c>
      <c r="R151" s="246" t="str">
        <f>VLOOKUP(P151,'Dados das Regiões '!A:B,2,0)</f>
        <v>MARINGÁ</v>
      </c>
      <c r="S151" s="13" t="s">
        <v>4357</v>
      </c>
      <c r="U151" s="79" t="s">
        <v>4358</v>
      </c>
      <c r="V151" s="13" t="s">
        <v>4358</v>
      </c>
      <c r="W151" s="13" t="s">
        <v>4359</v>
      </c>
      <c r="X151" s="15">
        <v>0.5625</v>
      </c>
      <c r="Y151" s="516">
        <v>0.64583333333333337</v>
      </c>
      <c r="Z151" s="16" t="s">
        <v>622</v>
      </c>
      <c r="AB151" s="164">
        <v>202500119</v>
      </c>
      <c r="AC151" s="55" t="s">
        <v>26</v>
      </c>
      <c r="AD151" s="40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</row>
    <row r="152" spans="1:44">
      <c r="B152" s="13" t="str">
        <f t="shared" si="149"/>
        <v>Pendente</v>
      </c>
      <c r="C152" s="14" t="str">
        <f t="shared" si="125"/>
        <v/>
      </c>
      <c r="D152" s="13" t="s">
        <v>611</v>
      </c>
      <c r="E152" s="14" t="str">
        <f t="shared" ref="E152" si="158">IF(C152="", "", EDATE(C152, 3))</f>
        <v/>
      </c>
      <c r="F152" s="13" t="s">
        <v>611</v>
      </c>
      <c r="G152" s="40">
        <v>202500119</v>
      </c>
      <c r="H152" s="13" t="s">
        <v>4360</v>
      </c>
      <c r="I152" s="13" t="s">
        <v>613</v>
      </c>
      <c r="J152" s="14">
        <v>45705</v>
      </c>
      <c r="K152" s="14">
        <v>46064</v>
      </c>
      <c r="L152" s="13" t="s">
        <v>2041</v>
      </c>
      <c r="M152" s="13" t="s">
        <v>2042</v>
      </c>
      <c r="N152" s="13" t="s">
        <v>2043</v>
      </c>
      <c r="O152" s="13" t="s">
        <v>2044</v>
      </c>
      <c r="P152" s="79" t="s">
        <v>341</v>
      </c>
      <c r="Q152" s="13" t="s">
        <v>618</v>
      </c>
      <c r="R152" s="246" t="str">
        <f>VLOOKUP(P152,'Dados das Regiões '!A:B,2,0)</f>
        <v>LONDRINA CENTRO</v>
      </c>
      <c r="S152" s="13" t="s">
        <v>4361</v>
      </c>
      <c r="U152" s="79" t="s">
        <v>4362</v>
      </c>
      <c r="V152" s="13" t="s">
        <v>4362</v>
      </c>
      <c r="W152" s="13" t="s">
        <v>4363</v>
      </c>
      <c r="X152" s="15">
        <v>0.5625</v>
      </c>
      <c r="Y152" s="516">
        <v>0.64583333333333337</v>
      </c>
      <c r="Z152" s="16" t="s">
        <v>622</v>
      </c>
      <c r="AB152" s="164">
        <v>202500119</v>
      </c>
      <c r="AC152" s="55" t="s">
        <v>26</v>
      </c>
      <c r="AD152" s="40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</row>
    <row r="153" spans="1:44">
      <c r="B153" s="13" t="str">
        <f t="shared" si="149"/>
        <v>Pendente</v>
      </c>
      <c r="C153" s="14" t="str">
        <f t="shared" si="125"/>
        <v/>
      </c>
      <c r="D153" s="13" t="s">
        <v>611</v>
      </c>
      <c r="E153" s="14" t="str">
        <f t="shared" ref="E153" si="159">IF(C153="", "", EDATE(C153, 3))</f>
        <v/>
      </c>
      <c r="F153" s="13" t="s">
        <v>611</v>
      </c>
      <c r="G153" s="40">
        <v>202500119</v>
      </c>
      <c r="H153" s="13" t="s">
        <v>4364</v>
      </c>
      <c r="I153" s="13" t="s">
        <v>613</v>
      </c>
      <c r="J153" s="14">
        <v>45705</v>
      </c>
      <c r="K153" s="14">
        <v>46064</v>
      </c>
      <c r="L153" s="13" t="s">
        <v>2041</v>
      </c>
      <c r="M153" s="13" t="s">
        <v>2042</v>
      </c>
      <c r="N153" s="13" t="s">
        <v>2043</v>
      </c>
      <c r="O153" s="13" t="s">
        <v>2044</v>
      </c>
      <c r="P153" s="79" t="s">
        <v>341</v>
      </c>
      <c r="Q153" s="13" t="s">
        <v>618</v>
      </c>
      <c r="R153" s="246" t="str">
        <f>VLOOKUP(P153,'Dados das Regiões '!A:B,2,0)</f>
        <v>LONDRINA CENTRO</v>
      </c>
      <c r="S153" s="13" t="s">
        <v>4361</v>
      </c>
      <c r="U153" s="79" t="s">
        <v>4362</v>
      </c>
      <c r="V153" s="13" t="s">
        <v>4362</v>
      </c>
      <c r="W153" s="13" t="s">
        <v>4363</v>
      </c>
      <c r="X153" s="15">
        <v>0.33333333333333331</v>
      </c>
      <c r="Y153" s="516">
        <v>0.41666666666666669</v>
      </c>
      <c r="Z153" s="16" t="s">
        <v>622</v>
      </c>
      <c r="AB153" s="164">
        <v>202500119</v>
      </c>
      <c r="AC153" s="55" t="s">
        <v>26</v>
      </c>
      <c r="AD153" s="40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</row>
    <row r="154" spans="1:44">
      <c r="B154" s="13" t="str">
        <f t="shared" si="149"/>
        <v>Pendente</v>
      </c>
      <c r="C154" s="14" t="str">
        <f t="shared" si="125"/>
        <v/>
      </c>
      <c r="D154" s="13" t="s">
        <v>611</v>
      </c>
      <c r="E154" s="14" t="str">
        <f t="shared" ref="E154" si="160">IF(C154="", "", EDATE(C154, 3))</f>
        <v/>
      </c>
      <c r="F154" s="13" t="s">
        <v>611</v>
      </c>
      <c r="G154" s="40">
        <v>202500119</v>
      </c>
      <c r="H154" s="13" t="s">
        <v>4365</v>
      </c>
      <c r="I154" s="13" t="s">
        <v>613</v>
      </c>
      <c r="J154" s="14">
        <v>45705</v>
      </c>
      <c r="K154" s="14">
        <v>46064</v>
      </c>
      <c r="L154" s="13" t="s">
        <v>2041</v>
      </c>
      <c r="M154" s="13" t="s">
        <v>2042</v>
      </c>
      <c r="N154" s="13" t="s">
        <v>2043</v>
      </c>
      <c r="O154" s="13" t="s">
        <v>2044</v>
      </c>
      <c r="P154" s="79" t="s">
        <v>341</v>
      </c>
      <c r="Q154" s="13" t="s">
        <v>618</v>
      </c>
      <c r="R154" s="246" t="str">
        <f>VLOOKUP(P154,'Dados das Regiões '!A:B,2,0)</f>
        <v>LONDRINA CENTRO</v>
      </c>
      <c r="S154" s="13" t="s">
        <v>4361</v>
      </c>
      <c r="U154" s="79" t="s">
        <v>4362</v>
      </c>
      <c r="V154" s="13" t="s">
        <v>4362</v>
      </c>
      <c r="W154" s="13" t="s">
        <v>4363</v>
      </c>
      <c r="X154" s="15">
        <v>0.33333333333333331</v>
      </c>
      <c r="Y154" s="516">
        <v>0.41666666666666669</v>
      </c>
      <c r="Z154" s="16" t="s">
        <v>622</v>
      </c>
      <c r="AB154" s="164">
        <v>202500119</v>
      </c>
      <c r="AC154" s="55" t="s">
        <v>26</v>
      </c>
      <c r="AD154" s="40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</row>
    <row r="155" spans="1:44">
      <c r="B155" s="13" t="str">
        <f t="shared" si="149"/>
        <v>Pendente</v>
      </c>
      <c r="C155" s="14" t="str">
        <f t="shared" si="125"/>
        <v/>
      </c>
      <c r="D155" s="13" t="s">
        <v>611</v>
      </c>
      <c r="E155" s="14" t="str">
        <f t="shared" ref="E155" si="161">IF(C155="", "", EDATE(C155, 3))</f>
        <v/>
      </c>
      <c r="F155" s="13" t="s">
        <v>611</v>
      </c>
      <c r="G155" s="40">
        <v>202500119</v>
      </c>
      <c r="H155" s="13" t="s">
        <v>4366</v>
      </c>
      <c r="I155" s="13" t="s">
        <v>613</v>
      </c>
      <c r="J155" s="14">
        <v>45705</v>
      </c>
      <c r="K155" s="14">
        <v>46064</v>
      </c>
      <c r="L155" s="13" t="s">
        <v>1801</v>
      </c>
      <c r="M155" s="13" t="s">
        <v>4367</v>
      </c>
      <c r="N155" s="13" t="s">
        <v>4368</v>
      </c>
      <c r="O155" s="17" t="s">
        <v>4369</v>
      </c>
      <c r="P155" s="79" t="s">
        <v>53</v>
      </c>
      <c r="Q155" s="13" t="s">
        <v>618</v>
      </c>
      <c r="R155" s="246" t="str">
        <f>VLOOKUP(P155,'Dados das Regiões '!A:B,2,0)</f>
        <v>GOIOERÊ</v>
      </c>
      <c r="S155" s="13" t="s">
        <v>4370</v>
      </c>
      <c r="U155" s="79" t="s">
        <v>4371</v>
      </c>
      <c r="V155" s="13" t="s">
        <v>4372</v>
      </c>
      <c r="W155" s="13" t="s">
        <v>4373</v>
      </c>
      <c r="X155" s="15">
        <v>0.5625</v>
      </c>
      <c r="Y155" s="516">
        <v>0.64583333333333337</v>
      </c>
      <c r="Z155" s="16" t="s">
        <v>622</v>
      </c>
      <c r="AA155" s="36" t="s">
        <v>4374</v>
      </c>
      <c r="AB155" s="164">
        <v>202500119</v>
      </c>
      <c r="AC155" s="55" t="s">
        <v>26</v>
      </c>
      <c r="AD155" s="40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</row>
    <row r="156" spans="1:44">
      <c r="B156" s="13" t="str">
        <f t="shared" si="149"/>
        <v>Pendente</v>
      </c>
      <c r="C156" s="14" t="str">
        <f t="shared" si="125"/>
        <v/>
      </c>
      <c r="D156" s="13" t="s">
        <v>611</v>
      </c>
      <c r="E156" s="14" t="str">
        <f t="shared" ref="E156" si="162">IF(C156="", "", EDATE(C156, 3))</f>
        <v/>
      </c>
      <c r="F156" s="13" t="s">
        <v>611</v>
      </c>
      <c r="G156" s="40">
        <v>202500119</v>
      </c>
      <c r="H156" s="13" t="s">
        <v>4375</v>
      </c>
      <c r="I156" s="13" t="s">
        <v>613</v>
      </c>
      <c r="J156" s="14">
        <v>45705</v>
      </c>
      <c r="K156" s="14">
        <v>46064</v>
      </c>
      <c r="L156" s="13" t="s">
        <v>1801</v>
      </c>
      <c r="M156" s="13" t="s">
        <v>4376</v>
      </c>
      <c r="N156" s="13" t="s">
        <v>4377</v>
      </c>
      <c r="O156" s="13" t="s">
        <v>4378</v>
      </c>
      <c r="P156" s="79" t="s">
        <v>203</v>
      </c>
      <c r="Q156" s="13" t="s">
        <v>618</v>
      </c>
      <c r="R156" s="246" t="str">
        <f>VLOOKUP(P156,'Dados das Regiões '!A:B,2,0)</f>
        <v>CASCAVEL</v>
      </c>
      <c r="S156" s="13" t="s">
        <v>4379</v>
      </c>
      <c r="U156" s="79" t="s">
        <v>4380</v>
      </c>
      <c r="V156" s="13" t="s">
        <v>4380</v>
      </c>
      <c r="W156" s="13" t="s">
        <v>4381</v>
      </c>
      <c r="X156" s="15">
        <v>0.33333333333333331</v>
      </c>
      <c r="Y156" s="516">
        <v>0.41666666666666669</v>
      </c>
      <c r="Z156" s="16" t="s">
        <v>622</v>
      </c>
      <c r="AB156" s="164">
        <v>202500119</v>
      </c>
      <c r="AC156" s="55" t="s">
        <v>26</v>
      </c>
      <c r="AD156" s="40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</row>
    <row r="157" spans="1:44">
      <c r="B157" s="13" t="str">
        <f t="shared" si="149"/>
        <v>Pendente</v>
      </c>
      <c r="C157" s="14" t="str">
        <f t="shared" si="125"/>
        <v/>
      </c>
      <c r="D157" s="13" t="s">
        <v>611</v>
      </c>
      <c r="E157" s="14" t="str">
        <f t="shared" ref="E157" si="163">IF(C157="", "", EDATE(C157, 3))</f>
        <v/>
      </c>
      <c r="F157" s="13" t="s">
        <v>611</v>
      </c>
      <c r="G157" s="40">
        <v>202500119</v>
      </c>
      <c r="H157" s="13" t="s">
        <v>4382</v>
      </c>
      <c r="I157" s="13" t="s">
        <v>613</v>
      </c>
      <c r="J157" s="14">
        <v>45705</v>
      </c>
      <c r="K157" s="14">
        <v>46064</v>
      </c>
      <c r="L157" s="13" t="s">
        <v>4383</v>
      </c>
      <c r="M157" s="13" t="s">
        <v>4384</v>
      </c>
      <c r="N157" s="13" t="s">
        <v>4385</v>
      </c>
      <c r="O157" s="13" t="s">
        <v>2744</v>
      </c>
      <c r="P157" s="79" t="s">
        <v>53</v>
      </c>
      <c r="Q157" s="13" t="s">
        <v>618</v>
      </c>
      <c r="R157" s="246" t="str">
        <f>VLOOKUP(P157,'Dados das Regiões '!A:B,2,0)</f>
        <v>GOIOERÊ</v>
      </c>
      <c r="S157" s="13" t="s">
        <v>4386</v>
      </c>
      <c r="U157" s="79" t="s">
        <v>4387</v>
      </c>
      <c r="V157" s="13" t="s">
        <v>4388</v>
      </c>
      <c r="W157" s="13" t="s">
        <v>4389</v>
      </c>
      <c r="X157" s="15">
        <v>0.58333333333333337</v>
      </c>
      <c r="Y157" s="516">
        <v>0.66666666666666663</v>
      </c>
      <c r="Z157" s="16" t="s">
        <v>622</v>
      </c>
      <c r="AB157" s="164">
        <v>202500119</v>
      </c>
      <c r="AC157" s="55" t="s">
        <v>26</v>
      </c>
      <c r="AD157" s="40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</row>
    <row r="158" spans="1:44">
      <c r="B158" s="13" t="str">
        <f t="shared" si="149"/>
        <v>Pendente</v>
      </c>
      <c r="C158" s="14" t="str">
        <f t="shared" si="125"/>
        <v/>
      </c>
      <c r="D158" s="13" t="s">
        <v>611</v>
      </c>
      <c r="E158" s="14" t="str">
        <f t="shared" ref="E158" si="164">IF(C158="", "", EDATE(C158, 3))</f>
        <v/>
      </c>
      <c r="F158" s="13" t="s">
        <v>611</v>
      </c>
      <c r="G158" s="40">
        <v>202500119</v>
      </c>
      <c r="H158" s="13" t="s">
        <v>4390</v>
      </c>
      <c r="I158" s="13" t="s">
        <v>613</v>
      </c>
      <c r="J158" s="14">
        <v>45705</v>
      </c>
      <c r="K158" s="14">
        <v>46064</v>
      </c>
      <c r="L158" s="13" t="s">
        <v>2041</v>
      </c>
      <c r="M158" s="13" t="s">
        <v>2042</v>
      </c>
      <c r="N158" s="13" t="s">
        <v>2043</v>
      </c>
      <c r="O158" s="13" t="s">
        <v>2044</v>
      </c>
      <c r="P158" s="79" t="s">
        <v>341</v>
      </c>
      <c r="Q158" s="13" t="s">
        <v>618</v>
      </c>
      <c r="R158" s="246" t="str">
        <f>VLOOKUP(P158,'Dados das Regiões '!A:B,2,0)</f>
        <v>LONDRINA CENTRO</v>
      </c>
      <c r="S158" s="13" t="s">
        <v>4391</v>
      </c>
      <c r="U158" s="79" t="s">
        <v>4362</v>
      </c>
      <c r="V158" s="13" t="s">
        <v>4362</v>
      </c>
      <c r="W158" s="13" t="s">
        <v>4363</v>
      </c>
      <c r="X158" s="15">
        <v>0.5625</v>
      </c>
      <c r="Y158" s="516">
        <v>0.64583333333333337</v>
      </c>
      <c r="Z158" s="16" t="s">
        <v>622</v>
      </c>
      <c r="AB158" s="164">
        <v>202500119</v>
      </c>
      <c r="AC158" s="55" t="s">
        <v>26</v>
      </c>
      <c r="AD158" s="40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</row>
    <row r="159" spans="1:44">
      <c r="B159" s="13" t="str">
        <f t="shared" si="149"/>
        <v>Pendente</v>
      </c>
      <c r="C159" s="14" t="str">
        <f t="shared" si="125"/>
        <v/>
      </c>
      <c r="D159" s="13" t="s">
        <v>611</v>
      </c>
      <c r="E159" s="14" t="str">
        <f t="shared" ref="E159" si="165">IF(C159="", "", EDATE(C159, 3))</f>
        <v/>
      </c>
      <c r="F159" s="13" t="s">
        <v>611</v>
      </c>
      <c r="G159" s="40">
        <v>202500120</v>
      </c>
      <c r="H159" s="13" t="s">
        <v>4392</v>
      </c>
      <c r="I159" s="13" t="s">
        <v>1176</v>
      </c>
      <c r="J159" s="14">
        <v>45705</v>
      </c>
      <c r="K159" s="14">
        <v>46064</v>
      </c>
      <c r="L159" s="13" t="s">
        <v>2891</v>
      </c>
      <c r="M159" s="13" t="s">
        <v>4393</v>
      </c>
      <c r="N159" s="13" t="s">
        <v>4394</v>
      </c>
      <c r="O159" s="13" t="s">
        <v>3901</v>
      </c>
      <c r="P159" s="79" t="s">
        <v>175</v>
      </c>
      <c r="Q159" s="13" t="s">
        <v>618</v>
      </c>
      <c r="R159" s="246" t="str">
        <f>VLOOKUP(P159,'Dados das Regiões '!A:B,2,0)</f>
        <v>CAMPO MOURÃO</v>
      </c>
      <c r="S159" s="13" t="s">
        <v>4395</v>
      </c>
      <c r="U159" s="79" t="s">
        <v>4396</v>
      </c>
      <c r="V159" s="13" t="s">
        <v>4397</v>
      </c>
      <c r="W159" s="13" t="s">
        <v>4398</v>
      </c>
      <c r="X159" s="15">
        <v>0.58333333333333337</v>
      </c>
      <c r="Y159" s="516">
        <v>0.66666666666666663</v>
      </c>
      <c r="Z159" s="16" t="s">
        <v>622</v>
      </c>
      <c r="AB159" s="164">
        <v>202500120</v>
      </c>
      <c r="AC159" s="55" t="s">
        <v>27</v>
      </c>
      <c r="AD159" s="40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</row>
    <row r="160" spans="1:44">
      <c r="B160" s="13" t="str">
        <f t="shared" si="149"/>
        <v>Pendente</v>
      </c>
      <c r="C160" s="14" t="str">
        <f t="shared" si="125"/>
        <v/>
      </c>
      <c r="D160" s="13" t="s">
        <v>611</v>
      </c>
      <c r="E160" s="14" t="str">
        <f t="shared" ref="E160" si="166">IF(C160="", "", EDATE(C160, 3))</f>
        <v/>
      </c>
      <c r="F160" s="13" t="s">
        <v>611</v>
      </c>
      <c r="G160" s="40">
        <v>202500120</v>
      </c>
      <c r="H160" s="13" t="s">
        <v>4399</v>
      </c>
      <c r="I160" s="13" t="s">
        <v>1176</v>
      </c>
      <c r="J160" s="14">
        <v>45705</v>
      </c>
      <c r="K160" s="14">
        <v>46064</v>
      </c>
      <c r="L160" s="13" t="s">
        <v>2891</v>
      </c>
      <c r="M160" s="13" t="s">
        <v>4400</v>
      </c>
      <c r="N160" s="13" t="s">
        <v>4401</v>
      </c>
      <c r="O160" s="13" t="s">
        <v>3974</v>
      </c>
      <c r="P160" s="79" t="s">
        <v>310</v>
      </c>
      <c r="Q160" s="13" t="s">
        <v>618</v>
      </c>
      <c r="R160" s="246" t="str">
        <f>VLOOKUP(P160,'Dados das Regiões '!A:B,2,0)</f>
        <v>IVAIPORÃ</v>
      </c>
      <c r="S160" s="13" t="s">
        <v>4402</v>
      </c>
      <c r="U160" s="79" t="s">
        <v>4403</v>
      </c>
      <c r="V160" s="13" t="s">
        <v>4404</v>
      </c>
      <c r="W160" s="13" t="s">
        <v>4405</v>
      </c>
      <c r="X160" s="15">
        <v>0.58333333333333337</v>
      </c>
      <c r="Y160" s="516">
        <v>0.66666666666666663</v>
      </c>
      <c r="Z160" s="16" t="s">
        <v>622</v>
      </c>
      <c r="AB160" s="164">
        <v>202500120</v>
      </c>
      <c r="AC160" s="55" t="s">
        <v>27</v>
      </c>
      <c r="AD160" s="40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</row>
    <row r="161" spans="1:44">
      <c r="A161" s="14">
        <v>45874</v>
      </c>
      <c r="B161" s="13" t="str">
        <f t="shared" si="149"/>
        <v>Realizada</v>
      </c>
      <c r="C161" s="14">
        <v>45995</v>
      </c>
      <c r="D161" s="13" t="s">
        <v>104</v>
      </c>
      <c r="E161" s="14">
        <f t="shared" ref="E161" si="167">IF(C161="", "", EDATE(C161, 3))</f>
        <v>46085</v>
      </c>
      <c r="F161" s="13" t="s">
        <v>611</v>
      </c>
      <c r="G161" s="40">
        <v>202500120</v>
      </c>
      <c r="H161" s="13" t="s">
        <v>4406</v>
      </c>
      <c r="I161" s="13" t="s">
        <v>1176</v>
      </c>
      <c r="J161" s="14">
        <v>45705</v>
      </c>
      <c r="K161" s="14">
        <v>46064</v>
      </c>
      <c r="L161" s="13" t="s">
        <v>2891</v>
      </c>
      <c r="M161" s="13" t="s">
        <v>4407</v>
      </c>
      <c r="N161" s="13" t="s">
        <v>4408</v>
      </c>
      <c r="O161" s="13" t="s">
        <v>4409</v>
      </c>
      <c r="P161" s="79" t="s">
        <v>300</v>
      </c>
      <c r="Q161" s="13" t="s">
        <v>618</v>
      </c>
      <c r="R161" s="246" t="str">
        <f>VLOOKUP(P161,'Dados das Regiões '!A:B,2,0)</f>
        <v>GUARAPUAVA</v>
      </c>
      <c r="S161" t="s">
        <v>4410</v>
      </c>
      <c r="U161" s="79" t="s">
        <v>4411</v>
      </c>
      <c r="V161" t="s">
        <v>4412</v>
      </c>
      <c r="W161" s="35" t="s">
        <v>4413</v>
      </c>
      <c r="X161" s="15">
        <v>0.54166666666666663</v>
      </c>
      <c r="Y161" s="516">
        <v>0.625</v>
      </c>
      <c r="Z161" s="16" t="s">
        <v>622</v>
      </c>
      <c r="AB161" s="164">
        <v>202500120</v>
      </c>
      <c r="AC161" s="55" t="s">
        <v>27</v>
      </c>
      <c r="AD161" s="40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</row>
    <row r="162" spans="1:44">
      <c r="B162" s="13" t="str">
        <f t="shared" si="149"/>
        <v>Pendente</v>
      </c>
      <c r="C162" s="14" t="str">
        <f t="shared" si="125"/>
        <v/>
      </c>
      <c r="D162" s="13" t="s">
        <v>611</v>
      </c>
      <c r="E162" s="14" t="str">
        <f t="shared" ref="E162" si="168">IF(C162="", "", EDATE(C162, 3))</f>
        <v/>
      </c>
      <c r="F162" s="13" t="s">
        <v>611</v>
      </c>
      <c r="G162" s="40">
        <v>202500120</v>
      </c>
      <c r="H162" s="13" t="s">
        <v>4414</v>
      </c>
      <c r="I162" s="13" t="s">
        <v>1176</v>
      </c>
      <c r="J162" s="14">
        <v>45705</v>
      </c>
      <c r="K162" s="14">
        <v>46064</v>
      </c>
      <c r="L162" s="13" t="s">
        <v>1864</v>
      </c>
      <c r="M162" s="13" t="s">
        <v>4415</v>
      </c>
      <c r="N162" s="13" t="s">
        <v>4416</v>
      </c>
      <c r="O162" s="13" t="s">
        <v>4417</v>
      </c>
      <c r="P162" s="79" t="s">
        <v>352</v>
      </c>
      <c r="Q162" s="13" t="s">
        <v>618</v>
      </c>
      <c r="R162" s="246" t="str">
        <f>VLOOKUP(P162,'Dados das Regiões '!A:B,2,0)</f>
        <v>MARECHAL CÂNDIDO RONDON</v>
      </c>
      <c r="S162" s="13" t="s">
        <v>4418</v>
      </c>
      <c r="U162" s="79" t="s">
        <v>4419</v>
      </c>
      <c r="V162" s="13" t="s">
        <v>4419</v>
      </c>
      <c r="W162" s="13" t="s">
        <v>4420</v>
      </c>
      <c r="X162" s="15">
        <v>0.54166666666666663</v>
      </c>
      <c r="Y162" s="516">
        <v>0.625</v>
      </c>
      <c r="Z162" s="16" t="s">
        <v>622</v>
      </c>
      <c r="AB162" s="164">
        <v>202500120</v>
      </c>
      <c r="AC162" s="55" t="s">
        <v>27</v>
      </c>
      <c r="AD162" s="40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</row>
    <row r="163" spans="1:44">
      <c r="B163" s="13" t="str">
        <f t="shared" si="149"/>
        <v>Pendente</v>
      </c>
      <c r="C163" s="14" t="str">
        <f t="shared" si="125"/>
        <v/>
      </c>
      <c r="D163" s="13" t="s">
        <v>611</v>
      </c>
      <c r="E163" s="14" t="str">
        <f t="shared" ref="E163" si="169">IF(C163="", "", EDATE(C163, 3))</f>
        <v/>
      </c>
      <c r="F163" s="13" t="s">
        <v>611</v>
      </c>
      <c r="G163" s="40">
        <v>202500120</v>
      </c>
      <c r="H163" s="13" t="s">
        <v>4421</v>
      </c>
      <c r="I163" s="13" t="s">
        <v>1176</v>
      </c>
      <c r="J163" s="14">
        <v>45705</v>
      </c>
      <c r="K163" s="14">
        <v>46064</v>
      </c>
      <c r="L163" s="13" t="s">
        <v>2618</v>
      </c>
      <c r="M163" s="13" t="s">
        <v>4422</v>
      </c>
      <c r="N163" s="13" t="s">
        <v>2620</v>
      </c>
      <c r="O163" s="13" t="s">
        <v>2621</v>
      </c>
      <c r="P163" s="79" t="s">
        <v>491</v>
      </c>
      <c r="Q163" s="13" t="s">
        <v>618</v>
      </c>
      <c r="R163" s="246" t="str">
        <f>VLOOKUP(P163,'Dados das Regiões '!A:B,2,0)</f>
        <v>UMUARAMA</v>
      </c>
      <c r="S163" s="13" t="s">
        <v>4423</v>
      </c>
      <c r="U163" s="79" t="s">
        <v>4424</v>
      </c>
      <c r="V163" s="13" t="s">
        <v>4424</v>
      </c>
      <c r="W163" s="13" t="s">
        <v>4425</v>
      </c>
      <c r="X163" s="15">
        <v>0.58333333333333337</v>
      </c>
      <c r="Y163" s="516">
        <v>0.66666666666666663</v>
      </c>
      <c r="Z163" s="16" t="s">
        <v>622</v>
      </c>
      <c r="AB163" s="164">
        <v>202500120</v>
      </c>
      <c r="AC163" s="55" t="s">
        <v>27</v>
      </c>
      <c r="AD163" s="40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</row>
    <row r="164" spans="1:44">
      <c r="B164" s="13" t="str">
        <f t="shared" si="149"/>
        <v>Pendente</v>
      </c>
      <c r="C164" s="14" t="str">
        <f t="shared" si="125"/>
        <v/>
      </c>
      <c r="D164" s="13" t="s">
        <v>611</v>
      </c>
      <c r="E164" s="14" t="str">
        <f t="shared" ref="E164" si="170">IF(C164="", "", EDATE(C164, 3))</f>
        <v/>
      </c>
      <c r="F164" s="13" t="s">
        <v>611</v>
      </c>
      <c r="G164" s="40">
        <v>202500120</v>
      </c>
      <c r="H164" s="13" t="s">
        <v>4426</v>
      </c>
      <c r="I164" s="13" t="s">
        <v>1176</v>
      </c>
      <c r="J164" s="14">
        <v>45705</v>
      </c>
      <c r="K164" s="14">
        <v>46064</v>
      </c>
      <c r="L164" s="13" t="s">
        <v>2618</v>
      </c>
      <c r="M164" s="13" t="s">
        <v>4422</v>
      </c>
      <c r="N164" s="13" t="s">
        <v>2620</v>
      </c>
      <c r="O164" s="13" t="s">
        <v>2621</v>
      </c>
      <c r="P164" s="79" t="s">
        <v>491</v>
      </c>
      <c r="Q164" s="13" t="s">
        <v>618</v>
      </c>
      <c r="R164" s="246" t="str">
        <f>VLOOKUP(P164,'Dados das Regiões '!A:B,2,0)</f>
        <v>UMUARAMA</v>
      </c>
      <c r="S164" s="13" t="s">
        <v>3790</v>
      </c>
      <c r="U164" s="79" t="s">
        <v>3791</v>
      </c>
      <c r="V164" s="13" t="s">
        <v>3791</v>
      </c>
      <c r="W164" s="13" t="s">
        <v>3792</v>
      </c>
      <c r="X164" s="15">
        <v>0.33333333333333331</v>
      </c>
      <c r="Y164" s="516">
        <v>0.41666666666666669</v>
      </c>
      <c r="Z164" s="16" t="s">
        <v>622</v>
      </c>
      <c r="AB164" s="164">
        <v>202500120</v>
      </c>
      <c r="AC164" s="55" t="s">
        <v>27</v>
      </c>
      <c r="AD164" s="40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</row>
    <row r="165" spans="1:44">
      <c r="B165" s="13" t="str">
        <f t="shared" si="149"/>
        <v>Pendente</v>
      </c>
      <c r="C165" s="14" t="str">
        <f t="shared" si="125"/>
        <v/>
      </c>
      <c r="D165" s="13" t="s">
        <v>611</v>
      </c>
      <c r="E165" s="14" t="str">
        <f t="shared" ref="E165" si="171">IF(C165="", "", EDATE(C165, 3))</f>
        <v/>
      </c>
      <c r="F165" s="13" t="s">
        <v>611</v>
      </c>
      <c r="G165" s="40">
        <v>202500120</v>
      </c>
      <c r="H165" s="13" t="s">
        <v>4427</v>
      </c>
      <c r="I165" s="13" t="s">
        <v>1176</v>
      </c>
      <c r="J165" s="14">
        <v>45705</v>
      </c>
      <c r="K165" s="14">
        <v>46064</v>
      </c>
      <c r="L165" s="13" t="s">
        <v>4428</v>
      </c>
      <c r="M165" s="13" t="s">
        <v>4429</v>
      </c>
      <c r="N165" s="13" t="s">
        <v>4430</v>
      </c>
      <c r="O165" s="13" t="s">
        <v>2621</v>
      </c>
      <c r="P165" s="79" t="s">
        <v>491</v>
      </c>
      <c r="Q165" s="13" t="s">
        <v>618</v>
      </c>
      <c r="R165" s="246" t="str">
        <f>VLOOKUP(P165,'Dados das Regiões '!A:B,2,0)</f>
        <v>UMUARAMA</v>
      </c>
      <c r="S165" s="13" t="s">
        <v>4431</v>
      </c>
      <c r="U165" s="79" t="s">
        <v>4432</v>
      </c>
      <c r="V165" s="13" t="s">
        <v>4432</v>
      </c>
      <c r="W165" s="13" t="s">
        <v>4433</v>
      </c>
      <c r="X165" s="15">
        <v>0.33333333333333331</v>
      </c>
      <c r="Y165" s="516">
        <v>0.41666666666666669</v>
      </c>
      <c r="Z165" s="16" t="s">
        <v>622</v>
      </c>
      <c r="AB165" s="164">
        <v>202500120</v>
      </c>
      <c r="AC165" s="55" t="s">
        <v>27</v>
      </c>
      <c r="AD165" s="40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</row>
    <row r="166" spans="1:44">
      <c r="B166" s="13" t="str">
        <f t="shared" si="149"/>
        <v>Pendente</v>
      </c>
      <c r="C166" s="14" t="str">
        <f t="shared" si="125"/>
        <v/>
      </c>
      <c r="D166" s="13" t="s">
        <v>611</v>
      </c>
      <c r="E166" s="14" t="str">
        <f t="shared" ref="E166" si="172">IF(C166="", "", EDATE(C166, 3))</f>
        <v/>
      </c>
      <c r="F166" s="13" t="s">
        <v>611</v>
      </c>
      <c r="G166" s="40">
        <v>202500120</v>
      </c>
      <c r="H166" s="13" t="s">
        <v>4434</v>
      </c>
      <c r="I166" s="13" t="s">
        <v>1176</v>
      </c>
      <c r="J166" s="14">
        <v>45705</v>
      </c>
      <c r="K166" s="14">
        <v>46064</v>
      </c>
      <c r="L166" s="13" t="s">
        <v>4435</v>
      </c>
      <c r="M166" s="13" t="s">
        <v>4436</v>
      </c>
      <c r="N166" s="13" t="s">
        <v>2620</v>
      </c>
      <c r="O166" s="13" t="s">
        <v>2621</v>
      </c>
      <c r="P166" s="79" t="s">
        <v>491</v>
      </c>
      <c r="Q166" s="13" t="s">
        <v>618</v>
      </c>
      <c r="R166" s="246" t="str">
        <f>VLOOKUP(P166,'Dados das Regiões '!A:B,2,0)</f>
        <v>UMUARAMA</v>
      </c>
      <c r="S166" s="13" t="s">
        <v>4286</v>
      </c>
      <c r="U166" s="79" t="s">
        <v>4287</v>
      </c>
      <c r="V166" s="13" t="s">
        <v>4287</v>
      </c>
      <c r="W166" s="13" t="s">
        <v>4288</v>
      </c>
      <c r="X166" s="15">
        <v>0.33333333333333331</v>
      </c>
      <c r="Y166" s="516">
        <v>0.41666666666666669</v>
      </c>
      <c r="Z166" s="16" t="s">
        <v>622</v>
      </c>
      <c r="AB166" s="164">
        <v>202500120</v>
      </c>
      <c r="AC166" s="55" t="s">
        <v>27</v>
      </c>
      <c r="AD166" s="40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</row>
    <row r="167" spans="1:44">
      <c r="B167" s="13" t="str">
        <f t="shared" si="149"/>
        <v>Pendente</v>
      </c>
      <c r="C167" s="14" t="str">
        <f t="shared" si="125"/>
        <v/>
      </c>
      <c r="D167" s="13" t="s">
        <v>611</v>
      </c>
      <c r="E167" s="14" t="str">
        <f t="shared" ref="E167" si="173">IF(C167="", "", EDATE(C167, 3))</f>
        <v/>
      </c>
      <c r="F167" s="13" t="s">
        <v>611</v>
      </c>
      <c r="G167" s="40">
        <v>202500120</v>
      </c>
      <c r="H167" s="13" t="s">
        <v>4437</v>
      </c>
      <c r="I167" s="13" t="s">
        <v>1176</v>
      </c>
      <c r="J167" s="14">
        <v>45705</v>
      </c>
      <c r="K167" s="14">
        <v>46064</v>
      </c>
      <c r="L167" s="13" t="s">
        <v>4274</v>
      </c>
      <c r="M167" s="13" t="s">
        <v>4275</v>
      </c>
      <c r="N167" s="13" t="s">
        <v>4276</v>
      </c>
      <c r="O167" s="13" t="s">
        <v>2621</v>
      </c>
      <c r="P167" s="79" t="s">
        <v>491</v>
      </c>
      <c r="Q167" s="13" t="s">
        <v>618</v>
      </c>
      <c r="R167" s="246" t="str">
        <f>VLOOKUP(P167,'Dados das Regiões '!A:B,2,0)</f>
        <v>UMUARAMA</v>
      </c>
      <c r="S167" s="13" t="s">
        <v>4277</v>
      </c>
      <c r="U167" s="79" t="s">
        <v>4278</v>
      </c>
      <c r="V167" s="13" t="s">
        <v>4278</v>
      </c>
      <c r="W167" s="13" t="s">
        <v>4279</v>
      </c>
      <c r="X167" s="15">
        <v>0.58333333333333337</v>
      </c>
      <c r="Y167" s="516">
        <v>0.66666666666666663</v>
      </c>
      <c r="Z167" s="16" t="s">
        <v>622</v>
      </c>
      <c r="AB167" s="164">
        <v>202500120</v>
      </c>
      <c r="AC167" s="55" t="s">
        <v>27</v>
      </c>
      <c r="AD167" s="40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</row>
    <row r="168" spans="1:44">
      <c r="B168" s="13" t="str">
        <f t="shared" si="149"/>
        <v>Pendente</v>
      </c>
      <c r="C168" s="14" t="str">
        <f t="shared" si="125"/>
        <v/>
      </c>
      <c r="D168" s="13" t="s">
        <v>611</v>
      </c>
      <c r="E168" s="14" t="str">
        <f t="shared" ref="E168" si="174">IF(C168="", "", EDATE(C168, 3))</f>
        <v/>
      </c>
      <c r="F168" s="13" t="s">
        <v>611</v>
      </c>
      <c r="G168" s="40">
        <v>202500120</v>
      </c>
      <c r="H168" s="13" t="s">
        <v>4438</v>
      </c>
      <c r="I168" s="13" t="s">
        <v>1176</v>
      </c>
      <c r="J168" s="14">
        <v>45705</v>
      </c>
      <c r="K168" s="14">
        <v>46064</v>
      </c>
      <c r="L168" s="13" t="s">
        <v>4428</v>
      </c>
      <c r="M168" s="13" t="s">
        <v>4429</v>
      </c>
      <c r="N168" s="13" t="s">
        <v>4430</v>
      </c>
      <c r="O168" s="13" t="s">
        <v>2621</v>
      </c>
      <c r="P168" s="79" t="s">
        <v>491</v>
      </c>
      <c r="Q168" s="13" t="s">
        <v>618</v>
      </c>
      <c r="R168" s="246" t="str">
        <f>VLOOKUP(P168,'Dados das Regiões '!A:B,2,0)</f>
        <v>UMUARAMA</v>
      </c>
      <c r="S168" s="13" t="s">
        <v>4286</v>
      </c>
      <c r="U168" s="79" t="s">
        <v>3780</v>
      </c>
      <c r="V168" s="13" t="s">
        <v>4287</v>
      </c>
      <c r="W168" s="13" t="s">
        <v>4288</v>
      </c>
      <c r="X168" s="15">
        <v>0.33333333333333331</v>
      </c>
      <c r="Y168" s="516">
        <v>0.41666666666666669</v>
      </c>
      <c r="Z168" s="16" t="s">
        <v>622</v>
      </c>
      <c r="AB168" s="164">
        <v>202500120</v>
      </c>
      <c r="AC168" s="55" t="s">
        <v>27</v>
      </c>
      <c r="AD168" s="40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</row>
    <row r="169" spans="1:44">
      <c r="B169" s="13" t="str">
        <f t="shared" si="149"/>
        <v>Pendente</v>
      </c>
      <c r="C169" s="14" t="str">
        <f t="shared" si="125"/>
        <v/>
      </c>
      <c r="D169" s="13" t="s">
        <v>611</v>
      </c>
      <c r="E169" s="14" t="str">
        <f t="shared" ref="E169" si="175">IF(C169="", "", EDATE(C169, 3))</f>
        <v/>
      </c>
      <c r="F169" s="13" t="s">
        <v>611</v>
      </c>
      <c r="G169" s="40">
        <v>202500120</v>
      </c>
      <c r="H169" s="13" t="s">
        <v>4439</v>
      </c>
      <c r="I169" s="13" t="s">
        <v>1176</v>
      </c>
      <c r="J169" s="14">
        <v>45705</v>
      </c>
      <c r="K169" s="14">
        <v>46064</v>
      </c>
      <c r="L169" s="13" t="s">
        <v>4428</v>
      </c>
      <c r="M169" s="13" t="s">
        <v>4429</v>
      </c>
      <c r="N169" s="13" t="s">
        <v>4430</v>
      </c>
      <c r="O169" s="13" t="s">
        <v>2621</v>
      </c>
      <c r="P169" s="79" t="s">
        <v>491</v>
      </c>
      <c r="Q169" s="13" t="s">
        <v>618</v>
      </c>
      <c r="R169" s="246" t="str">
        <f>VLOOKUP(P169,'Dados das Regiões '!A:B,2,0)</f>
        <v>UMUARAMA</v>
      </c>
      <c r="S169" s="13" t="s">
        <v>4440</v>
      </c>
      <c r="U169" s="79" t="s">
        <v>3780</v>
      </c>
      <c r="V169" s="13" t="s">
        <v>4441</v>
      </c>
      <c r="W169" s="13" t="s">
        <v>4442</v>
      </c>
      <c r="X169" s="15">
        <v>0.58333333333333337</v>
      </c>
      <c r="Y169" s="516">
        <v>0.66666666666666663</v>
      </c>
      <c r="Z169" s="16" t="s">
        <v>622</v>
      </c>
      <c r="AB169" s="164">
        <v>202500120</v>
      </c>
      <c r="AC169" s="55" t="s">
        <v>27</v>
      </c>
      <c r="AD169" s="40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</row>
    <row r="170" spans="1:44">
      <c r="B170" s="13" t="str">
        <f t="shared" si="149"/>
        <v>Pendente</v>
      </c>
      <c r="C170" s="14" t="str">
        <f t="shared" si="125"/>
        <v/>
      </c>
      <c r="D170" s="13" t="s">
        <v>611</v>
      </c>
      <c r="E170" s="14" t="str">
        <f t="shared" ref="E170" si="176">IF(C170="", "", EDATE(C170, 3))</f>
        <v/>
      </c>
      <c r="F170" s="13" t="s">
        <v>611</v>
      </c>
      <c r="G170" s="40">
        <v>202500120</v>
      </c>
      <c r="H170" s="13" t="s">
        <v>4443</v>
      </c>
      <c r="I170" s="13" t="s">
        <v>1176</v>
      </c>
      <c r="J170" s="14">
        <v>45705</v>
      </c>
      <c r="K170" s="14">
        <v>46064</v>
      </c>
      <c r="L170" s="13" t="s">
        <v>2618</v>
      </c>
      <c r="M170" s="13" t="s">
        <v>4422</v>
      </c>
      <c r="N170" s="13" t="s">
        <v>2620</v>
      </c>
      <c r="O170" s="13" t="s">
        <v>2621</v>
      </c>
      <c r="P170" s="79" t="s">
        <v>491</v>
      </c>
      <c r="Q170" s="13" t="s">
        <v>618</v>
      </c>
      <c r="R170" s="246" t="str">
        <f>VLOOKUP(P170,'Dados das Regiões '!A:B,2,0)</f>
        <v>UMUARAMA</v>
      </c>
      <c r="S170" s="13" t="s">
        <v>4444</v>
      </c>
      <c r="U170" s="79" t="s">
        <v>4445</v>
      </c>
      <c r="V170" s="13" t="s">
        <v>4445</v>
      </c>
      <c r="W170" s="13" t="s">
        <v>4446</v>
      </c>
      <c r="X170" s="15">
        <v>0.58333333333333337</v>
      </c>
      <c r="Y170" s="516">
        <v>0.66666666666666663</v>
      </c>
      <c r="Z170" s="16" t="s">
        <v>622</v>
      </c>
      <c r="AB170" s="164">
        <v>202500120</v>
      </c>
      <c r="AC170" s="55" t="s">
        <v>27</v>
      </c>
      <c r="AD170" s="40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</row>
    <row r="171" spans="1:44">
      <c r="B171" s="13" t="str">
        <f t="shared" si="149"/>
        <v>Pendente</v>
      </c>
      <c r="C171" s="14" t="str">
        <f t="shared" si="125"/>
        <v/>
      </c>
      <c r="D171" s="13" t="s">
        <v>611</v>
      </c>
      <c r="E171" s="14" t="str">
        <f t="shared" ref="E171" si="177">IF(C171="", "", EDATE(C171, 3))</f>
        <v/>
      </c>
      <c r="F171" s="13" t="s">
        <v>611</v>
      </c>
      <c r="G171" s="40">
        <v>202500120</v>
      </c>
      <c r="H171" s="13" t="s">
        <v>4447</v>
      </c>
      <c r="I171" s="13" t="s">
        <v>1176</v>
      </c>
      <c r="J171" s="14">
        <v>45705</v>
      </c>
      <c r="K171" s="14">
        <v>46064</v>
      </c>
      <c r="L171" s="13" t="s">
        <v>4428</v>
      </c>
      <c r="M171" s="13" t="s">
        <v>4429</v>
      </c>
      <c r="N171" s="13" t="s">
        <v>4430</v>
      </c>
      <c r="O171" s="13" t="s">
        <v>2621</v>
      </c>
      <c r="P171" s="79" t="s">
        <v>491</v>
      </c>
      <c r="Q171" s="13" t="s">
        <v>618</v>
      </c>
      <c r="R171" s="246" t="str">
        <f>VLOOKUP(P171,'Dados das Regiões '!A:B,2,0)</f>
        <v>UMUARAMA</v>
      </c>
      <c r="S171" s="13" t="s">
        <v>4286</v>
      </c>
      <c r="U171" s="79" t="s">
        <v>3780</v>
      </c>
      <c r="V171" s="13" t="s">
        <v>4287</v>
      </c>
      <c r="W171" s="13" t="s">
        <v>4288</v>
      </c>
      <c r="X171" s="15">
        <v>0.58333333333333337</v>
      </c>
      <c r="Y171" s="516">
        <v>0.66666666666666663</v>
      </c>
      <c r="Z171" s="16" t="s">
        <v>622</v>
      </c>
      <c r="AB171" s="164">
        <v>202500120</v>
      </c>
      <c r="AC171" s="55" t="s">
        <v>27</v>
      </c>
      <c r="AD171" s="40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</row>
    <row r="172" spans="1:44">
      <c r="B172" s="13" t="str">
        <f t="shared" si="149"/>
        <v>Pendente</v>
      </c>
      <c r="C172" s="14" t="str">
        <f t="shared" si="125"/>
        <v/>
      </c>
      <c r="D172" s="13" t="s">
        <v>611</v>
      </c>
      <c r="E172" s="14" t="str">
        <f t="shared" ref="E172" si="178">IF(C172="", "", EDATE(C172, 3))</f>
        <v/>
      </c>
      <c r="F172" s="13" t="s">
        <v>611</v>
      </c>
      <c r="G172" s="40">
        <v>202500120</v>
      </c>
      <c r="H172" s="13" t="s">
        <v>4448</v>
      </c>
      <c r="I172" s="13" t="s">
        <v>1176</v>
      </c>
      <c r="J172" s="14">
        <v>45705</v>
      </c>
      <c r="K172" s="14">
        <v>46064</v>
      </c>
      <c r="L172" s="13" t="s">
        <v>4428</v>
      </c>
      <c r="M172" s="13" t="s">
        <v>4429</v>
      </c>
      <c r="N172" s="13" t="s">
        <v>4430</v>
      </c>
      <c r="O172" s="13" t="s">
        <v>2621</v>
      </c>
      <c r="P172" s="79" t="s">
        <v>491</v>
      </c>
      <c r="Q172" s="13" t="s">
        <v>618</v>
      </c>
      <c r="R172" s="246" t="str">
        <f>VLOOKUP(P172,'Dados das Regiões '!A:B,2,0)</f>
        <v>UMUARAMA</v>
      </c>
      <c r="S172" s="13" t="s">
        <v>3810</v>
      </c>
      <c r="U172" s="79" t="s">
        <v>3780</v>
      </c>
      <c r="V172" s="13" t="s">
        <v>3811</v>
      </c>
      <c r="W172" s="13" t="s">
        <v>3812</v>
      </c>
      <c r="X172" s="15">
        <v>0.58333333333333337</v>
      </c>
      <c r="Y172" s="516">
        <v>0.66666666666666663</v>
      </c>
      <c r="Z172" s="16" t="s">
        <v>622</v>
      </c>
      <c r="AA172" s="36" t="s">
        <v>4449</v>
      </c>
      <c r="AB172" s="164">
        <v>202500120</v>
      </c>
      <c r="AC172" s="55" t="s">
        <v>27</v>
      </c>
      <c r="AD172" s="40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</row>
    <row r="173" spans="1:44">
      <c r="B173" s="13" t="str">
        <f t="shared" si="149"/>
        <v>Pendente</v>
      </c>
      <c r="C173" s="14" t="str">
        <f t="shared" si="125"/>
        <v/>
      </c>
      <c r="D173" s="13" t="s">
        <v>611</v>
      </c>
      <c r="E173" s="14" t="str">
        <f t="shared" ref="E173" si="179">IF(C173="", "", EDATE(C173, 3))</f>
        <v/>
      </c>
      <c r="F173" s="13" t="s">
        <v>611</v>
      </c>
      <c r="G173" s="40">
        <v>202500120</v>
      </c>
      <c r="H173" s="13" t="s">
        <v>4450</v>
      </c>
      <c r="I173" s="13" t="s">
        <v>1176</v>
      </c>
      <c r="J173" s="14">
        <v>45705</v>
      </c>
      <c r="K173" s="14">
        <v>46064</v>
      </c>
      <c r="L173" s="13" t="s">
        <v>2618</v>
      </c>
      <c r="M173" s="13" t="s">
        <v>4422</v>
      </c>
      <c r="N173" s="13" t="s">
        <v>2620</v>
      </c>
      <c r="O173" s="13" t="s">
        <v>2621</v>
      </c>
      <c r="P173" s="79" t="s">
        <v>491</v>
      </c>
      <c r="Q173" s="13" t="s">
        <v>618</v>
      </c>
      <c r="R173" s="246" t="str">
        <f>VLOOKUP(P173,'Dados das Regiões '!A:B,2,0)</f>
        <v>UMUARAMA</v>
      </c>
      <c r="S173" s="13" t="s">
        <v>4451</v>
      </c>
      <c r="U173" s="79" t="s">
        <v>4452</v>
      </c>
      <c r="V173" s="13" t="s">
        <v>4452</v>
      </c>
      <c r="W173" s="13" t="s">
        <v>4453</v>
      </c>
      <c r="X173" s="15">
        <v>0.58333333333333337</v>
      </c>
      <c r="Y173" s="516">
        <v>0.66666666666666663</v>
      </c>
      <c r="Z173" s="16" t="s">
        <v>622</v>
      </c>
      <c r="AB173" s="164">
        <v>202500120</v>
      </c>
      <c r="AC173" s="55" t="s">
        <v>27</v>
      </c>
      <c r="AD173" s="40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</row>
    <row r="174" spans="1:44">
      <c r="B174" s="13" t="str">
        <f t="shared" si="149"/>
        <v>Pendente</v>
      </c>
      <c r="C174" s="14" t="str">
        <f t="shared" si="125"/>
        <v/>
      </c>
      <c r="D174" s="13" t="s">
        <v>611</v>
      </c>
      <c r="E174" s="14" t="str">
        <f t="shared" ref="E174" si="180">IF(C174="", "", EDATE(C174, 3))</f>
        <v/>
      </c>
      <c r="F174" s="13" t="s">
        <v>611</v>
      </c>
      <c r="G174" s="40">
        <v>202500120</v>
      </c>
      <c r="H174" s="13" t="s">
        <v>4454</v>
      </c>
      <c r="I174" s="13" t="s">
        <v>1176</v>
      </c>
      <c r="J174" s="14">
        <v>45705</v>
      </c>
      <c r="K174" s="14">
        <v>46064</v>
      </c>
      <c r="L174" s="13" t="s">
        <v>4428</v>
      </c>
      <c r="M174" s="13" t="s">
        <v>4429</v>
      </c>
      <c r="N174" s="13" t="s">
        <v>4430</v>
      </c>
      <c r="O174" s="13" t="s">
        <v>2621</v>
      </c>
      <c r="P174" s="79" t="s">
        <v>491</v>
      </c>
      <c r="Q174" s="13" t="s">
        <v>618</v>
      </c>
      <c r="R174" s="246" t="str">
        <f>VLOOKUP(P174,'Dados das Regiões '!A:B,2,0)</f>
        <v>UMUARAMA</v>
      </c>
      <c r="S174" s="13" t="s">
        <v>4455</v>
      </c>
      <c r="U174" s="79" t="s">
        <v>3780</v>
      </c>
      <c r="V174" s="13" t="s">
        <v>4456</v>
      </c>
      <c r="W174" s="13" t="s">
        <v>4457</v>
      </c>
      <c r="X174" s="15">
        <v>0.33333333333333331</v>
      </c>
      <c r="Y174" s="516">
        <v>0.41666666666666669</v>
      </c>
      <c r="Z174" s="16" t="s">
        <v>622</v>
      </c>
      <c r="AB174" s="164">
        <v>202500120</v>
      </c>
      <c r="AC174" s="55" t="s">
        <v>27</v>
      </c>
      <c r="AD174" s="40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</row>
    <row r="175" spans="1:44">
      <c r="B175" s="13" t="str">
        <f t="shared" si="149"/>
        <v>Pendente</v>
      </c>
      <c r="C175" s="14" t="str">
        <f t="shared" si="125"/>
        <v/>
      </c>
      <c r="D175" s="13" t="s">
        <v>611</v>
      </c>
      <c r="E175" s="14" t="str">
        <f t="shared" ref="E175" si="181">IF(C175="", "", EDATE(C175, 3))</f>
        <v/>
      </c>
      <c r="F175" s="13" t="s">
        <v>611</v>
      </c>
      <c r="G175" s="40">
        <v>202500120</v>
      </c>
      <c r="H175" s="13" t="s">
        <v>4458</v>
      </c>
      <c r="I175" s="13" t="s">
        <v>1176</v>
      </c>
      <c r="J175" s="14">
        <v>45705</v>
      </c>
      <c r="K175" s="14">
        <v>46064</v>
      </c>
      <c r="L175" s="13" t="s">
        <v>2618</v>
      </c>
      <c r="M175" s="13" t="s">
        <v>4422</v>
      </c>
      <c r="N175" s="13" t="s">
        <v>2620</v>
      </c>
      <c r="O175" s="13" t="s">
        <v>2621</v>
      </c>
      <c r="P175" s="79" t="s">
        <v>491</v>
      </c>
      <c r="Q175" s="13" t="s">
        <v>618</v>
      </c>
      <c r="R175" s="246" t="str">
        <f>VLOOKUP(P175,'Dados das Regiões '!A:B,2,0)</f>
        <v>UMUARAMA</v>
      </c>
      <c r="S175" s="13" t="s">
        <v>4459</v>
      </c>
      <c r="U175" s="79" t="s">
        <v>4460</v>
      </c>
      <c r="V175" s="13" t="s">
        <v>4460</v>
      </c>
      <c r="W175" s="13" t="s">
        <v>4461</v>
      </c>
      <c r="X175" s="15">
        <v>0.58333333333333337</v>
      </c>
      <c r="Y175" s="516">
        <v>0.66666666666666663</v>
      </c>
      <c r="Z175" s="16" t="s">
        <v>622</v>
      </c>
      <c r="AB175" s="164">
        <v>202500120</v>
      </c>
      <c r="AC175" s="55" t="s">
        <v>27</v>
      </c>
      <c r="AD175" s="40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</row>
    <row r="176" spans="1:44">
      <c r="B176" s="13" t="str">
        <f t="shared" si="149"/>
        <v>Pendente</v>
      </c>
      <c r="C176" s="14" t="str">
        <f t="shared" si="125"/>
        <v/>
      </c>
      <c r="D176" s="13" t="s">
        <v>611</v>
      </c>
      <c r="E176" s="14" t="str">
        <f t="shared" ref="E176" si="182">IF(C176="", "", EDATE(C176, 3))</f>
        <v/>
      </c>
      <c r="F176" s="13" t="s">
        <v>611</v>
      </c>
      <c r="G176" s="40">
        <v>202500120</v>
      </c>
      <c r="H176" s="13" t="s">
        <v>4462</v>
      </c>
      <c r="I176" s="13" t="s">
        <v>1176</v>
      </c>
      <c r="J176" s="14">
        <v>45705</v>
      </c>
      <c r="K176" s="14">
        <v>46064</v>
      </c>
      <c r="L176" s="13" t="s">
        <v>4428</v>
      </c>
      <c r="M176" s="13" t="s">
        <v>4429</v>
      </c>
      <c r="N176" s="13" t="s">
        <v>4430</v>
      </c>
      <c r="O176" s="13" t="s">
        <v>2621</v>
      </c>
      <c r="P176" s="79" t="s">
        <v>491</v>
      </c>
      <c r="Q176" s="13" t="s">
        <v>618</v>
      </c>
      <c r="R176" s="246" t="str">
        <f>VLOOKUP(P176,'Dados das Regiões '!A:B,2,0)</f>
        <v>UMUARAMA</v>
      </c>
      <c r="S176" s="13" t="s">
        <v>4463</v>
      </c>
      <c r="U176" s="79" t="s">
        <v>3780</v>
      </c>
      <c r="V176" s="13" t="s">
        <v>4397</v>
      </c>
      <c r="W176" s="13" t="s">
        <v>4398</v>
      </c>
      <c r="X176" s="15">
        <v>0.58333333333333337</v>
      </c>
      <c r="Y176" s="516">
        <v>0.66666666666666663</v>
      </c>
      <c r="Z176" s="16" t="s">
        <v>622</v>
      </c>
      <c r="AB176" s="164">
        <v>202500120</v>
      </c>
      <c r="AC176" s="55" t="s">
        <v>27</v>
      </c>
      <c r="AD176" s="40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</row>
    <row r="177" spans="2:44">
      <c r="B177" s="13" t="str">
        <f t="shared" si="149"/>
        <v>Pendente</v>
      </c>
      <c r="C177" s="14" t="str">
        <f t="shared" si="125"/>
        <v/>
      </c>
      <c r="D177" s="13" t="s">
        <v>611</v>
      </c>
      <c r="E177" s="14" t="str">
        <f t="shared" ref="E177" si="183">IF(C177="", "", EDATE(C177, 3))</f>
        <v/>
      </c>
      <c r="F177" s="13" t="s">
        <v>611</v>
      </c>
      <c r="G177" s="40">
        <v>202500120</v>
      </c>
      <c r="H177" s="13" t="s">
        <v>4464</v>
      </c>
      <c r="I177" s="13" t="s">
        <v>1176</v>
      </c>
      <c r="J177" s="14">
        <v>45705</v>
      </c>
      <c r="K177" s="14">
        <v>46064</v>
      </c>
      <c r="L177" s="13" t="s">
        <v>4428</v>
      </c>
      <c r="M177" s="13" t="s">
        <v>4429</v>
      </c>
      <c r="N177" s="13" t="s">
        <v>4430</v>
      </c>
      <c r="O177" s="13" t="s">
        <v>2621</v>
      </c>
      <c r="P177" s="79" t="s">
        <v>491</v>
      </c>
      <c r="Q177" s="13" t="s">
        <v>618</v>
      </c>
      <c r="R177" s="246" t="str">
        <f>VLOOKUP(P177,'Dados das Regiões '!A:B,2,0)</f>
        <v>UMUARAMA</v>
      </c>
      <c r="S177" s="13" t="s">
        <v>3796</v>
      </c>
      <c r="U177" s="79" t="s">
        <v>3780</v>
      </c>
      <c r="V177" s="13" t="s">
        <v>3797</v>
      </c>
      <c r="W177" s="13" t="s">
        <v>3798</v>
      </c>
      <c r="X177" s="15">
        <v>0.33333333333333331</v>
      </c>
      <c r="Y177" s="516">
        <v>0.41666666666666669</v>
      </c>
      <c r="Z177" s="16" t="s">
        <v>622</v>
      </c>
      <c r="AB177" s="164">
        <v>202500120</v>
      </c>
      <c r="AC177" s="55" t="s">
        <v>27</v>
      </c>
      <c r="AD177" s="40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</row>
    <row r="178" spans="2:44">
      <c r="B178" s="13" t="str">
        <f t="shared" si="149"/>
        <v>Pendente</v>
      </c>
      <c r="C178" s="14" t="str">
        <f t="shared" si="125"/>
        <v/>
      </c>
      <c r="D178" s="13" t="s">
        <v>611</v>
      </c>
      <c r="E178" s="14" t="str">
        <f t="shared" ref="E178" si="184">IF(C178="", "", EDATE(C178, 3))</f>
        <v/>
      </c>
      <c r="F178" s="13" t="s">
        <v>611</v>
      </c>
      <c r="G178" s="40">
        <v>202500120</v>
      </c>
      <c r="H178" s="13" t="s">
        <v>4465</v>
      </c>
      <c r="I178" s="13" t="s">
        <v>1176</v>
      </c>
      <c r="J178" s="14">
        <v>45705</v>
      </c>
      <c r="K178" s="14">
        <v>46064</v>
      </c>
      <c r="L178" s="13" t="s">
        <v>4428</v>
      </c>
      <c r="M178" s="13" t="s">
        <v>4429</v>
      </c>
      <c r="N178" s="13" t="s">
        <v>4430</v>
      </c>
      <c r="O178" s="13" t="s">
        <v>2621</v>
      </c>
      <c r="P178" s="79" t="s">
        <v>491</v>
      </c>
      <c r="Q178" s="13" t="s">
        <v>618</v>
      </c>
      <c r="R178" s="246" t="str">
        <f>VLOOKUP(P178,'Dados das Regiões '!A:B,2,0)</f>
        <v>UMUARAMA</v>
      </c>
      <c r="S178" s="13" t="s">
        <v>4263</v>
      </c>
      <c r="U178" s="79" t="s">
        <v>3780</v>
      </c>
      <c r="V178" s="13" t="s">
        <v>4264</v>
      </c>
      <c r="W178" s="13" t="s">
        <v>4265</v>
      </c>
      <c r="X178" s="15">
        <v>0.33333333333333331</v>
      </c>
      <c r="Y178" s="516">
        <v>0.41666666666666669</v>
      </c>
      <c r="Z178" s="16" t="s">
        <v>622</v>
      </c>
      <c r="AB178" s="164">
        <v>202500120</v>
      </c>
      <c r="AC178" s="55" t="s">
        <v>27</v>
      </c>
      <c r="AD178" s="40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</row>
    <row r="179" spans="2:44">
      <c r="B179" s="13" t="str">
        <f t="shared" si="149"/>
        <v>Pendente</v>
      </c>
      <c r="C179" s="14" t="str">
        <f t="shared" si="125"/>
        <v/>
      </c>
      <c r="D179" s="13" t="s">
        <v>611</v>
      </c>
      <c r="E179" s="14" t="str">
        <f t="shared" ref="E179" si="185">IF(C179="", "", EDATE(C179, 3))</f>
        <v/>
      </c>
      <c r="F179" s="13" t="s">
        <v>611</v>
      </c>
      <c r="G179" s="40">
        <v>202500120</v>
      </c>
      <c r="H179" s="13" t="s">
        <v>4466</v>
      </c>
      <c r="I179" s="13" t="s">
        <v>1176</v>
      </c>
      <c r="J179" s="14">
        <v>45705</v>
      </c>
      <c r="K179" s="14">
        <v>46064</v>
      </c>
      <c r="L179" s="13" t="s">
        <v>2618</v>
      </c>
      <c r="M179" s="13" t="s">
        <v>4422</v>
      </c>
      <c r="N179" s="13" t="s">
        <v>2620</v>
      </c>
      <c r="O179" s="13" t="s">
        <v>2621</v>
      </c>
      <c r="P179" s="79" t="s">
        <v>491</v>
      </c>
      <c r="Q179" s="13" t="s">
        <v>618</v>
      </c>
      <c r="R179" s="246" t="str">
        <f>VLOOKUP(P179,'Dados das Regiões '!A:B,2,0)</f>
        <v>UMUARAMA</v>
      </c>
      <c r="S179" s="13" t="s">
        <v>4467</v>
      </c>
      <c r="U179" s="79" t="s">
        <v>4468</v>
      </c>
      <c r="V179" s="13" t="s">
        <v>4468</v>
      </c>
      <c r="W179" s="13" t="s">
        <v>4469</v>
      </c>
      <c r="X179" s="15">
        <v>0.58333333333333337</v>
      </c>
      <c r="Y179" s="516">
        <v>0.66666666666666663</v>
      </c>
      <c r="Z179" s="16" t="s">
        <v>622</v>
      </c>
      <c r="AB179" s="164">
        <v>202500120</v>
      </c>
      <c r="AC179" s="55" t="s">
        <v>27</v>
      </c>
      <c r="AD179" s="40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</row>
    <row r="180" spans="2:44">
      <c r="B180" s="13" t="str">
        <f t="shared" si="149"/>
        <v>Pendente</v>
      </c>
      <c r="C180" s="14" t="str">
        <f t="shared" si="125"/>
        <v/>
      </c>
      <c r="D180" s="13" t="s">
        <v>611</v>
      </c>
      <c r="E180" s="14" t="str">
        <f t="shared" ref="E180" si="186">IF(C180="", "", EDATE(C180, 3))</f>
        <v/>
      </c>
      <c r="F180" s="13" t="s">
        <v>611</v>
      </c>
      <c r="G180" s="40">
        <v>202500120</v>
      </c>
      <c r="H180" s="13" t="s">
        <v>4470</v>
      </c>
      <c r="I180" s="13" t="s">
        <v>1176</v>
      </c>
      <c r="J180" s="14">
        <v>45705</v>
      </c>
      <c r="K180" s="14">
        <v>46064</v>
      </c>
      <c r="L180" s="13" t="s">
        <v>4428</v>
      </c>
      <c r="M180" s="13" t="s">
        <v>4429</v>
      </c>
      <c r="N180" s="13" t="s">
        <v>4430</v>
      </c>
      <c r="O180" s="13" t="s">
        <v>2621</v>
      </c>
      <c r="P180" s="79" t="s">
        <v>491</v>
      </c>
      <c r="Q180" s="13" t="s">
        <v>618</v>
      </c>
      <c r="R180" s="246" t="str">
        <f>VLOOKUP(P180,'Dados das Regiões '!A:B,2,0)</f>
        <v>UMUARAMA</v>
      </c>
      <c r="S180" s="13" t="s">
        <v>4471</v>
      </c>
      <c r="U180" s="79" t="s">
        <v>3780</v>
      </c>
      <c r="V180" s="13" t="s">
        <v>4397</v>
      </c>
      <c r="W180" s="13" t="s">
        <v>4398</v>
      </c>
      <c r="X180" s="15">
        <v>0.33333333333333331</v>
      </c>
      <c r="Y180" s="516">
        <v>0.41666666666666669</v>
      </c>
      <c r="Z180" s="16" t="s">
        <v>622</v>
      </c>
      <c r="AB180" s="164">
        <v>202500120</v>
      </c>
      <c r="AC180" s="55" t="s">
        <v>27</v>
      </c>
      <c r="AD180" s="40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</row>
    <row r="181" spans="2:44">
      <c r="B181" s="13" t="str">
        <f t="shared" si="149"/>
        <v>Pendente</v>
      </c>
      <c r="C181" s="14" t="str">
        <f t="shared" si="125"/>
        <v/>
      </c>
      <c r="D181" s="13" t="s">
        <v>611</v>
      </c>
      <c r="E181" s="14" t="str">
        <f t="shared" ref="E181" si="187">IF(C181="", "", EDATE(C181, 3))</f>
        <v/>
      </c>
      <c r="F181" s="13" t="s">
        <v>611</v>
      </c>
      <c r="G181" s="40">
        <v>202500120</v>
      </c>
      <c r="H181" s="13" t="s">
        <v>4472</v>
      </c>
      <c r="I181" s="13" t="s">
        <v>1176</v>
      </c>
      <c r="J181" s="14">
        <v>45705</v>
      </c>
      <c r="K181" s="14">
        <v>46064</v>
      </c>
      <c r="L181" s="13" t="s">
        <v>2618</v>
      </c>
      <c r="M181" s="13" t="s">
        <v>4473</v>
      </c>
      <c r="N181" s="13" t="s">
        <v>2620</v>
      </c>
      <c r="O181" s="13" t="s">
        <v>2621</v>
      </c>
      <c r="P181" s="79" t="s">
        <v>491</v>
      </c>
      <c r="Q181" s="13" t="s">
        <v>618</v>
      </c>
      <c r="R181" s="246" t="str">
        <f>VLOOKUP(P181,'Dados das Regiões '!A:B,2,0)</f>
        <v>UMUARAMA</v>
      </c>
      <c r="S181" s="13" t="s">
        <v>4474</v>
      </c>
      <c r="U181" s="79" t="s">
        <v>4475</v>
      </c>
      <c r="V181" s="13" t="s">
        <v>4475</v>
      </c>
      <c r="W181" s="13" t="s">
        <v>4476</v>
      </c>
      <c r="X181" s="15">
        <v>0.58333333333333337</v>
      </c>
      <c r="Y181" s="516">
        <v>0.66666666666666663</v>
      </c>
      <c r="Z181" s="16" t="s">
        <v>622</v>
      </c>
      <c r="AB181" s="164">
        <v>202500120</v>
      </c>
      <c r="AC181" s="55" t="s">
        <v>27</v>
      </c>
      <c r="AD181" s="40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</row>
    <row r="182" spans="2:44">
      <c r="B182" s="13" t="str">
        <f t="shared" si="149"/>
        <v>Pendente</v>
      </c>
      <c r="C182" s="14" t="str">
        <f t="shared" si="125"/>
        <v/>
      </c>
      <c r="D182" s="13" t="s">
        <v>611</v>
      </c>
      <c r="E182" s="14" t="str">
        <f t="shared" ref="E182" si="188">IF(C182="", "", EDATE(C182, 3))</f>
        <v/>
      </c>
      <c r="F182" s="13" t="s">
        <v>611</v>
      </c>
      <c r="G182" s="40">
        <v>202500120</v>
      </c>
      <c r="H182" s="13" t="s">
        <v>4477</v>
      </c>
      <c r="I182" s="13" t="s">
        <v>1176</v>
      </c>
      <c r="J182" s="14">
        <v>45705</v>
      </c>
      <c r="K182" s="14">
        <v>46064</v>
      </c>
      <c r="L182" s="13" t="s">
        <v>4428</v>
      </c>
      <c r="M182" s="13" t="s">
        <v>4429</v>
      </c>
      <c r="N182" s="13" t="s">
        <v>4430</v>
      </c>
      <c r="O182" s="13" t="s">
        <v>2621</v>
      </c>
      <c r="P182" s="79" t="s">
        <v>491</v>
      </c>
      <c r="Q182" s="13" t="s">
        <v>618</v>
      </c>
      <c r="R182" s="246" t="str">
        <f>VLOOKUP(P182,'Dados das Regiões '!A:B,2,0)</f>
        <v>UMUARAMA</v>
      </c>
      <c r="S182" s="13" t="s">
        <v>4478</v>
      </c>
      <c r="U182" s="79" t="s">
        <v>3780</v>
      </c>
      <c r="V182" s="13" t="s">
        <v>3742</v>
      </c>
      <c r="W182" s="13" t="s">
        <v>3743</v>
      </c>
      <c r="X182" s="15">
        <v>0.58333333333333337</v>
      </c>
      <c r="Y182" s="246" t="s">
        <v>1248</v>
      </c>
      <c r="Z182" s="16" t="s">
        <v>622</v>
      </c>
      <c r="AB182" s="164">
        <v>202500120</v>
      </c>
      <c r="AC182" s="55" t="s">
        <v>27</v>
      </c>
      <c r="AD182" s="40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</row>
    <row r="183" spans="2:44">
      <c r="B183" s="13" t="str">
        <f t="shared" si="149"/>
        <v>Pendente</v>
      </c>
      <c r="C183" s="14" t="str">
        <f t="shared" si="125"/>
        <v/>
      </c>
      <c r="D183" s="13" t="s">
        <v>611</v>
      </c>
      <c r="E183" s="14" t="str">
        <f t="shared" ref="E183" si="189">IF(C183="", "", EDATE(C183, 3))</f>
        <v/>
      </c>
      <c r="F183" s="13" t="s">
        <v>611</v>
      </c>
      <c r="G183" s="40">
        <v>202500120</v>
      </c>
      <c r="H183" s="13" t="s">
        <v>4479</v>
      </c>
      <c r="I183" s="13" t="s">
        <v>1176</v>
      </c>
      <c r="J183" s="14">
        <v>45705</v>
      </c>
      <c r="K183" s="14">
        <v>46064</v>
      </c>
      <c r="L183" s="13" t="s">
        <v>2618</v>
      </c>
      <c r="M183" s="13" t="s">
        <v>4422</v>
      </c>
      <c r="N183" s="13" t="s">
        <v>2620</v>
      </c>
      <c r="O183" s="13" t="s">
        <v>2621</v>
      </c>
      <c r="P183" s="79" t="s">
        <v>491</v>
      </c>
      <c r="Q183" s="13" t="s">
        <v>618</v>
      </c>
      <c r="R183" s="246" t="str">
        <f>VLOOKUP(P183,'Dados das Regiões '!A:B,2,0)</f>
        <v>UMUARAMA</v>
      </c>
      <c r="S183" s="13" t="s">
        <v>4480</v>
      </c>
      <c r="U183" s="79" t="s">
        <v>4481</v>
      </c>
      <c r="V183" s="13" t="s">
        <v>4481</v>
      </c>
      <c r="W183" s="13" t="s">
        <v>4482</v>
      </c>
      <c r="X183" s="15">
        <v>0.58333333333333337</v>
      </c>
      <c r="Y183" s="516">
        <v>0.66666666666666663</v>
      </c>
      <c r="Z183" s="16" t="s">
        <v>622</v>
      </c>
      <c r="AB183" s="164">
        <v>202500120</v>
      </c>
      <c r="AC183" s="55" t="s">
        <v>27</v>
      </c>
      <c r="AD183" s="40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</row>
    <row r="184" spans="2:44">
      <c r="B184" s="13" t="str">
        <f t="shared" si="149"/>
        <v>Pendente</v>
      </c>
      <c r="C184" s="14" t="str">
        <f t="shared" ref="C184:C244" si="190">IF(A184="", "", EDATE(A184, 3))</f>
        <v/>
      </c>
      <c r="D184" s="13" t="s">
        <v>611</v>
      </c>
      <c r="E184" s="14" t="str">
        <f t="shared" ref="E184" si="191">IF(C184="", "", EDATE(C184, 3))</f>
        <v/>
      </c>
      <c r="F184" s="13" t="s">
        <v>611</v>
      </c>
      <c r="G184" s="40">
        <v>202500120</v>
      </c>
      <c r="H184" s="13" t="s">
        <v>4483</v>
      </c>
      <c r="I184" s="13" t="s">
        <v>1176</v>
      </c>
      <c r="J184" s="14">
        <v>45705</v>
      </c>
      <c r="K184" s="14">
        <v>46064</v>
      </c>
      <c r="L184" s="13" t="s">
        <v>4428</v>
      </c>
      <c r="M184" s="13" t="s">
        <v>4429</v>
      </c>
      <c r="N184" s="13" t="s">
        <v>4430</v>
      </c>
      <c r="O184" s="13" t="s">
        <v>2621</v>
      </c>
      <c r="P184" s="79" t="s">
        <v>491</v>
      </c>
      <c r="Q184" s="13" t="s">
        <v>618</v>
      </c>
      <c r="R184" s="246" t="str">
        <f>VLOOKUP(P184,'Dados das Regiões '!A:B,2,0)</f>
        <v>UMUARAMA</v>
      </c>
      <c r="S184" s="13" t="s">
        <v>4484</v>
      </c>
      <c r="U184" s="79" t="s">
        <v>3780</v>
      </c>
      <c r="V184" s="13" t="s">
        <v>4485</v>
      </c>
      <c r="W184" s="13" t="s">
        <v>4486</v>
      </c>
      <c r="X184" s="15">
        <v>0.33333333333333331</v>
      </c>
      <c r="Y184" s="516">
        <v>0.41666666666666669</v>
      </c>
      <c r="Z184" s="16" t="s">
        <v>622</v>
      </c>
      <c r="AB184" s="164">
        <v>202500120</v>
      </c>
      <c r="AC184" s="55" t="s">
        <v>27</v>
      </c>
      <c r="AD184" s="40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</row>
    <row r="185" spans="2:44">
      <c r="B185" s="13" t="str">
        <f t="shared" si="149"/>
        <v>Pendente</v>
      </c>
      <c r="C185" s="14" t="str">
        <f t="shared" si="190"/>
        <v/>
      </c>
      <c r="D185" s="13" t="s">
        <v>611</v>
      </c>
      <c r="E185" s="14" t="str">
        <f t="shared" ref="E185" si="192">IF(C185="", "", EDATE(C185, 3))</f>
        <v/>
      </c>
      <c r="F185" s="13" t="s">
        <v>611</v>
      </c>
      <c r="G185" s="40">
        <v>202500120</v>
      </c>
      <c r="H185" s="13" t="s">
        <v>4487</v>
      </c>
      <c r="I185" s="13" t="s">
        <v>1176</v>
      </c>
      <c r="J185" s="14">
        <v>45705</v>
      </c>
      <c r="K185" s="14">
        <v>46064</v>
      </c>
      <c r="L185" s="13" t="s">
        <v>2618</v>
      </c>
      <c r="M185" s="13" t="s">
        <v>4422</v>
      </c>
      <c r="N185" s="13" t="s">
        <v>2620</v>
      </c>
      <c r="O185" s="13" t="s">
        <v>2621</v>
      </c>
      <c r="P185" s="79" t="s">
        <v>491</v>
      </c>
      <c r="Q185" s="13" t="s">
        <v>618</v>
      </c>
      <c r="R185" s="246" t="str">
        <f>VLOOKUP(P185,'Dados das Regiões '!A:B,2,0)</f>
        <v>UMUARAMA</v>
      </c>
      <c r="S185" s="13" t="s">
        <v>4488</v>
      </c>
      <c r="U185" s="79" t="s">
        <v>4489</v>
      </c>
      <c r="V185" s="13" t="s">
        <v>4489</v>
      </c>
      <c r="W185" s="13" t="s">
        <v>4490</v>
      </c>
      <c r="X185" s="15">
        <v>0.33333333333333331</v>
      </c>
      <c r="Y185" s="516">
        <v>0.41666666666666669</v>
      </c>
      <c r="Z185" s="16" t="s">
        <v>622</v>
      </c>
      <c r="AB185" s="164">
        <v>202500120</v>
      </c>
      <c r="AC185" s="55" t="s">
        <v>27</v>
      </c>
      <c r="AD185" s="40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</row>
    <row r="186" spans="2:44">
      <c r="B186" s="13" t="str">
        <f t="shared" si="149"/>
        <v>Pendente</v>
      </c>
      <c r="C186" s="14" t="str">
        <f t="shared" si="190"/>
        <v/>
      </c>
      <c r="D186" s="13" t="s">
        <v>611</v>
      </c>
      <c r="E186" s="14" t="str">
        <f t="shared" ref="E186" si="193">IF(C186="", "", EDATE(C186, 3))</f>
        <v/>
      </c>
      <c r="F186" s="13" t="s">
        <v>611</v>
      </c>
      <c r="G186" s="40">
        <v>202500120</v>
      </c>
      <c r="H186" s="13" t="s">
        <v>4491</v>
      </c>
      <c r="I186" s="13" t="s">
        <v>1176</v>
      </c>
      <c r="J186" s="14">
        <v>45705</v>
      </c>
      <c r="K186" s="14">
        <v>46064</v>
      </c>
      <c r="L186" s="13" t="s">
        <v>4428</v>
      </c>
      <c r="M186" s="13" t="s">
        <v>4429</v>
      </c>
      <c r="N186" s="13" t="s">
        <v>4430</v>
      </c>
      <c r="O186" s="13" t="s">
        <v>2621</v>
      </c>
      <c r="P186" s="79" t="s">
        <v>491</v>
      </c>
      <c r="Q186" s="13" t="s">
        <v>618</v>
      </c>
      <c r="R186" s="246" t="str">
        <f>VLOOKUP(P186,'Dados das Regiões '!A:B,2,0)</f>
        <v>UMUARAMA</v>
      </c>
      <c r="S186" s="13" t="s">
        <v>4251</v>
      </c>
      <c r="U186" s="79" t="s">
        <v>3780</v>
      </c>
      <c r="V186" s="13" t="s">
        <v>4252</v>
      </c>
      <c r="W186" s="13" t="s">
        <v>4253</v>
      </c>
      <c r="X186" s="15">
        <v>0.33333333333333331</v>
      </c>
      <c r="Y186" s="516">
        <v>0.41666666666666669</v>
      </c>
      <c r="Z186" s="16" t="s">
        <v>622</v>
      </c>
      <c r="AB186" s="164">
        <v>202500120</v>
      </c>
      <c r="AC186" s="55" t="s">
        <v>27</v>
      </c>
      <c r="AD186" s="40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</row>
    <row r="187" spans="2:44">
      <c r="B187" s="13" t="str">
        <f t="shared" si="149"/>
        <v>Pendente</v>
      </c>
      <c r="C187" s="14" t="str">
        <f t="shared" si="190"/>
        <v/>
      </c>
      <c r="D187" s="13" t="s">
        <v>611</v>
      </c>
      <c r="E187" s="14" t="str">
        <f t="shared" ref="E187" si="194">IF(C187="", "", EDATE(C187, 3))</f>
        <v/>
      </c>
      <c r="F187" s="13" t="s">
        <v>611</v>
      </c>
      <c r="G187" s="40">
        <v>202500120</v>
      </c>
      <c r="H187" s="13" t="s">
        <v>4492</v>
      </c>
      <c r="I187" s="13" t="s">
        <v>1176</v>
      </c>
      <c r="J187" s="14">
        <v>45705</v>
      </c>
      <c r="K187" s="14">
        <v>46064</v>
      </c>
      <c r="L187" s="13" t="s">
        <v>4428</v>
      </c>
      <c r="M187" s="13" t="s">
        <v>4429</v>
      </c>
      <c r="N187" s="13" t="s">
        <v>4430</v>
      </c>
      <c r="O187" s="13" t="s">
        <v>2621</v>
      </c>
      <c r="P187" s="79" t="s">
        <v>491</v>
      </c>
      <c r="Q187" s="13" t="s">
        <v>618</v>
      </c>
      <c r="R187" s="246" t="str">
        <f>VLOOKUP(P187,'Dados das Regiões '!A:B,2,0)</f>
        <v>UMUARAMA</v>
      </c>
      <c r="S187" s="13" t="s">
        <v>4493</v>
      </c>
      <c r="U187" s="79" t="s">
        <v>3780</v>
      </c>
      <c r="V187" s="13" t="s">
        <v>4239</v>
      </c>
      <c r="W187" s="13" t="s">
        <v>4240</v>
      </c>
      <c r="X187" s="15">
        <v>0.58333333333333337</v>
      </c>
      <c r="Y187" s="516">
        <v>0.66666666666666663</v>
      </c>
      <c r="Z187" s="16" t="s">
        <v>622</v>
      </c>
      <c r="AB187" s="164">
        <v>202500120</v>
      </c>
      <c r="AC187" s="55" t="s">
        <v>27</v>
      </c>
      <c r="AD187" s="40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</row>
    <row r="188" spans="2:44">
      <c r="B188" s="13" t="str">
        <f t="shared" si="149"/>
        <v>Pendente</v>
      </c>
      <c r="C188" s="14" t="str">
        <f t="shared" si="190"/>
        <v/>
      </c>
      <c r="D188" s="13" t="s">
        <v>611</v>
      </c>
      <c r="E188" s="14" t="str">
        <f t="shared" ref="E188" si="195">IF(C188="", "", EDATE(C188, 3))</f>
        <v/>
      </c>
      <c r="F188" s="13" t="s">
        <v>611</v>
      </c>
      <c r="G188" s="40">
        <v>202500120</v>
      </c>
      <c r="H188" s="13" t="s">
        <v>4494</v>
      </c>
      <c r="I188" s="13" t="s">
        <v>1176</v>
      </c>
      <c r="J188" s="14">
        <v>45705</v>
      </c>
      <c r="K188" s="14">
        <v>46064</v>
      </c>
      <c r="L188" s="13" t="s">
        <v>4428</v>
      </c>
      <c r="M188" s="13" t="s">
        <v>4429</v>
      </c>
      <c r="N188" s="13" t="s">
        <v>4430</v>
      </c>
      <c r="O188" s="13" t="s">
        <v>2621</v>
      </c>
      <c r="P188" s="79" t="s">
        <v>491</v>
      </c>
      <c r="Q188" s="13" t="s">
        <v>618</v>
      </c>
      <c r="R188" s="246" t="str">
        <f>VLOOKUP(P188,'Dados das Regiões '!A:B,2,0)</f>
        <v>UMUARAMA</v>
      </c>
      <c r="S188" s="13" t="s">
        <v>4484</v>
      </c>
      <c r="U188" s="79" t="s">
        <v>3780</v>
      </c>
      <c r="V188" s="13" t="s">
        <v>4485</v>
      </c>
      <c r="W188" s="13" t="s">
        <v>4486</v>
      </c>
      <c r="X188" s="15">
        <v>0.33333333333333331</v>
      </c>
      <c r="Y188" s="516">
        <v>0.41666666666666669</v>
      </c>
      <c r="Z188" s="16" t="s">
        <v>622</v>
      </c>
      <c r="AB188" s="164">
        <v>202500120</v>
      </c>
      <c r="AC188" s="55" t="s">
        <v>27</v>
      </c>
      <c r="AD188" s="40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</row>
    <row r="189" spans="2:44">
      <c r="B189" s="13" t="str">
        <f t="shared" si="149"/>
        <v>Pendente</v>
      </c>
      <c r="C189" s="14" t="str">
        <f t="shared" si="190"/>
        <v/>
      </c>
      <c r="D189" s="13" t="s">
        <v>611</v>
      </c>
      <c r="E189" s="14" t="str">
        <f t="shared" ref="E189" si="196">IF(C189="", "", EDATE(C189, 3))</f>
        <v/>
      </c>
      <c r="F189" s="13" t="s">
        <v>611</v>
      </c>
      <c r="G189" s="40">
        <v>202500120</v>
      </c>
      <c r="H189" s="13" t="s">
        <v>4495</v>
      </c>
      <c r="I189" s="13" t="s">
        <v>1176</v>
      </c>
      <c r="J189" s="14">
        <v>45705</v>
      </c>
      <c r="K189" s="14">
        <v>46064</v>
      </c>
      <c r="L189" s="13" t="s">
        <v>4428</v>
      </c>
      <c r="M189" s="13" t="s">
        <v>4429</v>
      </c>
      <c r="N189" s="13" t="s">
        <v>4430</v>
      </c>
      <c r="O189" s="13" t="s">
        <v>2621</v>
      </c>
      <c r="P189" s="79" t="s">
        <v>491</v>
      </c>
      <c r="Q189" s="13" t="s">
        <v>618</v>
      </c>
      <c r="R189" s="246" t="str">
        <f>VLOOKUP(P189,'Dados das Regiões '!A:B,2,0)</f>
        <v>UMUARAMA</v>
      </c>
      <c r="S189" s="13" t="s">
        <v>4496</v>
      </c>
      <c r="U189" s="79" t="s">
        <v>3780</v>
      </c>
      <c r="V189" s="13" t="s">
        <v>4441</v>
      </c>
      <c r="W189" s="13" t="s">
        <v>4442</v>
      </c>
      <c r="X189" s="15">
        <v>0.33333333333333331</v>
      </c>
      <c r="Y189" s="516">
        <v>0.41666666666666669</v>
      </c>
      <c r="Z189" s="16" t="s">
        <v>622</v>
      </c>
      <c r="AB189" s="164">
        <v>202500120</v>
      </c>
      <c r="AC189" s="55" t="s">
        <v>27</v>
      </c>
      <c r="AD189" s="40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</row>
    <row r="190" spans="2:44">
      <c r="B190" s="13" t="str">
        <f t="shared" si="149"/>
        <v>Pendente</v>
      </c>
      <c r="C190" s="14" t="str">
        <f t="shared" si="190"/>
        <v/>
      </c>
      <c r="D190" s="13" t="s">
        <v>611</v>
      </c>
      <c r="E190" s="14" t="str">
        <f t="shared" ref="E190" si="197">IF(C190="", "", EDATE(C190, 3))</f>
        <v/>
      </c>
      <c r="F190" s="13" t="s">
        <v>611</v>
      </c>
      <c r="G190" s="40">
        <v>202500120</v>
      </c>
      <c r="H190" s="13" t="s">
        <v>4497</v>
      </c>
      <c r="I190" s="13" t="s">
        <v>1176</v>
      </c>
      <c r="J190" s="14">
        <v>45705</v>
      </c>
      <c r="K190" s="14">
        <v>46064</v>
      </c>
      <c r="L190" s="13" t="s">
        <v>4428</v>
      </c>
      <c r="M190" s="13" t="s">
        <v>4429</v>
      </c>
      <c r="N190" s="13" t="s">
        <v>4430</v>
      </c>
      <c r="O190" s="13" t="s">
        <v>2621</v>
      </c>
      <c r="P190" s="79" t="s">
        <v>491</v>
      </c>
      <c r="Q190" s="13" t="s">
        <v>618</v>
      </c>
      <c r="R190" s="246" t="str">
        <f>VLOOKUP(P190,'Dados das Regiões '!A:B,2,0)</f>
        <v>UMUARAMA</v>
      </c>
      <c r="S190" s="13" t="s">
        <v>4498</v>
      </c>
      <c r="U190" s="79" t="s">
        <v>3780</v>
      </c>
      <c r="V190" s="13" t="s">
        <v>4499</v>
      </c>
      <c r="W190" s="13" t="s">
        <v>4500</v>
      </c>
      <c r="X190" s="15">
        <v>0.58333333333333337</v>
      </c>
      <c r="Y190" s="516">
        <v>0.66666666666666663</v>
      </c>
      <c r="Z190" s="16" t="s">
        <v>622</v>
      </c>
      <c r="AB190" s="164">
        <v>202500120</v>
      </c>
      <c r="AC190" s="55" t="s">
        <v>27</v>
      </c>
      <c r="AD190" s="40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</row>
    <row r="191" spans="2:44">
      <c r="B191" s="13" t="str">
        <f t="shared" si="149"/>
        <v>Pendente</v>
      </c>
      <c r="C191" s="14" t="str">
        <f t="shared" si="190"/>
        <v/>
      </c>
      <c r="D191" s="13" t="s">
        <v>611</v>
      </c>
      <c r="E191" s="14" t="str">
        <f t="shared" ref="E191" si="198">IF(C191="", "", EDATE(C191, 3))</f>
        <v/>
      </c>
      <c r="F191" s="13" t="s">
        <v>611</v>
      </c>
      <c r="G191" s="40">
        <v>202500120</v>
      </c>
      <c r="H191" s="13" t="s">
        <v>4501</v>
      </c>
      <c r="I191" s="13" t="s">
        <v>1176</v>
      </c>
      <c r="J191" s="14">
        <v>45705</v>
      </c>
      <c r="K191" s="14">
        <v>46064</v>
      </c>
      <c r="L191" s="13" t="s">
        <v>2618</v>
      </c>
      <c r="M191" s="13" t="s">
        <v>4422</v>
      </c>
      <c r="N191" s="13" t="s">
        <v>2620</v>
      </c>
      <c r="O191" s="13" t="s">
        <v>2621</v>
      </c>
      <c r="P191" s="79" t="s">
        <v>491</v>
      </c>
      <c r="Q191" s="13" t="s">
        <v>618</v>
      </c>
      <c r="R191" s="246" t="str">
        <f>VLOOKUP(P191,'Dados das Regiões '!A:B,2,0)</f>
        <v>UMUARAMA</v>
      </c>
      <c r="S191" s="13" t="s">
        <v>3753</v>
      </c>
      <c r="U191" s="79" t="s">
        <v>3754</v>
      </c>
      <c r="V191" s="13" t="s">
        <v>3754</v>
      </c>
      <c r="W191" s="13" t="s">
        <v>3755</v>
      </c>
      <c r="X191" s="15">
        <v>0.33333333333333331</v>
      </c>
      <c r="Y191" s="516">
        <v>0.41666666666666669</v>
      </c>
      <c r="Z191" s="16" t="s">
        <v>622</v>
      </c>
      <c r="AB191" s="164">
        <v>202500120</v>
      </c>
      <c r="AC191" s="55" t="s">
        <v>27</v>
      </c>
      <c r="AD191" s="40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</row>
    <row r="192" spans="2:44">
      <c r="B192" s="13" t="str">
        <f t="shared" si="149"/>
        <v>Pendente</v>
      </c>
      <c r="C192" s="14" t="str">
        <f t="shared" si="190"/>
        <v/>
      </c>
      <c r="D192" s="13" t="s">
        <v>611</v>
      </c>
      <c r="E192" s="14" t="str">
        <f t="shared" ref="E192" si="199">IF(C192="", "", EDATE(C192, 3))</f>
        <v/>
      </c>
      <c r="F192" s="13" t="s">
        <v>611</v>
      </c>
      <c r="G192" s="40">
        <v>202500120</v>
      </c>
      <c r="H192" s="13" t="s">
        <v>4502</v>
      </c>
      <c r="I192" s="13" t="s">
        <v>1176</v>
      </c>
      <c r="J192" s="14">
        <v>45705</v>
      </c>
      <c r="K192" s="14">
        <v>46064</v>
      </c>
      <c r="L192" s="13" t="s">
        <v>2618</v>
      </c>
      <c r="M192" s="13" t="s">
        <v>4422</v>
      </c>
      <c r="N192" s="13" t="s">
        <v>2620</v>
      </c>
      <c r="O192" s="13" t="s">
        <v>2621</v>
      </c>
      <c r="P192" s="79" t="s">
        <v>491</v>
      </c>
      <c r="Q192" s="13" t="s">
        <v>618</v>
      </c>
      <c r="R192" s="246" t="str">
        <f>VLOOKUP(P192,'Dados das Regiões '!A:B,2,0)</f>
        <v>UMUARAMA</v>
      </c>
      <c r="S192" s="13" t="s">
        <v>4503</v>
      </c>
      <c r="U192" s="79" t="s">
        <v>4504</v>
      </c>
      <c r="V192" s="13" t="s">
        <v>4504</v>
      </c>
      <c r="W192" s="13" t="s">
        <v>4505</v>
      </c>
      <c r="X192" s="15">
        <v>0.33333333333333331</v>
      </c>
      <c r="Y192" s="516">
        <v>0.41666666666666669</v>
      </c>
      <c r="Z192" s="16" t="s">
        <v>622</v>
      </c>
      <c r="AB192" s="164">
        <v>202500120</v>
      </c>
      <c r="AC192" s="55" t="s">
        <v>27</v>
      </c>
      <c r="AD192" s="40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</row>
    <row r="193" spans="1:44">
      <c r="A193" s="14">
        <v>45854</v>
      </c>
      <c r="B193" s="13" t="str">
        <f t="shared" si="149"/>
        <v>Realizada</v>
      </c>
      <c r="C193" s="14">
        <v>45940</v>
      </c>
      <c r="D193" s="13" t="s">
        <v>104</v>
      </c>
      <c r="E193" s="14">
        <f t="shared" ref="E193" si="200">IF(C193="", "", EDATE(C193, 3))</f>
        <v>46032</v>
      </c>
      <c r="F193" s="13" t="s">
        <v>611</v>
      </c>
      <c r="G193" s="40">
        <v>202500121</v>
      </c>
      <c r="H193" s="13" t="s">
        <v>4506</v>
      </c>
      <c r="I193" s="13" t="s">
        <v>1192</v>
      </c>
      <c r="J193" s="14">
        <v>45705</v>
      </c>
      <c r="K193" s="14">
        <v>46064</v>
      </c>
      <c r="L193" s="13" t="s">
        <v>2176</v>
      </c>
      <c r="M193" s="13" t="s">
        <v>2309</v>
      </c>
      <c r="N193" s="13" t="s">
        <v>2310</v>
      </c>
      <c r="O193" s="17" t="s">
        <v>3951</v>
      </c>
      <c r="P193" s="79" t="s">
        <v>294</v>
      </c>
      <c r="Q193" s="13" t="s">
        <v>618</v>
      </c>
      <c r="R193" s="246" t="str">
        <f>VLOOKUP(P193,'Dados das Regiões '!A:B,2,0)</f>
        <v>GUARAPUAVA</v>
      </c>
      <c r="S193" s="13" t="s">
        <v>2222</v>
      </c>
      <c r="U193" s="79" t="s">
        <v>2224</v>
      </c>
      <c r="V193" s="13" t="s">
        <v>2224</v>
      </c>
      <c r="W193" s="13" t="s">
        <v>2225</v>
      </c>
      <c r="X193" s="15">
        <v>0.58333333333333337</v>
      </c>
      <c r="Y193" s="516">
        <v>0.66666666666666663</v>
      </c>
      <c r="Z193" s="16" t="s">
        <v>622</v>
      </c>
      <c r="AB193" s="164">
        <v>202500121</v>
      </c>
      <c r="AC193" s="55" t="s">
        <v>28</v>
      </c>
      <c r="AD193" s="40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</row>
    <row r="194" spans="1:44">
      <c r="A194" s="14">
        <v>45967</v>
      </c>
      <c r="B194" s="13" t="str">
        <f t="shared" si="149"/>
        <v>Realizada</v>
      </c>
      <c r="C194" s="14">
        <f t="shared" si="190"/>
        <v>46059</v>
      </c>
      <c r="D194" s="13" t="s">
        <v>611</v>
      </c>
      <c r="E194" s="14">
        <f t="shared" ref="E194" si="201">IF(C194="", "", EDATE(C194, 3))</f>
        <v>46148</v>
      </c>
      <c r="F194" s="13" t="s">
        <v>611</v>
      </c>
      <c r="G194" s="40">
        <v>202500121</v>
      </c>
      <c r="H194" s="13" t="s">
        <v>4507</v>
      </c>
      <c r="I194" s="13" t="s">
        <v>1192</v>
      </c>
      <c r="J194" s="14">
        <v>45705</v>
      </c>
      <c r="K194" s="14">
        <v>46064</v>
      </c>
      <c r="L194" s="13" t="s">
        <v>2374</v>
      </c>
      <c r="M194" s="13" t="s">
        <v>2375</v>
      </c>
      <c r="N194" s="13" t="s">
        <v>2376</v>
      </c>
      <c r="O194" s="13" t="s">
        <v>4508</v>
      </c>
      <c r="P194" s="79" t="s">
        <v>154</v>
      </c>
      <c r="Q194" s="13" t="s">
        <v>618</v>
      </c>
      <c r="R194" s="246" t="str">
        <f>VLOOKUP(P194,'Dados das Regiões '!A:B,2,0)</f>
        <v>CAMPO MOURÃO</v>
      </c>
      <c r="S194" s="13" t="s">
        <v>2386</v>
      </c>
      <c r="U194" s="79" t="s">
        <v>4509</v>
      </c>
      <c r="V194" s="13" t="s">
        <v>2379</v>
      </c>
      <c r="W194" s="13" t="s">
        <v>2380</v>
      </c>
      <c r="X194" s="15">
        <v>0.5625</v>
      </c>
      <c r="Y194" s="516">
        <v>0.64583333333333337</v>
      </c>
      <c r="Z194" s="16" t="s">
        <v>622</v>
      </c>
      <c r="AB194" s="164">
        <v>202500121</v>
      </c>
      <c r="AC194" s="55" t="s">
        <v>28</v>
      </c>
      <c r="AD194" s="40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</row>
    <row r="195" spans="1:44">
      <c r="B195" s="13" t="str">
        <f t="shared" si="149"/>
        <v>Pendente</v>
      </c>
      <c r="C195" s="14" t="str">
        <f t="shared" si="190"/>
        <v/>
      </c>
      <c r="D195" s="13" t="s">
        <v>611</v>
      </c>
      <c r="E195" s="14" t="str">
        <f t="shared" ref="E195" si="202">IF(C195="", "", EDATE(C195, 3))</f>
        <v/>
      </c>
      <c r="F195" s="13" t="s">
        <v>611</v>
      </c>
      <c r="G195" s="40">
        <v>202500121</v>
      </c>
      <c r="H195" s="13" t="s">
        <v>4510</v>
      </c>
      <c r="I195" s="13" t="s">
        <v>1192</v>
      </c>
      <c r="J195" s="14">
        <v>45705</v>
      </c>
      <c r="K195" s="14">
        <v>46064</v>
      </c>
      <c r="L195" s="13" t="s">
        <v>2176</v>
      </c>
      <c r="M195" s="13" t="s">
        <v>2314</v>
      </c>
      <c r="N195" s="13" t="s">
        <v>2315</v>
      </c>
      <c r="O195" s="13" t="s">
        <v>4378</v>
      </c>
      <c r="P195" s="79" t="s">
        <v>203</v>
      </c>
      <c r="Q195" s="13" t="s">
        <v>618</v>
      </c>
      <c r="R195" s="246" t="str">
        <f>VLOOKUP(P195,'Dados das Regiões '!A:B,2,0)</f>
        <v>CASCAVEL</v>
      </c>
      <c r="S195" s="13" t="s">
        <v>2317</v>
      </c>
      <c r="U195" s="79" t="s">
        <v>4511</v>
      </c>
      <c r="V195" s="13" t="s">
        <v>2319</v>
      </c>
      <c r="W195" s="13" t="s">
        <v>2320</v>
      </c>
      <c r="X195" s="15">
        <v>0.58333333333333337</v>
      </c>
      <c r="Y195" s="516">
        <v>0.66666666666666663</v>
      </c>
      <c r="Z195" s="16" t="s">
        <v>622</v>
      </c>
      <c r="AB195" s="164">
        <v>202500121</v>
      </c>
      <c r="AC195" s="55" t="s">
        <v>28</v>
      </c>
      <c r="AD195" s="40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</row>
    <row r="196" spans="1:44">
      <c r="B196" s="13" t="str">
        <f t="shared" si="149"/>
        <v>Pendente</v>
      </c>
      <c r="C196" s="14" t="str">
        <f t="shared" si="190"/>
        <v/>
      </c>
      <c r="D196" s="13" t="s">
        <v>611</v>
      </c>
      <c r="E196" s="14" t="str">
        <f t="shared" ref="E196" si="203">IF(C196="", "", EDATE(C196, 3))</f>
        <v/>
      </c>
      <c r="F196" s="13" t="s">
        <v>611</v>
      </c>
      <c r="G196" s="40">
        <v>202500121</v>
      </c>
      <c r="H196" s="13" t="s">
        <v>4512</v>
      </c>
      <c r="I196" s="13" t="s">
        <v>1192</v>
      </c>
      <c r="J196" s="14">
        <v>45705</v>
      </c>
      <c r="K196" s="14">
        <v>46064</v>
      </c>
      <c r="L196" s="13" t="s">
        <v>2176</v>
      </c>
      <c r="M196" s="13" t="s">
        <v>2314</v>
      </c>
      <c r="N196" s="13" t="s">
        <v>2315</v>
      </c>
      <c r="O196" s="13" t="s">
        <v>4378</v>
      </c>
      <c r="P196" s="79" t="s">
        <v>203</v>
      </c>
      <c r="Q196" s="13" t="s">
        <v>618</v>
      </c>
      <c r="R196" s="246" t="str">
        <f>VLOOKUP(P196,'Dados das Regiões '!A:B,2,0)</f>
        <v>CASCAVEL</v>
      </c>
      <c r="S196" s="13" t="s">
        <v>4513</v>
      </c>
      <c r="U196" s="79" t="s">
        <v>4511</v>
      </c>
      <c r="V196" s="13" t="s">
        <v>4511</v>
      </c>
      <c r="W196" s="13" t="s">
        <v>2320</v>
      </c>
      <c r="X196" s="15">
        <v>0.33333333333333331</v>
      </c>
      <c r="Y196" s="516">
        <v>0.41666666666666669</v>
      </c>
      <c r="Z196" s="16" t="s">
        <v>622</v>
      </c>
      <c r="AB196" s="164">
        <v>202500121</v>
      </c>
      <c r="AC196" s="55" t="s">
        <v>28</v>
      </c>
      <c r="AD196" s="40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</row>
    <row r="197" spans="1:44">
      <c r="B197" s="13" t="str">
        <f t="shared" si="149"/>
        <v>Pendente</v>
      </c>
      <c r="C197" s="14" t="str">
        <f t="shared" si="190"/>
        <v/>
      </c>
      <c r="D197" s="13" t="s">
        <v>611</v>
      </c>
      <c r="E197" s="14" t="str">
        <f t="shared" ref="E197" si="204">IF(C197="", "", EDATE(C197, 3))</f>
        <v/>
      </c>
      <c r="F197" s="13" t="s">
        <v>611</v>
      </c>
      <c r="G197" s="40">
        <v>202500121</v>
      </c>
      <c r="H197" s="13" t="s">
        <v>4514</v>
      </c>
      <c r="I197" s="13" t="s">
        <v>1192</v>
      </c>
      <c r="J197" s="14">
        <v>45705</v>
      </c>
      <c r="K197" s="14">
        <v>46064</v>
      </c>
      <c r="L197" s="13" t="s">
        <v>2176</v>
      </c>
      <c r="M197" s="13" t="s">
        <v>2314</v>
      </c>
      <c r="N197" s="13" t="s">
        <v>2315</v>
      </c>
      <c r="O197" s="13" t="s">
        <v>4378</v>
      </c>
      <c r="P197" s="79" t="s">
        <v>203</v>
      </c>
      <c r="Q197" s="13" t="s">
        <v>618</v>
      </c>
      <c r="R197" s="246" t="str">
        <f>VLOOKUP(P197,'Dados das Regiões '!A:B,2,0)</f>
        <v>CASCAVEL</v>
      </c>
      <c r="S197" s="13" t="s">
        <v>4513</v>
      </c>
      <c r="U197" s="79" t="s">
        <v>4511</v>
      </c>
      <c r="V197" s="13" t="s">
        <v>4511</v>
      </c>
      <c r="W197" s="13" t="s">
        <v>2320</v>
      </c>
      <c r="X197" s="15">
        <v>0.33333333333333331</v>
      </c>
      <c r="Y197" s="516">
        <v>0.41666666666666669</v>
      </c>
      <c r="Z197" s="16" t="s">
        <v>622</v>
      </c>
      <c r="AB197" s="164">
        <v>202500121</v>
      </c>
      <c r="AC197" s="55" t="s">
        <v>28</v>
      </c>
      <c r="AD197" s="40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</row>
    <row r="198" spans="1:44">
      <c r="A198" s="14">
        <v>45854</v>
      </c>
      <c r="B198" s="13" t="str">
        <f t="shared" si="149"/>
        <v>Realizada</v>
      </c>
      <c r="C198" s="14">
        <v>45940</v>
      </c>
      <c r="D198" s="13" t="s">
        <v>104</v>
      </c>
      <c r="E198" s="14">
        <f t="shared" ref="E198" si="205">IF(C198="", "", EDATE(C198, 3))</f>
        <v>46032</v>
      </c>
      <c r="F198" s="13" t="s">
        <v>611</v>
      </c>
      <c r="G198" s="40">
        <v>202500121</v>
      </c>
      <c r="H198" s="13" t="s">
        <v>4515</v>
      </c>
      <c r="I198" s="13" t="s">
        <v>1192</v>
      </c>
      <c r="J198" s="14">
        <v>45705</v>
      </c>
      <c r="K198" s="14">
        <v>46064</v>
      </c>
      <c r="L198" s="13" t="s">
        <v>2176</v>
      </c>
      <c r="M198" s="13" t="s">
        <v>2219</v>
      </c>
      <c r="N198" s="13" t="s">
        <v>2220</v>
      </c>
      <c r="O198" s="13" t="s">
        <v>3951</v>
      </c>
      <c r="P198" s="79" t="s">
        <v>294</v>
      </c>
      <c r="Q198" s="13" t="s">
        <v>618</v>
      </c>
      <c r="R198" s="246" t="str">
        <f>VLOOKUP(P198,'Dados das Regiões '!A:B,2,0)</f>
        <v>GUARAPUAVA</v>
      </c>
      <c r="S198" s="13" t="s">
        <v>4516</v>
      </c>
      <c r="U198" s="79" t="s">
        <v>4517</v>
      </c>
      <c r="V198" s="13" t="s">
        <v>4517</v>
      </c>
      <c r="W198" s="13" t="s">
        <v>2225</v>
      </c>
      <c r="X198" s="15">
        <v>0.58333333333333337</v>
      </c>
      <c r="Y198" s="516">
        <v>0.66666666666666663</v>
      </c>
      <c r="Z198" s="16" t="s">
        <v>622</v>
      </c>
      <c r="AB198" s="164">
        <v>202500121</v>
      </c>
      <c r="AC198" s="55" t="s">
        <v>28</v>
      </c>
      <c r="AD198" s="40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</row>
    <row r="199" spans="1:44">
      <c r="A199" s="14">
        <v>45867</v>
      </c>
      <c r="B199" s="13" t="str">
        <f t="shared" si="149"/>
        <v>Realizada</v>
      </c>
      <c r="C199" s="14">
        <v>45988</v>
      </c>
      <c r="D199" s="13" t="s">
        <v>104</v>
      </c>
      <c r="E199" s="14">
        <f t="shared" ref="E199" si="206">IF(C199="", "", EDATE(C199, 3))</f>
        <v>46080</v>
      </c>
      <c r="F199" s="13" t="s">
        <v>611</v>
      </c>
      <c r="G199" s="40">
        <v>202500121</v>
      </c>
      <c r="H199" s="13" t="s">
        <v>4518</v>
      </c>
      <c r="I199" s="13" t="s">
        <v>1192</v>
      </c>
      <c r="J199" s="14">
        <v>45705</v>
      </c>
      <c r="K199" s="14">
        <v>46064</v>
      </c>
      <c r="L199" s="13" t="s">
        <v>2176</v>
      </c>
      <c r="M199" s="13" t="s">
        <v>2202</v>
      </c>
      <c r="N199" s="13" t="s">
        <v>2203</v>
      </c>
      <c r="O199" s="13" t="s">
        <v>2204</v>
      </c>
      <c r="P199" s="79" t="s">
        <v>295</v>
      </c>
      <c r="Q199" s="13" t="s">
        <v>618</v>
      </c>
      <c r="R199" s="246" t="str">
        <f>VLOOKUP(P199,'Dados das Regiões '!A:B,2,0)</f>
        <v>GUARAPUAVA</v>
      </c>
      <c r="S199" s="13" t="s">
        <v>4519</v>
      </c>
      <c r="U199" s="79" t="s">
        <v>4520</v>
      </c>
      <c r="V199" s="13" t="s">
        <v>4520</v>
      </c>
      <c r="W199" s="13" t="s">
        <v>2208</v>
      </c>
      <c r="X199" s="15">
        <v>0.58333333333333337</v>
      </c>
      <c r="Y199" s="516">
        <v>0.66666666666666663</v>
      </c>
      <c r="Z199" s="16" t="s">
        <v>622</v>
      </c>
      <c r="AB199" s="164">
        <v>202500121</v>
      </c>
      <c r="AC199" s="55" t="s">
        <v>28</v>
      </c>
      <c r="AD199" s="40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</row>
    <row r="200" spans="1:44">
      <c r="A200" s="14">
        <v>45867</v>
      </c>
      <c r="B200" s="13" t="str">
        <f t="shared" si="149"/>
        <v>Realizada</v>
      </c>
      <c r="C200" s="14">
        <v>45988</v>
      </c>
      <c r="D200" s="13" t="s">
        <v>104</v>
      </c>
      <c r="E200" s="14">
        <f t="shared" ref="E200" si="207">IF(C200="", "", EDATE(C200, 3))</f>
        <v>46080</v>
      </c>
      <c r="F200" s="13" t="s">
        <v>611</v>
      </c>
      <c r="G200" s="40">
        <v>202500121</v>
      </c>
      <c r="H200" s="13" t="s">
        <v>4521</v>
      </c>
      <c r="I200" s="13" t="s">
        <v>1192</v>
      </c>
      <c r="J200" s="14">
        <v>45705</v>
      </c>
      <c r="K200" s="14">
        <v>46064</v>
      </c>
      <c r="L200" s="13" t="s">
        <v>2176</v>
      </c>
      <c r="M200" s="13" t="s">
        <v>2202</v>
      </c>
      <c r="N200" s="13" t="s">
        <v>2203</v>
      </c>
      <c r="O200" s="13" t="s">
        <v>2204</v>
      </c>
      <c r="P200" s="79" t="s">
        <v>295</v>
      </c>
      <c r="Q200" s="13" t="s">
        <v>618</v>
      </c>
      <c r="R200" s="246" t="str">
        <f>VLOOKUP(P200,'Dados das Regiões '!A:B,2,0)</f>
        <v>GUARAPUAVA</v>
      </c>
      <c r="S200" s="13" t="s">
        <v>4522</v>
      </c>
      <c r="U200" s="79" t="s">
        <v>4520</v>
      </c>
      <c r="V200" s="13" t="s">
        <v>4520</v>
      </c>
      <c r="W200" s="13" t="s">
        <v>2208</v>
      </c>
      <c r="X200" s="15">
        <v>0.58333333333333337</v>
      </c>
      <c r="Y200" s="516">
        <v>0.66666666666666663</v>
      </c>
      <c r="Z200" s="16" t="s">
        <v>622</v>
      </c>
      <c r="AB200" s="164">
        <v>202500121</v>
      </c>
      <c r="AC200" s="55" t="s">
        <v>28</v>
      </c>
      <c r="AD200" s="40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</row>
    <row r="201" spans="1:44">
      <c r="B201" s="13" t="str">
        <f t="shared" si="149"/>
        <v>Pendente</v>
      </c>
      <c r="C201" s="14" t="str">
        <f t="shared" si="190"/>
        <v/>
      </c>
      <c r="D201" s="13" t="s">
        <v>611</v>
      </c>
      <c r="E201" s="14" t="str">
        <f t="shared" ref="E201" si="208">IF(C201="", "", EDATE(C201, 3))</f>
        <v/>
      </c>
      <c r="F201" s="13" t="s">
        <v>611</v>
      </c>
      <c r="G201" s="40">
        <v>202500121</v>
      </c>
      <c r="H201" s="13" t="s">
        <v>4523</v>
      </c>
      <c r="I201" s="13" t="s">
        <v>1192</v>
      </c>
      <c r="J201" s="14">
        <v>45705</v>
      </c>
      <c r="K201" s="14">
        <v>46064</v>
      </c>
      <c r="L201" s="13" t="s">
        <v>2210</v>
      </c>
      <c r="M201" s="13" t="s">
        <v>2211</v>
      </c>
      <c r="N201" s="13" t="s">
        <v>2212</v>
      </c>
      <c r="O201" s="17" t="s">
        <v>2213</v>
      </c>
      <c r="P201" s="79" t="s">
        <v>317</v>
      </c>
      <c r="Q201" s="13" t="s">
        <v>618</v>
      </c>
      <c r="R201" s="246" t="str">
        <f>VLOOKUP(P201,'Dados das Regiões '!A:B,2,0)</f>
        <v>IVAIPORÃ</v>
      </c>
      <c r="S201" s="13" t="s">
        <v>4524</v>
      </c>
      <c r="U201" s="79" t="s">
        <v>4525</v>
      </c>
      <c r="V201" s="13" t="s">
        <v>4525</v>
      </c>
      <c r="W201" s="13" t="s">
        <v>2217</v>
      </c>
      <c r="X201" s="15">
        <v>0.54166666666666663</v>
      </c>
      <c r="Y201" s="516">
        <v>0.625</v>
      </c>
      <c r="Z201" s="16" t="s">
        <v>622</v>
      </c>
      <c r="AB201" s="164">
        <v>202500121</v>
      </c>
      <c r="AC201" s="55" t="s">
        <v>28</v>
      </c>
      <c r="AD201" s="40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</row>
    <row r="202" spans="1:44">
      <c r="A202" s="14">
        <v>45867</v>
      </c>
      <c r="B202" s="13" t="str">
        <f t="shared" ref="B202:B260" si="209">IF(ISBLANK(A202), "Pendente", "Realizada")</f>
        <v>Realizada</v>
      </c>
      <c r="C202" s="14">
        <v>45988</v>
      </c>
      <c r="D202" s="13" t="s">
        <v>104</v>
      </c>
      <c r="E202" s="14">
        <f t="shared" ref="E202" si="210">IF(C202="", "", EDATE(C202, 3))</f>
        <v>46080</v>
      </c>
      <c r="F202" s="13" t="s">
        <v>611</v>
      </c>
      <c r="G202" s="40">
        <v>202500121</v>
      </c>
      <c r="H202" s="13" t="s">
        <v>4526</v>
      </c>
      <c r="I202" s="13" t="s">
        <v>1192</v>
      </c>
      <c r="J202" s="14">
        <v>45705</v>
      </c>
      <c r="K202" s="14">
        <v>46064</v>
      </c>
      <c r="L202" s="13" t="s">
        <v>2176</v>
      </c>
      <c r="M202" s="13" t="s">
        <v>2202</v>
      </c>
      <c r="N202" s="13" t="s">
        <v>2203</v>
      </c>
      <c r="O202" s="13" t="s">
        <v>2204</v>
      </c>
      <c r="P202" s="79" t="s">
        <v>295</v>
      </c>
      <c r="Q202" s="13" t="s">
        <v>618</v>
      </c>
      <c r="R202" s="246" t="str">
        <f>VLOOKUP(P202,'Dados das Regiões '!A:B,2,0)</f>
        <v>GUARAPUAVA</v>
      </c>
      <c r="S202" s="13" t="s">
        <v>4522</v>
      </c>
      <c r="U202" s="79" t="s">
        <v>4520</v>
      </c>
      <c r="V202" s="13" t="s">
        <v>4520</v>
      </c>
      <c r="W202" s="13" t="s">
        <v>2208</v>
      </c>
      <c r="X202" s="15">
        <v>0.58333333333333337</v>
      </c>
      <c r="Y202" s="516">
        <v>0.66666666666666663</v>
      </c>
      <c r="Z202" s="16" t="s">
        <v>622</v>
      </c>
      <c r="AA202" s="36" t="s">
        <v>4527</v>
      </c>
      <c r="AB202" s="164">
        <v>202500121</v>
      </c>
      <c r="AC202" s="55" t="s">
        <v>28</v>
      </c>
      <c r="AD202" s="40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</row>
    <row r="203" spans="1:44">
      <c r="A203" s="14">
        <v>45867</v>
      </c>
      <c r="B203" s="13" t="str">
        <f t="shared" si="209"/>
        <v>Realizada</v>
      </c>
      <c r="C203" s="14">
        <v>45995</v>
      </c>
      <c r="D203" s="13" t="s">
        <v>104</v>
      </c>
      <c r="E203" s="14">
        <f t="shared" ref="E203" si="211">IF(C203="", "", EDATE(C203, 3))</f>
        <v>46085</v>
      </c>
      <c r="F203" s="13" t="s">
        <v>611</v>
      </c>
      <c r="G203" s="40">
        <v>202500121</v>
      </c>
      <c r="H203" s="13" t="s">
        <v>4528</v>
      </c>
      <c r="I203" s="13" t="s">
        <v>1192</v>
      </c>
      <c r="J203" s="14">
        <v>45705</v>
      </c>
      <c r="K203" s="14">
        <v>46064</v>
      </c>
      <c r="L203" s="13" t="s">
        <v>2176</v>
      </c>
      <c r="M203" s="13" t="s">
        <v>2202</v>
      </c>
      <c r="N203" s="13" t="s">
        <v>2203</v>
      </c>
      <c r="O203" s="13" t="s">
        <v>2204</v>
      </c>
      <c r="P203" s="79" t="s">
        <v>295</v>
      </c>
      <c r="Q203" s="13" t="s">
        <v>618</v>
      </c>
      <c r="R203" s="246" t="str">
        <f>VLOOKUP(P203,'Dados das Regiões '!A:B,2,0)</f>
        <v>GUARAPUAVA</v>
      </c>
      <c r="S203" s="13" t="s">
        <v>4522</v>
      </c>
      <c r="U203" s="79" t="s">
        <v>4520</v>
      </c>
      <c r="V203" s="13" t="s">
        <v>4520</v>
      </c>
      <c r="W203" s="13" t="s">
        <v>2208</v>
      </c>
      <c r="X203" s="15">
        <v>0.58333333333333337</v>
      </c>
      <c r="Y203" s="516">
        <v>0.66666666666666663</v>
      </c>
      <c r="Z203" s="16" t="s">
        <v>622</v>
      </c>
      <c r="AB203" s="164">
        <v>202500121</v>
      </c>
      <c r="AC203" s="55" t="s">
        <v>28</v>
      </c>
      <c r="AD203" s="40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</row>
    <row r="204" spans="1:44">
      <c r="A204" s="14">
        <v>45867</v>
      </c>
      <c r="B204" s="13" t="str">
        <f t="shared" si="209"/>
        <v>Realizada</v>
      </c>
      <c r="C204" s="14">
        <v>45988</v>
      </c>
      <c r="D204" s="13" t="s">
        <v>104</v>
      </c>
      <c r="E204" s="14">
        <f t="shared" ref="E204" si="212">IF(C204="", "", EDATE(C204, 3))</f>
        <v>46080</v>
      </c>
      <c r="F204" s="13" t="s">
        <v>611</v>
      </c>
      <c r="G204" s="40">
        <v>202500121</v>
      </c>
      <c r="H204" s="13" t="s">
        <v>4529</v>
      </c>
      <c r="I204" s="13" t="s">
        <v>1192</v>
      </c>
      <c r="J204" s="14">
        <v>45705</v>
      </c>
      <c r="K204" s="14">
        <v>46064</v>
      </c>
      <c r="L204" s="13" t="s">
        <v>2176</v>
      </c>
      <c r="M204" s="13" t="s">
        <v>2202</v>
      </c>
      <c r="N204" s="13" t="s">
        <v>2203</v>
      </c>
      <c r="O204" s="13" t="s">
        <v>2204</v>
      </c>
      <c r="P204" s="79" t="s">
        <v>295</v>
      </c>
      <c r="Q204" s="13" t="s">
        <v>618</v>
      </c>
      <c r="R204" s="246" t="str">
        <f>VLOOKUP(P204,'Dados das Regiões '!A:B,2,0)</f>
        <v>GUARAPUAVA</v>
      </c>
      <c r="S204" s="13" t="s">
        <v>4522</v>
      </c>
      <c r="U204" s="79" t="s">
        <v>4520</v>
      </c>
      <c r="V204" s="13" t="s">
        <v>4520</v>
      </c>
      <c r="W204" s="13" t="s">
        <v>2208</v>
      </c>
      <c r="X204" s="15">
        <v>0.58333333333333337</v>
      </c>
      <c r="Y204" s="516">
        <v>0.66666666666666663</v>
      </c>
      <c r="Z204" s="16" t="s">
        <v>622</v>
      </c>
      <c r="AB204" s="164">
        <v>202500121</v>
      </c>
      <c r="AC204" s="55" t="s">
        <v>28</v>
      </c>
      <c r="AD204" s="40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</row>
    <row r="205" spans="1:44">
      <c r="B205" s="13" t="str">
        <f t="shared" si="209"/>
        <v>Pendente</v>
      </c>
      <c r="C205" s="14" t="str">
        <f t="shared" si="190"/>
        <v/>
      </c>
      <c r="D205" s="13" t="s">
        <v>611</v>
      </c>
      <c r="E205" s="14" t="str">
        <f t="shared" ref="E205" si="213">IF(C205="", "", EDATE(C205, 3))</f>
        <v/>
      </c>
      <c r="F205" s="13" t="s">
        <v>611</v>
      </c>
      <c r="G205" s="40">
        <v>202500121</v>
      </c>
      <c r="H205" s="13" t="s">
        <v>4530</v>
      </c>
      <c r="I205" s="13" t="s">
        <v>1192</v>
      </c>
      <c r="J205" s="14">
        <v>45705</v>
      </c>
      <c r="K205" s="14">
        <v>46064</v>
      </c>
      <c r="L205" s="13" t="s">
        <v>2210</v>
      </c>
      <c r="M205" s="13" t="s">
        <v>2211</v>
      </c>
      <c r="N205" s="13" t="s">
        <v>2212</v>
      </c>
      <c r="O205" s="13" t="s">
        <v>2213</v>
      </c>
      <c r="P205" s="79" t="s">
        <v>317</v>
      </c>
      <c r="Q205" s="13" t="s">
        <v>618</v>
      </c>
      <c r="R205" s="246" t="str">
        <f>VLOOKUP(P205,'Dados das Regiões '!A:B,2,0)</f>
        <v>IVAIPORÃ</v>
      </c>
      <c r="S205" s="13" t="s">
        <v>2214</v>
      </c>
      <c r="U205" s="79" t="s">
        <v>4525</v>
      </c>
      <c r="V205" s="13" t="s">
        <v>4525</v>
      </c>
      <c r="W205" s="13" t="s">
        <v>2217</v>
      </c>
      <c r="X205" s="15">
        <v>0.33333333333333331</v>
      </c>
      <c r="Y205" s="516">
        <v>0.41666666666666669</v>
      </c>
      <c r="Z205" s="16" t="s">
        <v>622</v>
      </c>
      <c r="AB205" s="164">
        <v>202500121</v>
      </c>
      <c r="AC205" s="55" t="s">
        <v>28</v>
      </c>
      <c r="AD205" s="40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</row>
    <row r="206" spans="1:44">
      <c r="B206" s="13" t="str">
        <f t="shared" si="209"/>
        <v>Pendente</v>
      </c>
      <c r="C206" s="14" t="str">
        <f t="shared" si="190"/>
        <v/>
      </c>
      <c r="D206" s="13" t="s">
        <v>611</v>
      </c>
      <c r="E206" s="14" t="str">
        <f t="shared" ref="E206" si="214">IF(C206="", "", EDATE(C206, 3))</f>
        <v/>
      </c>
      <c r="F206" s="13" t="s">
        <v>611</v>
      </c>
      <c r="G206" s="40">
        <v>202500121</v>
      </c>
      <c r="H206" s="13" t="s">
        <v>4531</v>
      </c>
      <c r="I206" s="13" t="s">
        <v>1192</v>
      </c>
      <c r="J206" s="14">
        <v>45705</v>
      </c>
      <c r="K206" s="14">
        <v>46064</v>
      </c>
      <c r="L206" s="13" t="s">
        <v>2176</v>
      </c>
      <c r="M206" s="13" t="s">
        <v>2177</v>
      </c>
      <c r="N206" s="13" t="s">
        <v>2178</v>
      </c>
      <c r="O206" s="13" t="s">
        <v>4532</v>
      </c>
      <c r="P206" s="79" t="s">
        <v>196</v>
      </c>
      <c r="Q206" s="13" t="s">
        <v>618</v>
      </c>
      <c r="R206" s="246" t="str">
        <f>VLOOKUP(P206,'Dados das Regiões '!A:B,2,0)</f>
        <v>CASCAVEL</v>
      </c>
      <c r="S206" s="13" t="s">
        <v>2180</v>
      </c>
      <c r="U206" s="79" t="s">
        <v>2182</v>
      </c>
      <c r="V206" s="13" t="s">
        <v>2182</v>
      </c>
      <c r="W206" s="13" t="s">
        <v>2183</v>
      </c>
      <c r="X206" s="15">
        <v>0.58333333333333337</v>
      </c>
      <c r="Y206" s="516">
        <v>0.66666666666666663</v>
      </c>
      <c r="Z206" s="16" t="s">
        <v>622</v>
      </c>
      <c r="AB206" s="164">
        <v>202500121</v>
      </c>
      <c r="AC206" s="55" t="s">
        <v>28</v>
      </c>
      <c r="AD206" s="40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</row>
    <row r="207" spans="1:44">
      <c r="B207" s="13" t="str">
        <f t="shared" si="209"/>
        <v>Pendente</v>
      </c>
      <c r="C207" s="14" t="str">
        <f t="shared" si="190"/>
        <v/>
      </c>
      <c r="D207" s="13" t="s">
        <v>611</v>
      </c>
      <c r="E207" s="14" t="str">
        <f t="shared" ref="E207" si="215">IF(C207="", "", EDATE(C207, 3))</f>
        <v/>
      </c>
      <c r="F207" s="13" t="s">
        <v>611</v>
      </c>
      <c r="G207" s="40">
        <v>202500121</v>
      </c>
      <c r="H207" s="13" t="s">
        <v>4533</v>
      </c>
      <c r="I207" s="13" t="s">
        <v>1192</v>
      </c>
      <c r="J207" s="14">
        <v>45705</v>
      </c>
      <c r="K207" s="14">
        <v>46064</v>
      </c>
      <c r="L207" s="13" t="s">
        <v>2374</v>
      </c>
      <c r="M207" s="13" t="s">
        <v>2389</v>
      </c>
      <c r="N207" s="13" t="s">
        <v>2390</v>
      </c>
      <c r="O207" s="13" t="s">
        <v>1486</v>
      </c>
      <c r="P207" s="79" t="s">
        <v>169</v>
      </c>
      <c r="Q207" s="13" t="s">
        <v>618</v>
      </c>
      <c r="R207" s="246" t="str">
        <f>VLOOKUP(P207,'Dados das Regiões '!A:B,2,0)</f>
        <v>CAMPO MOURÃO</v>
      </c>
      <c r="S207" s="13" t="s">
        <v>2378</v>
      </c>
      <c r="U207" s="79" t="s">
        <v>4509</v>
      </c>
      <c r="V207" s="13" t="s">
        <v>2379</v>
      </c>
      <c r="W207" s="13" t="s">
        <v>2380</v>
      </c>
      <c r="X207" s="15">
        <v>0.5625</v>
      </c>
      <c r="Y207" s="516">
        <v>0.64583333333333337</v>
      </c>
      <c r="Z207" s="16" t="s">
        <v>622</v>
      </c>
      <c r="AB207" s="164">
        <v>202500121</v>
      </c>
      <c r="AC207" s="55" t="s">
        <v>28</v>
      </c>
      <c r="AD207" s="40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</row>
    <row r="208" spans="1:44">
      <c r="B208" s="13" t="str">
        <f t="shared" si="209"/>
        <v>Pendente</v>
      </c>
      <c r="C208" s="14" t="str">
        <f t="shared" si="190"/>
        <v/>
      </c>
      <c r="D208" s="13" t="s">
        <v>611</v>
      </c>
      <c r="E208" s="14" t="str">
        <f t="shared" ref="E208" si="216">IF(C208="", "", EDATE(C208, 3))</f>
        <v/>
      </c>
      <c r="F208" s="13" t="s">
        <v>611</v>
      </c>
      <c r="G208" s="40">
        <v>202500121</v>
      </c>
      <c r="H208" s="13" t="s">
        <v>4534</v>
      </c>
      <c r="I208" s="13" t="s">
        <v>1192</v>
      </c>
      <c r="J208" s="14">
        <v>45705</v>
      </c>
      <c r="K208" s="14">
        <v>46064</v>
      </c>
      <c r="L208" s="13" t="s">
        <v>2374</v>
      </c>
      <c r="M208" s="13" t="s">
        <v>2375</v>
      </c>
      <c r="N208" s="13" t="s">
        <v>2376</v>
      </c>
      <c r="O208" s="13" t="s">
        <v>4508</v>
      </c>
      <c r="P208" s="79" t="s">
        <v>154</v>
      </c>
      <c r="Q208" s="13" t="s">
        <v>618</v>
      </c>
      <c r="R208" s="246" t="str">
        <f>VLOOKUP(P208,'Dados das Regiões '!A:B,2,0)</f>
        <v>CAMPO MOURÃO</v>
      </c>
      <c r="S208" s="13" t="s">
        <v>2378</v>
      </c>
      <c r="U208" s="79" t="s">
        <v>4509</v>
      </c>
      <c r="V208" s="13" t="s">
        <v>2379</v>
      </c>
      <c r="W208" s="13" t="s">
        <v>2380</v>
      </c>
      <c r="X208" s="15">
        <v>0.60416666666666663</v>
      </c>
      <c r="Y208" s="516">
        <v>0.52083333333333337</v>
      </c>
      <c r="Z208" s="16" t="s">
        <v>622</v>
      </c>
      <c r="AB208" s="164">
        <v>202500121</v>
      </c>
      <c r="AC208" s="55" t="s">
        <v>28</v>
      </c>
      <c r="AD208" s="40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</row>
    <row r="209" spans="1:44">
      <c r="A209" s="14">
        <v>45967</v>
      </c>
      <c r="B209" s="13" t="str">
        <f t="shared" si="209"/>
        <v>Realizada</v>
      </c>
      <c r="C209" s="14">
        <f t="shared" si="190"/>
        <v>46059</v>
      </c>
      <c r="D209" s="13" t="s">
        <v>611</v>
      </c>
      <c r="E209" s="14">
        <f t="shared" ref="E209" si="217">IF(C209="", "", EDATE(C209, 3))</f>
        <v>46148</v>
      </c>
      <c r="F209" s="13" t="s">
        <v>611</v>
      </c>
      <c r="G209" s="40">
        <v>202500121</v>
      </c>
      <c r="H209" s="13" t="s">
        <v>4535</v>
      </c>
      <c r="I209" s="13" t="s">
        <v>1192</v>
      </c>
      <c r="J209" s="14">
        <v>45705</v>
      </c>
      <c r="K209" s="14">
        <v>46064</v>
      </c>
      <c r="L209" s="13" t="s">
        <v>2374</v>
      </c>
      <c r="M209" s="13" t="s">
        <v>2389</v>
      </c>
      <c r="N209" s="13" t="s">
        <v>2390</v>
      </c>
      <c r="O209" s="13" t="s">
        <v>1486</v>
      </c>
      <c r="P209" s="79" t="s">
        <v>169</v>
      </c>
      <c r="Q209" s="13" t="s">
        <v>618</v>
      </c>
      <c r="R209" s="246" t="str">
        <f>VLOOKUP(P209,'Dados das Regiões '!A:B,2,0)</f>
        <v>CAMPO MOURÃO</v>
      </c>
      <c r="S209" s="13" t="s">
        <v>2378</v>
      </c>
      <c r="U209" s="79" t="s">
        <v>4509</v>
      </c>
      <c r="V209" s="13" t="s">
        <v>2379</v>
      </c>
      <c r="W209" s="13" t="s">
        <v>2380</v>
      </c>
      <c r="X209" s="15">
        <v>0.41666666666666669</v>
      </c>
      <c r="Y209" s="516">
        <v>0.33333333333333331</v>
      </c>
      <c r="Z209" s="16" t="s">
        <v>622</v>
      </c>
      <c r="AB209" s="164">
        <v>202500121</v>
      </c>
      <c r="AC209" s="55" t="s">
        <v>28</v>
      </c>
      <c r="AD209" s="40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</row>
    <row r="210" spans="1:44">
      <c r="B210" s="13" t="str">
        <f t="shared" si="209"/>
        <v>Pendente</v>
      </c>
      <c r="C210" s="14" t="str">
        <f t="shared" si="190"/>
        <v/>
      </c>
      <c r="D210" s="13" t="s">
        <v>611</v>
      </c>
      <c r="E210" s="14" t="str">
        <f t="shared" ref="E210" si="218">IF(C210="", "", EDATE(C210, 3))</f>
        <v/>
      </c>
      <c r="F210" s="13" t="s">
        <v>611</v>
      </c>
      <c r="G210" s="40">
        <v>202500121</v>
      </c>
      <c r="H210" s="13" t="s">
        <v>4536</v>
      </c>
      <c r="I210" s="13" t="s">
        <v>1192</v>
      </c>
      <c r="J210" s="14">
        <v>45705</v>
      </c>
      <c r="K210" s="14">
        <v>46064</v>
      </c>
      <c r="L210" s="13" t="s">
        <v>4537</v>
      </c>
      <c r="M210" s="13" t="s">
        <v>4538</v>
      </c>
      <c r="N210" s="13" t="s">
        <v>4539</v>
      </c>
      <c r="O210" s="13" t="s">
        <v>675</v>
      </c>
      <c r="P210" s="79" t="s">
        <v>119</v>
      </c>
      <c r="Q210" s="13" t="s">
        <v>618</v>
      </c>
      <c r="R210" s="246" t="str">
        <f>VLOOKUP(P210,'Dados das Regiões '!A:B,2,0)</f>
        <v>APUCARANA</v>
      </c>
      <c r="S210" s="13" t="s">
        <v>4540</v>
      </c>
      <c r="U210" s="79" t="s">
        <v>2164</v>
      </c>
      <c r="V210" s="13" t="s">
        <v>3229</v>
      </c>
      <c r="W210" s="13" t="s">
        <v>4541</v>
      </c>
      <c r="X210" s="15">
        <v>0.66666666666666663</v>
      </c>
      <c r="Y210" s="516">
        <v>0.58333333333333337</v>
      </c>
      <c r="Z210" s="16" t="s">
        <v>622</v>
      </c>
      <c r="AB210" s="164">
        <v>202500121</v>
      </c>
      <c r="AC210" s="55" t="s">
        <v>28</v>
      </c>
      <c r="AD210" s="40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</row>
    <row r="211" spans="1:44">
      <c r="B211" s="13" t="str">
        <f t="shared" si="209"/>
        <v>Pendente</v>
      </c>
      <c r="C211" s="14" t="str">
        <f t="shared" si="190"/>
        <v/>
      </c>
      <c r="D211" s="13" t="s">
        <v>611</v>
      </c>
      <c r="E211" s="14" t="str">
        <f t="shared" ref="E211" si="219">IF(C211="", "", EDATE(C211, 3))</f>
        <v/>
      </c>
      <c r="F211" s="13" t="s">
        <v>611</v>
      </c>
      <c r="G211" s="40">
        <v>202500121</v>
      </c>
      <c r="H211" s="13" t="s">
        <v>4542</v>
      </c>
      <c r="I211" s="13" t="s">
        <v>1192</v>
      </c>
      <c r="J211" s="14">
        <v>45705</v>
      </c>
      <c r="K211" s="14">
        <v>46064</v>
      </c>
      <c r="L211" s="13" t="s">
        <v>4537</v>
      </c>
      <c r="M211" s="13" t="s">
        <v>4538</v>
      </c>
      <c r="N211" s="13" t="s">
        <v>4539</v>
      </c>
      <c r="O211" s="13" t="s">
        <v>675</v>
      </c>
      <c r="P211" s="79" t="s">
        <v>119</v>
      </c>
      <c r="Q211" s="13" t="s">
        <v>618</v>
      </c>
      <c r="R211" s="246" t="str">
        <f>VLOOKUP(P211,'Dados das Regiões '!A:B,2,0)</f>
        <v>APUCARANA</v>
      </c>
      <c r="S211" s="13" t="s">
        <v>4543</v>
      </c>
      <c r="U211" s="79" t="s">
        <v>2164</v>
      </c>
      <c r="V211" s="13" t="s">
        <v>3229</v>
      </c>
      <c r="W211" s="13" t="s">
        <v>4541</v>
      </c>
      <c r="X211" s="15">
        <v>0.58333333333333337</v>
      </c>
      <c r="Y211" s="516">
        <v>0.66666666666666663</v>
      </c>
      <c r="Z211" s="16" t="s">
        <v>622</v>
      </c>
      <c r="AB211" s="164">
        <v>202500121</v>
      </c>
      <c r="AC211" s="55" t="s">
        <v>28</v>
      </c>
      <c r="AD211" s="40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</row>
    <row r="212" spans="1:44">
      <c r="B212" s="13" t="str">
        <f t="shared" si="209"/>
        <v>Pendente</v>
      </c>
      <c r="C212" s="14" t="str">
        <f t="shared" si="190"/>
        <v/>
      </c>
      <c r="D212" s="13" t="s">
        <v>611</v>
      </c>
      <c r="E212" s="14" t="str">
        <f t="shared" ref="E212" si="220">IF(C212="", "", EDATE(C212, 3))</f>
        <v/>
      </c>
      <c r="F212" s="13" t="s">
        <v>611</v>
      </c>
      <c r="G212" s="40">
        <v>202500121</v>
      </c>
      <c r="H212" s="13" t="s">
        <v>4544</v>
      </c>
      <c r="I212" s="13" t="s">
        <v>1192</v>
      </c>
      <c r="J212" s="14">
        <v>45705</v>
      </c>
      <c r="K212" s="14">
        <v>46064</v>
      </c>
      <c r="L212" s="13" t="s">
        <v>4537</v>
      </c>
      <c r="M212" s="13" t="s">
        <v>4538</v>
      </c>
      <c r="N212" s="13" t="s">
        <v>4539</v>
      </c>
      <c r="O212" s="13" t="s">
        <v>675</v>
      </c>
      <c r="P212" s="79" t="s">
        <v>119</v>
      </c>
      <c r="Q212" s="13" t="s">
        <v>618</v>
      </c>
      <c r="R212" s="246" t="str">
        <f>VLOOKUP(P212,'Dados das Regiões '!A:B,2,0)</f>
        <v>APUCARANA</v>
      </c>
      <c r="S212" s="13" t="s">
        <v>4543</v>
      </c>
      <c r="U212" s="79" t="s">
        <v>2164</v>
      </c>
      <c r="V212" s="13" t="s">
        <v>3229</v>
      </c>
      <c r="W212" s="13" t="s">
        <v>4541</v>
      </c>
      <c r="X212" s="15">
        <v>0.66666666666666663</v>
      </c>
      <c r="Y212" s="516">
        <v>0.58333333333333337</v>
      </c>
      <c r="Z212" s="16" t="s">
        <v>622</v>
      </c>
      <c r="AB212" s="164">
        <v>202500121</v>
      </c>
      <c r="AC212" s="55" t="s">
        <v>28</v>
      </c>
      <c r="AD212" s="40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</row>
    <row r="213" spans="1:44">
      <c r="B213" s="13" t="str">
        <f t="shared" si="209"/>
        <v>Pendente</v>
      </c>
      <c r="C213" s="14" t="str">
        <f t="shared" si="190"/>
        <v/>
      </c>
      <c r="D213" s="13" t="s">
        <v>611</v>
      </c>
      <c r="E213" s="14" t="str">
        <f t="shared" ref="E213" si="221">IF(C213="", "", EDATE(C213, 3))</f>
        <v/>
      </c>
      <c r="F213" s="13" t="s">
        <v>611</v>
      </c>
      <c r="G213" s="40">
        <v>202500121</v>
      </c>
      <c r="H213" s="13" t="s">
        <v>4545</v>
      </c>
      <c r="I213" s="13" t="s">
        <v>1192</v>
      </c>
      <c r="J213" s="14">
        <v>45705</v>
      </c>
      <c r="K213" s="14">
        <v>46064</v>
      </c>
      <c r="L213" s="13" t="s">
        <v>4537</v>
      </c>
      <c r="M213" s="13" t="s">
        <v>4538</v>
      </c>
      <c r="N213" s="13" t="s">
        <v>4539</v>
      </c>
      <c r="O213" s="13" t="s">
        <v>675</v>
      </c>
      <c r="P213" s="79" t="s">
        <v>119</v>
      </c>
      <c r="Q213" s="13" t="s">
        <v>618</v>
      </c>
      <c r="R213" s="246" t="str">
        <f>VLOOKUP(P213,'Dados das Regiões '!A:B,2,0)</f>
        <v>APUCARANA</v>
      </c>
      <c r="S213" s="13" t="s">
        <v>4543</v>
      </c>
      <c r="U213" s="79" t="s">
        <v>2164</v>
      </c>
      <c r="V213" s="13" t="s">
        <v>3229</v>
      </c>
      <c r="W213" s="13" t="s">
        <v>4541</v>
      </c>
      <c r="X213" s="15">
        <v>0.58333333333333337</v>
      </c>
      <c r="Y213" s="516">
        <v>0.66666666666666663</v>
      </c>
      <c r="Z213" s="16" t="s">
        <v>622</v>
      </c>
      <c r="AB213" s="164">
        <v>202500121</v>
      </c>
      <c r="AC213" s="55" t="s">
        <v>28</v>
      </c>
      <c r="AD213" s="40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</row>
    <row r="214" spans="1:44">
      <c r="B214" s="13" t="str">
        <f t="shared" si="209"/>
        <v>Pendente</v>
      </c>
      <c r="C214" s="14" t="str">
        <f t="shared" si="190"/>
        <v/>
      </c>
      <c r="D214" s="13" t="s">
        <v>611</v>
      </c>
      <c r="E214" s="14" t="str">
        <f t="shared" ref="E214" si="222">IF(C214="", "", EDATE(C214, 3))</f>
        <v/>
      </c>
      <c r="F214" s="13" t="s">
        <v>611</v>
      </c>
      <c r="G214" s="40">
        <v>202500127</v>
      </c>
      <c r="H214" s="13" t="s">
        <v>4546</v>
      </c>
      <c r="I214" s="13" t="s">
        <v>613</v>
      </c>
      <c r="J214" s="14">
        <v>45707</v>
      </c>
      <c r="K214" s="14">
        <v>46066</v>
      </c>
      <c r="L214" s="13" t="s">
        <v>4547</v>
      </c>
      <c r="M214" s="13" t="s">
        <v>4548</v>
      </c>
      <c r="N214" s="13" t="s">
        <v>4549</v>
      </c>
      <c r="O214" s="13" t="s">
        <v>4549</v>
      </c>
      <c r="P214" s="79" t="s">
        <v>188</v>
      </c>
      <c r="Q214" s="13" t="s">
        <v>618</v>
      </c>
      <c r="R214" s="246" t="str">
        <f>VLOOKUP(P214,'Dados das Regiões '!A:B,2,0)</f>
        <v>CASCAVEL</v>
      </c>
      <c r="S214" s="13" t="s">
        <v>4550</v>
      </c>
      <c r="V214" s="13" t="s">
        <v>4551</v>
      </c>
      <c r="W214" s="13" t="s">
        <v>4552</v>
      </c>
      <c r="X214" s="15">
        <v>0.54166666666666663</v>
      </c>
      <c r="Y214" s="516">
        <v>0.625</v>
      </c>
      <c r="Z214" s="16" t="s">
        <v>622</v>
      </c>
      <c r="AB214" s="164">
        <v>202500127</v>
      </c>
      <c r="AC214" s="55" t="s">
        <v>29</v>
      </c>
      <c r="AD214" s="40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</row>
    <row r="215" spans="1:44">
      <c r="A215" s="14">
        <v>45967</v>
      </c>
      <c r="B215" s="13" t="str">
        <f t="shared" si="209"/>
        <v>Realizada</v>
      </c>
      <c r="C215" s="14">
        <f t="shared" si="190"/>
        <v>46059</v>
      </c>
      <c r="D215" s="13" t="s">
        <v>611</v>
      </c>
      <c r="E215" s="14">
        <f t="shared" ref="E215" si="223">IF(C215="", "", EDATE(C215, 3))</f>
        <v>46148</v>
      </c>
      <c r="F215" s="13" t="s">
        <v>611</v>
      </c>
      <c r="G215" s="40">
        <v>202500127</v>
      </c>
      <c r="H215" s="13" t="s">
        <v>4553</v>
      </c>
      <c r="I215" s="13" t="s">
        <v>613</v>
      </c>
      <c r="J215" s="14">
        <v>45707</v>
      </c>
      <c r="K215" s="14">
        <v>46066</v>
      </c>
      <c r="L215" s="13" t="s">
        <v>672</v>
      </c>
      <c r="M215" s="13" t="s">
        <v>4554</v>
      </c>
      <c r="N215" s="13" t="s">
        <v>4555</v>
      </c>
      <c r="O215" s="13" t="s">
        <v>4508</v>
      </c>
      <c r="P215" s="79" t="s">
        <v>154</v>
      </c>
      <c r="Q215" s="13" t="s">
        <v>618</v>
      </c>
      <c r="R215" s="246" t="str">
        <f>VLOOKUP(P215,'Dados das Regiões '!A:B,2,0)</f>
        <v>CAMPO MOURÃO</v>
      </c>
      <c r="S215" s="13" t="s">
        <v>4556</v>
      </c>
      <c r="U215" s="79" t="s">
        <v>4557</v>
      </c>
      <c r="V215" s="13" t="s">
        <v>4558</v>
      </c>
      <c r="W215" s="13" t="s">
        <v>4559</v>
      </c>
      <c r="X215" s="15">
        <v>0.5625</v>
      </c>
      <c r="Y215" s="516">
        <v>0.64583333333333337</v>
      </c>
      <c r="Z215" s="16" t="s">
        <v>622</v>
      </c>
      <c r="AB215" s="164">
        <v>202500127</v>
      </c>
      <c r="AC215" s="55" t="s">
        <v>29</v>
      </c>
      <c r="AD215" s="40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</row>
    <row r="216" spans="1:44">
      <c r="B216" s="13" t="str">
        <f t="shared" si="209"/>
        <v>Pendente</v>
      </c>
      <c r="C216" s="14" t="str">
        <f t="shared" si="190"/>
        <v/>
      </c>
      <c r="D216" s="13" t="s">
        <v>611</v>
      </c>
      <c r="E216" s="14" t="str">
        <f t="shared" ref="E216" si="224">IF(C216="", "", EDATE(C216, 3))</f>
        <v/>
      </c>
      <c r="F216" s="13" t="s">
        <v>611</v>
      </c>
      <c r="G216" s="40">
        <v>202500127</v>
      </c>
      <c r="H216" s="13" t="s">
        <v>4560</v>
      </c>
      <c r="I216" s="13" t="s">
        <v>613</v>
      </c>
      <c r="J216" s="14">
        <v>45707</v>
      </c>
      <c r="K216" s="14">
        <v>46066</v>
      </c>
      <c r="L216" s="13" t="s">
        <v>4547</v>
      </c>
      <c r="M216" s="13" t="s">
        <v>4561</v>
      </c>
      <c r="N216" s="13" t="s">
        <v>4562</v>
      </c>
      <c r="O216" s="13" t="s">
        <v>4563</v>
      </c>
      <c r="P216" s="79" t="s">
        <v>275</v>
      </c>
      <c r="Q216" s="13" t="s">
        <v>618</v>
      </c>
      <c r="R216" s="246" t="str">
        <f>VLOOKUP(P216,'Dados das Regiões '!A:B,2,0)</f>
        <v>FRANCISCO BELTRÃO</v>
      </c>
      <c r="S216" s="13" t="s">
        <v>4564</v>
      </c>
      <c r="U216" s="79" t="s">
        <v>4565</v>
      </c>
      <c r="V216" s="13" t="s">
        <v>4565</v>
      </c>
      <c r="W216" s="13" t="s">
        <v>4566</v>
      </c>
      <c r="X216" s="15">
        <v>0.33333333333333331</v>
      </c>
      <c r="Y216" s="516">
        <v>0.41666666666666669</v>
      </c>
      <c r="Z216" s="16" t="s">
        <v>622</v>
      </c>
      <c r="AB216" s="164">
        <v>202500127</v>
      </c>
      <c r="AC216" s="55" t="s">
        <v>29</v>
      </c>
      <c r="AD216" s="40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</row>
    <row r="217" spans="1:44">
      <c r="A217" s="14">
        <v>45967</v>
      </c>
      <c r="B217" s="13" t="str">
        <f t="shared" si="209"/>
        <v>Realizada</v>
      </c>
      <c r="C217" s="14">
        <f t="shared" si="190"/>
        <v>46059</v>
      </c>
      <c r="D217" s="13" t="s">
        <v>611</v>
      </c>
      <c r="E217" s="14">
        <f t="shared" ref="E217" si="225">IF(C217="", "", EDATE(C217, 3))</f>
        <v>46148</v>
      </c>
      <c r="F217" s="13" t="s">
        <v>611</v>
      </c>
      <c r="G217" s="40">
        <v>202500127</v>
      </c>
      <c r="H217" s="13" t="s">
        <v>4567</v>
      </c>
      <c r="I217" s="13" t="s">
        <v>613</v>
      </c>
      <c r="J217" s="14">
        <v>45707</v>
      </c>
      <c r="K217" s="14">
        <v>46066</v>
      </c>
      <c r="L217" s="13" t="s">
        <v>672</v>
      </c>
      <c r="M217" s="13" t="s">
        <v>4568</v>
      </c>
      <c r="N217" s="13" t="s">
        <v>4569</v>
      </c>
      <c r="O217" s="13" t="s">
        <v>4508</v>
      </c>
      <c r="P217" s="79" t="s">
        <v>154</v>
      </c>
      <c r="Q217" s="13" t="s">
        <v>618</v>
      </c>
      <c r="R217" s="246" t="str">
        <f>VLOOKUP(P217,'Dados das Regiões '!A:B,2,0)</f>
        <v>CAMPO MOURÃO</v>
      </c>
      <c r="S217" s="13" t="s">
        <v>4570</v>
      </c>
      <c r="U217" s="79" t="s">
        <v>4571</v>
      </c>
      <c r="V217" s="13" t="s">
        <v>4572</v>
      </c>
      <c r="W217" s="13" t="s">
        <v>4573</v>
      </c>
      <c r="X217" s="15">
        <v>0.5625</v>
      </c>
      <c r="Y217" s="516">
        <v>0.64583333333333337</v>
      </c>
      <c r="Z217" s="16" t="s">
        <v>622</v>
      </c>
      <c r="AB217" s="164">
        <v>202500127</v>
      </c>
      <c r="AC217" s="55" t="s">
        <v>29</v>
      </c>
      <c r="AD217" s="40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</row>
    <row r="218" spans="1:44">
      <c r="A218" s="14">
        <v>45967</v>
      </c>
      <c r="B218" s="13" t="str">
        <f t="shared" si="209"/>
        <v>Realizada</v>
      </c>
      <c r="C218" s="14">
        <f t="shared" si="190"/>
        <v>46059</v>
      </c>
      <c r="D218" s="13" t="s">
        <v>611</v>
      </c>
      <c r="E218" s="14">
        <f t="shared" ref="E218" si="226">IF(C218="", "", EDATE(C218, 3))</f>
        <v>46148</v>
      </c>
      <c r="F218" s="13" t="s">
        <v>611</v>
      </c>
      <c r="G218" s="40">
        <v>202500127</v>
      </c>
      <c r="H218" s="13" t="s">
        <v>4574</v>
      </c>
      <c r="I218" s="13" t="s">
        <v>613</v>
      </c>
      <c r="J218" s="14">
        <v>45707</v>
      </c>
      <c r="K218" s="14">
        <v>46066</v>
      </c>
      <c r="L218" s="13" t="s">
        <v>672</v>
      </c>
      <c r="M218" s="13" t="s">
        <v>4575</v>
      </c>
      <c r="N218" s="13" t="s">
        <v>4576</v>
      </c>
      <c r="O218" s="13" t="s">
        <v>4508</v>
      </c>
      <c r="P218" s="79" t="s">
        <v>154</v>
      </c>
      <c r="Q218" s="13" t="s">
        <v>618</v>
      </c>
      <c r="R218" s="246" t="str">
        <f>VLOOKUP(P218,'Dados das Regiões '!A:B,2,0)</f>
        <v>CAMPO MOURÃO</v>
      </c>
      <c r="S218" s="13" t="s">
        <v>4577</v>
      </c>
      <c r="U218" s="79" t="s">
        <v>4578</v>
      </c>
      <c r="V218" s="13" t="s">
        <v>4578</v>
      </c>
      <c r="W218" s="13" t="s">
        <v>4579</v>
      </c>
      <c r="X218" s="15">
        <v>0.5625</v>
      </c>
      <c r="Y218" s="516">
        <v>0.64583333333333337</v>
      </c>
      <c r="Z218" s="16" t="s">
        <v>622</v>
      </c>
      <c r="AB218" s="164">
        <v>202500127</v>
      </c>
      <c r="AC218" s="55" t="s">
        <v>29</v>
      </c>
      <c r="AD218" s="40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</row>
    <row r="219" spans="1:44">
      <c r="A219" s="14">
        <v>45967</v>
      </c>
      <c r="B219" s="13" t="str">
        <f t="shared" si="209"/>
        <v>Realizada</v>
      </c>
      <c r="C219" s="14">
        <f t="shared" si="190"/>
        <v>46059</v>
      </c>
      <c r="D219" s="13" t="s">
        <v>611</v>
      </c>
      <c r="E219" s="14">
        <f t="shared" ref="E219" si="227">IF(C219="", "", EDATE(C219, 3))</f>
        <v>46148</v>
      </c>
      <c r="F219" s="13" t="s">
        <v>611</v>
      </c>
      <c r="G219" s="40">
        <v>202500127</v>
      </c>
      <c r="H219" s="13" t="s">
        <v>4580</v>
      </c>
      <c r="I219" s="13" t="s">
        <v>613</v>
      </c>
      <c r="J219" s="14">
        <v>45707</v>
      </c>
      <c r="K219" s="14">
        <v>46066</v>
      </c>
      <c r="L219" s="13" t="s">
        <v>672</v>
      </c>
      <c r="M219" s="13" t="s">
        <v>4568</v>
      </c>
      <c r="N219" s="13" t="s">
        <v>4569</v>
      </c>
      <c r="O219" s="13" t="s">
        <v>4508</v>
      </c>
      <c r="P219" s="79" t="s">
        <v>154</v>
      </c>
      <c r="Q219" s="13" t="s">
        <v>618</v>
      </c>
      <c r="R219" s="246" t="str">
        <f>VLOOKUP(P219,'Dados das Regiões '!A:B,2,0)</f>
        <v>CAMPO MOURÃO</v>
      </c>
      <c r="S219" s="13" t="s">
        <v>4570</v>
      </c>
      <c r="U219" s="79" t="s">
        <v>4571</v>
      </c>
      <c r="V219" s="13" t="s">
        <v>4572</v>
      </c>
      <c r="W219" s="13" t="s">
        <v>4573</v>
      </c>
      <c r="X219" s="15">
        <v>0.3125</v>
      </c>
      <c r="Y219" s="516">
        <v>0.39583333333333331</v>
      </c>
      <c r="Z219" s="16" t="s">
        <v>622</v>
      </c>
      <c r="AB219" s="164">
        <v>202500127</v>
      </c>
      <c r="AC219" s="55" t="s">
        <v>29</v>
      </c>
      <c r="AD219" s="40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</row>
    <row r="220" spans="1:44">
      <c r="B220" s="13" t="str">
        <f t="shared" si="209"/>
        <v>Pendente</v>
      </c>
      <c r="C220" s="14" t="str">
        <f t="shared" si="190"/>
        <v/>
      </c>
      <c r="D220" s="13" t="s">
        <v>611</v>
      </c>
      <c r="E220" s="14" t="str">
        <f t="shared" ref="E220" si="228">IF(C220="", "", EDATE(C220, 3))</f>
        <v/>
      </c>
      <c r="F220" s="13" t="s">
        <v>611</v>
      </c>
      <c r="G220" s="40">
        <v>202500127</v>
      </c>
      <c r="H220" s="13" t="s">
        <v>4581</v>
      </c>
      <c r="I220" s="13" t="s">
        <v>613</v>
      </c>
      <c r="J220" s="14">
        <v>45707</v>
      </c>
      <c r="K220" s="14">
        <v>46066</v>
      </c>
      <c r="L220" s="13" t="s">
        <v>4547</v>
      </c>
      <c r="M220" s="13" t="s">
        <v>4582</v>
      </c>
      <c r="N220" s="13" t="s">
        <v>4583</v>
      </c>
      <c r="O220" s="13" t="s">
        <v>4584</v>
      </c>
      <c r="P220" s="79" t="s">
        <v>281</v>
      </c>
      <c r="Q220" s="13" t="s">
        <v>618</v>
      </c>
      <c r="R220" s="246" t="str">
        <f>VLOOKUP(P220,'Dados das Regiões '!A:B,2,0)</f>
        <v>FRANCISCO BELTRÃO</v>
      </c>
      <c r="S220" s="13" t="s">
        <v>4585</v>
      </c>
      <c r="U220" s="79" t="s">
        <v>4586</v>
      </c>
      <c r="V220" s="13" t="s">
        <v>4587</v>
      </c>
      <c r="W220" s="13" t="s">
        <v>4588</v>
      </c>
      <c r="X220" s="15">
        <v>0.54166666666666663</v>
      </c>
      <c r="Y220" s="516">
        <v>0.625</v>
      </c>
      <c r="Z220" s="16" t="s">
        <v>622</v>
      </c>
      <c r="AB220" s="164">
        <v>202500127</v>
      </c>
      <c r="AC220" s="55" t="s">
        <v>29</v>
      </c>
      <c r="AD220" s="40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</row>
    <row r="221" spans="1:44">
      <c r="B221" s="13" t="str">
        <f t="shared" si="209"/>
        <v>Pendente</v>
      </c>
      <c r="C221" s="14" t="str">
        <f t="shared" si="190"/>
        <v/>
      </c>
      <c r="D221" s="13" t="s">
        <v>611</v>
      </c>
      <c r="E221" s="14" t="str">
        <f t="shared" ref="E221" si="229">IF(C221="", "", EDATE(C221, 3))</f>
        <v/>
      </c>
      <c r="F221" s="13" t="s">
        <v>611</v>
      </c>
      <c r="G221" s="40">
        <v>202500127</v>
      </c>
      <c r="H221" s="13" t="s">
        <v>4589</v>
      </c>
      <c r="I221" s="13" t="s">
        <v>613</v>
      </c>
      <c r="J221" s="14">
        <v>45707</v>
      </c>
      <c r="K221" s="14">
        <v>46066</v>
      </c>
      <c r="L221" s="13" t="s">
        <v>4547</v>
      </c>
      <c r="M221" s="13" t="s">
        <v>4590</v>
      </c>
      <c r="N221" s="13" t="s">
        <v>4591</v>
      </c>
      <c r="O221" s="13" t="s">
        <v>4592</v>
      </c>
      <c r="P221" s="79" t="s">
        <v>280</v>
      </c>
      <c r="Q221" s="13" t="s">
        <v>618</v>
      </c>
      <c r="R221" s="246" t="str">
        <f>VLOOKUP(P221,'Dados das Regiões '!A:B,2,0)</f>
        <v>FRANCISCO BELTRÃO</v>
      </c>
      <c r="S221" s="13" t="s">
        <v>4593</v>
      </c>
      <c r="U221" s="79" t="s">
        <v>4594</v>
      </c>
      <c r="V221" s="13" t="s">
        <v>4595</v>
      </c>
      <c r="W221" s="13" t="s">
        <v>4596</v>
      </c>
      <c r="X221" s="15">
        <v>0.33333333333333331</v>
      </c>
      <c r="Y221" s="516">
        <v>0.41666666666666669</v>
      </c>
      <c r="Z221" s="16" t="s">
        <v>622</v>
      </c>
      <c r="AB221" s="164">
        <v>202500127</v>
      </c>
      <c r="AC221" s="55" t="s">
        <v>29</v>
      </c>
      <c r="AD221" s="40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</row>
    <row r="222" spans="1:44">
      <c r="B222" s="13" t="str">
        <f t="shared" si="209"/>
        <v>Pendente</v>
      </c>
      <c r="C222" s="14" t="str">
        <f t="shared" si="190"/>
        <v/>
      </c>
      <c r="D222" s="13" t="s">
        <v>611</v>
      </c>
      <c r="E222" s="14" t="str">
        <f t="shared" ref="E222" si="230">IF(C222="", "", EDATE(C222, 3))</f>
        <v/>
      </c>
      <c r="F222" s="13" t="s">
        <v>611</v>
      </c>
      <c r="G222" s="40">
        <v>202500127</v>
      </c>
      <c r="H222" s="13" t="s">
        <v>4597</v>
      </c>
      <c r="I222" s="13" t="s">
        <v>613</v>
      </c>
      <c r="J222" s="14">
        <v>45707</v>
      </c>
      <c r="K222" s="14">
        <v>46066</v>
      </c>
      <c r="L222" s="13" t="s">
        <v>1417</v>
      </c>
      <c r="M222" s="13" t="s">
        <v>4598</v>
      </c>
      <c r="N222" s="13" t="s">
        <v>4599</v>
      </c>
      <c r="O222" s="13" t="s">
        <v>4600</v>
      </c>
      <c r="P222" s="79" t="s">
        <v>260</v>
      </c>
      <c r="Q222" s="13" t="s">
        <v>618</v>
      </c>
      <c r="R222" s="246" t="str">
        <f>VLOOKUP(P222,'Dados das Regiões '!A:B,2,0)</f>
        <v>FRANCISCO BELTRÃO</v>
      </c>
      <c r="S222" s="13" t="s">
        <v>4601</v>
      </c>
      <c r="U222" s="79" t="s">
        <v>1555</v>
      </c>
      <c r="V222" s="13" t="s">
        <v>1719</v>
      </c>
      <c r="W222" s="13" t="s">
        <v>4602</v>
      </c>
      <c r="X222" s="15">
        <v>0.5625</v>
      </c>
      <c r="Y222" s="516">
        <v>0.64583333333333337</v>
      </c>
      <c r="Z222" s="16" t="s">
        <v>622</v>
      </c>
      <c r="AB222" s="164">
        <v>202500127</v>
      </c>
      <c r="AC222" s="55" t="s">
        <v>29</v>
      </c>
      <c r="AD222" s="40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</row>
    <row r="223" spans="1:44">
      <c r="B223" s="13" t="str">
        <f t="shared" si="209"/>
        <v>Pendente</v>
      </c>
      <c r="C223" s="14" t="str">
        <f t="shared" si="190"/>
        <v/>
      </c>
      <c r="D223" s="13" t="s">
        <v>611</v>
      </c>
      <c r="E223" s="14" t="str">
        <f t="shared" ref="E223" si="231">IF(C223="", "", EDATE(C223, 3))</f>
        <v/>
      </c>
      <c r="F223" s="13" t="s">
        <v>611</v>
      </c>
      <c r="G223" s="40">
        <v>202500127</v>
      </c>
      <c r="H223" s="13" t="s">
        <v>4603</v>
      </c>
      <c r="I223" s="13" t="s">
        <v>613</v>
      </c>
      <c r="J223" s="14">
        <v>45707</v>
      </c>
      <c r="K223" s="14">
        <v>46066</v>
      </c>
      <c r="L223" s="13" t="s">
        <v>1417</v>
      </c>
      <c r="M223" s="13" t="s">
        <v>4604</v>
      </c>
      <c r="N223" s="13" t="s">
        <v>4605</v>
      </c>
      <c r="O223" s="13" t="s">
        <v>4606</v>
      </c>
      <c r="P223" s="79" t="s">
        <v>272</v>
      </c>
      <c r="Q223" s="13" t="s">
        <v>618</v>
      </c>
      <c r="R223" s="246" t="str">
        <f>VLOOKUP(P223,'Dados das Regiões '!A:B,2,0)</f>
        <v>FRANCISCO BELTRÃO</v>
      </c>
      <c r="S223" s="13" t="s">
        <v>4607</v>
      </c>
      <c r="U223" s="79" t="s">
        <v>1555</v>
      </c>
      <c r="V223" s="13" t="s">
        <v>1563</v>
      </c>
      <c r="W223" s="13" t="s">
        <v>4608</v>
      </c>
      <c r="X223" s="15">
        <v>0.5625</v>
      </c>
      <c r="Y223" s="516">
        <v>0.64583333333333337</v>
      </c>
      <c r="Z223" s="16" t="s">
        <v>622</v>
      </c>
      <c r="AB223" s="164">
        <v>202500127</v>
      </c>
      <c r="AC223" s="55" t="s">
        <v>29</v>
      </c>
      <c r="AD223" s="40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</row>
    <row r="224" spans="1:44">
      <c r="A224" s="14">
        <v>45911</v>
      </c>
      <c r="B224" s="13" t="str">
        <f t="shared" si="209"/>
        <v>Realizada</v>
      </c>
      <c r="C224" s="14">
        <f t="shared" si="190"/>
        <v>46002</v>
      </c>
      <c r="D224" s="13" t="s">
        <v>611</v>
      </c>
      <c r="E224" s="14">
        <f t="shared" ref="E224" si="232">IF(C224="", "", EDATE(C224, 3))</f>
        <v>46092</v>
      </c>
      <c r="F224" s="13" t="s">
        <v>611</v>
      </c>
      <c r="G224" s="40">
        <v>202500127</v>
      </c>
      <c r="H224" s="13" t="s">
        <v>4609</v>
      </c>
      <c r="I224" s="13" t="s">
        <v>613</v>
      </c>
      <c r="J224" s="14">
        <v>45707</v>
      </c>
      <c r="K224" s="14">
        <v>46066</v>
      </c>
      <c r="L224" s="13" t="s">
        <v>672</v>
      </c>
      <c r="M224" s="13" t="s">
        <v>4610</v>
      </c>
      <c r="N224" s="13" t="s">
        <v>4611</v>
      </c>
      <c r="O224" s="13" t="s">
        <v>762</v>
      </c>
      <c r="P224" s="79" t="s">
        <v>166</v>
      </c>
      <c r="Q224" s="13" t="s">
        <v>618</v>
      </c>
      <c r="R224" s="246" t="str">
        <f>VLOOKUP(P224,'Dados das Regiões '!A:B,2,0)</f>
        <v>CAMPO MOURÃO</v>
      </c>
      <c r="S224" s="13" t="s">
        <v>4612</v>
      </c>
      <c r="U224" s="79" t="s">
        <v>729</v>
      </c>
      <c r="V224" s="13" t="s">
        <v>729</v>
      </c>
      <c r="W224" s="13" t="s">
        <v>730</v>
      </c>
      <c r="X224" s="15">
        <v>0.3125</v>
      </c>
      <c r="Y224" s="516">
        <v>0.39583333333333331</v>
      </c>
      <c r="Z224" s="16" t="s">
        <v>622</v>
      </c>
      <c r="AB224" s="164">
        <v>202500127</v>
      </c>
      <c r="AC224" s="55" t="s">
        <v>29</v>
      </c>
      <c r="AD224" s="40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</row>
    <row r="225" spans="1:44">
      <c r="A225" s="14">
        <v>45911</v>
      </c>
      <c r="B225" s="13" t="str">
        <f t="shared" si="209"/>
        <v>Realizada</v>
      </c>
      <c r="C225" s="14">
        <f t="shared" si="190"/>
        <v>46002</v>
      </c>
      <c r="D225" s="13" t="s">
        <v>611</v>
      </c>
      <c r="E225" s="14">
        <f t="shared" ref="E225" si="233">IF(C225="", "", EDATE(C225, 3))</f>
        <v>46092</v>
      </c>
      <c r="F225" s="13" t="s">
        <v>611</v>
      </c>
      <c r="G225" s="40">
        <v>202500127</v>
      </c>
      <c r="H225" s="13" t="s">
        <v>4613</v>
      </c>
      <c r="I225" s="13" t="s">
        <v>613</v>
      </c>
      <c r="J225" s="14">
        <v>45707</v>
      </c>
      <c r="K225" s="14">
        <v>46066</v>
      </c>
      <c r="L225" s="13" t="s">
        <v>672</v>
      </c>
      <c r="M225" s="13" t="s">
        <v>760</v>
      </c>
      <c r="N225" s="13" t="s">
        <v>761</v>
      </c>
      <c r="O225" s="13" t="s">
        <v>762</v>
      </c>
      <c r="P225" s="79" t="s">
        <v>166</v>
      </c>
      <c r="Q225" s="13" t="s">
        <v>618</v>
      </c>
      <c r="R225" s="246" t="str">
        <f>VLOOKUP(P225,'Dados das Regiões '!A:B,2,0)</f>
        <v>CAMPO MOURÃO</v>
      </c>
      <c r="S225" s="13" t="s">
        <v>4612</v>
      </c>
      <c r="U225" s="79" t="s">
        <v>729</v>
      </c>
      <c r="V225" s="13" t="s">
        <v>729</v>
      </c>
      <c r="W225" s="13" t="s">
        <v>730</v>
      </c>
      <c r="X225" s="15">
        <v>0.5625</v>
      </c>
      <c r="Y225" s="516">
        <v>0.64583333333333337</v>
      </c>
      <c r="Z225" s="16" t="s">
        <v>622</v>
      </c>
      <c r="AB225" s="164">
        <v>202500127</v>
      </c>
      <c r="AC225" s="55" t="s">
        <v>29</v>
      </c>
      <c r="AD225" s="40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</row>
    <row r="226" spans="1:44">
      <c r="A226" s="14">
        <v>45911</v>
      </c>
      <c r="B226" s="13" t="str">
        <f t="shared" si="209"/>
        <v>Realizada</v>
      </c>
      <c r="C226" s="14">
        <f t="shared" si="190"/>
        <v>46002</v>
      </c>
      <c r="D226" s="13" t="s">
        <v>611</v>
      </c>
      <c r="E226" s="14">
        <f t="shared" ref="E226" si="234">IF(C226="", "", EDATE(C226, 3))</f>
        <v>46092</v>
      </c>
      <c r="F226" s="13" t="s">
        <v>611</v>
      </c>
      <c r="G226" s="40">
        <v>202500127</v>
      </c>
      <c r="H226" s="13" t="s">
        <v>4614</v>
      </c>
      <c r="I226" s="13" t="s">
        <v>613</v>
      </c>
      <c r="J226" s="14">
        <v>45707</v>
      </c>
      <c r="K226" s="14">
        <v>46066</v>
      </c>
      <c r="L226" s="13" t="s">
        <v>672</v>
      </c>
      <c r="M226" s="13" t="s">
        <v>760</v>
      </c>
      <c r="N226" s="13" t="s">
        <v>761</v>
      </c>
      <c r="O226" s="13" t="s">
        <v>762</v>
      </c>
      <c r="P226" s="79" t="s">
        <v>166</v>
      </c>
      <c r="Q226" s="13" t="s">
        <v>618</v>
      </c>
      <c r="R226" s="246" t="str">
        <f>VLOOKUP(P226,'Dados das Regiões '!A:B,2,0)</f>
        <v>CAMPO MOURÃO</v>
      </c>
      <c r="S226" s="13" t="s">
        <v>4612</v>
      </c>
      <c r="U226" s="79" t="s">
        <v>729</v>
      </c>
      <c r="V226" s="13" t="s">
        <v>729</v>
      </c>
      <c r="W226" s="13" t="s">
        <v>730</v>
      </c>
      <c r="X226" s="15">
        <v>0.3125</v>
      </c>
      <c r="Y226" s="516">
        <v>0.39583333333333331</v>
      </c>
      <c r="Z226" s="16" t="s">
        <v>622</v>
      </c>
      <c r="AB226" s="164">
        <v>202500127</v>
      </c>
      <c r="AC226" s="55" t="s">
        <v>29</v>
      </c>
      <c r="AD226" s="40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</row>
    <row r="227" spans="1:44">
      <c r="A227" s="14">
        <v>45911</v>
      </c>
      <c r="B227" s="13" t="str">
        <f t="shared" si="209"/>
        <v>Realizada</v>
      </c>
      <c r="C227" s="14">
        <f t="shared" si="190"/>
        <v>46002</v>
      </c>
      <c r="D227" s="13" t="s">
        <v>611</v>
      </c>
      <c r="E227" s="14">
        <f t="shared" ref="E227" si="235">IF(C227="", "", EDATE(C227, 3))</f>
        <v>46092</v>
      </c>
      <c r="F227" s="13" t="s">
        <v>611</v>
      </c>
      <c r="G227" s="40">
        <v>202500127</v>
      </c>
      <c r="H227" s="13" t="s">
        <v>4615</v>
      </c>
      <c r="I227" s="13" t="s">
        <v>613</v>
      </c>
      <c r="J227" s="14">
        <v>45707</v>
      </c>
      <c r="K227" s="14">
        <v>46066</v>
      </c>
      <c r="L227" s="13" t="s">
        <v>672</v>
      </c>
      <c r="M227" s="13" t="s">
        <v>4610</v>
      </c>
      <c r="N227" s="13" t="s">
        <v>4611</v>
      </c>
      <c r="O227" s="13" t="s">
        <v>762</v>
      </c>
      <c r="P227" s="79" t="s">
        <v>166</v>
      </c>
      <c r="Q227" s="13" t="s">
        <v>618</v>
      </c>
      <c r="R227" s="246" t="str">
        <f>VLOOKUP(P227,'Dados das Regiões '!A:B,2,0)</f>
        <v>CAMPO MOURÃO</v>
      </c>
      <c r="S227" s="13" t="s">
        <v>4612</v>
      </c>
      <c r="U227" s="79" t="s">
        <v>729</v>
      </c>
      <c r="V227" s="13" t="s">
        <v>729</v>
      </c>
      <c r="W227" s="13" t="s">
        <v>730</v>
      </c>
      <c r="X227" s="15">
        <v>0.5625</v>
      </c>
      <c r="Y227" s="516">
        <v>0.64583333333333337</v>
      </c>
      <c r="Z227" s="16" t="s">
        <v>622</v>
      </c>
      <c r="AB227" s="164">
        <v>202500127</v>
      </c>
      <c r="AC227" s="55" t="s">
        <v>29</v>
      </c>
      <c r="AD227" s="40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</row>
    <row r="228" spans="1:44">
      <c r="A228" s="14">
        <v>45911</v>
      </c>
      <c r="B228" s="13" t="str">
        <f t="shared" si="209"/>
        <v>Realizada</v>
      </c>
      <c r="C228" s="14">
        <f t="shared" si="190"/>
        <v>46002</v>
      </c>
      <c r="D228" s="13" t="s">
        <v>611</v>
      </c>
      <c r="E228" s="14">
        <f t="shared" ref="E228" si="236">IF(C228="", "", EDATE(C228, 3))</f>
        <v>46092</v>
      </c>
      <c r="F228" s="13" t="s">
        <v>611</v>
      </c>
      <c r="G228" s="40">
        <v>202500127</v>
      </c>
      <c r="H228" s="13" t="s">
        <v>4616</v>
      </c>
      <c r="I228" s="13" t="s">
        <v>613</v>
      </c>
      <c r="J228" s="14">
        <v>45707</v>
      </c>
      <c r="K228" s="14">
        <v>46066</v>
      </c>
      <c r="L228" s="13" t="s">
        <v>672</v>
      </c>
      <c r="M228" s="13" t="s">
        <v>760</v>
      </c>
      <c r="N228" s="13" t="s">
        <v>761</v>
      </c>
      <c r="O228" s="13" t="s">
        <v>762</v>
      </c>
      <c r="P228" s="79" t="s">
        <v>166</v>
      </c>
      <c r="Q228" s="13" t="s">
        <v>618</v>
      </c>
      <c r="R228" s="246" t="str">
        <f>VLOOKUP(P228,'Dados das Regiões '!A:B,2,0)</f>
        <v>CAMPO MOURÃO</v>
      </c>
      <c r="S228" s="13" t="s">
        <v>4612</v>
      </c>
      <c r="U228" s="79" t="s">
        <v>729</v>
      </c>
      <c r="V228" s="13" t="s">
        <v>729</v>
      </c>
      <c r="W228" s="13" t="s">
        <v>730</v>
      </c>
      <c r="X228" s="15">
        <v>0.5625</v>
      </c>
      <c r="Y228" s="516">
        <v>0.64583333333333337</v>
      </c>
      <c r="Z228" s="16" t="s">
        <v>622</v>
      </c>
      <c r="AB228" s="164">
        <v>202500127</v>
      </c>
      <c r="AC228" s="55" t="s">
        <v>29</v>
      </c>
      <c r="AD228" s="40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</row>
    <row r="229" spans="1:44">
      <c r="B229" s="13" t="str">
        <f t="shared" si="209"/>
        <v>Pendente</v>
      </c>
      <c r="C229" s="14" t="str">
        <f t="shared" si="190"/>
        <v/>
      </c>
      <c r="D229" s="13" t="s">
        <v>611</v>
      </c>
      <c r="E229" s="14" t="str">
        <f t="shared" ref="E229" si="237">IF(C229="", "", EDATE(C229, 3))</f>
        <v/>
      </c>
      <c r="F229" s="13" t="s">
        <v>611</v>
      </c>
      <c r="G229" s="40">
        <v>202500127</v>
      </c>
      <c r="H229" s="13" t="s">
        <v>4617</v>
      </c>
      <c r="I229" s="13" t="s">
        <v>613</v>
      </c>
      <c r="J229" s="14">
        <v>45707</v>
      </c>
      <c r="K229" s="14">
        <v>46066</v>
      </c>
      <c r="L229" s="13" t="s">
        <v>4547</v>
      </c>
      <c r="M229" s="13" t="s">
        <v>4618</v>
      </c>
      <c r="N229" s="13" t="s">
        <v>4211</v>
      </c>
      <c r="O229" s="13" t="s">
        <v>4211</v>
      </c>
      <c r="P229" s="79" t="s">
        <v>276</v>
      </c>
      <c r="Q229" s="13" t="s">
        <v>618</v>
      </c>
      <c r="R229" s="246" t="str">
        <f>VLOOKUP(P229,'Dados das Regiões '!A:B,2,0)</f>
        <v>FRANCISCO BELTRÃO</v>
      </c>
      <c r="S229" s="13" t="s">
        <v>4619</v>
      </c>
      <c r="U229" s="79" t="s">
        <v>4620</v>
      </c>
      <c r="V229" s="13" t="s">
        <v>4621</v>
      </c>
      <c r="W229" s="13" t="s">
        <v>4622</v>
      </c>
      <c r="X229" s="15">
        <v>0.33333333333333331</v>
      </c>
      <c r="Y229" s="516">
        <v>0.41666666666666669</v>
      </c>
      <c r="Z229" s="16" t="s">
        <v>622</v>
      </c>
      <c r="AB229" s="164">
        <v>202500127</v>
      </c>
      <c r="AC229" s="55" t="s">
        <v>29</v>
      </c>
      <c r="AD229" s="40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</row>
    <row r="230" spans="1:44" s="18" customFormat="1">
      <c r="A230" s="14"/>
      <c r="B230" s="13" t="str">
        <f t="shared" si="209"/>
        <v>Pendente</v>
      </c>
      <c r="C230" s="14" t="str">
        <f t="shared" si="190"/>
        <v/>
      </c>
      <c r="D230" s="13" t="s">
        <v>611</v>
      </c>
      <c r="E230" s="14" t="str">
        <f t="shared" ref="E230" si="238">IF(C230="", "", EDATE(C230, 3))</f>
        <v/>
      </c>
      <c r="F230" s="13" t="s">
        <v>611</v>
      </c>
      <c r="G230" s="40">
        <v>202500127</v>
      </c>
      <c r="H230" s="13" t="s">
        <v>4623</v>
      </c>
      <c r="I230" s="13" t="s">
        <v>613</v>
      </c>
      <c r="J230" s="14">
        <v>45707</v>
      </c>
      <c r="K230" s="14">
        <v>46066</v>
      </c>
      <c r="L230" s="13" t="s">
        <v>1417</v>
      </c>
      <c r="M230" s="13" t="s">
        <v>1418</v>
      </c>
      <c r="N230" s="18" t="s">
        <v>1419</v>
      </c>
      <c r="O230" s="18" t="s">
        <v>1420</v>
      </c>
      <c r="P230" s="79" t="s">
        <v>274</v>
      </c>
      <c r="Q230" s="13" t="s">
        <v>618</v>
      </c>
      <c r="R230" s="246" t="str">
        <f>VLOOKUP(P230,'Dados das Regiões '!A:B,2,0)</f>
        <v>FRANCISCO BELTRÃO</v>
      </c>
      <c r="S230" s="13" t="s">
        <v>4624</v>
      </c>
      <c r="T230" s="13"/>
      <c r="U230" s="79" t="s">
        <v>1555</v>
      </c>
      <c r="V230" s="13" t="s">
        <v>1422</v>
      </c>
      <c r="W230" s="13" t="s">
        <v>4625</v>
      </c>
      <c r="X230" s="15">
        <v>0.33333333333333331</v>
      </c>
      <c r="Y230" s="516">
        <v>0.41666666666666669</v>
      </c>
      <c r="Z230" s="16" t="s">
        <v>622</v>
      </c>
      <c r="AA230" s="39"/>
      <c r="AB230" s="164">
        <v>202500127</v>
      </c>
      <c r="AC230" s="55" t="s">
        <v>29</v>
      </c>
      <c r="AD230" s="44"/>
    </row>
    <row r="231" spans="1:44">
      <c r="B231" s="13" t="str">
        <f t="shared" si="209"/>
        <v>Pendente</v>
      </c>
      <c r="C231" s="14" t="str">
        <f t="shared" si="190"/>
        <v/>
      </c>
      <c r="D231" s="13" t="s">
        <v>611</v>
      </c>
      <c r="E231" s="14" t="str">
        <f t="shared" ref="E231" si="239">IF(C231="", "", EDATE(C231, 3))</f>
        <v/>
      </c>
      <c r="F231" s="13" t="s">
        <v>611</v>
      </c>
      <c r="G231" s="40">
        <v>202500127</v>
      </c>
      <c r="H231" s="13" t="s">
        <v>4626</v>
      </c>
      <c r="I231" s="13" t="s">
        <v>613</v>
      </c>
      <c r="J231" s="14">
        <v>45707</v>
      </c>
      <c r="K231" s="14">
        <v>46066</v>
      </c>
      <c r="L231" s="13" t="s">
        <v>672</v>
      </c>
      <c r="M231" s="13" t="s">
        <v>4627</v>
      </c>
      <c r="N231" s="13" t="s">
        <v>4628</v>
      </c>
      <c r="O231" s="13" t="s">
        <v>2404</v>
      </c>
      <c r="P231" s="79" t="s">
        <v>145</v>
      </c>
      <c r="Q231" s="13" t="s">
        <v>618</v>
      </c>
      <c r="R231" s="246" t="str">
        <f>VLOOKUP(P231,'Dados das Regiões '!A:B,2,0)</f>
        <v>CAMPO MOURÃO</v>
      </c>
      <c r="S231" s="13" t="s">
        <v>4629</v>
      </c>
      <c r="U231" s="79" t="s">
        <v>4630</v>
      </c>
      <c r="V231" s="13" t="s">
        <v>4630</v>
      </c>
      <c r="W231" s="13" t="s">
        <v>4631</v>
      </c>
      <c r="X231" s="15">
        <v>0.3125</v>
      </c>
      <c r="Y231" s="516">
        <v>0.39583333333333331</v>
      </c>
      <c r="Z231" s="16" t="s">
        <v>622</v>
      </c>
      <c r="AB231" s="164">
        <v>202500127</v>
      </c>
      <c r="AC231" s="55" t="s">
        <v>29</v>
      </c>
      <c r="AD231" s="40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</row>
    <row r="232" spans="1:44">
      <c r="B232" s="13" t="str">
        <f t="shared" si="209"/>
        <v>Pendente</v>
      </c>
      <c r="C232" s="14" t="str">
        <f t="shared" si="190"/>
        <v/>
      </c>
      <c r="D232" s="13" t="s">
        <v>611</v>
      </c>
      <c r="E232" s="14" t="str">
        <f t="shared" ref="E232" si="240">IF(C232="", "", EDATE(C232, 3))</f>
        <v/>
      </c>
      <c r="F232" s="13" t="s">
        <v>611</v>
      </c>
      <c r="G232" s="40">
        <v>202500127</v>
      </c>
      <c r="H232" s="13" t="s">
        <v>4632</v>
      </c>
      <c r="I232" s="13" t="s">
        <v>613</v>
      </c>
      <c r="J232" s="14">
        <v>45707</v>
      </c>
      <c r="K232" s="14">
        <v>46066</v>
      </c>
      <c r="L232" s="13" t="s">
        <v>1417</v>
      </c>
      <c r="M232" s="13" t="s">
        <v>4633</v>
      </c>
      <c r="N232" s="19" t="s">
        <v>4634</v>
      </c>
      <c r="O232" s="19" t="s">
        <v>4584</v>
      </c>
      <c r="P232" s="79" t="s">
        <v>281</v>
      </c>
      <c r="Q232" s="13" t="s">
        <v>618</v>
      </c>
      <c r="R232" s="246" t="str">
        <f>VLOOKUP(P232,'Dados das Regiões '!A:B,2,0)</f>
        <v>FRANCISCO BELTRÃO</v>
      </c>
      <c r="S232" s="13" t="s">
        <v>4635</v>
      </c>
      <c r="U232" s="79" t="s">
        <v>1555</v>
      </c>
      <c r="V232" s="13" t="s">
        <v>1555</v>
      </c>
      <c r="W232" s="13" t="s">
        <v>4636</v>
      </c>
      <c r="X232" s="15">
        <v>0.33333333333333331</v>
      </c>
      <c r="Y232" s="516">
        <v>0.41666666666666669</v>
      </c>
      <c r="Z232" s="16" t="s">
        <v>622</v>
      </c>
      <c r="AB232" s="164">
        <v>202500127</v>
      </c>
      <c r="AC232" s="55" t="s">
        <v>29</v>
      </c>
      <c r="AD232" s="40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</row>
    <row r="233" spans="1:44">
      <c r="B233" s="13" t="str">
        <f t="shared" si="209"/>
        <v>Pendente</v>
      </c>
      <c r="C233" s="14" t="str">
        <f t="shared" si="190"/>
        <v/>
      </c>
      <c r="D233" s="13" t="s">
        <v>611</v>
      </c>
      <c r="E233" s="14" t="str">
        <f t="shared" ref="E233" si="241">IF(C233="", "", EDATE(C233, 3))</f>
        <v/>
      </c>
      <c r="F233" s="13" t="s">
        <v>611</v>
      </c>
      <c r="G233" s="40">
        <v>202500127</v>
      </c>
      <c r="H233" s="13" t="s">
        <v>4637</v>
      </c>
      <c r="I233" s="13" t="s">
        <v>613</v>
      </c>
      <c r="J233" s="14">
        <v>45707</v>
      </c>
      <c r="K233" s="14">
        <v>46066</v>
      </c>
      <c r="L233" s="13" t="s">
        <v>682</v>
      </c>
      <c r="M233" s="13" t="s">
        <v>4638</v>
      </c>
      <c r="N233" s="13" t="s">
        <v>4639</v>
      </c>
      <c r="O233" s="13" t="s">
        <v>4640</v>
      </c>
      <c r="P233" s="79" t="s">
        <v>323</v>
      </c>
      <c r="Q233" s="13" t="s">
        <v>618</v>
      </c>
      <c r="R233" s="246" t="str">
        <f>VLOOKUP(P233,'Dados das Regiões '!A:B,2,0)</f>
        <v>JACAREZINHO</v>
      </c>
      <c r="S233" s="13" t="s">
        <v>4641</v>
      </c>
      <c r="U233" s="79" t="s">
        <v>4642</v>
      </c>
      <c r="V233" s="13" t="s">
        <v>4643</v>
      </c>
      <c r="W233" s="13" t="s">
        <v>4644</v>
      </c>
      <c r="X233" s="15">
        <v>0.5625</v>
      </c>
      <c r="Y233" s="516">
        <v>0.64583333333333337</v>
      </c>
      <c r="Z233" s="16" t="s">
        <v>622</v>
      </c>
      <c r="AB233" s="164">
        <v>202500127</v>
      </c>
      <c r="AC233" s="55" t="s">
        <v>29</v>
      </c>
      <c r="AD233" s="40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</row>
    <row r="234" spans="1:44">
      <c r="B234" s="13" t="str">
        <f t="shared" si="209"/>
        <v>Pendente</v>
      </c>
      <c r="C234" s="14" t="str">
        <f t="shared" si="190"/>
        <v/>
      </c>
      <c r="D234" s="13" t="s">
        <v>611</v>
      </c>
      <c r="E234" s="14" t="str">
        <f t="shared" ref="E234" si="242">IF(C234="", "", EDATE(C234, 3))</f>
        <v/>
      </c>
      <c r="F234" s="13" t="s">
        <v>611</v>
      </c>
      <c r="G234" s="40">
        <v>202500127</v>
      </c>
      <c r="H234" s="13" t="s">
        <v>4645</v>
      </c>
      <c r="I234" s="13" t="s">
        <v>613</v>
      </c>
      <c r="J234" s="14">
        <v>45707</v>
      </c>
      <c r="K234" s="14">
        <v>46066</v>
      </c>
      <c r="L234" s="13" t="s">
        <v>672</v>
      </c>
      <c r="M234" s="13" t="s">
        <v>4646</v>
      </c>
      <c r="N234" s="13" t="s">
        <v>4647</v>
      </c>
      <c r="O234" s="13" t="s">
        <v>997</v>
      </c>
      <c r="P234" s="79" t="s">
        <v>408</v>
      </c>
      <c r="Q234" s="13" t="s">
        <v>618</v>
      </c>
      <c r="R234" s="246" t="str">
        <f>VLOOKUP(P234,'Dados das Regiões '!A:B,2,0)</f>
        <v>PALMAS</v>
      </c>
      <c r="S234" s="13" t="s">
        <v>4648</v>
      </c>
      <c r="U234" s="79" t="s">
        <v>999</v>
      </c>
      <c r="V234" s="13" t="s">
        <v>999</v>
      </c>
      <c r="W234" s="13" t="s">
        <v>1482</v>
      </c>
      <c r="X234" s="15">
        <v>0.5625</v>
      </c>
      <c r="Y234" s="516">
        <v>0.64583333333333337</v>
      </c>
      <c r="Z234" s="16" t="s">
        <v>622</v>
      </c>
      <c r="AB234" s="164">
        <v>202500127</v>
      </c>
      <c r="AC234" s="55" t="s">
        <v>29</v>
      </c>
      <c r="AD234" s="40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</row>
    <row r="235" spans="1:44">
      <c r="B235" s="13" t="str">
        <f t="shared" si="209"/>
        <v>Pendente</v>
      </c>
      <c r="C235" s="14" t="str">
        <f t="shared" si="190"/>
        <v/>
      </c>
      <c r="D235" s="13" t="s">
        <v>611</v>
      </c>
      <c r="E235" s="14" t="str">
        <f t="shared" ref="E235" si="243">IF(C235="", "", EDATE(C235, 3))</f>
        <v/>
      </c>
      <c r="F235" s="13" t="s">
        <v>611</v>
      </c>
      <c r="G235" s="40">
        <v>202500127</v>
      </c>
      <c r="H235" s="13" t="s">
        <v>4649</v>
      </c>
      <c r="I235" s="13" t="s">
        <v>613</v>
      </c>
      <c r="J235" s="14">
        <v>45707</v>
      </c>
      <c r="K235" s="14">
        <v>46066</v>
      </c>
      <c r="L235" s="13" t="s">
        <v>672</v>
      </c>
      <c r="M235" s="13" t="s">
        <v>4650</v>
      </c>
      <c r="N235" s="13" t="s">
        <v>1012</v>
      </c>
      <c r="O235" s="13" t="s">
        <v>997</v>
      </c>
      <c r="P235" s="79" t="s">
        <v>408</v>
      </c>
      <c r="Q235" s="13" t="s">
        <v>618</v>
      </c>
      <c r="R235" s="246" t="str">
        <f>VLOOKUP(P235,'Dados das Regiões '!A:B,2,0)</f>
        <v>PALMAS</v>
      </c>
      <c r="S235" s="13" t="s">
        <v>4651</v>
      </c>
      <c r="U235" s="79" t="s">
        <v>999</v>
      </c>
      <c r="V235" s="13" t="s">
        <v>999</v>
      </c>
      <c r="W235" s="13" t="s">
        <v>4652</v>
      </c>
      <c r="X235" s="15">
        <v>0.5625</v>
      </c>
      <c r="Y235" s="516">
        <v>0.64583333333333337</v>
      </c>
      <c r="Z235" s="16" t="s">
        <v>622</v>
      </c>
      <c r="AB235" s="164">
        <v>202500127</v>
      </c>
      <c r="AC235" s="55" t="s">
        <v>29</v>
      </c>
      <c r="AD235" s="40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</row>
    <row r="236" spans="1:44">
      <c r="B236" s="13" t="str">
        <f t="shared" si="209"/>
        <v>Pendente</v>
      </c>
      <c r="C236" s="14" t="str">
        <f t="shared" si="190"/>
        <v/>
      </c>
      <c r="D236" s="13" t="s">
        <v>611</v>
      </c>
      <c r="E236" s="14" t="str">
        <f t="shared" ref="E236" si="244">IF(C236="", "", EDATE(C236, 3))</f>
        <v/>
      </c>
      <c r="F236" s="13" t="s">
        <v>611</v>
      </c>
      <c r="G236" s="40">
        <v>202500127</v>
      </c>
      <c r="H236" s="13" t="s">
        <v>4653</v>
      </c>
      <c r="I236" s="13" t="s">
        <v>613</v>
      </c>
      <c r="J236" s="14">
        <v>45707</v>
      </c>
      <c r="K236" s="14">
        <v>46066</v>
      </c>
      <c r="L236" s="13" t="s">
        <v>672</v>
      </c>
      <c r="M236" s="13" t="s">
        <v>995</v>
      </c>
      <c r="N236" s="13" t="s">
        <v>996</v>
      </c>
      <c r="O236" s="13" t="s">
        <v>997</v>
      </c>
      <c r="P236" s="79" t="s">
        <v>408</v>
      </c>
      <c r="Q236" s="13" t="s">
        <v>618</v>
      </c>
      <c r="R236" s="246" t="str">
        <f>VLOOKUP(P236,'Dados das Regiões '!A:B,2,0)</f>
        <v>PALMAS</v>
      </c>
      <c r="S236" s="13" t="s">
        <v>4654</v>
      </c>
      <c r="U236" s="79" t="s">
        <v>999</v>
      </c>
      <c r="V236" s="13" t="s">
        <v>999</v>
      </c>
      <c r="W236" s="13" t="s">
        <v>1001</v>
      </c>
      <c r="X236" s="15">
        <v>0.39583333333333331</v>
      </c>
      <c r="Y236" s="516">
        <v>0.3125</v>
      </c>
      <c r="Z236" s="16" t="s">
        <v>622</v>
      </c>
      <c r="AB236" s="164">
        <v>202500127</v>
      </c>
      <c r="AC236" s="55" t="s">
        <v>29</v>
      </c>
      <c r="AD236" s="40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</row>
    <row r="237" spans="1:44">
      <c r="B237" s="13" t="str">
        <f t="shared" si="209"/>
        <v>Pendente</v>
      </c>
      <c r="C237" s="14" t="str">
        <f t="shared" si="190"/>
        <v/>
      </c>
      <c r="D237" s="13" t="s">
        <v>611</v>
      </c>
      <c r="E237" s="14" t="str">
        <f t="shared" ref="E237" si="245">IF(C237="", "", EDATE(C237, 3))</f>
        <v/>
      </c>
      <c r="F237" s="13" t="s">
        <v>611</v>
      </c>
      <c r="G237" s="40">
        <v>202500127</v>
      </c>
      <c r="H237" s="13" t="s">
        <v>4655</v>
      </c>
      <c r="I237" s="13" t="s">
        <v>613</v>
      </c>
      <c r="J237" s="14">
        <v>45707</v>
      </c>
      <c r="K237" s="14">
        <v>46066</v>
      </c>
      <c r="L237" s="13" t="s">
        <v>672</v>
      </c>
      <c r="M237" s="13" t="s">
        <v>4656</v>
      </c>
      <c r="N237" s="13" t="s">
        <v>4657</v>
      </c>
      <c r="O237" s="13" t="s">
        <v>4658</v>
      </c>
      <c r="P237" s="79" t="s">
        <v>487</v>
      </c>
      <c r="Q237" s="13" t="s">
        <v>618</v>
      </c>
      <c r="R237" s="246" t="str">
        <f>VLOOKUP(P237,'Dados das Regiões '!A:B,2,0)</f>
        <v>UMUARAMA</v>
      </c>
      <c r="S237" s="13" t="s">
        <v>4659</v>
      </c>
      <c r="U237" s="79" t="s">
        <v>4660</v>
      </c>
      <c r="V237" s="13" t="s">
        <v>4661</v>
      </c>
      <c r="W237" s="13" t="s">
        <v>4662</v>
      </c>
      <c r="X237" s="15">
        <v>0.39583333333333331</v>
      </c>
      <c r="Y237" s="516">
        <v>0.3125</v>
      </c>
      <c r="Z237" s="16" t="s">
        <v>622</v>
      </c>
      <c r="AB237" s="164">
        <v>202500127</v>
      </c>
      <c r="AC237" s="55" t="s">
        <v>29</v>
      </c>
      <c r="AD237" s="40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</row>
    <row r="238" spans="1:44">
      <c r="B238" s="13" t="str">
        <f t="shared" si="209"/>
        <v>Pendente</v>
      </c>
      <c r="C238" s="14" t="str">
        <f t="shared" si="190"/>
        <v/>
      </c>
      <c r="D238" s="13" t="s">
        <v>611</v>
      </c>
      <c r="E238" s="14" t="str">
        <f t="shared" ref="E238" si="246">IF(C238="", "", EDATE(C238, 3))</f>
        <v/>
      </c>
      <c r="F238" s="13" t="s">
        <v>611</v>
      </c>
      <c r="G238" s="40">
        <v>202500127</v>
      </c>
      <c r="H238" s="13" t="s">
        <v>4663</v>
      </c>
      <c r="I238" s="13" t="s">
        <v>613</v>
      </c>
      <c r="J238" s="14">
        <v>45707</v>
      </c>
      <c r="K238" s="14">
        <v>46066</v>
      </c>
      <c r="L238" s="13" t="s">
        <v>672</v>
      </c>
      <c r="M238" s="13" t="s">
        <v>4646</v>
      </c>
      <c r="N238" s="13" t="s">
        <v>4647</v>
      </c>
      <c r="O238" s="13" t="s">
        <v>997</v>
      </c>
      <c r="P238" s="79" t="s">
        <v>408</v>
      </c>
      <c r="Q238" s="13" t="s">
        <v>618</v>
      </c>
      <c r="R238" s="246" t="str">
        <f>VLOOKUP(P238,'Dados das Regiões '!A:B,2,0)</f>
        <v>PALMAS</v>
      </c>
      <c r="S238" s="13" t="s">
        <v>4648</v>
      </c>
      <c r="U238" s="79" t="s">
        <v>999</v>
      </c>
      <c r="V238" s="13" t="s">
        <v>999</v>
      </c>
      <c r="W238" s="13" t="s">
        <v>1482</v>
      </c>
      <c r="X238" s="15">
        <v>0.5625</v>
      </c>
      <c r="Y238" s="516">
        <v>0.64583333333333337</v>
      </c>
      <c r="Z238" s="16" t="s">
        <v>622</v>
      </c>
      <c r="AB238" s="164">
        <v>202500127</v>
      </c>
      <c r="AC238" s="55" t="s">
        <v>29</v>
      </c>
      <c r="AD238" s="40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</row>
    <row r="239" spans="1:44">
      <c r="B239" s="13" t="str">
        <f t="shared" si="209"/>
        <v>Pendente</v>
      </c>
      <c r="C239" s="14" t="str">
        <f t="shared" si="190"/>
        <v/>
      </c>
      <c r="D239" s="13" t="s">
        <v>611</v>
      </c>
      <c r="E239" s="14" t="str">
        <f t="shared" ref="E239" si="247">IF(C239="", "", EDATE(C239, 3))</f>
        <v/>
      </c>
      <c r="F239" s="13" t="s">
        <v>611</v>
      </c>
      <c r="G239" s="40">
        <v>202500127</v>
      </c>
      <c r="H239" s="13" t="s">
        <v>4664</v>
      </c>
      <c r="I239" s="13" t="s">
        <v>613</v>
      </c>
      <c r="J239" s="14">
        <v>45707</v>
      </c>
      <c r="K239" s="14">
        <v>46066</v>
      </c>
      <c r="L239" s="13" t="s">
        <v>672</v>
      </c>
      <c r="M239" s="13" t="s">
        <v>4650</v>
      </c>
      <c r="N239" s="13" t="s">
        <v>1012</v>
      </c>
      <c r="O239" s="13" t="s">
        <v>997</v>
      </c>
      <c r="P239" s="79" t="s">
        <v>408</v>
      </c>
      <c r="Q239" s="13" t="s">
        <v>618</v>
      </c>
      <c r="R239" s="246" t="str">
        <f>VLOOKUP(P239,'Dados das Regiões '!A:B,2,0)</f>
        <v>PALMAS</v>
      </c>
      <c r="S239" s="13" t="s">
        <v>4651</v>
      </c>
      <c r="U239" s="79" t="s">
        <v>999</v>
      </c>
      <c r="V239" s="13" t="s">
        <v>999</v>
      </c>
      <c r="W239" s="13" t="s">
        <v>4652</v>
      </c>
      <c r="X239" s="15">
        <v>0.3125</v>
      </c>
      <c r="Y239" s="516">
        <v>0.39583333333333331</v>
      </c>
      <c r="Z239" s="16" t="s">
        <v>622</v>
      </c>
      <c r="AB239" s="164">
        <v>202500127</v>
      </c>
      <c r="AC239" s="55" t="s">
        <v>29</v>
      </c>
      <c r="AD239" s="40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</row>
    <row r="240" spans="1:44">
      <c r="B240" s="13" t="str">
        <f t="shared" si="209"/>
        <v>Pendente</v>
      </c>
      <c r="C240" s="14" t="str">
        <f t="shared" si="190"/>
        <v/>
      </c>
      <c r="D240" s="13" t="s">
        <v>611</v>
      </c>
      <c r="E240" s="14" t="str">
        <f t="shared" ref="E240" si="248">IF(C240="", "", EDATE(C240, 3))</f>
        <v/>
      </c>
      <c r="F240" s="13" t="s">
        <v>611</v>
      </c>
      <c r="G240" s="40">
        <v>202500127</v>
      </c>
      <c r="H240" s="13" t="s">
        <v>4665</v>
      </c>
      <c r="I240" s="13" t="s">
        <v>613</v>
      </c>
      <c r="J240" s="14">
        <v>45707</v>
      </c>
      <c r="K240" s="14">
        <v>46066</v>
      </c>
      <c r="L240" s="13" t="s">
        <v>672</v>
      </c>
      <c r="M240" s="13" t="s">
        <v>4666</v>
      </c>
      <c r="N240" s="13" t="s">
        <v>4667</v>
      </c>
      <c r="O240" s="13" t="s">
        <v>4668</v>
      </c>
      <c r="P240" s="79" t="s">
        <v>485</v>
      </c>
      <c r="Q240" s="13" t="s">
        <v>618</v>
      </c>
      <c r="R240" s="246" t="str">
        <f>VLOOKUP(P240,'Dados das Regiões '!A:B,2,0)</f>
        <v>UMUARAMA</v>
      </c>
      <c r="S240" s="520" t="s">
        <v>4669</v>
      </c>
      <c r="U240" s="519" t="s">
        <v>4670</v>
      </c>
      <c r="V240" s="519" t="s">
        <v>4671</v>
      </c>
      <c r="W240" s="13" t="s">
        <v>4672</v>
      </c>
      <c r="X240" s="15">
        <v>0.3125</v>
      </c>
      <c r="Y240" s="516">
        <v>0.39583333333333331</v>
      </c>
      <c r="Z240" s="16" t="s">
        <v>622</v>
      </c>
      <c r="AB240" s="164">
        <v>202500127</v>
      </c>
      <c r="AC240" s="55" t="s">
        <v>29</v>
      </c>
      <c r="AD240" s="40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</row>
    <row r="241" spans="1:44">
      <c r="B241" s="13" t="str">
        <f t="shared" si="209"/>
        <v>Pendente</v>
      </c>
      <c r="C241" s="14" t="str">
        <f t="shared" si="190"/>
        <v/>
      </c>
      <c r="D241" s="13" t="s">
        <v>611</v>
      </c>
      <c r="E241" s="14" t="str">
        <f t="shared" ref="E241" si="249">IF(C241="", "", EDATE(C241, 3))</f>
        <v/>
      </c>
      <c r="F241" s="13" t="s">
        <v>611</v>
      </c>
      <c r="G241" s="40">
        <v>202500127</v>
      </c>
      <c r="H241" s="13" t="s">
        <v>4673</v>
      </c>
      <c r="I241" s="13" t="s">
        <v>613</v>
      </c>
      <c r="J241" s="14">
        <v>45707</v>
      </c>
      <c r="K241" s="14">
        <v>46066</v>
      </c>
      <c r="L241" s="13" t="s">
        <v>682</v>
      </c>
      <c r="M241" s="13" t="s">
        <v>1130</v>
      </c>
      <c r="N241" s="13" t="s">
        <v>1131</v>
      </c>
      <c r="O241" s="17" t="s">
        <v>4674</v>
      </c>
      <c r="P241" s="79" t="s">
        <v>236</v>
      </c>
      <c r="Q241" s="13" t="s">
        <v>618</v>
      </c>
      <c r="R241" s="246" t="str">
        <f>VLOOKUP(P241,'Dados das Regiões '!A:B,2,0)</f>
        <v>CORNÉLIO PROCÓPIO</v>
      </c>
      <c r="S241"/>
      <c r="U241" s="79" t="s">
        <v>1134</v>
      </c>
      <c r="V241" s="13" t="s">
        <v>1135</v>
      </c>
      <c r="W241" s="13" t="s">
        <v>4675</v>
      </c>
      <c r="X241" s="15">
        <v>0.5625</v>
      </c>
      <c r="Y241" s="516">
        <v>0.64583333333333337</v>
      </c>
      <c r="Z241" s="16" t="s">
        <v>622</v>
      </c>
      <c r="AB241" s="164">
        <v>202500127</v>
      </c>
      <c r="AC241" s="55" t="s">
        <v>29</v>
      </c>
      <c r="AD241" s="40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</row>
    <row r="242" spans="1:44">
      <c r="B242" s="13" t="str">
        <f t="shared" si="209"/>
        <v>Pendente</v>
      </c>
      <c r="C242" s="14" t="str">
        <f t="shared" si="190"/>
        <v/>
      </c>
      <c r="D242" s="13" t="s">
        <v>611</v>
      </c>
      <c r="E242" s="14" t="str">
        <f t="shared" ref="E242" si="250">IF(C242="", "", EDATE(C242, 3))</f>
        <v/>
      </c>
      <c r="F242" s="13" t="s">
        <v>611</v>
      </c>
      <c r="G242" s="40">
        <v>202500127</v>
      </c>
      <c r="H242" s="13" t="s">
        <v>4676</v>
      </c>
      <c r="I242" s="13" t="s">
        <v>613</v>
      </c>
      <c r="J242" s="14">
        <v>45707</v>
      </c>
      <c r="K242" s="14">
        <v>46066</v>
      </c>
      <c r="L242" s="13" t="s">
        <v>682</v>
      </c>
      <c r="M242" s="13" t="s">
        <v>4677</v>
      </c>
      <c r="N242" s="13" t="s">
        <v>4678</v>
      </c>
      <c r="O242" s="13" t="s">
        <v>4679</v>
      </c>
      <c r="P242" s="79" t="s">
        <v>363</v>
      </c>
      <c r="Q242" s="13" t="s">
        <v>618</v>
      </c>
      <c r="R242" s="246" t="str">
        <f>VLOOKUP(P242,'Dados das Regiões '!A:B,2,0)</f>
        <v>MARINGÁ</v>
      </c>
      <c r="S242" s="13" t="s">
        <v>4680</v>
      </c>
      <c r="U242" s="79" t="s">
        <v>4681</v>
      </c>
      <c r="V242" s="13" t="s">
        <v>4682</v>
      </c>
      <c r="W242" s="13" t="s">
        <v>4683</v>
      </c>
      <c r="X242" s="15">
        <v>0.33333333333333331</v>
      </c>
      <c r="Y242" s="516">
        <v>0.41666666666666669</v>
      </c>
      <c r="Z242" s="16" t="s">
        <v>622</v>
      </c>
      <c r="AB242" s="164">
        <v>202500127</v>
      </c>
      <c r="AC242" s="55" t="s">
        <v>29</v>
      </c>
      <c r="AD242" s="40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</row>
    <row r="243" spans="1:44">
      <c r="B243" s="13" t="str">
        <f t="shared" si="209"/>
        <v>Pendente</v>
      </c>
      <c r="C243" s="14" t="str">
        <f t="shared" si="190"/>
        <v/>
      </c>
      <c r="D243" s="13" t="s">
        <v>611</v>
      </c>
      <c r="E243" s="14" t="str">
        <f t="shared" ref="E243" si="251">IF(C243="", "", EDATE(C243, 3))</f>
        <v/>
      </c>
      <c r="F243" s="13" t="s">
        <v>611</v>
      </c>
      <c r="G243" s="40">
        <v>202500127</v>
      </c>
      <c r="H243" s="13" t="s">
        <v>4684</v>
      </c>
      <c r="I243" s="13" t="s">
        <v>613</v>
      </c>
      <c r="J243" s="14">
        <v>45707</v>
      </c>
      <c r="K243" s="14">
        <v>46066</v>
      </c>
      <c r="L243" s="13" t="s">
        <v>682</v>
      </c>
      <c r="M243" s="13" t="s">
        <v>4685</v>
      </c>
      <c r="N243" s="13" t="s">
        <v>4686</v>
      </c>
      <c r="O243" s="13" t="s">
        <v>4687</v>
      </c>
      <c r="P243" s="79" t="s">
        <v>353</v>
      </c>
      <c r="Q243" s="13" t="s">
        <v>618</v>
      </c>
      <c r="R243" s="246" t="str">
        <f>VLOOKUP(P243,'Dados das Regiões '!A:B,2,0)</f>
        <v>MARECHAL CÂNDIDO RONDON</v>
      </c>
      <c r="S243" s="13" t="s">
        <v>4688</v>
      </c>
      <c r="U243" s="79" t="s">
        <v>4689</v>
      </c>
      <c r="V243" s="13" t="s">
        <v>4690</v>
      </c>
      <c r="W243" s="13" t="s">
        <v>4691</v>
      </c>
      <c r="X243" s="15">
        <v>0.5625</v>
      </c>
      <c r="Y243" s="516">
        <v>0.64583333333333337</v>
      </c>
      <c r="Z243" s="16" t="s">
        <v>622</v>
      </c>
      <c r="AB243" s="164">
        <v>202500127</v>
      </c>
      <c r="AC243" s="55" t="s">
        <v>29</v>
      </c>
      <c r="AD243" s="40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</row>
    <row r="244" spans="1:44">
      <c r="B244" s="13" t="str">
        <f t="shared" si="209"/>
        <v>Pendente</v>
      </c>
      <c r="C244" s="14" t="str">
        <f t="shared" si="190"/>
        <v/>
      </c>
      <c r="D244" s="13" t="s">
        <v>611</v>
      </c>
      <c r="E244" s="14" t="str">
        <f t="shared" ref="E244" si="252">IF(C244="", "", EDATE(C244, 3))</f>
        <v/>
      </c>
      <c r="F244" s="13" t="s">
        <v>611</v>
      </c>
      <c r="G244" s="40">
        <v>202500127</v>
      </c>
      <c r="H244" s="13" t="s">
        <v>4692</v>
      </c>
      <c r="I244" s="13" t="s">
        <v>613</v>
      </c>
      <c r="J244" s="14">
        <v>45707</v>
      </c>
      <c r="K244" s="14">
        <v>46066</v>
      </c>
      <c r="L244" s="13" t="s">
        <v>4547</v>
      </c>
      <c r="M244" s="13" t="s">
        <v>4693</v>
      </c>
      <c r="N244" s="13" t="s">
        <v>4694</v>
      </c>
      <c r="O244" s="13" t="s">
        <v>4606</v>
      </c>
      <c r="P244" s="79" t="s">
        <v>272</v>
      </c>
      <c r="Q244" s="13" t="s">
        <v>618</v>
      </c>
      <c r="R244" s="246" t="str">
        <f>VLOOKUP(P244,'Dados das Regiões '!A:B,2,0)</f>
        <v>FRANCISCO BELTRÃO</v>
      </c>
      <c r="S244" s="13" t="s">
        <v>4695</v>
      </c>
      <c r="U244" s="79" t="s">
        <v>4696</v>
      </c>
      <c r="V244" s="13" t="s">
        <v>4696</v>
      </c>
      <c r="W244" s="13" t="s">
        <v>4697</v>
      </c>
      <c r="X244" s="15">
        <v>0.54166666666666663</v>
      </c>
      <c r="Y244" s="516">
        <v>0.625</v>
      </c>
      <c r="Z244" s="16" t="s">
        <v>622</v>
      </c>
      <c r="AB244" s="164">
        <v>202500127</v>
      </c>
      <c r="AC244" s="55" t="s">
        <v>29</v>
      </c>
      <c r="AD244" s="40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</row>
    <row r="245" spans="1:44">
      <c r="B245" s="13" t="str">
        <f t="shared" si="209"/>
        <v>Pendente</v>
      </c>
      <c r="C245" s="14" t="str">
        <f t="shared" ref="C245:C308" si="253">IF(A245="", "", EDATE(A245, 3))</f>
        <v/>
      </c>
      <c r="D245" s="13" t="s">
        <v>611</v>
      </c>
      <c r="E245" s="14" t="str">
        <f t="shared" ref="E245" si="254">IF(C245="", "", EDATE(C245, 3))</f>
        <v/>
      </c>
      <c r="F245" s="13" t="s">
        <v>611</v>
      </c>
      <c r="G245" s="40">
        <v>202500127</v>
      </c>
      <c r="H245" s="13" t="s">
        <v>4698</v>
      </c>
      <c r="I245" s="13" t="s">
        <v>613</v>
      </c>
      <c r="J245" s="14">
        <v>45707</v>
      </c>
      <c r="K245" s="14">
        <v>46066</v>
      </c>
      <c r="L245" s="13" t="s">
        <v>682</v>
      </c>
      <c r="M245" s="13" t="s">
        <v>4699</v>
      </c>
      <c r="N245" s="13" t="s">
        <v>4700</v>
      </c>
      <c r="O245" s="13" t="s">
        <v>4417</v>
      </c>
      <c r="P245" s="79" t="s">
        <v>352</v>
      </c>
      <c r="Q245" s="13" t="s">
        <v>618</v>
      </c>
      <c r="R245" s="246" t="str">
        <f>VLOOKUP(P245,'Dados das Regiões '!A:B,2,0)</f>
        <v>MARECHAL CÂNDIDO RONDON</v>
      </c>
      <c r="S245" s="13" t="s">
        <v>4701</v>
      </c>
      <c r="U245" s="79" t="s">
        <v>4702</v>
      </c>
      <c r="V245" s="13" t="s">
        <v>4703</v>
      </c>
      <c r="W245" s="13" t="s">
        <v>4704</v>
      </c>
      <c r="X245" s="15">
        <v>0.58333333333333337</v>
      </c>
      <c r="Y245" s="516">
        <v>0.66666666666666663</v>
      </c>
      <c r="Z245" s="16" t="s">
        <v>622</v>
      </c>
      <c r="AB245" s="164">
        <v>202500127</v>
      </c>
      <c r="AC245" s="55" t="s">
        <v>29</v>
      </c>
      <c r="AD245" s="40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</row>
    <row r="246" spans="1:44">
      <c r="B246" s="13" t="str">
        <f t="shared" si="209"/>
        <v>Pendente</v>
      </c>
      <c r="C246" s="14" t="str">
        <f t="shared" si="253"/>
        <v/>
      </c>
      <c r="D246" s="13" t="s">
        <v>611</v>
      </c>
      <c r="E246" s="14" t="str">
        <f t="shared" ref="E246" si="255">IF(C246="", "", EDATE(C246, 3))</f>
        <v/>
      </c>
      <c r="F246" s="13" t="s">
        <v>611</v>
      </c>
      <c r="G246" s="40">
        <v>202500127</v>
      </c>
      <c r="H246" s="13" t="s">
        <v>4705</v>
      </c>
      <c r="I246" s="13" t="s">
        <v>613</v>
      </c>
      <c r="J246" s="14">
        <v>45707</v>
      </c>
      <c r="K246" s="14">
        <v>46066</v>
      </c>
      <c r="L246" s="13" t="s">
        <v>682</v>
      </c>
      <c r="M246" s="13" t="s">
        <v>4706</v>
      </c>
      <c r="N246" s="13" t="s">
        <v>4707</v>
      </c>
      <c r="O246" s="13" t="s">
        <v>1124</v>
      </c>
      <c r="P246" s="79" t="s">
        <v>498</v>
      </c>
      <c r="Q246" s="13" t="s">
        <v>618</v>
      </c>
      <c r="R246" s="246" t="str">
        <f>VLOOKUP(P246,'Dados das Regiões '!A:B,2,0)</f>
        <v>UMUARAMA</v>
      </c>
      <c r="S246" s="13" t="s">
        <v>1116</v>
      </c>
      <c r="U246" s="79" t="s">
        <v>1118</v>
      </c>
      <c r="V246" s="13" t="s">
        <v>1118</v>
      </c>
      <c r="W246" s="13" t="s">
        <v>1119</v>
      </c>
      <c r="X246" s="15">
        <v>0.5625</v>
      </c>
      <c r="Y246" s="516">
        <v>0.64583333333333337</v>
      </c>
      <c r="Z246" s="16" t="s">
        <v>622</v>
      </c>
      <c r="AB246" s="164">
        <v>202500127</v>
      </c>
      <c r="AC246" s="55" t="s">
        <v>29</v>
      </c>
      <c r="AD246" s="40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</row>
    <row r="247" spans="1:44">
      <c r="B247" s="13" t="str">
        <f t="shared" si="209"/>
        <v>Pendente</v>
      </c>
      <c r="C247" s="14" t="str">
        <f t="shared" si="253"/>
        <v/>
      </c>
      <c r="D247" s="13" t="s">
        <v>611</v>
      </c>
      <c r="E247" s="14" t="str">
        <f t="shared" ref="E247" si="256">IF(C247="", "", EDATE(C247, 3))</f>
        <v/>
      </c>
      <c r="F247" s="13" t="s">
        <v>611</v>
      </c>
      <c r="G247" s="40">
        <v>202500127</v>
      </c>
      <c r="H247" s="13" t="s">
        <v>4708</v>
      </c>
      <c r="I247" s="13" t="s">
        <v>613</v>
      </c>
      <c r="J247" s="14">
        <v>45707</v>
      </c>
      <c r="K247" s="14">
        <v>46066</v>
      </c>
      <c r="L247" s="13" t="s">
        <v>682</v>
      </c>
      <c r="M247" s="13" t="s">
        <v>4709</v>
      </c>
      <c r="N247" s="13" t="s">
        <v>4710</v>
      </c>
      <c r="O247" s="13" t="s">
        <v>4711</v>
      </c>
      <c r="P247" s="79" t="s">
        <v>217</v>
      </c>
      <c r="Q247" s="13" t="s">
        <v>618</v>
      </c>
      <c r="R247" s="246" t="str">
        <f>VLOOKUP(P247,'Dados das Regiões '!A:B,2,0)</f>
        <v>CORNÉLIO PROCÓPIO</v>
      </c>
      <c r="S247" s="13" t="s">
        <v>4712</v>
      </c>
      <c r="U247" s="79" t="s">
        <v>4713</v>
      </c>
      <c r="V247" s="13" t="s">
        <v>4714</v>
      </c>
      <c r="W247" s="13" t="s">
        <v>4715</v>
      </c>
      <c r="X247" s="15">
        <v>0.5625</v>
      </c>
      <c r="Y247" s="516">
        <v>0.64583333333333337</v>
      </c>
      <c r="Z247" s="16" t="s">
        <v>622</v>
      </c>
      <c r="AB247" s="164">
        <v>202500127</v>
      </c>
      <c r="AC247" s="55" t="s">
        <v>29</v>
      </c>
      <c r="AD247" s="40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</row>
    <row r="248" spans="1:44">
      <c r="B248" s="13" t="str">
        <f t="shared" si="209"/>
        <v>Pendente</v>
      </c>
      <c r="C248" s="14" t="str">
        <f t="shared" si="253"/>
        <v/>
      </c>
      <c r="D248" s="13" t="s">
        <v>611</v>
      </c>
      <c r="E248" s="14" t="str">
        <f t="shared" ref="E248" si="257">IF(C248="", "", EDATE(C248, 3))</f>
        <v/>
      </c>
      <c r="F248" s="13" t="s">
        <v>611</v>
      </c>
      <c r="G248" s="40">
        <v>202500127</v>
      </c>
      <c r="H248" s="13" t="s">
        <v>4716</v>
      </c>
      <c r="I248" s="13" t="s">
        <v>613</v>
      </c>
      <c r="J248" s="14">
        <v>45707</v>
      </c>
      <c r="K248" s="14">
        <v>46066</v>
      </c>
      <c r="L248" s="13" t="s">
        <v>682</v>
      </c>
      <c r="M248" s="13" t="s">
        <v>4709</v>
      </c>
      <c r="N248" s="13" t="s">
        <v>4710</v>
      </c>
      <c r="O248" s="13" t="s">
        <v>4711</v>
      </c>
      <c r="P248" s="79" t="s">
        <v>217</v>
      </c>
      <c r="Q248" s="13" t="s">
        <v>618</v>
      </c>
      <c r="R248" s="246" t="str">
        <f>VLOOKUP(P248,'Dados das Regiões '!A:B,2,0)</f>
        <v>CORNÉLIO PROCÓPIO</v>
      </c>
      <c r="S248" s="13" t="s">
        <v>4712</v>
      </c>
      <c r="U248" s="79" t="s">
        <v>4713</v>
      </c>
      <c r="V248" s="13" t="s">
        <v>4714</v>
      </c>
      <c r="W248" s="13" t="s">
        <v>4715</v>
      </c>
      <c r="X248" s="15">
        <v>0.5625</v>
      </c>
      <c r="Y248" s="516">
        <v>0.64583333333333337</v>
      </c>
      <c r="Z248" s="16" t="s">
        <v>622</v>
      </c>
      <c r="AB248" s="164">
        <v>202500127</v>
      </c>
      <c r="AC248" s="55" t="s">
        <v>29</v>
      </c>
      <c r="AD248" s="40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</row>
    <row r="249" spans="1:44">
      <c r="A249" s="14">
        <v>45910</v>
      </c>
      <c r="B249" s="13" t="str">
        <f t="shared" si="209"/>
        <v>Realizada</v>
      </c>
      <c r="C249" s="14">
        <f t="shared" si="253"/>
        <v>46001</v>
      </c>
      <c r="D249" s="13" t="s">
        <v>611</v>
      </c>
      <c r="E249" s="14">
        <f t="shared" ref="E249" si="258">IF(C249="", "", EDATE(C249, 3))</f>
        <v>46091</v>
      </c>
      <c r="F249" s="13" t="s">
        <v>611</v>
      </c>
      <c r="G249" s="40">
        <v>202500127</v>
      </c>
      <c r="H249" s="13" t="s">
        <v>4717</v>
      </c>
      <c r="I249" s="13" t="s">
        <v>613</v>
      </c>
      <c r="J249" s="14">
        <v>45707</v>
      </c>
      <c r="K249" s="14">
        <v>46066</v>
      </c>
      <c r="L249" s="13" t="s">
        <v>672</v>
      </c>
      <c r="M249" s="13" t="s">
        <v>4554</v>
      </c>
      <c r="N249" s="13" t="s">
        <v>4555</v>
      </c>
      <c r="O249" s="13" t="s">
        <v>4508</v>
      </c>
      <c r="P249" s="79" t="s">
        <v>154</v>
      </c>
      <c r="Q249" s="13" t="s">
        <v>618</v>
      </c>
      <c r="R249" s="246" t="str">
        <f>VLOOKUP(P249,'Dados das Regiões '!A:B,2,0)</f>
        <v>CAMPO MOURÃO</v>
      </c>
      <c r="S249" s="13" t="s">
        <v>4556</v>
      </c>
      <c r="U249" s="79" t="s">
        <v>4557</v>
      </c>
      <c r="V249" s="13" t="s">
        <v>4558</v>
      </c>
      <c r="W249" s="13" t="s">
        <v>4559</v>
      </c>
      <c r="X249" s="15">
        <v>0.64583333333333337</v>
      </c>
      <c r="Y249" s="516">
        <v>0.5625</v>
      </c>
      <c r="Z249" s="16" t="s">
        <v>622</v>
      </c>
      <c r="AB249" s="164">
        <v>202500127</v>
      </c>
      <c r="AC249" s="55" t="s">
        <v>29</v>
      </c>
      <c r="AD249" s="40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</row>
    <row r="250" spans="1:44">
      <c r="B250" s="13" t="str">
        <f t="shared" si="209"/>
        <v>Pendente</v>
      </c>
      <c r="C250" s="14" t="str">
        <f t="shared" si="253"/>
        <v/>
      </c>
      <c r="D250" s="13" t="s">
        <v>611</v>
      </c>
      <c r="E250" s="14" t="str">
        <f t="shared" ref="E250" si="259">IF(C250="", "", EDATE(C250, 3))</f>
        <v/>
      </c>
      <c r="F250" s="13" t="s">
        <v>611</v>
      </c>
      <c r="G250" s="40">
        <v>202500127</v>
      </c>
      <c r="H250" s="13" t="s">
        <v>4718</v>
      </c>
      <c r="I250" s="13" t="s">
        <v>613</v>
      </c>
      <c r="J250" s="14">
        <v>45707</v>
      </c>
      <c r="K250" s="14">
        <v>46066</v>
      </c>
      <c r="L250" s="13" t="s">
        <v>682</v>
      </c>
      <c r="M250" s="13" t="s">
        <v>4719</v>
      </c>
      <c r="N250" s="13" t="s">
        <v>4720</v>
      </c>
      <c r="O250" s="13" t="s">
        <v>4417</v>
      </c>
      <c r="P250" s="79" t="s">
        <v>352</v>
      </c>
      <c r="Q250" s="13" t="s">
        <v>618</v>
      </c>
      <c r="R250" s="246" t="str">
        <f>VLOOKUP(P250,'Dados das Regiões '!A:B,2,0)</f>
        <v>MARECHAL CÂNDIDO RONDON</v>
      </c>
      <c r="S250" s="13" t="s">
        <v>4721</v>
      </c>
      <c r="U250" s="79" t="s">
        <v>4722</v>
      </c>
      <c r="V250" s="13" t="s">
        <v>4723</v>
      </c>
      <c r="W250" s="13" t="s">
        <v>4724</v>
      </c>
      <c r="X250" s="15">
        <v>0.58333333333333337</v>
      </c>
      <c r="Y250" s="516">
        <v>0.66666666666666663</v>
      </c>
      <c r="Z250" s="16" t="s">
        <v>622</v>
      </c>
      <c r="AB250" s="164">
        <v>202500127</v>
      </c>
      <c r="AC250" s="55" t="s">
        <v>29</v>
      </c>
      <c r="AD250" s="40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</row>
    <row r="251" spans="1:44">
      <c r="B251" s="13" t="str">
        <f t="shared" si="209"/>
        <v>Pendente</v>
      </c>
      <c r="C251" s="14" t="str">
        <f t="shared" si="253"/>
        <v/>
      </c>
      <c r="D251" s="13" t="s">
        <v>611</v>
      </c>
      <c r="E251" s="14" t="str">
        <f t="shared" ref="E251" si="260">IF(C251="", "", EDATE(C251, 3))</f>
        <v/>
      </c>
      <c r="F251" s="13" t="s">
        <v>611</v>
      </c>
      <c r="G251" s="40">
        <v>202500127</v>
      </c>
      <c r="H251" s="13" t="s">
        <v>4725</v>
      </c>
      <c r="I251" s="13" t="s">
        <v>613</v>
      </c>
      <c r="J251" s="14">
        <v>45707</v>
      </c>
      <c r="K251" s="14">
        <v>46066</v>
      </c>
      <c r="L251" s="13" t="s">
        <v>4547</v>
      </c>
      <c r="M251" s="13" t="s">
        <v>4726</v>
      </c>
      <c r="N251" s="13" t="s">
        <v>4727</v>
      </c>
      <c r="O251" s="13" t="s">
        <v>1420</v>
      </c>
      <c r="P251" s="79" t="s">
        <v>274</v>
      </c>
      <c r="Q251" s="13" t="s">
        <v>618</v>
      </c>
      <c r="R251" s="246" t="str">
        <f>VLOOKUP(P251,'Dados das Regiões '!A:B,2,0)</f>
        <v>FRANCISCO BELTRÃO</v>
      </c>
      <c r="S251" s="13" t="s">
        <v>4728</v>
      </c>
      <c r="U251" s="79" t="s">
        <v>4729</v>
      </c>
      <c r="V251" s="13" t="s">
        <v>4730</v>
      </c>
      <c r="W251" s="13" t="s">
        <v>4731</v>
      </c>
      <c r="X251" s="15">
        <v>0.33333333333333331</v>
      </c>
      <c r="Y251" s="516">
        <v>0.41666666666666669</v>
      </c>
      <c r="Z251" s="16" t="s">
        <v>622</v>
      </c>
      <c r="AB251" s="164">
        <v>202500127</v>
      </c>
      <c r="AC251" s="55" t="s">
        <v>29</v>
      </c>
      <c r="AD251" s="40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</row>
    <row r="252" spans="1:44">
      <c r="B252" s="13" t="str">
        <f t="shared" si="209"/>
        <v>Pendente</v>
      </c>
      <c r="C252" s="14" t="str">
        <f t="shared" si="253"/>
        <v/>
      </c>
      <c r="D252" s="13" t="s">
        <v>611</v>
      </c>
      <c r="E252" s="14" t="str">
        <f t="shared" ref="E252" si="261">IF(C252="", "", EDATE(C252, 3))</f>
        <v/>
      </c>
      <c r="F252" s="13" t="s">
        <v>611</v>
      </c>
      <c r="G252" s="40">
        <v>202500127</v>
      </c>
      <c r="H252" s="13" t="s">
        <v>4732</v>
      </c>
      <c r="I252" s="13" t="s">
        <v>613</v>
      </c>
      <c r="J252" s="14">
        <v>45707</v>
      </c>
      <c r="K252" s="14">
        <v>46066</v>
      </c>
      <c r="L252" s="13" t="s">
        <v>682</v>
      </c>
      <c r="M252" s="13" t="s">
        <v>4733</v>
      </c>
      <c r="N252" s="13" t="s">
        <v>4734</v>
      </c>
      <c r="O252" s="13" t="s">
        <v>4735</v>
      </c>
      <c r="P252" s="79" t="s">
        <v>324</v>
      </c>
      <c r="Q252" s="13" t="s">
        <v>618</v>
      </c>
      <c r="R252" s="246" t="str">
        <f>VLOOKUP(P252,'Dados das Regiões '!A:B,2,0)</f>
        <v>JACAREZINHO</v>
      </c>
      <c r="S252" s="13" t="s">
        <v>4736</v>
      </c>
      <c r="U252" s="79" t="s">
        <v>4737</v>
      </c>
      <c r="V252" s="13" t="s">
        <v>4738</v>
      </c>
      <c r="W252" s="13" t="s">
        <v>4739</v>
      </c>
      <c r="X252" s="15">
        <v>0.5625</v>
      </c>
      <c r="Y252" s="516">
        <v>0.64583333333333337</v>
      </c>
      <c r="Z252" s="16" t="s">
        <v>622</v>
      </c>
      <c r="AB252" s="164">
        <v>202500127</v>
      </c>
      <c r="AC252" s="55" t="s">
        <v>29</v>
      </c>
      <c r="AD252" s="40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</row>
    <row r="253" spans="1:44">
      <c r="A253" s="14">
        <v>45911</v>
      </c>
      <c r="B253" s="13" t="str">
        <f t="shared" si="209"/>
        <v>Realizada</v>
      </c>
      <c r="C253" s="14">
        <f t="shared" si="253"/>
        <v>46002</v>
      </c>
      <c r="D253" s="13" t="s">
        <v>611</v>
      </c>
      <c r="E253" s="14">
        <f t="shared" ref="E253" si="262">IF(C253="", "", EDATE(C253, 3))</f>
        <v>46092</v>
      </c>
      <c r="F253" s="13" t="s">
        <v>611</v>
      </c>
      <c r="G253" s="40">
        <v>202500132</v>
      </c>
      <c r="H253" s="13" t="s">
        <v>4740</v>
      </c>
      <c r="I253" s="13" t="s">
        <v>613</v>
      </c>
      <c r="J253" s="14">
        <v>45761</v>
      </c>
      <c r="K253" s="14">
        <v>46121</v>
      </c>
      <c r="L253" s="13" t="s">
        <v>672</v>
      </c>
      <c r="M253" s="13" t="s">
        <v>747</v>
      </c>
      <c r="N253" s="13" t="s">
        <v>748</v>
      </c>
      <c r="O253" s="17" t="s">
        <v>749</v>
      </c>
      <c r="P253" s="79" t="s">
        <v>166</v>
      </c>
      <c r="Q253" s="13" t="s">
        <v>618</v>
      </c>
      <c r="R253" s="246" t="str">
        <f>VLOOKUP(P253,'Dados das Regiões '!A:B,2,0)</f>
        <v>CAMPO MOURÃO</v>
      </c>
      <c r="S253" s="13" t="s">
        <v>727</v>
      </c>
      <c r="U253" s="79" t="s">
        <v>728</v>
      </c>
      <c r="V253" s="13" t="s">
        <v>729</v>
      </c>
      <c r="W253" s="13" t="s">
        <v>730</v>
      </c>
      <c r="X253" s="15">
        <v>0.5625</v>
      </c>
      <c r="Y253" s="516">
        <v>0.64583333333333337</v>
      </c>
      <c r="Z253" s="16" t="s">
        <v>622</v>
      </c>
      <c r="AB253" s="164">
        <v>202500132</v>
      </c>
      <c r="AC253" s="55" t="s">
        <v>30</v>
      </c>
      <c r="AD253" s="40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</row>
    <row r="254" spans="1:44">
      <c r="A254" s="14">
        <v>45932</v>
      </c>
      <c r="B254" s="13" t="str">
        <f t="shared" si="209"/>
        <v>Realizada</v>
      </c>
      <c r="C254" s="14">
        <f t="shared" si="253"/>
        <v>46024</v>
      </c>
      <c r="D254" s="13" t="s">
        <v>611</v>
      </c>
      <c r="E254" s="14">
        <f t="shared" ref="E254" si="263">IF(C254="", "", EDATE(C254, 3))</f>
        <v>46114</v>
      </c>
      <c r="F254" s="13" t="s">
        <v>611</v>
      </c>
      <c r="G254" s="40">
        <v>202500132</v>
      </c>
      <c r="H254" s="13" t="s">
        <v>4741</v>
      </c>
      <c r="I254" s="13" t="s">
        <v>613</v>
      </c>
      <c r="J254" s="14">
        <v>45761</v>
      </c>
      <c r="K254" s="14">
        <v>46121</v>
      </c>
      <c r="L254" s="13" t="s">
        <v>672</v>
      </c>
      <c r="M254" s="13" t="s">
        <v>1492</v>
      </c>
      <c r="N254" s="13" t="s">
        <v>1493</v>
      </c>
      <c r="O254" s="17" t="s">
        <v>1494</v>
      </c>
      <c r="P254" s="79" t="s">
        <v>145</v>
      </c>
      <c r="Q254" s="13" t="s">
        <v>618</v>
      </c>
      <c r="R254" s="246" t="str">
        <f>VLOOKUP(P254,'Dados das Regiões '!A:B,2,0)</f>
        <v>CAMPO MOURÃO</v>
      </c>
      <c r="S254" s="13" t="s">
        <v>1495</v>
      </c>
      <c r="U254" s="79" t="s">
        <v>1496</v>
      </c>
      <c r="V254" s="13" t="s">
        <v>1497</v>
      </c>
      <c r="W254" s="13" t="s">
        <v>4742</v>
      </c>
      <c r="X254" s="15">
        <v>0.5625</v>
      </c>
      <c r="Y254" s="516">
        <v>0.64583333333333337</v>
      </c>
      <c r="Z254" s="16" t="s">
        <v>622</v>
      </c>
      <c r="AB254" s="164">
        <v>202500132</v>
      </c>
      <c r="AC254" s="55" t="s">
        <v>30</v>
      </c>
      <c r="AD254" s="40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</row>
    <row r="255" spans="1:44">
      <c r="B255" s="13" t="str">
        <f t="shared" si="209"/>
        <v>Pendente</v>
      </c>
      <c r="C255" s="14" t="str">
        <f t="shared" si="253"/>
        <v/>
      </c>
      <c r="D255" s="13" t="s">
        <v>611</v>
      </c>
      <c r="E255" s="14" t="str">
        <f t="shared" ref="E255" si="264">IF(C255="", "", EDATE(C255, 3))</f>
        <v/>
      </c>
      <c r="F255" s="13" t="s">
        <v>611</v>
      </c>
      <c r="G255" s="40">
        <v>202500119</v>
      </c>
      <c r="H255" s="13" t="s">
        <v>4743</v>
      </c>
      <c r="I255" s="13" t="s">
        <v>613</v>
      </c>
      <c r="J255" s="14">
        <v>45705</v>
      </c>
      <c r="K255" s="14">
        <v>46064</v>
      </c>
      <c r="L255" s="13" t="s">
        <v>1801</v>
      </c>
      <c r="M255" s="13" t="s">
        <v>4744</v>
      </c>
      <c r="N255" s="13" t="s">
        <v>4745</v>
      </c>
      <c r="O255" s="13" t="s">
        <v>4746</v>
      </c>
      <c r="P255" s="79" t="s">
        <v>405</v>
      </c>
      <c r="Q255" s="13" t="s">
        <v>618</v>
      </c>
      <c r="R255" s="246" t="str">
        <f>VLOOKUP(P255,'Dados das Regiões '!A:B,2,0)</f>
        <v>NOVA LONDRINA</v>
      </c>
      <c r="S255" s="13" t="s">
        <v>4747</v>
      </c>
      <c r="U255" s="79" t="s">
        <v>4748</v>
      </c>
      <c r="V255" s="13" t="s">
        <v>4748</v>
      </c>
      <c r="W255" s="13" t="s">
        <v>4749</v>
      </c>
      <c r="X255" s="15">
        <v>0.5625</v>
      </c>
      <c r="Y255" s="246" t="s">
        <v>680</v>
      </c>
      <c r="Z255" s="16" t="s">
        <v>622</v>
      </c>
      <c r="AB255" s="164">
        <v>202500119</v>
      </c>
      <c r="AC255" s="55" t="s">
        <v>26</v>
      </c>
      <c r="AD255" s="40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</row>
    <row r="256" spans="1:44">
      <c r="B256" s="13" t="str">
        <f t="shared" si="209"/>
        <v>Pendente</v>
      </c>
      <c r="C256" s="14" t="str">
        <f t="shared" si="253"/>
        <v/>
      </c>
      <c r="D256" s="13" t="s">
        <v>611</v>
      </c>
      <c r="E256" s="14" t="str">
        <f t="shared" ref="E256" si="265">IF(C256="", "", EDATE(C256, 3))</f>
        <v/>
      </c>
      <c r="F256" s="13" t="s">
        <v>611</v>
      </c>
      <c r="G256" s="40">
        <v>202500119</v>
      </c>
      <c r="H256" s="13" t="s">
        <v>4750</v>
      </c>
      <c r="I256" s="13" t="s">
        <v>613</v>
      </c>
      <c r="J256" s="14">
        <v>45705</v>
      </c>
      <c r="K256" s="14">
        <v>46064</v>
      </c>
      <c r="L256" s="13" t="s">
        <v>4751</v>
      </c>
      <c r="M256" s="13" t="s">
        <v>4752</v>
      </c>
      <c r="N256" s="13" t="s">
        <v>4753</v>
      </c>
      <c r="O256" s="13" t="s">
        <v>4754</v>
      </c>
      <c r="P256" s="79" t="s">
        <v>325</v>
      </c>
      <c r="Q256" s="13" t="s">
        <v>618</v>
      </c>
      <c r="R256" s="246" t="str">
        <f>VLOOKUP(P256,'Dados das Regiões '!A:B,2,0)</f>
        <v>JACAREZINHO</v>
      </c>
      <c r="S256" s="13" t="s">
        <v>4755</v>
      </c>
      <c r="U256" s="79" t="s">
        <v>4756</v>
      </c>
      <c r="V256" s="13" t="s">
        <v>4757</v>
      </c>
      <c r="W256" s="13" t="s">
        <v>4758</v>
      </c>
      <c r="X256" s="15">
        <v>0.54166666666666663</v>
      </c>
      <c r="Y256" s="516">
        <v>0.625</v>
      </c>
      <c r="Z256" s="16" t="s">
        <v>622</v>
      </c>
      <c r="AB256" s="164">
        <v>202500119</v>
      </c>
      <c r="AC256" s="55" t="s">
        <v>26</v>
      </c>
      <c r="AD256" s="40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</row>
    <row r="257" spans="1:44">
      <c r="B257" s="13" t="str">
        <f t="shared" si="209"/>
        <v>Pendente</v>
      </c>
      <c r="C257" s="14" t="str">
        <f t="shared" si="253"/>
        <v/>
      </c>
      <c r="D257" s="13" t="s">
        <v>611</v>
      </c>
      <c r="E257" s="14" t="str">
        <f t="shared" ref="E257" si="266">IF(C257="", "", EDATE(C257, 3))</f>
        <v/>
      </c>
      <c r="F257" s="13" t="s">
        <v>611</v>
      </c>
      <c r="G257" s="40">
        <v>202500119</v>
      </c>
      <c r="H257" s="13" t="s">
        <v>4759</v>
      </c>
      <c r="I257" s="13" t="s">
        <v>613</v>
      </c>
      <c r="J257" s="14">
        <v>45705</v>
      </c>
      <c r="K257" s="14">
        <v>46064</v>
      </c>
      <c r="L257" s="13" t="s">
        <v>2049</v>
      </c>
      <c r="M257" s="13" t="s">
        <v>4760</v>
      </c>
      <c r="N257" s="13" t="s">
        <v>4761</v>
      </c>
      <c r="O257" s="13" t="s">
        <v>4762</v>
      </c>
      <c r="P257" s="79" t="s">
        <v>235</v>
      </c>
      <c r="Q257" s="13" t="s">
        <v>618</v>
      </c>
      <c r="R257" s="246" t="str">
        <f>VLOOKUP(P257,'Dados das Regiões '!A:B,2,0)</f>
        <v>CORNÉLIO PROCÓPIO</v>
      </c>
      <c r="S257" s="13" t="s">
        <v>4763</v>
      </c>
      <c r="U257" s="79" t="s">
        <v>4764</v>
      </c>
      <c r="V257" s="13" t="s">
        <v>4764</v>
      </c>
      <c r="W257" s="13" t="s">
        <v>4765</v>
      </c>
      <c r="X257" s="15">
        <v>0.33333333333333331</v>
      </c>
      <c r="Y257" s="516">
        <v>0.41666666666666669</v>
      </c>
      <c r="Z257" s="16" t="s">
        <v>622</v>
      </c>
      <c r="AB257" s="164">
        <v>202500119</v>
      </c>
      <c r="AC257" s="55" t="s">
        <v>26</v>
      </c>
      <c r="AD257" s="40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</row>
    <row r="258" spans="1:44">
      <c r="A258" s="14">
        <v>45937</v>
      </c>
      <c r="B258" s="13" t="str">
        <f t="shared" si="209"/>
        <v>Realizada</v>
      </c>
      <c r="C258" s="14">
        <f t="shared" si="253"/>
        <v>46029</v>
      </c>
      <c r="D258" s="13" t="s">
        <v>611</v>
      </c>
      <c r="E258" s="14">
        <f t="shared" ref="E258" si="267">IF(C258="", "", EDATE(C258, 3))</f>
        <v>46119</v>
      </c>
      <c r="F258" s="13" t="s">
        <v>611</v>
      </c>
      <c r="G258" s="237">
        <v>202500521</v>
      </c>
      <c r="H258" s="22" t="s">
        <v>3171</v>
      </c>
      <c r="I258" s="190" t="s">
        <v>1192</v>
      </c>
      <c r="J258" s="200">
        <v>45880</v>
      </c>
      <c r="K258" s="200">
        <v>46239</v>
      </c>
      <c r="L258" s="190" t="s">
        <v>3172</v>
      </c>
      <c r="M258" s="190" t="s">
        <v>4766</v>
      </c>
      <c r="N258" s="13" t="s">
        <v>3173</v>
      </c>
      <c r="O258" s="17" t="s">
        <v>3174</v>
      </c>
      <c r="P258" s="188" t="s">
        <v>304</v>
      </c>
      <c r="Q258" s="13" t="s">
        <v>618</v>
      </c>
      <c r="R258" s="246" t="str">
        <f>VLOOKUP(P258,'Dados das Regiões '!A:B,2,0)</f>
        <v>IRATI</v>
      </c>
      <c r="S258" s="22" t="s">
        <v>4767</v>
      </c>
      <c r="U258" s="22" t="s">
        <v>3176</v>
      </c>
      <c r="V258" s="22" t="s">
        <v>3176</v>
      </c>
      <c r="W258" s="22" t="s">
        <v>3177</v>
      </c>
      <c r="X258" s="90">
        <v>0.5625</v>
      </c>
      <c r="Y258" s="515">
        <v>0.64583333333333337</v>
      </c>
      <c r="Z258" s="22" t="s">
        <v>3315</v>
      </c>
      <c r="AB258" s="164">
        <v>202500119</v>
      </c>
      <c r="AC258" s="55" t="s">
        <v>26</v>
      </c>
      <c r="AD258" s="40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</row>
    <row r="259" spans="1:44">
      <c r="B259" s="13" t="str">
        <f t="shared" si="209"/>
        <v>Pendente</v>
      </c>
      <c r="C259" s="14" t="str">
        <f t="shared" si="253"/>
        <v/>
      </c>
      <c r="D259" s="13" t="s">
        <v>611</v>
      </c>
      <c r="E259" s="14" t="str">
        <f t="shared" ref="E259" si="268">IF(C259="", "", EDATE(C259, 3))</f>
        <v/>
      </c>
      <c r="F259" s="13" t="s">
        <v>611</v>
      </c>
      <c r="G259" s="40">
        <v>202500119</v>
      </c>
      <c r="H259" s="13" t="s">
        <v>4768</v>
      </c>
      <c r="I259" s="13" t="s">
        <v>613</v>
      </c>
      <c r="J259" s="14">
        <v>45705</v>
      </c>
      <c r="K259" s="14">
        <v>46064</v>
      </c>
      <c r="L259" s="13" t="s">
        <v>4769</v>
      </c>
      <c r="M259" s="13" t="s">
        <v>4770</v>
      </c>
      <c r="N259" s="13" t="s">
        <v>4771</v>
      </c>
      <c r="O259" s="13" t="s">
        <v>4772</v>
      </c>
      <c r="P259" s="79" t="s">
        <v>396</v>
      </c>
      <c r="Q259" s="13" t="s">
        <v>618</v>
      </c>
      <c r="R259" s="246" t="str">
        <f>VLOOKUP(P259,'Dados das Regiões '!A:B,2,0)</f>
        <v>NOVA LONDRINA</v>
      </c>
      <c r="S259" s="13" t="s">
        <v>4773</v>
      </c>
      <c r="U259" s="79" t="s">
        <v>4774</v>
      </c>
      <c r="V259" s="13" t="s">
        <v>4774</v>
      </c>
      <c r="W259" s="13" t="s">
        <v>4775</v>
      </c>
      <c r="X259" s="15">
        <v>0.64583333333333337</v>
      </c>
      <c r="Y259" s="516">
        <v>0.5625</v>
      </c>
      <c r="Z259" s="16" t="s">
        <v>622</v>
      </c>
      <c r="AB259" s="164">
        <v>202500119</v>
      </c>
      <c r="AC259" s="55" t="s">
        <v>26</v>
      </c>
      <c r="AD259" s="40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</row>
    <row r="260" spans="1:44">
      <c r="A260" s="14">
        <v>45867</v>
      </c>
      <c r="B260" s="13" t="str">
        <f t="shared" si="209"/>
        <v>Realizada</v>
      </c>
      <c r="C260" s="14">
        <v>45988</v>
      </c>
      <c r="D260" s="13" t="s">
        <v>104</v>
      </c>
      <c r="E260" s="14">
        <f t="shared" ref="E260" si="269">IF(C260="", "", EDATE(C260, 3))</f>
        <v>46080</v>
      </c>
      <c r="F260" s="13" t="s">
        <v>611</v>
      </c>
      <c r="G260" s="40">
        <v>202500119</v>
      </c>
      <c r="H260" s="13" t="s">
        <v>4776</v>
      </c>
      <c r="I260" s="13" t="s">
        <v>613</v>
      </c>
      <c r="J260" s="14">
        <v>45705</v>
      </c>
      <c r="K260" s="14">
        <v>46064</v>
      </c>
      <c r="L260" s="13" t="s">
        <v>4777</v>
      </c>
      <c r="M260" s="13" t="s">
        <v>4778</v>
      </c>
      <c r="N260" s="13" t="s">
        <v>4779</v>
      </c>
      <c r="O260" s="13" t="s">
        <v>2204</v>
      </c>
      <c r="P260" s="79" t="s">
        <v>295</v>
      </c>
      <c r="Q260" s="13" t="s">
        <v>618</v>
      </c>
      <c r="R260" s="246" t="str">
        <f>VLOOKUP(P260,'Dados das Regiões '!A:B,2,0)</f>
        <v>GUARAPUAVA</v>
      </c>
      <c r="S260" s="13" t="s">
        <v>4780</v>
      </c>
      <c r="U260" s="79" t="s">
        <v>4781</v>
      </c>
      <c r="V260" s="13" t="s">
        <v>4782</v>
      </c>
      <c r="W260" s="13" t="s">
        <v>4783</v>
      </c>
      <c r="X260" s="15">
        <v>0.54166666666666663</v>
      </c>
      <c r="Y260" s="516">
        <v>0.625</v>
      </c>
      <c r="Z260" s="16" t="s">
        <v>622</v>
      </c>
      <c r="AA260" s="36" t="s">
        <v>4784</v>
      </c>
      <c r="AB260" s="164">
        <v>202500119</v>
      </c>
      <c r="AC260" s="55" t="s">
        <v>26</v>
      </c>
      <c r="AD260" s="40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</row>
    <row r="261" spans="1:44">
      <c r="A261" s="14">
        <v>45967</v>
      </c>
      <c r="B261" s="13" t="str">
        <f t="shared" ref="B261:B320" si="270">IF(ISBLANK(A261), "Pendente", "Realizada")</f>
        <v>Realizada</v>
      </c>
      <c r="C261" s="14">
        <f t="shared" si="253"/>
        <v>46059</v>
      </c>
      <c r="D261" s="13" t="s">
        <v>611</v>
      </c>
      <c r="E261" s="14">
        <f t="shared" ref="E261" si="271">IF(C261="", "", EDATE(C261, 3))</f>
        <v>46148</v>
      </c>
      <c r="F261" s="13" t="s">
        <v>611</v>
      </c>
      <c r="G261" s="40">
        <v>202500119</v>
      </c>
      <c r="H261" s="13" t="s">
        <v>4785</v>
      </c>
      <c r="I261" s="13" t="s">
        <v>613</v>
      </c>
      <c r="J261" s="14">
        <v>45705</v>
      </c>
      <c r="K261" s="14">
        <v>46064</v>
      </c>
      <c r="L261" s="13" t="s">
        <v>1801</v>
      </c>
      <c r="M261" s="13" t="s">
        <v>4786</v>
      </c>
      <c r="N261" s="13" t="s">
        <v>4787</v>
      </c>
      <c r="O261" s="13" t="s">
        <v>4218</v>
      </c>
      <c r="P261" s="79" t="s">
        <v>176</v>
      </c>
      <c r="Q261" s="13" t="s">
        <v>618</v>
      </c>
      <c r="R261" s="246" t="str">
        <f>VLOOKUP(P261,'Dados das Regiões '!A:B,2,0)</f>
        <v>CAMPO MOURÃO</v>
      </c>
      <c r="S261" s="13" t="s">
        <v>4788</v>
      </c>
      <c r="U261" s="79" t="s">
        <v>4789</v>
      </c>
      <c r="V261" s="13" t="s">
        <v>4789</v>
      </c>
      <c r="W261" s="13" t="s">
        <v>4790</v>
      </c>
      <c r="X261" s="15">
        <v>0.58333333333333337</v>
      </c>
      <c r="Y261" s="516">
        <v>0.66666666666666663</v>
      </c>
      <c r="Z261" s="16" t="s">
        <v>622</v>
      </c>
      <c r="AB261" s="164">
        <v>202500119</v>
      </c>
      <c r="AC261" s="55" t="s">
        <v>26</v>
      </c>
      <c r="AD261" s="40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</row>
    <row r="262" spans="1:44">
      <c r="A262" s="14">
        <v>45932</v>
      </c>
      <c r="B262" s="13" t="str">
        <f t="shared" si="270"/>
        <v>Realizada</v>
      </c>
      <c r="C262" s="14">
        <f t="shared" si="253"/>
        <v>46024</v>
      </c>
      <c r="D262" s="13" t="s">
        <v>611</v>
      </c>
      <c r="E262" s="14">
        <f t="shared" ref="E262" si="272">IF(C262="", "", EDATE(C262, 3))</f>
        <v>46114</v>
      </c>
      <c r="F262" s="13" t="s">
        <v>611</v>
      </c>
      <c r="G262" s="40">
        <v>202500121</v>
      </c>
      <c r="H262" s="13" t="s">
        <v>4791</v>
      </c>
      <c r="I262" s="13" t="s">
        <v>1192</v>
      </c>
      <c r="J262" s="14">
        <v>45705</v>
      </c>
      <c r="K262" s="14">
        <v>46064</v>
      </c>
      <c r="L262" s="13" t="s">
        <v>2374</v>
      </c>
      <c r="M262" s="13" t="s">
        <v>2402</v>
      </c>
      <c r="N262" s="13" t="s">
        <v>2403</v>
      </c>
      <c r="O262" s="13" t="s">
        <v>2404</v>
      </c>
      <c r="P262" s="79" t="s">
        <v>145</v>
      </c>
      <c r="Q262" s="13" t="s">
        <v>618</v>
      </c>
      <c r="R262" s="246" t="str">
        <f>VLOOKUP(P262,'Dados das Regiões '!A:B,2,0)</f>
        <v>CAMPO MOURÃO</v>
      </c>
      <c r="S262" s="13" t="s">
        <v>2386</v>
      </c>
      <c r="U262" s="79" t="s">
        <v>4509</v>
      </c>
      <c r="V262" s="13" t="s">
        <v>4792</v>
      </c>
      <c r="W262" s="13" t="s">
        <v>2380</v>
      </c>
      <c r="X262" s="15">
        <v>0.5625</v>
      </c>
      <c r="Y262" s="516">
        <v>0.64583333333333337</v>
      </c>
      <c r="Z262" s="16" t="s">
        <v>622</v>
      </c>
      <c r="AB262" s="164">
        <v>202500121</v>
      </c>
      <c r="AC262" s="55" t="s">
        <v>28</v>
      </c>
      <c r="AD262" s="40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</row>
    <row r="263" spans="1:44">
      <c r="B263" s="13" t="str">
        <f t="shared" si="270"/>
        <v>Pendente</v>
      </c>
      <c r="C263" s="14" t="str">
        <f t="shared" si="253"/>
        <v/>
      </c>
      <c r="D263" s="13" t="s">
        <v>611</v>
      </c>
      <c r="E263" s="14" t="str">
        <f t="shared" ref="E263" si="273">IF(C263="", "", EDATE(C263, 3))</f>
        <v/>
      </c>
      <c r="F263" s="13" t="s">
        <v>611</v>
      </c>
      <c r="G263" s="40">
        <v>202500132</v>
      </c>
      <c r="H263" s="13" t="s">
        <v>4793</v>
      </c>
      <c r="I263" s="13" t="s">
        <v>613</v>
      </c>
      <c r="J263" s="14">
        <v>45761</v>
      </c>
      <c r="K263" s="14">
        <v>46121</v>
      </c>
      <c r="L263" s="13" t="s">
        <v>672</v>
      </c>
      <c r="M263" s="13" t="s">
        <v>4794</v>
      </c>
      <c r="N263" s="13" t="s">
        <v>4795</v>
      </c>
      <c r="O263" s="17" t="s">
        <v>4796</v>
      </c>
      <c r="P263" s="79" t="s">
        <v>310</v>
      </c>
      <c r="Q263" s="13" t="s">
        <v>618</v>
      </c>
      <c r="R263" s="246" t="str">
        <f>VLOOKUP(P263,'Dados das Regiões '!A:B,2,0)</f>
        <v>IVAIPORÃ</v>
      </c>
      <c r="S263" s="13" t="s">
        <v>4797</v>
      </c>
      <c r="U263" s="79" t="s">
        <v>4798</v>
      </c>
      <c r="V263" s="13" t="s">
        <v>4799</v>
      </c>
      <c r="W263" s="13" t="s">
        <v>4800</v>
      </c>
      <c r="X263" s="15">
        <v>0.64583333333333337</v>
      </c>
      <c r="Y263" s="516">
        <v>0.5625</v>
      </c>
      <c r="Z263" s="16" t="s">
        <v>622</v>
      </c>
      <c r="AB263" s="164">
        <v>202500132</v>
      </c>
      <c r="AC263" s="55" t="s">
        <v>30</v>
      </c>
      <c r="AD263" s="40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</row>
    <row r="264" spans="1:44">
      <c r="B264" s="13" t="str">
        <f t="shared" si="270"/>
        <v>Pendente</v>
      </c>
      <c r="C264" s="14" t="str">
        <f t="shared" si="253"/>
        <v/>
      </c>
      <c r="D264" s="13" t="s">
        <v>611</v>
      </c>
      <c r="E264" s="14" t="str">
        <f t="shared" ref="E264" si="274">IF(C264="", "", EDATE(C264, 3))</f>
        <v/>
      </c>
      <c r="F264" s="13" t="s">
        <v>611</v>
      </c>
      <c r="G264" s="40">
        <v>202500132</v>
      </c>
      <c r="H264" s="13" t="s">
        <v>4801</v>
      </c>
      <c r="I264" s="13" t="s">
        <v>613</v>
      </c>
      <c r="J264" s="14">
        <v>45761</v>
      </c>
      <c r="K264" s="14">
        <v>46121</v>
      </c>
      <c r="L264" s="13" t="s">
        <v>672</v>
      </c>
      <c r="M264" s="13" t="s">
        <v>4794</v>
      </c>
      <c r="N264" s="13" t="s">
        <v>4795</v>
      </c>
      <c r="O264" s="17" t="s">
        <v>4796</v>
      </c>
      <c r="P264" s="79" t="s">
        <v>310</v>
      </c>
      <c r="Q264" s="13" t="s">
        <v>618</v>
      </c>
      <c r="R264" s="246" t="str">
        <f>VLOOKUP(P264,'Dados das Regiões '!A:B,2,0)</f>
        <v>IVAIPORÃ</v>
      </c>
      <c r="S264" s="13" t="s">
        <v>4797</v>
      </c>
      <c r="U264" s="79" t="s">
        <v>4798</v>
      </c>
      <c r="V264" s="13" t="s">
        <v>4799</v>
      </c>
      <c r="W264" s="13" t="s">
        <v>4800</v>
      </c>
      <c r="X264" s="15">
        <v>0.39583333333333331</v>
      </c>
      <c r="Y264" s="516">
        <v>0.3125</v>
      </c>
      <c r="Z264" s="16" t="s">
        <v>622</v>
      </c>
      <c r="AB264" s="164">
        <v>202500132</v>
      </c>
      <c r="AC264" s="55" t="s">
        <v>30</v>
      </c>
      <c r="AD264" s="40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</row>
    <row r="265" spans="1:44">
      <c r="B265" s="13" t="str">
        <f t="shared" si="270"/>
        <v>Pendente</v>
      </c>
      <c r="C265" s="14" t="str">
        <f t="shared" si="253"/>
        <v/>
      </c>
      <c r="D265" s="13" t="s">
        <v>611</v>
      </c>
      <c r="E265" s="14" t="str">
        <f t="shared" ref="E265" si="275">IF(C265="", "", EDATE(C265, 3))</f>
        <v/>
      </c>
      <c r="F265" s="13" t="s">
        <v>611</v>
      </c>
      <c r="G265" s="40">
        <v>202500132</v>
      </c>
      <c r="H265" s="13" t="s">
        <v>4802</v>
      </c>
      <c r="I265" s="13" t="s">
        <v>613</v>
      </c>
      <c r="J265" s="14">
        <v>45761</v>
      </c>
      <c r="K265" s="14">
        <v>46121</v>
      </c>
      <c r="L265" s="13" t="s">
        <v>632</v>
      </c>
      <c r="M265" s="13" t="s">
        <v>4803</v>
      </c>
      <c r="N265" s="13" t="s">
        <v>4804</v>
      </c>
      <c r="O265" s="17" t="s">
        <v>4805</v>
      </c>
      <c r="P265" s="79" t="s">
        <v>236</v>
      </c>
      <c r="Q265" s="13" t="s">
        <v>618</v>
      </c>
      <c r="R265" s="246" t="str">
        <f>VLOOKUP(P265,'Dados das Regiões '!A:B,2,0)</f>
        <v>CORNÉLIO PROCÓPIO</v>
      </c>
      <c r="S265" s="13" t="s">
        <v>4806</v>
      </c>
      <c r="V265" s="13" t="s">
        <v>4807</v>
      </c>
      <c r="W265" s="13" t="s">
        <v>4808</v>
      </c>
      <c r="X265" s="15">
        <v>0.5625</v>
      </c>
      <c r="Y265" s="516">
        <v>0.64583333333333337</v>
      </c>
      <c r="Z265" s="16" t="s">
        <v>622</v>
      </c>
      <c r="AB265" s="164">
        <v>202500132</v>
      </c>
      <c r="AC265" s="55" t="s">
        <v>30</v>
      </c>
      <c r="AD265" s="40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</row>
    <row r="266" spans="1:44">
      <c r="B266" s="13" t="str">
        <f t="shared" si="270"/>
        <v>Pendente</v>
      </c>
      <c r="C266" s="14" t="str">
        <f t="shared" si="253"/>
        <v/>
      </c>
      <c r="D266" s="13" t="s">
        <v>611</v>
      </c>
      <c r="E266" s="14" t="str">
        <f t="shared" ref="E266" si="276">IF(C266="", "", EDATE(C266, 3))</f>
        <v/>
      </c>
      <c r="F266" s="13" t="s">
        <v>611</v>
      </c>
      <c r="G266" s="40">
        <v>202500132</v>
      </c>
      <c r="H266" s="13" t="s">
        <v>4809</v>
      </c>
      <c r="I266" s="13" t="s">
        <v>613</v>
      </c>
      <c r="J266" s="14">
        <v>45761</v>
      </c>
      <c r="K266" s="14">
        <v>46121</v>
      </c>
      <c r="L266" s="13" t="s">
        <v>632</v>
      </c>
      <c r="M266" s="13" t="s">
        <v>4810</v>
      </c>
      <c r="N266" s="13" t="s">
        <v>4811</v>
      </c>
      <c r="O266" s="17" t="s">
        <v>4812</v>
      </c>
      <c r="P266" s="79" t="s">
        <v>325</v>
      </c>
      <c r="Q266" s="13" t="s">
        <v>618</v>
      </c>
      <c r="R266" s="246" t="str">
        <f>VLOOKUP(P266,'Dados das Regiões '!A:B,2,0)</f>
        <v>JACAREZINHO</v>
      </c>
      <c r="S266" s="13" t="s">
        <v>4813</v>
      </c>
      <c r="V266" s="13" t="s">
        <v>4814</v>
      </c>
      <c r="W266" s="13" t="s">
        <v>4815</v>
      </c>
      <c r="X266" s="15">
        <v>0.33333333333333331</v>
      </c>
      <c r="Y266" s="516">
        <v>0.41666666666666669</v>
      </c>
      <c r="Z266" s="16" t="s">
        <v>622</v>
      </c>
      <c r="AB266" s="164">
        <v>202500132</v>
      </c>
      <c r="AC266" s="55" t="s">
        <v>30</v>
      </c>
      <c r="AD266" s="40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</row>
    <row r="267" spans="1:44">
      <c r="B267" s="13" t="str">
        <f t="shared" si="270"/>
        <v>Pendente</v>
      </c>
      <c r="C267" s="14" t="str">
        <f t="shared" si="253"/>
        <v/>
      </c>
      <c r="D267" s="13" t="s">
        <v>611</v>
      </c>
      <c r="E267" s="14" t="str">
        <f t="shared" ref="E267" si="277">IF(C267="", "", EDATE(C267, 3))</f>
        <v/>
      </c>
      <c r="F267" s="13" t="s">
        <v>611</v>
      </c>
      <c r="G267" s="40">
        <v>202500132</v>
      </c>
      <c r="H267" s="13" t="s">
        <v>4816</v>
      </c>
      <c r="I267" s="13" t="s">
        <v>613</v>
      </c>
      <c r="J267" s="14">
        <v>45761</v>
      </c>
      <c r="K267" s="14">
        <v>46121</v>
      </c>
      <c r="L267" s="13" t="s">
        <v>632</v>
      </c>
      <c r="M267" s="13" t="s">
        <v>4817</v>
      </c>
      <c r="N267" s="13" t="s">
        <v>4818</v>
      </c>
      <c r="O267" s="17" t="s">
        <v>4819</v>
      </c>
      <c r="P267" s="79" t="s">
        <v>163</v>
      </c>
      <c r="Q267" s="13" t="s">
        <v>618</v>
      </c>
      <c r="R267" s="246" t="str">
        <f>VLOOKUP(P267,'Dados das Regiões '!A:B,2,0)</f>
        <v>CAMPO MOURÃO</v>
      </c>
      <c r="S267" s="13" t="s">
        <v>4820</v>
      </c>
      <c r="U267" s="79" t="s">
        <v>4821</v>
      </c>
      <c r="V267" s="13" t="s">
        <v>4822</v>
      </c>
      <c r="W267" s="13" t="s">
        <v>4823</v>
      </c>
      <c r="X267" s="15">
        <v>0.5625</v>
      </c>
      <c r="Y267" s="516">
        <v>0.64583333333333337</v>
      </c>
      <c r="Z267" s="16" t="s">
        <v>622</v>
      </c>
      <c r="AB267" s="164">
        <v>202500132</v>
      </c>
      <c r="AC267" s="55" t="s">
        <v>30</v>
      </c>
      <c r="AD267" s="40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</row>
    <row r="268" spans="1:44">
      <c r="A268" s="14">
        <v>45967</v>
      </c>
      <c r="B268" s="13" t="str">
        <f t="shared" si="270"/>
        <v>Realizada</v>
      </c>
      <c r="C268" s="14">
        <f t="shared" si="253"/>
        <v>46059</v>
      </c>
      <c r="D268" s="13" t="s">
        <v>611</v>
      </c>
      <c r="E268" s="14">
        <f t="shared" ref="E268" si="278">IF(C268="", "", EDATE(C268, 3))</f>
        <v>46148</v>
      </c>
      <c r="F268" s="13" t="s">
        <v>611</v>
      </c>
      <c r="G268" s="40">
        <v>202500132</v>
      </c>
      <c r="H268" s="13" t="s">
        <v>4824</v>
      </c>
      <c r="I268" s="13" t="s">
        <v>613</v>
      </c>
      <c r="J268" s="14">
        <v>45761</v>
      </c>
      <c r="K268" s="14">
        <v>46121</v>
      </c>
      <c r="L268" s="13" t="s">
        <v>672</v>
      </c>
      <c r="M268" s="13" t="s">
        <v>1484</v>
      </c>
      <c r="N268" s="13" t="s">
        <v>1485</v>
      </c>
      <c r="O268" s="13" t="s">
        <v>1486</v>
      </c>
      <c r="P268" s="79" t="s">
        <v>169</v>
      </c>
      <c r="Q268" s="13" t="s">
        <v>618</v>
      </c>
      <c r="R268" s="246" t="str">
        <f>VLOOKUP(P268,'Dados das Regiões '!A:B,2,0)</f>
        <v>CAMPO MOURÃO</v>
      </c>
      <c r="S268" s="13" t="s">
        <v>4164</v>
      </c>
      <c r="U268" s="79" t="s">
        <v>1488</v>
      </c>
      <c r="V268" s="13" t="s">
        <v>4825</v>
      </c>
      <c r="W268" s="13" t="s">
        <v>4166</v>
      </c>
      <c r="X268" s="15">
        <v>0.3125</v>
      </c>
      <c r="Y268" s="516">
        <v>0.39583333333333331</v>
      </c>
      <c r="Z268" s="16" t="s">
        <v>622</v>
      </c>
      <c r="AB268" s="164">
        <v>202500132</v>
      </c>
      <c r="AC268" s="55" t="s">
        <v>30</v>
      </c>
      <c r="AD268" s="40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</row>
    <row r="269" spans="1:44">
      <c r="A269" s="14">
        <v>45888</v>
      </c>
      <c r="B269" s="13" t="str">
        <f t="shared" si="270"/>
        <v>Realizada</v>
      </c>
      <c r="C269" s="14">
        <v>45965</v>
      </c>
      <c r="D269" s="13" t="s">
        <v>611</v>
      </c>
      <c r="E269" s="14">
        <f t="shared" ref="E269" si="279">IF(C269="", "", EDATE(C269, 3))</f>
        <v>46057</v>
      </c>
      <c r="F269" s="13" t="s">
        <v>611</v>
      </c>
      <c r="G269" s="40">
        <v>202500132</v>
      </c>
      <c r="H269" s="13" t="s">
        <v>4826</v>
      </c>
      <c r="I269" s="13" t="s">
        <v>613</v>
      </c>
      <c r="J269" s="14">
        <v>45761</v>
      </c>
      <c r="K269" s="14">
        <v>46121</v>
      </c>
      <c r="L269" s="13" t="s">
        <v>672</v>
      </c>
      <c r="M269" s="13" t="s">
        <v>1529</v>
      </c>
      <c r="N269" s="17" t="s">
        <v>1530</v>
      </c>
      <c r="O269" s="17" t="s">
        <v>1531</v>
      </c>
      <c r="P269" s="79" t="s">
        <v>287</v>
      </c>
      <c r="Q269" s="13" t="s">
        <v>618</v>
      </c>
      <c r="R269" s="246" t="str">
        <f>VLOOKUP(P269,'Dados das Regiões '!A:B,2,0)</f>
        <v>GUARAPUAVA</v>
      </c>
      <c r="S269" s="13" t="s">
        <v>1532</v>
      </c>
      <c r="V269" s="13" t="s">
        <v>1533</v>
      </c>
      <c r="W269" s="13" t="s">
        <v>1534</v>
      </c>
      <c r="X269" s="15">
        <v>0.39583333333333331</v>
      </c>
      <c r="Y269" s="516">
        <v>0.3125</v>
      </c>
      <c r="Z269" s="16" t="s">
        <v>622</v>
      </c>
      <c r="AA269" s="36" t="s">
        <v>4327</v>
      </c>
      <c r="AB269" s="164">
        <v>202500132</v>
      </c>
      <c r="AC269" s="55" t="s">
        <v>30</v>
      </c>
      <c r="AD269" s="40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</row>
    <row r="270" spans="1:44">
      <c r="B270" s="13" t="str">
        <f t="shared" si="270"/>
        <v>Pendente</v>
      </c>
      <c r="C270" s="14" t="str">
        <f t="shared" si="253"/>
        <v/>
      </c>
      <c r="D270" s="13" t="s">
        <v>611</v>
      </c>
      <c r="E270" s="14" t="str">
        <f t="shared" ref="E270" si="280">IF(C270="", "", EDATE(C270, 3))</f>
        <v/>
      </c>
      <c r="F270" s="13" t="s">
        <v>611</v>
      </c>
      <c r="G270" s="40">
        <v>202500132</v>
      </c>
      <c r="H270" s="13" t="s">
        <v>4827</v>
      </c>
      <c r="I270" s="13" t="s">
        <v>613</v>
      </c>
      <c r="J270" s="14">
        <v>45761</v>
      </c>
      <c r="K270" s="14">
        <v>46121</v>
      </c>
      <c r="L270" s="13" t="s">
        <v>632</v>
      </c>
      <c r="M270" s="13" t="s">
        <v>4828</v>
      </c>
      <c r="N270" s="13" t="s">
        <v>4829</v>
      </c>
      <c r="O270" s="17" t="s">
        <v>4830</v>
      </c>
      <c r="P270" s="79" t="s">
        <v>341</v>
      </c>
      <c r="Q270" s="13" t="s">
        <v>618</v>
      </c>
      <c r="R270" s="246" t="str">
        <f>VLOOKUP(P270,'Dados das Regiões '!A:B,2,0)</f>
        <v>LONDRINA CENTRO</v>
      </c>
      <c r="S270" s="13" t="s">
        <v>4831</v>
      </c>
      <c r="U270" s="79" t="s">
        <v>4832</v>
      </c>
      <c r="V270" s="13" t="s">
        <v>4833</v>
      </c>
      <c r="W270" s="13" t="s">
        <v>4834</v>
      </c>
      <c r="X270" s="15">
        <v>0.33333333333333331</v>
      </c>
      <c r="Y270" s="516">
        <v>0.41666666666666669</v>
      </c>
      <c r="Z270" s="16" t="s">
        <v>622</v>
      </c>
      <c r="AB270" s="164">
        <v>202500132</v>
      </c>
      <c r="AC270" s="55" t="s">
        <v>30</v>
      </c>
      <c r="AD270" s="40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</row>
    <row r="271" spans="1:44">
      <c r="B271" s="13" t="str">
        <f t="shared" si="270"/>
        <v>Pendente</v>
      </c>
      <c r="C271" s="14" t="str">
        <f t="shared" si="253"/>
        <v/>
      </c>
      <c r="D271" s="13" t="s">
        <v>611</v>
      </c>
      <c r="E271" s="14" t="str">
        <f t="shared" ref="E271" si="281">IF(C271="", "", EDATE(C271, 3))</f>
        <v/>
      </c>
      <c r="F271" s="13" t="s">
        <v>611</v>
      </c>
      <c r="G271" s="40">
        <v>202500132</v>
      </c>
      <c r="H271" s="13" t="s">
        <v>4835</v>
      </c>
      <c r="I271" s="13" t="s">
        <v>613</v>
      </c>
      <c r="J271" s="14">
        <v>45761</v>
      </c>
      <c r="K271" s="14">
        <v>46121</v>
      </c>
      <c r="L271" s="13" t="s">
        <v>672</v>
      </c>
      <c r="M271" s="13" t="s">
        <v>4152</v>
      </c>
      <c r="N271" s="13" t="s">
        <v>4153</v>
      </c>
      <c r="O271" s="13" t="s">
        <v>2213</v>
      </c>
      <c r="P271" s="79" t="s">
        <v>317</v>
      </c>
      <c r="Q271" s="13" t="s">
        <v>618</v>
      </c>
      <c r="R271" s="246" t="str">
        <f>VLOOKUP(P271,'Dados das Regiões '!A:B,2,0)</f>
        <v>IVAIPORÃ</v>
      </c>
      <c r="S271" s="13" t="s">
        <v>4836</v>
      </c>
      <c r="U271" s="79" t="s">
        <v>991</v>
      </c>
      <c r="V271" s="13" t="s">
        <v>4154</v>
      </c>
      <c r="W271" s="13" t="s">
        <v>993</v>
      </c>
      <c r="X271" s="15">
        <v>0.3125</v>
      </c>
      <c r="Y271" s="516">
        <v>0.39583333333333331</v>
      </c>
      <c r="Z271" s="16" t="s">
        <v>622</v>
      </c>
      <c r="AB271" s="164">
        <v>202500132</v>
      </c>
      <c r="AC271" s="55" t="s">
        <v>30</v>
      </c>
      <c r="AD271" s="40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</row>
    <row r="272" spans="1:44">
      <c r="A272" s="14">
        <v>45904</v>
      </c>
      <c r="B272" s="13" t="str">
        <f t="shared" si="270"/>
        <v>Realizada</v>
      </c>
      <c r="C272" s="14">
        <f t="shared" si="253"/>
        <v>45995</v>
      </c>
      <c r="D272" s="13" t="s">
        <v>611</v>
      </c>
      <c r="E272" s="14">
        <f t="shared" ref="E272" si="282">IF(C272="", "", EDATE(C272, 3))</f>
        <v>46085</v>
      </c>
      <c r="F272" s="13" t="s">
        <v>611</v>
      </c>
      <c r="G272" s="40">
        <v>202500132</v>
      </c>
      <c r="H272" s="13" t="s">
        <v>4837</v>
      </c>
      <c r="I272" s="13" t="s">
        <v>613</v>
      </c>
      <c r="J272" s="14">
        <v>45761</v>
      </c>
      <c r="K272" s="14">
        <v>46121</v>
      </c>
      <c r="L272" s="13" t="s">
        <v>672</v>
      </c>
      <c r="M272" s="13" t="s">
        <v>4838</v>
      </c>
      <c r="N272" s="13" t="s">
        <v>4839</v>
      </c>
      <c r="O272" s="17" t="s">
        <v>4840</v>
      </c>
      <c r="P272" s="79" t="s">
        <v>289</v>
      </c>
      <c r="Q272" s="13" t="s">
        <v>618</v>
      </c>
      <c r="R272" s="246" t="str">
        <f>VLOOKUP(P272,'Dados das Regiões '!A:B,2,0)</f>
        <v>GUARAPUAVA</v>
      </c>
      <c r="S272" s="13" t="s">
        <v>4841</v>
      </c>
      <c r="U272" s="79" t="s">
        <v>4842</v>
      </c>
      <c r="V272" s="13" t="s">
        <v>4843</v>
      </c>
      <c r="W272" s="13" t="s">
        <v>4844</v>
      </c>
      <c r="X272" s="15">
        <v>0.3125</v>
      </c>
      <c r="Y272" s="516">
        <v>0.39583333333333331</v>
      </c>
      <c r="Z272" s="16" t="s">
        <v>622</v>
      </c>
      <c r="AB272" s="164">
        <v>202500132</v>
      </c>
      <c r="AC272" s="55" t="s">
        <v>30</v>
      </c>
      <c r="AD272" s="40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</row>
    <row r="273" spans="1:44">
      <c r="B273" s="13" t="str">
        <f t="shared" si="270"/>
        <v>Pendente</v>
      </c>
      <c r="C273" s="14" t="str">
        <f t="shared" si="253"/>
        <v/>
      </c>
      <c r="D273" s="13" t="s">
        <v>611</v>
      </c>
      <c r="E273" s="14" t="str">
        <f t="shared" ref="E273" si="283">IF(C273="", "", EDATE(C273, 3))</f>
        <v/>
      </c>
      <c r="F273" s="13" t="s">
        <v>611</v>
      </c>
      <c r="G273" s="40">
        <v>202500132</v>
      </c>
      <c r="H273" s="13" t="s">
        <v>4845</v>
      </c>
      <c r="I273" s="13" t="s">
        <v>613</v>
      </c>
      <c r="J273" s="14">
        <v>45761</v>
      </c>
      <c r="K273" s="14">
        <v>46121</v>
      </c>
      <c r="L273" s="13" t="s">
        <v>672</v>
      </c>
      <c r="M273" s="13" t="s">
        <v>4152</v>
      </c>
      <c r="N273" s="13" t="s">
        <v>4153</v>
      </c>
      <c r="O273" s="13" t="s">
        <v>2213</v>
      </c>
      <c r="P273" s="79" t="s">
        <v>317</v>
      </c>
      <c r="Q273" s="13" t="s">
        <v>618</v>
      </c>
      <c r="R273" s="246" t="str">
        <f>VLOOKUP(P273,'Dados das Regiões '!A:B,2,0)</f>
        <v>IVAIPORÃ</v>
      </c>
      <c r="S273" s="13" t="s">
        <v>4836</v>
      </c>
      <c r="U273" s="79" t="s">
        <v>991</v>
      </c>
      <c r="V273" s="13" t="s">
        <v>4154</v>
      </c>
      <c r="W273" s="13" t="s">
        <v>993</v>
      </c>
      <c r="X273" s="15">
        <v>0.3125</v>
      </c>
      <c r="Y273" s="516">
        <v>0.39583333333333331</v>
      </c>
      <c r="Z273" s="16" t="s">
        <v>622</v>
      </c>
      <c r="AB273" s="164">
        <v>202500132</v>
      </c>
      <c r="AC273" s="55" t="s">
        <v>30</v>
      </c>
      <c r="AD273" s="40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</row>
    <row r="274" spans="1:44">
      <c r="B274" s="13" t="str">
        <f t="shared" si="270"/>
        <v>Pendente</v>
      </c>
      <c r="C274" s="14" t="str">
        <f t="shared" si="253"/>
        <v/>
      </c>
      <c r="D274" s="13" t="s">
        <v>611</v>
      </c>
      <c r="E274" s="14" t="str">
        <f t="shared" ref="E274" si="284">IF(C274="", "", EDATE(C274, 3))</f>
        <v/>
      </c>
      <c r="F274" s="13" t="s">
        <v>611</v>
      </c>
      <c r="G274" s="40">
        <v>202500132</v>
      </c>
      <c r="H274" s="13" t="s">
        <v>4846</v>
      </c>
      <c r="I274" s="13" t="s">
        <v>613</v>
      </c>
      <c r="J274" s="14">
        <v>45761</v>
      </c>
      <c r="K274" s="14">
        <v>46121</v>
      </c>
      <c r="L274" s="13" t="s">
        <v>672</v>
      </c>
      <c r="M274" s="13" t="s">
        <v>4847</v>
      </c>
      <c r="N274" s="13" t="s">
        <v>4848</v>
      </c>
      <c r="O274" s="17" t="s">
        <v>4849</v>
      </c>
      <c r="P274" s="79" t="s">
        <v>318</v>
      </c>
      <c r="Q274" s="13" t="s">
        <v>618</v>
      </c>
      <c r="R274" s="246" t="str">
        <f>VLOOKUP(P274,'Dados das Regiões '!A:B,2,0)</f>
        <v>IVAIPORÃ</v>
      </c>
      <c r="S274" s="13" t="s">
        <v>4850</v>
      </c>
      <c r="U274" s="79" t="s">
        <v>4851</v>
      </c>
      <c r="V274" s="13" t="s">
        <v>4852</v>
      </c>
      <c r="W274" s="13" t="s">
        <v>4853</v>
      </c>
      <c r="X274" s="15">
        <v>0.5625</v>
      </c>
      <c r="Y274" s="516">
        <v>0.64583333333333337</v>
      </c>
      <c r="Z274" s="16" t="s">
        <v>622</v>
      </c>
      <c r="AB274" s="164">
        <v>202500132</v>
      </c>
      <c r="AC274" s="55" t="s">
        <v>30</v>
      </c>
      <c r="AD274" s="40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</row>
    <row r="275" spans="1:44">
      <c r="B275" s="13" t="str">
        <f t="shared" si="270"/>
        <v>Pendente</v>
      </c>
      <c r="C275" s="14" t="str">
        <f t="shared" si="253"/>
        <v/>
      </c>
      <c r="D275" s="13" t="s">
        <v>611</v>
      </c>
      <c r="E275" s="14" t="str">
        <f t="shared" ref="E275" si="285">IF(C275="", "", EDATE(C275, 3))</f>
        <v/>
      </c>
      <c r="F275" s="13" t="s">
        <v>611</v>
      </c>
      <c r="G275" s="40">
        <v>202500132</v>
      </c>
      <c r="H275" s="13" t="s">
        <v>4854</v>
      </c>
      <c r="I275" s="13" t="s">
        <v>613</v>
      </c>
      <c r="J275" s="14">
        <v>45761</v>
      </c>
      <c r="K275" s="14">
        <v>46121</v>
      </c>
      <c r="L275" s="13" t="s">
        <v>672</v>
      </c>
      <c r="M275" s="13" t="s">
        <v>1520</v>
      </c>
      <c r="N275" s="13" t="s">
        <v>1521</v>
      </c>
      <c r="O275" s="17" t="s">
        <v>1522</v>
      </c>
      <c r="P275" s="79" t="s">
        <v>178</v>
      </c>
      <c r="Q275" s="13" t="s">
        <v>618</v>
      </c>
      <c r="R275" s="246" t="str">
        <f>VLOOKUP(P275,'Dados das Regiões '!A:B,2,0)</f>
        <v>CASCAVEL</v>
      </c>
      <c r="S275" s="13" t="s">
        <v>4855</v>
      </c>
      <c r="U275" s="79" t="s">
        <v>1524</v>
      </c>
      <c r="V275" s="13" t="s">
        <v>1525</v>
      </c>
      <c r="W275" s="13" t="s">
        <v>1526</v>
      </c>
      <c r="X275" s="15">
        <v>0.5625</v>
      </c>
      <c r="Y275" s="516">
        <v>0.64583333333333337</v>
      </c>
      <c r="Z275" s="16" t="s">
        <v>622</v>
      </c>
      <c r="AB275" s="164">
        <v>202500132</v>
      </c>
      <c r="AC275" s="55" t="s">
        <v>30</v>
      </c>
      <c r="AD275" s="40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</row>
    <row r="276" spans="1:44">
      <c r="B276" s="13" t="str">
        <f t="shared" si="270"/>
        <v>Pendente</v>
      </c>
      <c r="C276" s="14" t="str">
        <f t="shared" si="253"/>
        <v/>
      </c>
      <c r="D276" s="13" t="s">
        <v>611</v>
      </c>
      <c r="E276" s="14" t="str">
        <f t="shared" ref="E276" si="286">IF(C276="", "", EDATE(C276, 3))</f>
        <v/>
      </c>
      <c r="F276" s="13" t="s">
        <v>611</v>
      </c>
      <c r="G276" s="40">
        <v>202500132</v>
      </c>
      <c r="H276" s="13" t="s">
        <v>4856</v>
      </c>
      <c r="I276" s="13" t="s">
        <v>613</v>
      </c>
      <c r="J276" s="14">
        <v>45761</v>
      </c>
      <c r="K276" s="14">
        <v>46121</v>
      </c>
      <c r="L276" s="13" t="s">
        <v>632</v>
      </c>
      <c r="M276" s="13" t="s">
        <v>1672</v>
      </c>
      <c r="N276" s="13" t="s">
        <v>1673</v>
      </c>
      <c r="O276" s="17" t="s">
        <v>1674</v>
      </c>
      <c r="P276" s="79" t="s">
        <v>360</v>
      </c>
      <c r="Q276" s="13" t="s">
        <v>618</v>
      </c>
      <c r="R276" s="246" t="str">
        <f>VLOOKUP(P276,'Dados das Regiões '!A:B,2,0)</f>
        <v>MARINGÁ</v>
      </c>
      <c r="S276" s="13" t="s">
        <v>4857</v>
      </c>
      <c r="V276" s="13" t="s">
        <v>1677</v>
      </c>
      <c r="W276" s="13" t="s">
        <v>1678</v>
      </c>
      <c r="X276" s="15">
        <v>0.5625</v>
      </c>
      <c r="Y276" s="516">
        <v>0.64583333333333337</v>
      </c>
      <c r="Z276" s="16" t="s">
        <v>622</v>
      </c>
      <c r="AB276" s="164">
        <v>202500132</v>
      </c>
      <c r="AC276" s="55" t="s">
        <v>30</v>
      </c>
      <c r="AD276" s="40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</row>
    <row r="277" spans="1:44">
      <c r="B277" s="13" t="str">
        <f t="shared" si="270"/>
        <v>Pendente</v>
      </c>
      <c r="C277" s="14" t="str">
        <f t="shared" si="253"/>
        <v/>
      </c>
      <c r="D277" s="13" t="s">
        <v>611</v>
      </c>
      <c r="E277" s="14" t="str">
        <f t="shared" ref="E277" si="287">IF(C277="", "", EDATE(C277, 3))</f>
        <v/>
      </c>
      <c r="F277" s="13" t="s">
        <v>611</v>
      </c>
      <c r="G277" s="40">
        <v>202500132</v>
      </c>
      <c r="H277" s="13" t="s">
        <v>4858</v>
      </c>
      <c r="I277" s="13" t="s">
        <v>613</v>
      </c>
      <c r="J277" s="14">
        <v>45761</v>
      </c>
      <c r="K277" s="14">
        <v>46121</v>
      </c>
      <c r="L277" s="13" t="s">
        <v>672</v>
      </c>
      <c r="M277" s="13" t="s">
        <v>4666</v>
      </c>
      <c r="N277" s="13" t="s">
        <v>4667</v>
      </c>
      <c r="O277" s="13" t="s">
        <v>4668</v>
      </c>
      <c r="P277" s="79" t="s">
        <v>485</v>
      </c>
      <c r="Q277" s="13" t="s">
        <v>618</v>
      </c>
      <c r="R277" s="246" t="str">
        <f>VLOOKUP(P277,'Dados das Regiões '!A:B,2,0)</f>
        <v>UMUARAMA</v>
      </c>
      <c r="S277" s="519" t="s">
        <v>4669</v>
      </c>
      <c r="U277" s="519" t="s">
        <v>4670</v>
      </c>
      <c r="V277" s="519" t="s">
        <v>4671</v>
      </c>
      <c r="W277" s="35" t="s">
        <v>4859</v>
      </c>
      <c r="X277" s="15">
        <v>0.5625</v>
      </c>
      <c r="Y277" s="516">
        <v>0.64583333333333337</v>
      </c>
      <c r="Z277" s="16" t="s">
        <v>622</v>
      </c>
      <c r="AB277" s="164">
        <v>202500132</v>
      </c>
      <c r="AC277" s="55" t="s">
        <v>30</v>
      </c>
      <c r="AD277" s="40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</row>
    <row r="278" spans="1:44">
      <c r="B278" s="13" t="str">
        <f t="shared" si="270"/>
        <v>Pendente</v>
      </c>
      <c r="C278" s="14" t="str">
        <f t="shared" si="253"/>
        <v/>
      </c>
      <c r="D278" s="13" t="s">
        <v>611</v>
      </c>
      <c r="E278" s="14" t="str">
        <f t="shared" ref="E278" si="288">IF(C278="", "", EDATE(C278, 3))</f>
        <v/>
      </c>
      <c r="F278" s="13" t="s">
        <v>611</v>
      </c>
      <c r="G278" s="40">
        <v>202500132</v>
      </c>
      <c r="H278" s="13" t="s">
        <v>4860</v>
      </c>
      <c r="I278" s="13" t="s">
        <v>613</v>
      </c>
      <c r="J278" s="14">
        <v>45761</v>
      </c>
      <c r="K278" s="14">
        <v>46121</v>
      </c>
      <c r="L278" s="13" t="s">
        <v>672</v>
      </c>
      <c r="M278" s="13" t="s">
        <v>1512</v>
      </c>
      <c r="N278" s="13" t="s">
        <v>1513</v>
      </c>
      <c r="O278" s="17" t="s">
        <v>1514</v>
      </c>
      <c r="P278" s="79" t="s">
        <v>407</v>
      </c>
      <c r="Q278" s="13" t="s">
        <v>618</v>
      </c>
      <c r="R278" s="246" t="str">
        <f>VLOOKUP(P278,'Dados das Regiões '!A:B,2,0)</f>
        <v>PALMAS</v>
      </c>
      <c r="S278" s="13" t="s">
        <v>1515</v>
      </c>
      <c r="U278" s="79" t="s">
        <v>1516</v>
      </c>
      <c r="V278" s="13" t="s">
        <v>1517</v>
      </c>
      <c r="W278" s="13" t="s">
        <v>1518</v>
      </c>
      <c r="X278" s="15">
        <v>0.3125</v>
      </c>
      <c r="Y278" s="516">
        <v>0.39583333333333331</v>
      </c>
      <c r="Z278" s="16" t="s">
        <v>622</v>
      </c>
      <c r="AB278" s="164">
        <v>202500132</v>
      </c>
      <c r="AC278" s="55" t="s">
        <v>30</v>
      </c>
      <c r="AD278" s="40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</row>
    <row r="279" spans="1:44">
      <c r="B279" s="13" t="str">
        <f t="shared" si="270"/>
        <v>Pendente</v>
      </c>
      <c r="C279" s="14" t="str">
        <f t="shared" si="253"/>
        <v/>
      </c>
      <c r="D279" s="13" t="s">
        <v>611</v>
      </c>
      <c r="E279" s="14" t="str">
        <f t="shared" ref="E279" si="289">IF(C279="", "", EDATE(C279, 3))</f>
        <v/>
      </c>
      <c r="F279" s="13" t="s">
        <v>611</v>
      </c>
      <c r="G279" s="40">
        <v>202500132</v>
      </c>
      <c r="H279" s="13" t="s">
        <v>4861</v>
      </c>
      <c r="I279" s="13" t="s">
        <v>613</v>
      </c>
      <c r="J279" s="14">
        <v>45761</v>
      </c>
      <c r="K279" s="14">
        <v>46121</v>
      </c>
      <c r="L279" s="13" t="s">
        <v>632</v>
      </c>
      <c r="M279" s="13" t="s">
        <v>4862</v>
      </c>
      <c r="N279" s="13" t="s">
        <v>4863</v>
      </c>
      <c r="O279" s="17" t="s">
        <v>4864</v>
      </c>
      <c r="P279" s="79" t="s">
        <v>217</v>
      </c>
      <c r="Q279" s="13" t="s">
        <v>618</v>
      </c>
      <c r="R279" s="246" t="str">
        <f>VLOOKUP(P279,'Dados das Regiões '!A:B,2,0)</f>
        <v>CORNÉLIO PROCÓPIO</v>
      </c>
      <c r="S279" s="13" t="s">
        <v>4865</v>
      </c>
      <c r="V279" s="13" t="s">
        <v>4866</v>
      </c>
      <c r="W279" s="13" t="s">
        <v>4867</v>
      </c>
      <c r="X279" s="15">
        <v>0.5625</v>
      </c>
      <c r="Y279" s="516">
        <v>0.64583333333333337</v>
      </c>
      <c r="Z279" s="16" t="s">
        <v>622</v>
      </c>
      <c r="AB279" s="164">
        <v>202500132</v>
      </c>
      <c r="AC279" s="55" t="s">
        <v>30</v>
      </c>
      <c r="AD279" s="40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</row>
    <row r="280" spans="1:44">
      <c r="B280" s="13" t="str">
        <f t="shared" si="270"/>
        <v>Pendente</v>
      </c>
      <c r="C280" s="14" t="str">
        <f t="shared" si="253"/>
        <v/>
      </c>
      <c r="D280" s="13" t="s">
        <v>611</v>
      </c>
      <c r="E280" s="14" t="str">
        <f t="shared" ref="E280" si="290">IF(C280="", "", EDATE(C280, 3))</f>
        <v/>
      </c>
      <c r="F280" s="13" t="s">
        <v>611</v>
      </c>
      <c r="G280" s="40">
        <v>202500132</v>
      </c>
      <c r="H280" s="13" t="s">
        <v>4868</v>
      </c>
      <c r="I280" s="13" t="s">
        <v>613</v>
      </c>
      <c r="J280" s="14">
        <v>45761</v>
      </c>
      <c r="K280" s="14">
        <v>46121</v>
      </c>
      <c r="L280" s="13" t="s">
        <v>632</v>
      </c>
      <c r="M280" s="13" t="s">
        <v>963</v>
      </c>
      <c r="N280" s="13" t="s">
        <v>1673</v>
      </c>
      <c r="O280" s="17" t="s">
        <v>1674</v>
      </c>
      <c r="P280" s="79" t="s">
        <v>365</v>
      </c>
      <c r="Q280" s="13" t="s">
        <v>618</v>
      </c>
      <c r="R280" s="246" t="str">
        <f>VLOOKUP(P280,'Dados das Regiões '!A:B,2,0)</f>
        <v>MARINGÁ</v>
      </c>
      <c r="S280" s="13" t="s">
        <v>4869</v>
      </c>
      <c r="U280" s="79" t="s">
        <v>4870</v>
      </c>
      <c r="V280" s="13" t="s">
        <v>4871</v>
      </c>
      <c r="W280" s="13" t="s">
        <v>4872</v>
      </c>
      <c r="X280" s="15">
        <v>0.5625</v>
      </c>
      <c r="Y280" s="516">
        <v>0.64583333333333337</v>
      </c>
      <c r="Z280" s="16" t="s">
        <v>622</v>
      </c>
      <c r="AB280" s="164">
        <v>202500132</v>
      </c>
      <c r="AC280" s="55" t="s">
        <v>30</v>
      </c>
      <c r="AD280" s="40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</row>
    <row r="281" spans="1:44">
      <c r="B281" s="13" t="str">
        <f t="shared" si="270"/>
        <v>Pendente</v>
      </c>
      <c r="C281" s="14" t="str">
        <f t="shared" si="253"/>
        <v/>
      </c>
      <c r="D281" s="13" t="s">
        <v>611</v>
      </c>
      <c r="E281" s="14" t="str">
        <f t="shared" ref="E281" si="291">IF(C281="", "", EDATE(C281, 3))</f>
        <v/>
      </c>
      <c r="F281" s="13" t="s">
        <v>611</v>
      </c>
      <c r="G281" s="40">
        <v>202500132</v>
      </c>
      <c r="H281" s="13" t="s">
        <v>4873</v>
      </c>
      <c r="I281" s="13" t="s">
        <v>613</v>
      </c>
      <c r="J281" s="14">
        <v>45761</v>
      </c>
      <c r="K281" s="14">
        <v>46121</v>
      </c>
      <c r="L281" s="13" t="s">
        <v>632</v>
      </c>
      <c r="M281" s="13" t="s">
        <v>4874</v>
      </c>
      <c r="N281" s="13" t="s">
        <v>1793</v>
      </c>
      <c r="O281" s="17" t="s">
        <v>4875</v>
      </c>
      <c r="P281" s="79" t="s">
        <v>381</v>
      </c>
      <c r="Q281" s="13" t="s">
        <v>618</v>
      </c>
      <c r="R281" s="246" t="str">
        <f>VLOOKUP(P281,'Dados das Regiões '!A:B,2,0)</f>
        <v>MARINGÁ</v>
      </c>
      <c r="S281" s="13" t="s">
        <v>4876</v>
      </c>
      <c r="V281" s="13" t="s">
        <v>4877</v>
      </c>
      <c r="W281" s="13" t="s">
        <v>4878</v>
      </c>
      <c r="X281" s="15">
        <v>0.33333333333333331</v>
      </c>
      <c r="Y281" s="516">
        <v>0.41666666666666669</v>
      </c>
      <c r="Z281" s="16" t="s">
        <v>622</v>
      </c>
      <c r="AB281" s="164">
        <v>202500132</v>
      </c>
      <c r="AC281" s="55" t="s">
        <v>30</v>
      </c>
      <c r="AD281" s="40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</row>
    <row r="282" spans="1:44">
      <c r="B282" s="13" t="str">
        <f t="shared" si="270"/>
        <v>Pendente</v>
      </c>
      <c r="C282" s="14" t="str">
        <f t="shared" si="253"/>
        <v/>
      </c>
      <c r="D282" s="13" t="s">
        <v>611</v>
      </c>
      <c r="E282" s="14" t="str">
        <f t="shared" ref="E282" si="292">IF(C282="", "", EDATE(C282, 3))</f>
        <v/>
      </c>
      <c r="F282" s="13" t="s">
        <v>611</v>
      </c>
      <c r="G282" s="40">
        <v>202500132</v>
      </c>
      <c r="H282" s="13" t="s">
        <v>4879</v>
      </c>
      <c r="I282" s="13" t="s">
        <v>613</v>
      </c>
      <c r="J282" s="14">
        <v>45761</v>
      </c>
      <c r="K282" s="14">
        <v>46121</v>
      </c>
      <c r="L282" s="13" t="s">
        <v>672</v>
      </c>
      <c r="M282" s="13" t="s">
        <v>4152</v>
      </c>
      <c r="N282" s="13" t="s">
        <v>4153</v>
      </c>
      <c r="O282" s="13" t="s">
        <v>2213</v>
      </c>
      <c r="P282" s="79" t="s">
        <v>317</v>
      </c>
      <c r="Q282" s="13" t="s">
        <v>618</v>
      </c>
      <c r="R282" s="246" t="str">
        <f>VLOOKUP(P282,'Dados das Regiões '!A:B,2,0)</f>
        <v>IVAIPORÃ</v>
      </c>
      <c r="S282" s="13" t="s">
        <v>4836</v>
      </c>
      <c r="U282" s="79" t="s">
        <v>991</v>
      </c>
      <c r="V282" s="13" t="s">
        <v>4154</v>
      </c>
      <c r="W282" s="13" t="s">
        <v>993</v>
      </c>
      <c r="X282" s="15">
        <v>0.5625</v>
      </c>
      <c r="Y282" s="516">
        <v>0.64583333333333337</v>
      </c>
      <c r="Z282" s="16" t="s">
        <v>622</v>
      </c>
      <c r="AB282" s="164">
        <v>202500132</v>
      </c>
      <c r="AC282" s="55" t="s">
        <v>30</v>
      </c>
      <c r="AD282" s="40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</row>
    <row r="283" spans="1:44">
      <c r="B283" s="13" t="str">
        <f t="shared" si="270"/>
        <v>Pendente</v>
      </c>
      <c r="C283" s="14" t="str">
        <f t="shared" si="253"/>
        <v/>
      </c>
      <c r="D283" s="13" t="s">
        <v>611</v>
      </c>
      <c r="E283" s="14" t="str">
        <f t="shared" ref="E283" si="293">IF(C283="", "", EDATE(C283, 3))</f>
        <v/>
      </c>
      <c r="F283" s="13" t="s">
        <v>611</v>
      </c>
      <c r="G283" s="40">
        <v>202500132</v>
      </c>
      <c r="H283" s="13" t="s">
        <v>4880</v>
      </c>
      <c r="I283" s="13" t="s">
        <v>613</v>
      </c>
      <c r="J283" s="14">
        <v>45761</v>
      </c>
      <c r="K283" s="14">
        <v>46121</v>
      </c>
      <c r="L283" s="13" t="s">
        <v>672</v>
      </c>
      <c r="M283" s="13" t="s">
        <v>1105</v>
      </c>
      <c r="N283" s="13" t="s">
        <v>1106</v>
      </c>
      <c r="O283" s="17" t="s">
        <v>1107</v>
      </c>
      <c r="P283" s="79" t="s">
        <v>481</v>
      </c>
      <c r="Q283" s="13" t="s">
        <v>618</v>
      </c>
      <c r="R283" s="246" t="str">
        <f>VLOOKUP(P283,'Dados das Regiões '!A:B,2,0)</f>
        <v>TOLEDO</v>
      </c>
      <c r="S283" s="13" t="s">
        <v>1108</v>
      </c>
      <c r="U283" s="79" t="s">
        <v>1109</v>
      </c>
      <c r="V283" s="13" t="s">
        <v>1110</v>
      </c>
      <c r="W283" s="13" t="s">
        <v>1111</v>
      </c>
      <c r="X283" s="15">
        <v>0.3125</v>
      </c>
      <c r="Y283" s="516">
        <v>0.39583333333333331</v>
      </c>
      <c r="Z283" s="16" t="s">
        <v>622</v>
      </c>
      <c r="AB283" s="164">
        <v>202500132</v>
      </c>
      <c r="AC283" s="55" t="s">
        <v>30</v>
      </c>
      <c r="AD283" s="40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</row>
    <row r="284" spans="1:44">
      <c r="B284" s="13" t="str">
        <f t="shared" si="270"/>
        <v>Pendente</v>
      </c>
      <c r="C284" s="14" t="str">
        <f t="shared" si="253"/>
        <v/>
      </c>
      <c r="D284" s="13" t="s">
        <v>611</v>
      </c>
      <c r="E284" s="14" t="str">
        <f t="shared" ref="E284" si="294">IF(C284="", "", EDATE(C284, 3))</f>
        <v/>
      </c>
      <c r="F284" s="13" t="s">
        <v>611</v>
      </c>
      <c r="G284" s="40">
        <v>202500132</v>
      </c>
      <c r="H284" s="13" t="s">
        <v>4881</v>
      </c>
      <c r="I284" s="13" t="s">
        <v>613</v>
      </c>
      <c r="J284" s="14">
        <v>45761</v>
      </c>
      <c r="K284" s="14">
        <v>46121</v>
      </c>
      <c r="L284" s="13" t="s">
        <v>672</v>
      </c>
      <c r="M284" s="13" t="s">
        <v>1442</v>
      </c>
      <c r="N284" s="13" t="s">
        <v>4882</v>
      </c>
      <c r="O284" s="17" t="s">
        <v>4883</v>
      </c>
      <c r="P284" s="79" t="s">
        <v>157</v>
      </c>
      <c r="Q284" s="13" t="s">
        <v>618</v>
      </c>
      <c r="R284" s="246" t="str">
        <f>VLOOKUP(P284,'Dados das Regiões '!A:B,2,0)</f>
        <v>CAMPO MOURÃO</v>
      </c>
      <c r="S284" s="13" t="s">
        <v>4884</v>
      </c>
      <c r="U284" s="79" t="s">
        <v>1446</v>
      </c>
      <c r="V284" s="13" t="s">
        <v>1447</v>
      </c>
      <c r="W284" s="13" t="s">
        <v>4885</v>
      </c>
      <c r="X284" s="15">
        <v>0.5625</v>
      </c>
      <c r="Y284" s="516">
        <v>0.64583333333333337</v>
      </c>
      <c r="Z284" s="16" t="s">
        <v>622</v>
      </c>
      <c r="AB284" s="164">
        <v>202500132</v>
      </c>
      <c r="AC284" s="55" t="s">
        <v>30</v>
      </c>
      <c r="AD284" s="40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</row>
    <row r="285" spans="1:44">
      <c r="B285" s="13" t="str">
        <f t="shared" si="270"/>
        <v>Pendente</v>
      </c>
      <c r="C285" s="14" t="str">
        <f t="shared" si="253"/>
        <v/>
      </c>
      <c r="D285" s="13" t="s">
        <v>611</v>
      </c>
      <c r="E285" s="14" t="str">
        <f t="shared" ref="E285" si="295">IF(C285="", "", EDATE(C285, 3))</f>
        <v/>
      </c>
      <c r="F285" s="13" t="s">
        <v>611</v>
      </c>
      <c r="G285" s="40">
        <v>202500132</v>
      </c>
      <c r="H285" s="13" t="s">
        <v>4886</v>
      </c>
      <c r="I285" s="13" t="s">
        <v>613</v>
      </c>
      <c r="J285" s="14">
        <v>45761</v>
      </c>
      <c r="K285" s="14">
        <v>46121</v>
      </c>
      <c r="L285" s="13" t="s">
        <v>632</v>
      </c>
      <c r="M285" s="13" t="s">
        <v>4887</v>
      </c>
      <c r="N285" s="13" t="s">
        <v>4888</v>
      </c>
      <c r="O285" s="17" t="s">
        <v>4889</v>
      </c>
      <c r="P285" s="79" t="s">
        <v>402</v>
      </c>
      <c r="Q285" s="13" t="s">
        <v>618</v>
      </c>
      <c r="R285" s="246" t="str">
        <f>VLOOKUP(P285,'Dados das Regiões '!A:B,2,0)</f>
        <v>NOVA LONDRINA</v>
      </c>
      <c r="S285" s="13" t="s">
        <v>4890</v>
      </c>
      <c r="U285" s="79" t="s">
        <v>4891</v>
      </c>
      <c r="V285" s="13" t="s">
        <v>4892</v>
      </c>
      <c r="W285" s="13" t="s">
        <v>4893</v>
      </c>
      <c r="X285" s="15">
        <v>0.33333333333333331</v>
      </c>
      <c r="Y285" s="516">
        <v>0.41666666666666669</v>
      </c>
      <c r="Z285" s="16" t="s">
        <v>622</v>
      </c>
      <c r="AB285" s="164">
        <v>202500132</v>
      </c>
      <c r="AC285" s="55" t="s">
        <v>30</v>
      </c>
      <c r="AD285" s="40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</row>
    <row r="286" spans="1:44">
      <c r="B286" s="13" t="str">
        <f t="shared" si="270"/>
        <v>Pendente</v>
      </c>
      <c r="C286" s="14" t="str">
        <f t="shared" si="253"/>
        <v/>
      </c>
      <c r="D286" s="13" t="s">
        <v>611</v>
      </c>
      <c r="E286" s="14" t="str">
        <f t="shared" ref="E286" si="296">IF(C286="", "", EDATE(C286, 3))</f>
        <v/>
      </c>
      <c r="F286" s="13" t="s">
        <v>611</v>
      </c>
      <c r="G286" s="40">
        <v>202500132</v>
      </c>
      <c r="H286" s="13" t="s">
        <v>4894</v>
      </c>
      <c r="I286" s="13" t="s">
        <v>613</v>
      </c>
      <c r="J286" s="14">
        <v>45761</v>
      </c>
      <c r="K286" s="14">
        <v>46121</v>
      </c>
      <c r="L286" s="13" t="s">
        <v>672</v>
      </c>
      <c r="M286" s="13" t="s">
        <v>1105</v>
      </c>
      <c r="N286" s="13" t="s">
        <v>1106</v>
      </c>
      <c r="O286" s="17" t="s">
        <v>1107</v>
      </c>
      <c r="P286" s="79" t="s">
        <v>481</v>
      </c>
      <c r="Q286" s="13" t="s">
        <v>618</v>
      </c>
      <c r="R286" s="246" t="str">
        <f>VLOOKUP(P286,'Dados das Regiões '!A:B,2,0)</f>
        <v>TOLEDO</v>
      </c>
      <c r="S286" s="13" t="s">
        <v>1108</v>
      </c>
      <c r="U286" s="79" t="s">
        <v>1109</v>
      </c>
      <c r="V286" s="13" t="s">
        <v>1110</v>
      </c>
      <c r="W286" s="13" t="s">
        <v>1111</v>
      </c>
      <c r="X286" s="15">
        <v>0.5625</v>
      </c>
      <c r="Y286" s="516">
        <v>0.64583333333333337</v>
      </c>
      <c r="Z286" s="16" t="s">
        <v>622</v>
      </c>
      <c r="AB286" s="164">
        <v>202500132</v>
      </c>
      <c r="AC286" s="55" t="s">
        <v>30</v>
      </c>
      <c r="AD286" s="40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</row>
    <row r="287" spans="1:44" ht="15" customHeight="1">
      <c r="A287" s="14">
        <v>45967</v>
      </c>
      <c r="B287" s="13" t="str">
        <f t="shared" si="270"/>
        <v>Realizada</v>
      </c>
      <c r="C287" s="14">
        <f t="shared" si="253"/>
        <v>46059</v>
      </c>
      <c r="D287" s="13" t="s">
        <v>611</v>
      </c>
      <c r="E287" s="14">
        <f t="shared" ref="E287" si="297">IF(C287="", "", EDATE(C287, 3))</f>
        <v>46148</v>
      </c>
      <c r="F287" s="13" t="s">
        <v>611</v>
      </c>
      <c r="G287" s="40">
        <v>202500132</v>
      </c>
      <c r="H287" s="13" t="s">
        <v>4895</v>
      </c>
      <c r="I287" s="13" t="s">
        <v>613</v>
      </c>
      <c r="J287" s="14">
        <v>45761</v>
      </c>
      <c r="K287" s="14">
        <v>46121</v>
      </c>
      <c r="L287" s="13" t="s">
        <v>672</v>
      </c>
      <c r="M287" s="13" t="s">
        <v>4554</v>
      </c>
      <c r="N287" s="13" t="s">
        <v>4555</v>
      </c>
      <c r="O287" s="13" t="s">
        <v>4508</v>
      </c>
      <c r="P287" s="79" t="s">
        <v>154</v>
      </c>
      <c r="Q287" s="13" t="s">
        <v>618</v>
      </c>
      <c r="R287" s="246" t="str">
        <f>VLOOKUP(P287,'Dados das Regiões '!A:B,2,0)</f>
        <v>CAMPO MOURÃO</v>
      </c>
      <c r="S287" s="13" t="s">
        <v>4556</v>
      </c>
      <c r="V287" s="13" t="s">
        <v>4557</v>
      </c>
      <c r="W287" s="13" t="s">
        <v>4559</v>
      </c>
      <c r="X287" s="15">
        <v>0.5625</v>
      </c>
      <c r="Y287" s="516">
        <v>0.64583333333333337</v>
      </c>
      <c r="Z287" s="16" t="s">
        <v>622</v>
      </c>
      <c r="AB287" s="164">
        <v>202500132</v>
      </c>
      <c r="AC287" s="55" t="s">
        <v>30</v>
      </c>
      <c r="AD287" s="40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</row>
    <row r="288" spans="1:44">
      <c r="A288" s="14">
        <v>45936</v>
      </c>
      <c r="B288" s="13" t="str">
        <f t="shared" si="270"/>
        <v>Realizada</v>
      </c>
      <c r="C288" s="14">
        <f t="shared" si="253"/>
        <v>46028</v>
      </c>
      <c r="D288" s="13" t="s">
        <v>611</v>
      </c>
      <c r="E288" s="14">
        <f t="shared" ref="E288" si="298">IF(C288="", "", EDATE(C288, 3))</f>
        <v>46118</v>
      </c>
      <c r="F288" s="13" t="s">
        <v>611</v>
      </c>
      <c r="G288" s="40">
        <v>202500298</v>
      </c>
      <c r="H288" s="13" t="s">
        <v>3135</v>
      </c>
      <c r="I288" s="13" t="s">
        <v>613</v>
      </c>
      <c r="J288" s="14">
        <v>45789</v>
      </c>
      <c r="K288" s="14">
        <v>46148</v>
      </c>
      <c r="L288" s="13" t="s">
        <v>1185</v>
      </c>
      <c r="M288" s="13" t="s">
        <v>4896</v>
      </c>
      <c r="N288" s="13" t="s">
        <v>3136</v>
      </c>
      <c r="O288" s="17" t="s">
        <v>3137</v>
      </c>
      <c r="P288" s="82" t="s">
        <v>307</v>
      </c>
      <c r="Q288" s="13" t="s">
        <v>618</v>
      </c>
      <c r="R288" s="246" t="str">
        <f>VLOOKUP(P288,'Dados das Regiões '!A:B,2,0)</f>
        <v>IRATI</v>
      </c>
      <c r="S288" s="13" t="s">
        <v>3138</v>
      </c>
      <c r="U288" s="79" t="s">
        <v>3139</v>
      </c>
      <c r="V288" s="13" t="s">
        <v>3139</v>
      </c>
      <c r="W288" s="13" t="s">
        <v>3140</v>
      </c>
      <c r="X288" s="15">
        <v>0.54166666666666663</v>
      </c>
      <c r="Y288" s="516">
        <v>0.625</v>
      </c>
      <c r="Z288" s="16" t="s">
        <v>622</v>
      </c>
      <c r="AA288" s="56" t="s">
        <v>4330</v>
      </c>
      <c r="AB288" s="164">
        <v>202500298</v>
      </c>
      <c r="AC288" s="55" t="s">
        <v>31</v>
      </c>
      <c r="AD288" s="40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</row>
    <row r="289" spans="1:44">
      <c r="A289" s="14">
        <v>45932</v>
      </c>
      <c r="B289" s="13" t="str">
        <f t="shared" si="270"/>
        <v>Realizada</v>
      </c>
      <c r="C289" s="14">
        <f t="shared" si="253"/>
        <v>46024</v>
      </c>
      <c r="D289" s="13" t="s">
        <v>611</v>
      </c>
      <c r="E289" s="14">
        <f t="shared" ref="E289" si="299">IF(C289="", "", EDATE(C289, 3))</f>
        <v>46114</v>
      </c>
      <c r="F289" s="13" t="s">
        <v>611</v>
      </c>
      <c r="G289" s="40">
        <v>202500298</v>
      </c>
      <c r="H289" s="13" t="s">
        <v>4897</v>
      </c>
      <c r="I289" s="13" t="s">
        <v>613</v>
      </c>
      <c r="J289" s="14">
        <v>45789</v>
      </c>
      <c r="K289" s="14">
        <v>46148</v>
      </c>
      <c r="L289" s="13" t="s">
        <v>1801</v>
      </c>
      <c r="M289" s="13" t="s">
        <v>4898</v>
      </c>
      <c r="N289" s="13" t="s">
        <v>4899</v>
      </c>
      <c r="O289" s="17" t="s">
        <v>4900</v>
      </c>
      <c r="P289" s="79" t="s">
        <v>145</v>
      </c>
      <c r="Q289" s="13" t="s">
        <v>618</v>
      </c>
      <c r="R289" s="246" t="str">
        <f>VLOOKUP(P289,'Dados das Regiões '!A:B,2,0)</f>
        <v>CAMPO MOURÃO</v>
      </c>
      <c r="S289" s="13" t="s">
        <v>4901</v>
      </c>
      <c r="U289" s="79" t="s">
        <v>4902</v>
      </c>
      <c r="V289" s="13" t="s">
        <v>4902</v>
      </c>
      <c r="W289" s="13" t="s">
        <v>4903</v>
      </c>
      <c r="X289" s="15">
        <v>0.54166666666666663</v>
      </c>
      <c r="Y289" s="516">
        <v>0.625</v>
      </c>
      <c r="Z289" s="16" t="s">
        <v>622</v>
      </c>
      <c r="AB289" s="164">
        <v>202500298</v>
      </c>
      <c r="AC289" s="55" t="s">
        <v>31</v>
      </c>
      <c r="AD289" s="40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</row>
    <row r="290" spans="1:44">
      <c r="B290" s="13" t="str">
        <f t="shared" si="270"/>
        <v>Pendente</v>
      </c>
      <c r="C290" s="14" t="str">
        <f t="shared" si="253"/>
        <v/>
      </c>
      <c r="D290" s="13" t="s">
        <v>611</v>
      </c>
      <c r="E290" s="14" t="str">
        <f t="shared" ref="E290" si="300">IF(C290="", "", EDATE(C290, 3))</f>
        <v/>
      </c>
      <c r="F290" s="13" t="s">
        <v>611</v>
      </c>
      <c r="G290" s="40">
        <v>202500298</v>
      </c>
      <c r="H290" s="13" t="s">
        <v>4904</v>
      </c>
      <c r="I290" s="13" t="s">
        <v>613</v>
      </c>
      <c r="J290" s="14">
        <v>45789</v>
      </c>
      <c r="K290" s="14">
        <v>46148</v>
      </c>
      <c r="L290" s="13" t="s">
        <v>1185</v>
      </c>
      <c r="M290" s="13" t="s">
        <v>4905</v>
      </c>
      <c r="N290" s="13" t="s">
        <v>4906</v>
      </c>
      <c r="O290" s="17" t="s">
        <v>4907</v>
      </c>
      <c r="P290" s="79" t="s">
        <v>475</v>
      </c>
      <c r="Q290" s="13" t="s">
        <v>618</v>
      </c>
      <c r="R290" s="246" t="str">
        <f>VLOOKUP(P290,'Dados das Regiões '!A:B,2,0)</f>
        <v>TOLEDO</v>
      </c>
      <c r="S290" s="13" t="s">
        <v>4908</v>
      </c>
      <c r="V290" s="13" t="s">
        <v>4909</v>
      </c>
      <c r="W290" s="13" t="s">
        <v>4910</v>
      </c>
      <c r="X290" s="15">
        <v>0.5625</v>
      </c>
      <c r="Y290" s="516">
        <v>0.64583333333333337</v>
      </c>
      <c r="Z290" s="16" t="s">
        <v>622</v>
      </c>
      <c r="AB290" s="164">
        <v>202500298</v>
      </c>
      <c r="AC290" s="55" t="s">
        <v>31</v>
      </c>
      <c r="AD290" s="40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</row>
    <row r="291" spans="1:44">
      <c r="B291" s="13" t="str">
        <f t="shared" si="270"/>
        <v>Pendente</v>
      </c>
      <c r="C291" s="14" t="str">
        <f t="shared" si="253"/>
        <v/>
      </c>
      <c r="D291" s="13" t="s">
        <v>611</v>
      </c>
      <c r="E291" s="14" t="str">
        <f t="shared" ref="E291" si="301">IF(C291="", "", EDATE(C291, 3))</f>
        <v/>
      </c>
      <c r="F291" s="13" t="s">
        <v>611</v>
      </c>
      <c r="G291" s="40">
        <v>202500298</v>
      </c>
      <c r="H291" s="13" t="s">
        <v>4911</v>
      </c>
      <c r="I291" s="13" t="s">
        <v>613</v>
      </c>
      <c r="J291" s="14">
        <v>45789</v>
      </c>
      <c r="K291" s="14">
        <v>46148</v>
      </c>
      <c r="L291" s="13" t="s">
        <v>4912</v>
      </c>
      <c r="M291" s="13" t="s">
        <v>4913</v>
      </c>
      <c r="N291" s="13" t="s">
        <v>4914</v>
      </c>
      <c r="O291" s="17" t="s">
        <v>4915</v>
      </c>
      <c r="P291" s="79" t="s">
        <v>418</v>
      </c>
      <c r="Q291" s="13" t="s">
        <v>618</v>
      </c>
      <c r="R291" s="246" t="str">
        <f>VLOOKUP(P291,'Dados das Regiões '!A:B,2,0)</f>
        <v>PARANAVAÍ</v>
      </c>
      <c r="S291" s="13" t="s">
        <v>4916</v>
      </c>
      <c r="U291" s="79" t="s">
        <v>4917</v>
      </c>
      <c r="V291" s="13" t="s">
        <v>4918</v>
      </c>
      <c r="W291" s="13" t="s">
        <v>4919</v>
      </c>
      <c r="X291" s="15">
        <v>0.54166666666666663</v>
      </c>
      <c r="Y291" s="516">
        <v>0.625</v>
      </c>
      <c r="Z291" s="16" t="s">
        <v>622</v>
      </c>
      <c r="AB291" s="164">
        <v>202500298</v>
      </c>
      <c r="AC291" s="55" t="s">
        <v>31</v>
      </c>
      <c r="AD291" s="40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</row>
    <row r="292" spans="1:44">
      <c r="B292" s="13" t="str">
        <f t="shared" si="270"/>
        <v>Pendente</v>
      </c>
      <c r="C292" s="14" t="str">
        <f t="shared" si="253"/>
        <v/>
      </c>
      <c r="D292" s="13" t="s">
        <v>611</v>
      </c>
      <c r="E292" s="14" t="str">
        <f t="shared" ref="E292" si="302">IF(C292="", "", EDATE(C292, 3))</f>
        <v/>
      </c>
      <c r="F292" s="13" t="s">
        <v>611</v>
      </c>
      <c r="G292" s="40">
        <v>202500298</v>
      </c>
      <c r="H292" s="13" t="s">
        <v>4920</v>
      </c>
      <c r="I292" s="13" t="s">
        <v>613</v>
      </c>
      <c r="J292" s="14">
        <v>45789</v>
      </c>
      <c r="K292" s="14">
        <v>46148</v>
      </c>
      <c r="L292" s="13" t="s">
        <v>1185</v>
      </c>
      <c r="M292" s="13" t="s">
        <v>4921</v>
      </c>
      <c r="N292" s="13" t="s">
        <v>4922</v>
      </c>
      <c r="O292" s="17" t="s">
        <v>4923</v>
      </c>
      <c r="P292" s="79" t="s">
        <v>321</v>
      </c>
      <c r="Q292" s="13" t="s">
        <v>618</v>
      </c>
      <c r="R292" s="246" t="str">
        <f>VLOOKUP(P292,'Dados das Regiões '!A:B,2,0)</f>
        <v>IVAIPORÃ</v>
      </c>
      <c r="S292" s="13" t="s">
        <v>4924</v>
      </c>
      <c r="U292" s="79" t="s">
        <v>4925</v>
      </c>
      <c r="V292" s="13" t="s">
        <v>4926</v>
      </c>
      <c r="W292" s="13" t="s">
        <v>4927</v>
      </c>
      <c r="X292" s="15">
        <v>0.54166666666666663</v>
      </c>
      <c r="Y292" s="516">
        <v>0.625</v>
      </c>
      <c r="Z292" s="16" t="s">
        <v>622</v>
      </c>
      <c r="AB292" s="164">
        <v>202500298</v>
      </c>
      <c r="AC292" s="55" t="s">
        <v>31</v>
      </c>
      <c r="AD292" s="40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</row>
    <row r="293" spans="1:44">
      <c r="B293" s="13" t="str">
        <f t="shared" si="270"/>
        <v>Pendente</v>
      </c>
      <c r="C293" s="14" t="str">
        <f t="shared" si="253"/>
        <v/>
      </c>
      <c r="D293" s="13" t="s">
        <v>611</v>
      </c>
      <c r="E293" s="14" t="str">
        <f t="shared" ref="E293" si="303">IF(C293="", "", EDATE(C293, 3))</f>
        <v/>
      </c>
      <c r="F293" s="13" t="s">
        <v>611</v>
      </c>
      <c r="G293" s="40">
        <v>202500298</v>
      </c>
      <c r="H293" s="13" t="s">
        <v>4928</v>
      </c>
      <c r="I293" s="13" t="s">
        <v>613</v>
      </c>
      <c r="J293" s="14">
        <v>45789</v>
      </c>
      <c r="K293" s="14">
        <v>46148</v>
      </c>
      <c r="L293" s="13" t="s">
        <v>1185</v>
      </c>
      <c r="M293" s="13" t="s">
        <v>4929</v>
      </c>
      <c r="N293" s="13" t="s">
        <v>4930</v>
      </c>
      <c r="O293" s="17" t="s">
        <v>4931</v>
      </c>
      <c r="P293" s="79" t="s">
        <v>352</v>
      </c>
      <c r="Q293" s="13" t="s">
        <v>618</v>
      </c>
      <c r="R293" s="246" t="str">
        <f>VLOOKUP(P293,'Dados das Regiões '!A:B,2,0)</f>
        <v>MARECHAL CÂNDIDO RONDON</v>
      </c>
      <c r="S293" s="13" t="s">
        <v>4932</v>
      </c>
      <c r="U293" s="79" t="s">
        <v>4933</v>
      </c>
      <c r="V293" s="13" t="s">
        <v>4934</v>
      </c>
      <c r="W293" s="13" t="s">
        <v>4935</v>
      </c>
      <c r="X293" s="15">
        <v>0.54166666666666663</v>
      </c>
      <c r="Y293" s="516">
        <v>0.625</v>
      </c>
      <c r="Z293" s="16" t="s">
        <v>622</v>
      </c>
      <c r="AB293" s="164">
        <v>202500298</v>
      </c>
      <c r="AC293" s="55" t="s">
        <v>31</v>
      </c>
      <c r="AD293" s="40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</row>
    <row r="294" spans="1:44">
      <c r="B294" s="13" t="str">
        <f t="shared" si="270"/>
        <v>Pendente</v>
      </c>
      <c r="C294" s="14" t="str">
        <f t="shared" si="253"/>
        <v/>
      </c>
      <c r="D294" s="13" t="s">
        <v>611</v>
      </c>
      <c r="E294" s="14" t="str">
        <f t="shared" ref="E294" si="304">IF(C294="", "", EDATE(C294, 3))</f>
        <v/>
      </c>
      <c r="F294" s="13" t="s">
        <v>611</v>
      </c>
      <c r="G294" s="40">
        <v>202500298</v>
      </c>
      <c r="H294" s="13" t="s">
        <v>4936</v>
      </c>
      <c r="I294" s="13" t="s">
        <v>613</v>
      </c>
      <c r="J294" s="14">
        <v>45789</v>
      </c>
      <c r="K294" s="14">
        <v>46148</v>
      </c>
      <c r="L294" s="13" t="s">
        <v>1185</v>
      </c>
      <c r="M294" s="13" t="s">
        <v>1826</v>
      </c>
      <c r="N294" s="13" t="s">
        <v>1827</v>
      </c>
      <c r="O294" s="17" t="s">
        <v>1828</v>
      </c>
      <c r="P294" s="79" t="s">
        <v>169</v>
      </c>
      <c r="Q294" s="13" t="s">
        <v>618</v>
      </c>
      <c r="R294" s="246" t="str">
        <f>VLOOKUP(P294,'Dados das Regiões '!A:B,2,0)</f>
        <v>CAMPO MOURÃO</v>
      </c>
      <c r="S294" s="13" t="s">
        <v>4937</v>
      </c>
      <c r="V294" s="13" t="s">
        <v>4938</v>
      </c>
      <c r="W294" s="13" t="s">
        <v>4939</v>
      </c>
      <c r="X294" s="15">
        <v>0.54166666666666663</v>
      </c>
      <c r="Y294" s="516">
        <v>0.625</v>
      </c>
      <c r="Z294" s="16" t="s">
        <v>622</v>
      </c>
      <c r="AB294" s="164">
        <v>202500298</v>
      </c>
      <c r="AC294" s="55" t="s">
        <v>31</v>
      </c>
      <c r="AD294" s="40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</row>
    <row r="295" spans="1:44">
      <c r="B295" s="13" t="str">
        <f t="shared" si="270"/>
        <v>Pendente</v>
      </c>
      <c r="C295" s="14" t="str">
        <f t="shared" si="253"/>
        <v/>
      </c>
      <c r="D295" s="13" t="s">
        <v>611</v>
      </c>
      <c r="E295" s="14" t="str">
        <f t="shared" ref="E295" si="305">IF(C295="", "", EDATE(C295, 3))</f>
        <v/>
      </c>
      <c r="F295" s="13" t="s">
        <v>611</v>
      </c>
      <c r="G295" s="40">
        <v>202500298</v>
      </c>
      <c r="H295" s="13" t="s">
        <v>4940</v>
      </c>
      <c r="I295" s="13" t="s">
        <v>613</v>
      </c>
      <c r="J295" s="14">
        <v>45789</v>
      </c>
      <c r="K295" s="14">
        <v>46148</v>
      </c>
      <c r="L295" s="13" t="s">
        <v>4941</v>
      </c>
      <c r="M295" s="13" t="s">
        <v>4942</v>
      </c>
      <c r="N295" s="13" t="s">
        <v>4943</v>
      </c>
      <c r="O295" s="17" t="s">
        <v>4944</v>
      </c>
      <c r="P295" s="79" t="s">
        <v>326</v>
      </c>
      <c r="Q295" s="13" t="s">
        <v>618</v>
      </c>
      <c r="R295" s="246" t="str">
        <f>VLOOKUP(P295,'Dados das Regiões '!A:B,2,0)</f>
        <v>JACAREZINHO</v>
      </c>
      <c r="S295" s="13" t="s">
        <v>4945</v>
      </c>
      <c r="U295" s="79" t="s">
        <v>4946</v>
      </c>
      <c r="V295" s="13" t="s">
        <v>4946</v>
      </c>
      <c r="W295" s="13" t="s">
        <v>4947</v>
      </c>
      <c r="X295" s="15">
        <v>0.54166666666666663</v>
      </c>
      <c r="Y295" s="516">
        <v>0.625</v>
      </c>
      <c r="Z295" s="16" t="s">
        <v>622</v>
      </c>
      <c r="AB295" s="164">
        <v>202500298</v>
      </c>
      <c r="AC295" s="55" t="s">
        <v>31</v>
      </c>
      <c r="AD295" s="40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</row>
    <row r="296" spans="1:44">
      <c r="B296" s="13" t="str">
        <f t="shared" si="270"/>
        <v>Pendente</v>
      </c>
      <c r="C296" s="14" t="str">
        <f t="shared" si="253"/>
        <v/>
      </c>
      <c r="D296" s="13" t="s">
        <v>611</v>
      </c>
      <c r="E296" s="14" t="str">
        <f t="shared" ref="E296" si="306">IF(C296="", "", EDATE(C296, 3))</f>
        <v/>
      </c>
      <c r="F296" s="13" t="s">
        <v>611</v>
      </c>
      <c r="G296" s="40">
        <v>202500298</v>
      </c>
      <c r="H296" s="13" t="s">
        <v>4948</v>
      </c>
      <c r="I296" s="13" t="s">
        <v>613</v>
      </c>
      <c r="J296" s="14">
        <v>45789</v>
      </c>
      <c r="K296" s="14">
        <v>46148</v>
      </c>
      <c r="L296" s="13" t="s">
        <v>1185</v>
      </c>
      <c r="M296" s="13" t="s">
        <v>4949</v>
      </c>
      <c r="N296" s="13" t="s">
        <v>4950</v>
      </c>
      <c r="O296" s="17" t="s">
        <v>4951</v>
      </c>
      <c r="P296" s="79" t="s">
        <v>236</v>
      </c>
      <c r="Q296" s="13" t="s">
        <v>618</v>
      </c>
      <c r="R296" s="246" t="str">
        <f>VLOOKUP(P296,'Dados das Regiões '!A:B,2,0)</f>
        <v>CORNÉLIO PROCÓPIO</v>
      </c>
      <c r="S296" s="13" t="s">
        <v>4952</v>
      </c>
      <c r="V296" s="13" t="s">
        <v>4953</v>
      </c>
      <c r="W296" s="13" t="s">
        <v>4954</v>
      </c>
      <c r="X296" s="15">
        <v>0.54166666666666663</v>
      </c>
      <c r="Y296" s="516">
        <v>0.625</v>
      </c>
      <c r="Z296" s="16" t="s">
        <v>622</v>
      </c>
      <c r="AB296" s="164">
        <v>202500298</v>
      </c>
      <c r="AC296" s="55" t="s">
        <v>31</v>
      </c>
      <c r="AD296" s="40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</row>
    <row r="297" spans="1:44">
      <c r="B297" s="13" t="str">
        <f t="shared" si="270"/>
        <v>Pendente</v>
      </c>
      <c r="C297" s="14" t="str">
        <f t="shared" si="253"/>
        <v/>
      </c>
      <c r="D297" s="13" t="s">
        <v>611</v>
      </c>
      <c r="E297" s="14" t="str">
        <f t="shared" ref="E297" si="307">IF(C297="", "", EDATE(C297, 3))</f>
        <v/>
      </c>
      <c r="F297" s="13" t="s">
        <v>611</v>
      </c>
      <c r="G297" s="40">
        <v>202500298</v>
      </c>
      <c r="H297" s="13" t="s">
        <v>4955</v>
      </c>
      <c r="I297" s="13" t="s">
        <v>613</v>
      </c>
      <c r="J297" s="14">
        <v>45789</v>
      </c>
      <c r="K297" s="14">
        <v>46148</v>
      </c>
      <c r="L297" s="13" t="s">
        <v>1185</v>
      </c>
      <c r="M297" s="13" t="s">
        <v>4956</v>
      </c>
      <c r="N297" s="13" t="s">
        <v>4957</v>
      </c>
      <c r="O297" s="17" t="s">
        <v>4958</v>
      </c>
      <c r="P297" s="79" t="s">
        <v>501</v>
      </c>
      <c r="Q297" s="13" t="s">
        <v>618</v>
      </c>
      <c r="R297" s="246" t="str">
        <f>VLOOKUP(P297,'Dados das Regiões '!A:B,2,0)</f>
        <v>UMUARAMA</v>
      </c>
      <c r="S297" s="13" t="s">
        <v>4959</v>
      </c>
      <c r="V297" s="13" t="s">
        <v>4960</v>
      </c>
      <c r="W297" s="13" t="s">
        <v>4961</v>
      </c>
      <c r="X297" s="15">
        <v>0.33333333333333331</v>
      </c>
      <c r="Y297" s="516">
        <v>0.41666666666666669</v>
      </c>
      <c r="Z297" s="16" t="s">
        <v>622</v>
      </c>
      <c r="AB297" s="164">
        <v>202500298</v>
      </c>
      <c r="AC297" s="55" t="s">
        <v>31</v>
      </c>
      <c r="AD297" s="40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</row>
    <row r="298" spans="1:44">
      <c r="A298" s="14">
        <v>45932</v>
      </c>
      <c r="B298" s="13" t="str">
        <f t="shared" si="270"/>
        <v>Realizada</v>
      </c>
      <c r="C298" s="14">
        <f t="shared" si="253"/>
        <v>46024</v>
      </c>
      <c r="D298" s="13" t="s">
        <v>611</v>
      </c>
      <c r="E298" s="14">
        <f t="shared" ref="E298" si="308">IF(C298="", "", EDATE(C298, 3))</f>
        <v>46114</v>
      </c>
      <c r="F298" s="13" t="s">
        <v>611</v>
      </c>
      <c r="G298" s="40">
        <v>202500298</v>
      </c>
      <c r="H298" s="13" t="s">
        <v>4962</v>
      </c>
      <c r="I298" s="13" t="s">
        <v>613</v>
      </c>
      <c r="J298" s="14">
        <v>45789</v>
      </c>
      <c r="K298" s="14">
        <v>46148</v>
      </c>
      <c r="L298" s="13" t="s">
        <v>1185</v>
      </c>
      <c r="M298" s="13" t="s">
        <v>4963</v>
      </c>
      <c r="N298" s="13" t="s">
        <v>4964</v>
      </c>
      <c r="O298" s="17" t="s">
        <v>4965</v>
      </c>
      <c r="P298" s="79" t="s">
        <v>145</v>
      </c>
      <c r="Q298" s="13" t="s">
        <v>618</v>
      </c>
      <c r="R298" s="246" t="str">
        <f>VLOOKUP(P298,'Dados das Regiões '!A:B,2,0)</f>
        <v>CAMPO MOURÃO</v>
      </c>
      <c r="S298" s="13" t="s">
        <v>4966</v>
      </c>
      <c r="U298" s="79" t="s">
        <v>4967</v>
      </c>
      <c r="V298" s="13" t="s">
        <v>4967</v>
      </c>
      <c r="W298" s="13" t="s">
        <v>4968</v>
      </c>
      <c r="X298" s="15">
        <v>0.58333333333333337</v>
      </c>
      <c r="Y298" s="516">
        <v>0.66666666666666663</v>
      </c>
      <c r="Z298" s="16" t="s">
        <v>622</v>
      </c>
      <c r="AB298" s="164">
        <v>202500298</v>
      </c>
      <c r="AC298" s="55" t="s">
        <v>31</v>
      </c>
      <c r="AD298" s="40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</row>
    <row r="299" spans="1:44">
      <c r="B299" s="13" t="str">
        <f t="shared" si="270"/>
        <v>Pendente</v>
      </c>
      <c r="C299" s="14" t="str">
        <f t="shared" si="253"/>
        <v/>
      </c>
      <c r="D299" s="13" t="s">
        <v>611</v>
      </c>
      <c r="E299" s="14" t="str">
        <f t="shared" ref="E299" si="309">IF(C299="", "", EDATE(C299, 3))</f>
        <v/>
      </c>
      <c r="F299" s="13" t="s">
        <v>611</v>
      </c>
      <c r="G299" s="40">
        <v>202500298</v>
      </c>
      <c r="H299" s="13" t="s">
        <v>4969</v>
      </c>
      <c r="I299" s="13" t="s">
        <v>613</v>
      </c>
      <c r="J299" s="14">
        <v>45789</v>
      </c>
      <c r="K299" s="14">
        <v>46148</v>
      </c>
      <c r="L299" s="13" t="s">
        <v>1801</v>
      </c>
      <c r="M299" s="13" t="s">
        <v>4970</v>
      </c>
      <c r="N299" s="13" t="s">
        <v>4971</v>
      </c>
      <c r="O299" s="17" t="s">
        <v>4972</v>
      </c>
      <c r="P299" s="79" t="s">
        <v>352</v>
      </c>
      <c r="Q299" s="13" t="s">
        <v>618</v>
      </c>
      <c r="R299" s="246" t="str">
        <f>VLOOKUP(P299,'Dados das Regiões '!A:B,2,0)</f>
        <v>MARECHAL CÂNDIDO RONDON</v>
      </c>
      <c r="S299" s="13" t="s">
        <v>4973</v>
      </c>
      <c r="U299" s="79" t="s">
        <v>4974</v>
      </c>
      <c r="V299" s="13" t="s">
        <v>4975</v>
      </c>
      <c r="W299" s="13" t="s">
        <v>4976</v>
      </c>
      <c r="X299" s="15">
        <v>0.66666666666666663</v>
      </c>
      <c r="Y299" s="516">
        <v>0.58333333333333337</v>
      </c>
      <c r="Z299" s="16" t="s">
        <v>622</v>
      </c>
      <c r="AB299" s="164">
        <v>202500298</v>
      </c>
      <c r="AC299" s="55" t="s">
        <v>31</v>
      </c>
      <c r="AD299" s="40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</row>
    <row r="300" spans="1:44">
      <c r="B300" s="13" t="str">
        <f t="shared" si="270"/>
        <v>Pendente</v>
      </c>
      <c r="C300" s="14" t="str">
        <f t="shared" si="253"/>
        <v/>
      </c>
      <c r="D300" s="13" t="s">
        <v>611</v>
      </c>
      <c r="E300" s="14" t="str">
        <f t="shared" ref="E300" si="310">IF(C300="", "", EDATE(C300, 3))</f>
        <v/>
      </c>
      <c r="F300" s="13" t="s">
        <v>611</v>
      </c>
      <c r="G300" s="40">
        <v>202500298</v>
      </c>
      <c r="H300" s="13" t="s">
        <v>4977</v>
      </c>
      <c r="I300" s="13" t="s">
        <v>613</v>
      </c>
      <c r="J300" s="14">
        <v>45789</v>
      </c>
      <c r="K300" s="14">
        <v>46148</v>
      </c>
      <c r="L300" s="13" t="s">
        <v>1185</v>
      </c>
      <c r="M300" s="13" t="s">
        <v>4978</v>
      </c>
      <c r="N300" s="13" t="s">
        <v>4979</v>
      </c>
      <c r="O300" s="17" t="s">
        <v>4980</v>
      </c>
      <c r="P300" s="79" t="s">
        <v>389</v>
      </c>
      <c r="Q300" s="13" t="s">
        <v>618</v>
      </c>
      <c r="R300" s="246" t="str">
        <f>VLOOKUP(P300,'Dados das Regiões '!A:B,2,0)</f>
        <v>MEDIANEIRA</v>
      </c>
      <c r="S300" s="13" t="s">
        <v>4981</v>
      </c>
      <c r="U300" s="79" t="s">
        <v>4982</v>
      </c>
      <c r="V300" s="13" t="s">
        <v>4983</v>
      </c>
      <c r="W300" s="13" t="s">
        <v>4984</v>
      </c>
      <c r="X300" s="15">
        <v>0.5625</v>
      </c>
      <c r="Y300" s="516">
        <v>0.64583333333333337</v>
      </c>
      <c r="Z300" s="16" t="s">
        <v>622</v>
      </c>
      <c r="AB300" s="164">
        <v>202500298</v>
      </c>
      <c r="AC300" s="55" t="s">
        <v>31</v>
      </c>
      <c r="AD300" s="40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</row>
    <row r="301" spans="1:44">
      <c r="B301" s="13" t="str">
        <f t="shared" si="270"/>
        <v>Pendente</v>
      </c>
      <c r="C301" s="14" t="str">
        <f t="shared" si="253"/>
        <v/>
      </c>
      <c r="D301" s="13" t="s">
        <v>611</v>
      </c>
      <c r="E301" s="14" t="str">
        <f t="shared" ref="E301" si="311">IF(C301="", "", EDATE(C301, 3))</f>
        <v/>
      </c>
      <c r="F301" s="13" t="s">
        <v>611</v>
      </c>
      <c r="G301" s="40">
        <v>202500298</v>
      </c>
      <c r="H301" s="13" t="s">
        <v>4985</v>
      </c>
      <c r="I301" s="13" t="s">
        <v>613</v>
      </c>
      <c r="J301" s="14">
        <v>45789</v>
      </c>
      <c r="K301" s="14">
        <v>46148</v>
      </c>
      <c r="L301" s="13" t="s">
        <v>1185</v>
      </c>
      <c r="M301" s="13" t="s">
        <v>4986</v>
      </c>
      <c r="N301" s="13" t="s">
        <v>4987</v>
      </c>
      <c r="O301" s="17" t="s">
        <v>4988</v>
      </c>
      <c r="P301" s="79" t="s">
        <v>158</v>
      </c>
      <c r="Q301" s="13" t="s">
        <v>618</v>
      </c>
      <c r="R301" s="246" t="str">
        <f>VLOOKUP(P301,'Dados das Regiões '!A:B,2,0)</f>
        <v>CAMPO MOURÃO</v>
      </c>
      <c r="S301" s="13" t="s">
        <v>4989</v>
      </c>
      <c r="U301" s="79" t="s">
        <v>4990</v>
      </c>
      <c r="V301" s="13" t="s">
        <v>4990</v>
      </c>
      <c r="W301" s="13" t="s">
        <v>4991</v>
      </c>
      <c r="X301" s="15">
        <v>0.58333333333333337</v>
      </c>
      <c r="Y301" s="516">
        <v>0.66666666666666663</v>
      </c>
      <c r="Z301" s="16" t="s">
        <v>622</v>
      </c>
      <c r="AB301" s="164">
        <v>202500298</v>
      </c>
      <c r="AC301" s="55" t="s">
        <v>31</v>
      </c>
      <c r="AD301" s="40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</row>
    <row r="302" spans="1:44">
      <c r="A302" s="14">
        <v>45841</v>
      </c>
      <c r="B302" s="13" t="str">
        <f t="shared" si="270"/>
        <v>Realizada</v>
      </c>
      <c r="C302" s="14">
        <v>45945</v>
      </c>
      <c r="D302" s="13" t="s">
        <v>104</v>
      </c>
      <c r="E302" s="14">
        <f t="shared" ref="E302" si="312">IF(C302="", "", EDATE(C302, 3))</f>
        <v>46037</v>
      </c>
      <c r="F302" s="13" t="s">
        <v>611</v>
      </c>
      <c r="G302" s="40">
        <v>202500298</v>
      </c>
      <c r="H302" s="13" t="s">
        <v>3237</v>
      </c>
      <c r="I302" s="13" t="s">
        <v>613</v>
      </c>
      <c r="J302" s="14">
        <v>45789</v>
      </c>
      <c r="K302" s="14">
        <v>46148</v>
      </c>
      <c r="L302" s="13" t="s">
        <v>1185</v>
      </c>
      <c r="M302" s="13" t="s">
        <v>4992</v>
      </c>
      <c r="N302" s="13" t="s">
        <v>3238</v>
      </c>
      <c r="O302" s="17" t="s">
        <v>3239</v>
      </c>
      <c r="P302" s="79" t="s">
        <v>213</v>
      </c>
      <c r="Q302" s="13" t="s">
        <v>618</v>
      </c>
      <c r="R302" s="246" t="str">
        <f>VLOOKUP(P302,'Dados das Regiões '!A:B,2,0)</f>
        <v>CASTRO</v>
      </c>
      <c r="S302" s="13" t="s">
        <v>4993</v>
      </c>
      <c r="V302" s="13" t="s">
        <v>4994</v>
      </c>
      <c r="W302" s="13" t="s">
        <v>3242</v>
      </c>
      <c r="X302" s="15">
        <v>0.33333333333333331</v>
      </c>
      <c r="Y302" s="516">
        <v>0.41666666666666669</v>
      </c>
      <c r="Z302" s="16" t="s">
        <v>622</v>
      </c>
      <c r="AA302" s="56" t="s">
        <v>1264</v>
      </c>
      <c r="AB302" s="164">
        <v>202500298</v>
      </c>
      <c r="AC302" s="55" t="s">
        <v>31</v>
      </c>
    </row>
    <row r="303" spans="1:44">
      <c r="B303" s="13" t="str">
        <f t="shared" si="270"/>
        <v>Pendente</v>
      </c>
      <c r="C303" s="14" t="str">
        <f t="shared" si="253"/>
        <v/>
      </c>
      <c r="D303" s="13" t="s">
        <v>611</v>
      </c>
      <c r="E303" s="14" t="str">
        <f t="shared" ref="E303" si="313">IF(C303="", "", EDATE(C303, 3))</f>
        <v/>
      </c>
      <c r="F303" s="13" t="s">
        <v>611</v>
      </c>
      <c r="G303" s="40">
        <v>202500298</v>
      </c>
      <c r="H303" s="13" t="s">
        <v>4995</v>
      </c>
      <c r="I303" s="13" t="s">
        <v>613</v>
      </c>
      <c r="J303" s="14">
        <v>45789</v>
      </c>
      <c r="K303" s="14">
        <v>46148</v>
      </c>
      <c r="L303" s="13" t="s">
        <v>1185</v>
      </c>
      <c r="M303" s="13" t="s">
        <v>4996</v>
      </c>
      <c r="N303" s="13" t="s">
        <v>4997</v>
      </c>
      <c r="O303" s="17" t="s">
        <v>4998</v>
      </c>
      <c r="P303" s="79" t="s">
        <v>504</v>
      </c>
      <c r="Q303" s="13" t="s">
        <v>618</v>
      </c>
      <c r="R303" s="246" t="str">
        <f>VLOOKUP(P303,'Dados das Regiões '!A:B,2,0)</f>
        <v>UMUARAMA</v>
      </c>
      <c r="S303" s="13" t="s">
        <v>4999</v>
      </c>
      <c r="U303" s="79" t="s">
        <v>5000</v>
      </c>
      <c r="V303" s="13" t="s">
        <v>5001</v>
      </c>
      <c r="W303" s="13" t="s">
        <v>5002</v>
      </c>
      <c r="X303" s="15">
        <v>0.54166666666666663</v>
      </c>
      <c r="Y303" s="516">
        <v>0.625</v>
      </c>
      <c r="Z303" s="16" t="s">
        <v>622</v>
      </c>
      <c r="AB303" s="164">
        <v>202500298</v>
      </c>
      <c r="AC303" s="55" t="s">
        <v>31</v>
      </c>
      <c r="AD303" s="40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</row>
    <row r="304" spans="1:44">
      <c r="B304" s="13" t="str">
        <f t="shared" si="270"/>
        <v>Pendente</v>
      </c>
      <c r="C304" s="14" t="str">
        <f t="shared" si="253"/>
        <v/>
      </c>
      <c r="D304" s="13" t="s">
        <v>611</v>
      </c>
      <c r="E304" s="14" t="str">
        <f t="shared" ref="E304" si="314">IF(C304="", "", EDATE(C304, 3))</f>
        <v/>
      </c>
      <c r="F304" s="13" t="s">
        <v>611</v>
      </c>
      <c r="G304" s="40">
        <v>202500298</v>
      </c>
      <c r="H304" s="13" t="s">
        <v>5003</v>
      </c>
      <c r="I304" s="13" t="s">
        <v>613</v>
      </c>
      <c r="J304" s="14">
        <v>45789</v>
      </c>
      <c r="K304" s="14">
        <v>46148</v>
      </c>
      <c r="L304" s="13" t="s">
        <v>2286</v>
      </c>
      <c r="M304" s="13" t="s">
        <v>5004</v>
      </c>
      <c r="N304" s="13" t="s">
        <v>5005</v>
      </c>
      <c r="O304" s="17" t="s">
        <v>5006</v>
      </c>
      <c r="P304" s="79" t="s">
        <v>412</v>
      </c>
      <c r="Q304" s="13" t="s">
        <v>618</v>
      </c>
      <c r="R304" s="246" t="str">
        <f>VLOOKUP(P304,'Dados das Regiões '!A:B,2,0)</f>
        <v>PARANAVAÍ</v>
      </c>
      <c r="S304" s="13" t="s">
        <v>5007</v>
      </c>
      <c r="U304" s="79" t="s">
        <v>5008</v>
      </c>
      <c r="V304" s="13" t="s">
        <v>5008</v>
      </c>
      <c r="W304" s="13" t="s">
        <v>5009</v>
      </c>
      <c r="X304" s="15">
        <v>0.58333333333333337</v>
      </c>
      <c r="Y304" s="516">
        <v>0.66666666666666663</v>
      </c>
      <c r="Z304" s="16" t="s">
        <v>622</v>
      </c>
      <c r="AB304" s="164">
        <v>202500298</v>
      </c>
      <c r="AC304" s="55" t="s">
        <v>31</v>
      </c>
      <c r="AD304" s="40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</row>
    <row r="305" spans="1:44">
      <c r="A305" s="14">
        <v>45967</v>
      </c>
      <c r="B305" s="13" t="str">
        <f t="shared" si="270"/>
        <v>Realizada</v>
      </c>
      <c r="C305" s="14">
        <f t="shared" si="253"/>
        <v>46059</v>
      </c>
      <c r="D305" s="13" t="s">
        <v>611</v>
      </c>
      <c r="E305" s="14">
        <f t="shared" ref="E305" si="315">IF(C305="", "", EDATE(C305, 3))</f>
        <v>46148</v>
      </c>
      <c r="F305" s="13" t="s">
        <v>611</v>
      </c>
      <c r="G305" s="40">
        <v>202500298</v>
      </c>
      <c r="H305" s="13" t="s">
        <v>5010</v>
      </c>
      <c r="I305" s="13" t="s">
        <v>613</v>
      </c>
      <c r="J305" s="14">
        <v>45789</v>
      </c>
      <c r="K305" s="14">
        <v>46148</v>
      </c>
      <c r="L305" s="13" t="s">
        <v>1185</v>
      </c>
      <c r="M305" s="13" t="s">
        <v>5011</v>
      </c>
      <c r="N305" s="13" t="s">
        <v>5012</v>
      </c>
      <c r="O305" s="17" t="s">
        <v>5013</v>
      </c>
      <c r="P305" s="79" t="s">
        <v>154</v>
      </c>
      <c r="Q305" s="13" t="s">
        <v>618</v>
      </c>
      <c r="R305" s="246" t="str">
        <f>VLOOKUP(P305,'Dados das Regiões '!A:B,2,0)</f>
        <v>CAMPO MOURÃO</v>
      </c>
      <c r="S305" s="13" t="s">
        <v>5014</v>
      </c>
      <c r="U305" s="79" t="s">
        <v>5015</v>
      </c>
      <c r="V305" s="13" t="s">
        <v>5015</v>
      </c>
      <c r="W305" s="13" t="s">
        <v>5016</v>
      </c>
      <c r="X305" s="15">
        <v>0.54166666666666663</v>
      </c>
      <c r="Y305" s="516">
        <v>0.625</v>
      </c>
      <c r="Z305" s="16" t="s">
        <v>622</v>
      </c>
      <c r="AB305" s="164">
        <v>202500298</v>
      </c>
      <c r="AC305" s="55" t="s">
        <v>31</v>
      </c>
      <c r="AD305" s="40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</row>
    <row r="306" spans="1:44">
      <c r="A306" s="14">
        <v>45883</v>
      </c>
      <c r="B306" s="13" t="str">
        <f t="shared" si="270"/>
        <v>Realizada</v>
      </c>
      <c r="C306" s="14">
        <v>45974</v>
      </c>
      <c r="D306" s="13" t="s">
        <v>104</v>
      </c>
      <c r="E306" s="14">
        <f t="shared" ref="E306" si="316">IF(C306="", "", EDATE(C306, 3))</f>
        <v>46066</v>
      </c>
      <c r="F306" s="13" t="s">
        <v>611</v>
      </c>
      <c r="G306" s="40">
        <v>202500298</v>
      </c>
      <c r="H306" s="13" t="s">
        <v>5017</v>
      </c>
      <c r="I306" s="13" t="s">
        <v>613</v>
      </c>
      <c r="J306" s="14">
        <v>45789</v>
      </c>
      <c r="K306" s="14">
        <v>46148</v>
      </c>
      <c r="L306" s="13" t="s">
        <v>1185</v>
      </c>
      <c r="M306" s="13" t="s">
        <v>5018</v>
      </c>
      <c r="N306" s="13" t="s">
        <v>5019</v>
      </c>
      <c r="O306" s="13" t="s">
        <v>5020</v>
      </c>
      <c r="P306" s="79" t="s">
        <v>293</v>
      </c>
      <c r="Q306" s="13" t="s">
        <v>618</v>
      </c>
      <c r="R306" s="246" t="str">
        <f>VLOOKUP(P306,'Dados das Regiões '!A:B,2,0)</f>
        <v>GUARAPUAVA</v>
      </c>
      <c r="S306" s="13" t="s">
        <v>5021</v>
      </c>
      <c r="U306" s="79" t="s">
        <v>5022</v>
      </c>
      <c r="V306" s="13" t="s">
        <v>5023</v>
      </c>
      <c r="W306" s="13" t="s">
        <v>5024</v>
      </c>
      <c r="X306" s="15">
        <v>0.54166666666666663</v>
      </c>
      <c r="Y306" s="516">
        <v>0.625</v>
      </c>
      <c r="Z306" s="16" t="s">
        <v>622</v>
      </c>
      <c r="AB306" s="164">
        <v>202500298</v>
      </c>
      <c r="AC306" s="55" t="s">
        <v>31</v>
      </c>
      <c r="AD306" s="40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</row>
    <row r="307" spans="1:44">
      <c r="B307" s="13" t="str">
        <f t="shared" si="270"/>
        <v>Pendente</v>
      </c>
      <c r="C307" s="14" t="str">
        <f t="shared" si="253"/>
        <v/>
      </c>
      <c r="D307" s="13" t="s">
        <v>611</v>
      </c>
      <c r="E307" s="14" t="str">
        <f t="shared" ref="E307" si="317">IF(C307="", "", EDATE(C307, 3))</f>
        <v/>
      </c>
      <c r="F307" s="13" t="s">
        <v>611</v>
      </c>
      <c r="G307" s="40">
        <v>202500298</v>
      </c>
      <c r="H307" s="13" t="s">
        <v>5025</v>
      </c>
      <c r="I307" s="13" t="s">
        <v>613</v>
      </c>
      <c r="J307" s="14">
        <v>45789</v>
      </c>
      <c r="K307" s="14">
        <v>46148</v>
      </c>
      <c r="L307" s="13" t="s">
        <v>1185</v>
      </c>
      <c r="M307" s="13" t="s">
        <v>5026</v>
      </c>
      <c r="N307" s="13" t="s">
        <v>5027</v>
      </c>
      <c r="O307" s="17" t="s">
        <v>5028</v>
      </c>
      <c r="P307" s="79" t="s">
        <v>468</v>
      </c>
      <c r="Q307" s="13" t="s">
        <v>618</v>
      </c>
      <c r="R307" s="246" t="str">
        <f>VLOOKUP(P307,'Dados das Regiões '!A:B,2,0)</f>
        <v>SÃO JOSÉ DOS PINHAIS</v>
      </c>
      <c r="S307" s="13" t="s">
        <v>5029</v>
      </c>
      <c r="V307" s="13" t="s">
        <v>5030</v>
      </c>
      <c r="W307" s="13" t="s">
        <v>5031</v>
      </c>
      <c r="X307" s="15">
        <v>0.35416666666666669</v>
      </c>
      <c r="Y307" s="516">
        <v>0.4375</v>
      </c>
      <c r="Z307" s="16" t="s">
        <v>622</v>
      </c>
      <c r="AB307" s="164">
        <v>202500298</v>
      </c>
      <c r="AC307" s="55" t="s">
        <v>31</v>
      </c>
      <c r="AD307" s="40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</row>
    <row r="308" spans="1:44">
      <c r="B308" s="13" t="str">
        <f t="shared" si="270"/>
        <v>Pendente</v>
      </c>
      <c r="C308" s="14" t="str">
        <f t="shared" si="253"/>
        <v/>
      </c>
      <c r="D308" s="13" t="s">
        <v>611</v>
      </c>
      <c r="E308" s="14" t="str">
        <f t="shared" ref="E308" si="318">IF(C308="", "", EDATE(C308, 3))</f>
        <v/>
      </c>
      <c r="F308" s="13" t="s">
        <v>611</v>
      </c>
      <c r="G308" s="40">
        <v>202500298</v>
      </c>
      <c r="H308" s="13" t="s">
        <v>5032</v>
      </c>
      <c r="I308" s="13" t="s">
        <v>613</v>
      </c>
      <c r="J308" s="14">
        <v>45789</v>
      </c>
      <c r="K308" s="14">
        <v>46148</v>
      </c>
      <c r="L308" s="13" t="s">
        <v>4941</v>
      </c>
      <c r="M308" s="13" t="s">
        <v>4942</v>
      </c>
      <c r="N308" s="13" t="s">
        <v>4943</v>
      </c>
      <c r="O308" s="17" t="s">
        <v>4944</v>
      </c>
      <c r="P308" s="79" t="s">
        <v>326</v>
      </c>
      <c r="Q308" s="13" t="s">
        <v>618</v>
      </c>
      <c r="R308" s="246" t="str">
        <f>VLOOKUP(P308,'Dados das Regiões '!A:B,2,0)</f>
        <v>JACAREZINHO</v>
      </c>
      <c r="S308" s="13" t="s">
        <v>5033</v>
      </c>
      <c r="U308" s="79" t="s">
        <v>4946</v>
      </c>
      <c r="V308" s="13" t="s">
        <v>4946</v>
      </c>
      <c r="W308" s="13" t="s">
        <v>4947</v>
      </c>
      <c r="X308" s="15">
        <v>0.33333333333333331</v>
      </c>
      <c r="Y308" s="516">
        <v>0.41666666666666669</v>
      </c>
      <c r="Z308" s="16" t="s">
        <v>622</v>
      </c>
      <c r="AB308" s="164">
        <v>202500298</v>
      </c>
      <c r="AC308" s="55" t="s">
        <v>31</v>
      </c>
      <c r="AD308" s="40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</row>
    <row r="309" spans="1:44">
      <c r="B309" s="13" t="str">
        <f t="shared" si="270"/>
        <v>Pendente</v>
      </c>
      <c r="C309" s="14" t="str">
        <f t="shared" ref="C309:C371" si="319">IF(A309="", "", EDATE(A309, 3))</f>
        <v/>
      </c>
      <c r="D309" s="13" t="s">
        <v>611</v>
      </c>
      <c r="E309" s="14" t="str">
        <f t="shared" ref="E309" si="320">IF(C309="", "", EDATE(C309, 3))</f>
        <v/>
      </c>
      <c r="F309" s="13" t="s">
        <v>611</v>
      </c>
      <c r="G309" s="40">
        <v>202500298</v>
      </c>
      <c r="H309" s="13" t="s">
        <v>5034</v>
      </c>
      <c r="I309" s="13" t="s">
        <v>613</v>
      </c>
      <c r="J309" s="14">
        <v>45789</v>
      </c>
      <c r="K309" s="14">
        <v>46148</v>
      </c>
      <c r="L309" s="13" t="s">
        <v>1185</v>
      </c>
      <c r="M309" s="13" t="s">
        <v>5035</v>
      </c>
      <c r="N309" s="13" t="s">
        <v>5036</v>
      </c>
      <c r="O309" s="17" t="s">
        <v>5037</v>
      </c>
      <c r="P309" s="79" t="s">
        <v>256</v>
      </c>
      <c r="Q309" s="13" t="s">
        <v>618</v>
      </c>
      <c r="R309" s="246" t="str">
        <f>VLOOKUP(P309,'Dados das Regiões '!A:B,2,0)</f>
        <v>FOZ DO IGUAÇU</v>
      </c>
      <c r="S309" s="13" t="s">
        <v>5038</v>
      </c>
      <c r="U309" s="79" t="s">
        <v>5039</v>
      </c>
      <c r="V309" s="13" t="s">
        <v>5040</v>
      </c>
      <c r="W309" s="13" t="s">
        <v>5041</v>
      </c>
      <c r="X309" s="15">
        <v>0.5625</v>
      </c>
      <c r="Y309" s="516">
        <v>0.64583333333333337</v>
      </c>
      <c r="Z309" s="16" t="s">
        <v>622</v>
      </c>
      <c r="AB309" s="164">
        <v>202500298</v>
      </c>
      <c r="AC309" s="55" t="s">
        <v>31</v>
      </c>
      <c r="AD309" s="40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</row>
    <row r="310" spans="1:44">
      <c r="B310" s="13" t="str">
        <f t="shared" si="270"/>
        <v>Pendente</v>
      </c>
      <c r="C310" s="14" t="str">
        <f t="shared" si="319"/>
        <v/>
      </c>
      <c r="D310" s="13" t="s">
        <v>611</v>
      </c>
      <c r="E310" s="14" t="str">
        <f t="shared" ref="E310" si="321">IF(C310="", "", EDATE(C310, 3))</f>
        <v/>
      </c>
      <c r="F310" s="13" t="s">
        <v>611</v>
      </c>
      <c r="G310" s="40">
        <v>202500298</v>
      </c>
      <c r="H310" s="13" t="s">
        <v>5042</v>
      </c>
      <c r="I310" s="13" t="s">
        <v>613</v>
      </c>
      <c r="J310" s="14">
        <v>45789</v>
      </c>
      <c r="K310" s="14">
        <v>46148</v>
      </c>
      <c r="L310" s="13" t="s">
        <v>1185</v>
      </c>
      <c r="M310" s="13" t="s">
        <v>5043</v>
      </c>
      <c r="N310" s="13" t="s">
        <v>5044</v>
      </c>
      <c r="O310" s="17" t="s">
        <v>5045</v>
      </c>
      <c r="P310" s="79" t="s">
        <v>386</v>
      </c>
      <c r="Q310" s="13" t="s">
        <v>618</v>
      </c>
      <c r="R310" s="246" t="str">
        <f>VLOOKUP(P310,'Dados das Regiões '!A:B,2,0)</f>
        <v>MEDIANEIRA</v>
      </c>
      <c r="S310" s="13" t="s">
        <v>5046</v>
      </c>
      <c r="V310" s="13" t="s">
        <v>5047</v>
      </c>
      <c r="W310" s="13" t="s">
        <v>5048</v>
      </c>
      <c r="X310" s="15">
        <v>0.5625</v>
      </c>
      <c r="Y310" s="516">
        <v>0.64583333333333337</v>
      </c>
      <c r="Z310" s="16" t="s">
        <v>622</v>
      </c>
      <c r="AB310" s="164">
        <v>202500298</v>
      </c>
      <c r="AC310" s="55" t="s">
        <v>31</v>
      </c>
      <c r="AD310" s="40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</row>
    <row r="311" spans="1:44">
      <c r="B311" s="13" t="str">
        <f t="shared" si="270"/>
        <v>Pendente</v>
      </c>
      <c r="C311" s="14" t="str">
        <f t="shared" si="319"/>
        <v/>
      </c>
      <c r="D311" s="13" t="s">
        <v>611</v>
      </c>
      <c r="E311" s="14" t="str">
        <f t="shared" ref="E311" si="322">IF(C311="", "", EDATE(C311, 3))</f>
        <v/>
      </c>
      <c r="F311" s="13" t="s">
        <v>611</v>
      </c>
      <c r="G311" s="40">
        <v>202500298</v>
      </c>
      <c r="H311" s="13" t="s">
        <v>5049</v>
      </c>
      <c r="I311" s="13" t="s">
        <v>613</v>
      </c>
      <c r="J311" s="14">
        <v>45789</v>
      </c>
      <c r="K311" s="14">
        <v>46148</v>
      </c>
      <c r="L311" s="13" t="s">
        <v>1185</v>
      </c>
      <c r="M311" s="13" t="s">
        <v>5050</v>
      </c>
      <c r="N311" s="13" t="s">
        <v>5051</v>
      </c>
      <c r="O311" s="17" t="s">
        <v>5052</v>
      </c>
      <c r="P311" s="79" t="s">
        <v>181</v>
      </c>
      <c r="Q311" s="13" t="s">
        <v>618</v>
      </c>
      <c r="R311" s="246" t="str">
        <f>VLOOKUP(P311,'Dados das Regiões '!A:B,2,0)</f>
        <v>CASCAVEL</v>
      </c>
      <c r="S311" s="13" t="s">
        <v>5053</v>
      </c>
      <c r="U311" s="79" t="s">
        <v>5054</v>
      </c>
      <c r="V311" s="13" t="s">
        <v>5055</v>
      </c>
      <c r="W311" s="13" t="s">
        <v>5056</v>
      </c>
      <c r="X311" s="15">
        <v>0.33333333333333331</v>
      </c>
      <c r="Y311" s="516">
        <v>0.41666666666666669</v>
      </c>
      <c r="Z311" s="16" t="s">
        <v>622</v>
      </c>
      <c r="AB311" s="164">
        <v>202500298</v>
      </c>
      <c r="AC311" s="55" t="s">
        <v>31</v>
      </c>
      <c r="AD311" s="40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</row>
    <row r="312" spans="1:44">
      <c r="B312" s="13" t="str">
        <f t="shared" si="270"/>
        <v>Pendente</v>
      </c>
      <c r="C312" s="14" t="str">
        <f t="shared" si="319"/>
        <v/>
      </c>
      <c r="D312" s="13" t="s">
        <v>611</v>
      </c>
      <c r="E312" s="14" t="str">
        <f t="shared" ref="E312" si="323">IF(C312="", "", EDATE(C312, 3))</f>
        <v/>
      </c>
      <c r="F312" s="13" t="s">
        <v>611</v>
      </c>
      <c r="G312" s="40">
        <v>202500357</v>
      </c>
      <c r="H312" s="13" t="s">
        <v>5057</v>
      </c>
      <c r="I312" s="13" t="s">
        <v>613</v>
      </c>
      <c r="J312" s="14">
        <v>45761</v>
      </c>
      <c r="K312" s="14">
        <v>46121</v>
      </c>
      <c r="L312" s="13" t="s">
        <v>5058</v>
      </c>
      <c r="M312" s="13" t="s">
        <v>5059</v>
      </c>
      <c r="N312" s="13" t="s">
        <v>5060</v>
      </c>
      <c r="O312" s="17" t="s">
        <v>5061</v>
      </c>
      <c r="P312" s="79" t="s">
        <v>406</v>
      </c>
      <c r="Q312" s="13" t="s">
        <v>618</v>
      </c>
      <c r="R312" s="246" t="str">
        <f>VLOOKUP(P312,'Dados das Regiões '!A:B,2,0)</f>
        <v>PALMAS</v>
      </c>
      <c r="S312" s="13" t="s">
        <v>5062</v>
      </c>
      <c r="V312" s="13" t="s">
        <v>5063</v>
      </c>
      <c r="W312" s="13" t="s">
        <v>5064</v>
      </c>
      <c r="X312" s="15">
        <v>0.33333333333333331</v>
      </c>
      <c r="Y312" s="516">
        <v>0.41666666666666669</v>
      </c>
      <c r="Z312" s="16" t="s">
        <v>622</v>
      </c>
      <c r="AB312" s="164">
        <v>202500357</v>
      </c>
      <c r="AC312" s="55" t="s">
        <v>32</v>
      </c>
      <c r="AD312" s="40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</row>
    <row r="313" spans="1:44">
      <c r="A313" s="14">
        <v>45874</v>
      </c>
      <c r="B313" s="13" t="str">
        <f t="shared" si="270"/>
        <v>Realizada</v>
      </c>
      <c r="C313" s="14">
        <v>45995</v>
      </c>
      <c r="D313" s="13" t="s">
        <v>104</v>
      </c>
      <c r="E313" s="14">
        <f t="shared" ref="E313" si="324">IF(C313="", "", EDATE(C313, 3))</f>
        <v>46085</v>
      </c>
      <c r="F313" s="13" t="s">
        <v>611</v>
      </c>
      <c r="G313" s="40">
        <v>202500357</v>
      </c>
      <c r="H313" s="13" t="s">
        <v>5065</v>
      </c>
      <c r="I313" s="13" t="s">
        <v>613</v>
      </c>
      <c r="J313" s="14">
        <v>45761</v>
      </c>
      <c r="K313" s="14">
        <v>46121</v>
      </c>
      <c r="L313" s="13" t="s">
        <v>5066</v>
      </c>
      <c r="M313" s="13" t="s">
        <v>5067</v>
      </c>
      <c r="N313" s="13" t="s">
        <v>5068</v>
      </c>
      <c r="O313" s="17" t="s">
        <v>5069</v>
      </c>
      <c r="P313" s="79" t="s">
        <v>300</v>
      </c>
      <c r="Q313" s="13" t="s">
        <v>618</v>
      </c>
      <c r="R313" s="246" t="str">
        <f>VLOOKUP(P313,'Dados das Regiões '!A:B,2,0)</f>
        <v>GUARAPUAVA</v>
      </c>
      <c r="S313" s="13" t="s">
        <v>5070</v>
      </c>
      <c r="V313" s="13" t="s">
        <v>5071</v>
      </c>
      <c r="W313" s="13" t="s">
        <v>5072</v>
      </c>
      <c r="X313" s="15">
        <v>0.5625</v>
      </c>
      <c r="Y313" s="516">
        <v>0.64583333333333337</v>
      </c>
      <c r="Z313" s="16" t="s">
        <v>622</v>
      </c>
      <c r="AB313" s="164">
        <v>202500357</v>
      </c>
      <c r="AC313" s="55" t="s">
        <v>32</v>
      </c>
      <c r="AD313" s="40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</row>
    <row r="314" spans="1:44">
      <c r="B314" s="13" t="str">
        <f t="shared" si="270"/>
        <v>Pendente</v>
      </c>
      <c r="C314" s="14" t="str">
        <f t="shared" si="319"/>
        <v/>
      </c>
      <c r="D314" s="13" t="s">
        <v>611</v>
      </c>
      <c r="E314" s="14" t="str">
        <f t="shared" ref="E314" si="325">IF(C314="", "", EDATE(C314, 3))</f>
        <v/>
      </c>
      <c r="F314" s="13" t="s">
        <v>611</v>
      </c>
      <c r="G314" s="40">
        <v>202500357</v>
      </c>
      <c r="H314" s="13" t="s">
        <v>5073</v>
      </c>
      <c r="I314" s="13" t="s">
        <v>613</v>
      </c>
      <c r="J314" s="14">
        <v>45761</v>
      </c>
      <c r="K314" s="14">
        <v>46121</v>
      </c>
      <c r="L314" s="13" t="s">
        <v>5074</v>
      </c>
      <c r="M314" s="13" t="s">
        <v>5075</v>
      </c>
      <c r="N314" s="13" t="s">
        <v>5076</v>
      </c>
      <c r="O314" s="17" t="s">
        <v>5077</v>
      </c>
      <c r="P314" s="79" t="s">
        <v>487</v>
      </c>
      <c r="Q314" s="13" t="s">
        <v>618</v>
      </c>
      <c r="R314" s="246" t="str">
        <f>VLOOKUP(P314,'Dados das Regiões '!A:B,2,0)</f>
        <v>UMUARAMA</v>
      </c>
      <c r="S314" s="13" t="s">
        <v>5078</v>
      </c>
      <c r="V314" s="13" t="s">
        <v>5079</v>
      </c>
      <c r="W314" s="13" t="s">
        <v>5080</v>
      </c>
      <c r="X314" s="15">
        <v>0.33333333333333331</v>
      </c>
      <c r="Y314" s="516">
        <v>0.41666666666666669</v>
      </c>
      <c r="Z314" s="16" t="s">
        <v>622</v>
      </c>
      <c r="AB314" s="164">
        <v>202500357</v>
      </c>
      <c r="AC314" s="55" t="s">
        <v>32</v>
      </c>
      <c r="AD314" s="40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</row>
    <row r="315" spans="1:44">
      <c r="B315" s="13" t="str">
        <f t="shared" si="270"/>
        <v>Pendente</v>
      </c>
      <c r="C315" s="14" t="str">
        <f t="shared" si="319"/>
        <v/>
      </c>
      <c r="D315" s="13" t="s">
        <v>611</v>
      </c>
      <c r="E315" s="14" t="str">
        <f t="shared" ref="E315" si="326">IF(C315="", "", EDATE(C315, 3))</f>
        <v/>
      </c>
      <c r="F315" s="13" t="s">
        <v>611</v>
      </c>
      <c r="G315" s="40">
        <v>202500357</v>
      </c>
      <c r="H315" s="13" t="s">
        <v>5081</v>
      </c>
      <c r="I315" s="13" t="s">
        <v>613</v>
      </c>
      <c r="J315" s="14">
        <v>45761</v>
      </c>
      <c r="K315" s="14">
        <v>46121</v>
      </c>
      <c r="L315" s="13" t="s">
        <v>5066</v>
      </c>
      <c r="M315" s="13" t="s">
        <v>5082</v>
      </c>
      <c r="N315" s="13" t="s">
        <v>5083</v>
      </c>
      <c r="O315" s="17" t="s">
        <v>5084</v>
      </c>
      <c r="P315" s="79" t="s">
        <v>359</v>
      </c>
      <c r="Q315" s="13" t="s">
        <v>618</v>
      </c>
      <c r="R315" s="246" t="str">
        <f>VLOOKUP(P315,'Dados das Regiões '!A:B,2,0)</f>
        <v>MARECHAL CÂNDIDO RONDON</v>
      </c>
      <c r="S315" s="13" t="s">
        <v>5085</v>
      </c>
      <c r="V315" s="13" t="s">
        <v>5086</v>
      </c>
      <c r="W315" s="13" t="s">
        <v>5087</v>
      </c>
      <c r="X315" s="15">
        <v>0.33333333333333331</v>
      </c>
      <c r="Y315" s="516">
        <v>0.41666666666666669</v>
      </c>
      <c r="Z315" s="16" t="s">
        <v>622</v>
      </c>
      <c r="AB315" s="164">
        <v>202500357</v>
      </c>
      <c r="AC315" s="55" t="s">
        <v>32</v>
      </c>
      <c r="AD315" s="40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</row>
    <row r="316" spans="1:44">
      <c r="B316" s="13" t="str">
        <f t="shared" si="270"/>
        <v>Pendente</v>
      </c>
      <c r="C316" s="14" t="str">
        <f t="shared" si="319"/>
        <v/>
      </c>
      <c r="D316" s="13" t="s">
        <v>611</v>
      </c>
      <c r="E316" s="14" t="str">
        <f t="shared" ref="E316" si="327">IF(C316="", "", EDATE(C316, 3))</f>
        <v/>
      </c>
      <c r="F316" s="13" t="s">
        <v>611</v>
      </c>
      <c r="G316" s="40">
        <v>202500357</v>
      </c>
      <c r="H316" s="13" t="s">
        <v>5088</v>
      </c>
      <c r="I316" s="13" t="s">
        <v>613</v>
      </c>
      <c r="J316" s="14">
        <v>45761</v>
      </c>
      <c r="K316" s="14">
        <v>46121</v>
      </c>
      <c r="L316" s="13" t="s">
        <v>5066</v>
      </c>
      <c r="M316" s="13" t="s">
        <v>5089</v>
      </c>
      <c r="N316" s="13" t="s">
        <v>5090</v>
      </c>
      <c r="O316" s="17" t="s">
        <v>5091</v>
      </c>
      <c r="P316" s="79" t="s">
        <v>359</v>
      </c>
      <c r="Q316" s="13" t="s">
        <v>618</v>
      </c>
      <c r="R316" s="246" t="str">
        <f>VLOOKUP(P316,'Dados das Regiões '!A:B,2,0)</f>
        <v>MARECHAL CÂNDIDO RONDON</v>
      </c>
      <c r="S316" s="13" t="s">
        <v>5092</v>
      </c>
      <c r="V316" s="13" t="s">
        <v>5093</v>
      </c>
      <c r="W316" s="13" t="s">
        <v>5094</v>
      </c>
      <c r="X316" s="15">
        <v>0.5625</v>
      </c>
      <c r="Y316" s="516">
        <v>0.64583333333333337</v>
      </c>
      <c r="Z316" s="16" t="s">
        <v>622</v>
      </c>
      <c r="AB316" s="164">
        <v>202500357</v>
      </c>
      <c r="AC316" s="55" t="s">
        <v>32</v>
      </c>
      <c r="AD316" s="40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</row>
    <row r="317" spans="1:44">
      <c r="B317" s="13" t="str">
        <f t="shared" si="270"/>
        <v>Pendente</v>
      </c>
      <c r="C317" s="14" t="str">
        <f t="shared" si="319"/>
        <v/>
      </c>
      <c r="D317" s="13" t="s">
        <v>611</v>
      </c>
      <c r="E317" s="14" t="str">
        <f t="shared" ref="E317" si="328">IF(C317="", "", EDATE(C317, 3))</f>
        <v/>
      </c>
      <c r="F317" s="13" t="s">
        <v>611</v>
      </c>
      <c r="G317" s="40">
        <v>202500357</v>
      </c>
      <c r="H317" s="13" t="s">
        <v>5095</v>
      </c>
      <c r="I317" s="13" t="s">
        <v>613</v>
      </c>
      <c r="J317" s="14">
        <v>45761</v>
      </c>
      <c r="K317" s="14">
        <v>46121</v>
      </c>
      <c r="L317" s="13" t="s">
        <v>5066</v>
      </c>
      <c r="M317" s="13" t="s">
        <v>5096</v>
      </c>
      <c r="N317" s="13" t="s">
        <v>5097</v>
      </c>
      <c r="O317" s="17" t="s">
        <v>5098</v>
      </c>
      <c r="P317" s="79" t="s">
        <v>182</v>
      </c>
      <c r="Q317" s="13" t="s">
        <v>618</v>
      </c>
      <c r="R317" s="246" t="str">
        <f>VLOOKUP(P317,'Dados das Regiões '!A:B,2,0)</f>
        <v>CASCAVEL</v>
      </c>
      <c r="S317" s="13" t="s">
        <v>5099</v>
      </c>
      <c r="V317" s="13" t="s">
        <v>5100</v>
      </c>
      <c r="W317" s="13" t="s">
        <v>5101</v>
      </c>
      <c r="X317" s="15">
        <v>0.33333333333333331</v>
      </c>
      <c r="Y317" s="516">
        <v>0.41666666666666669</v>
      </c>
      <c r="Z317" s="16" t="s">
        <v>622</v>
      </c>
      <c r="AB317" s="164">
        <v>202500357</v>
      </c>
      <c r="AC317" s="55" t="s">
        <v>32</v>
      </c>
      <c r="AD317" s="40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</row>
    <row r="318" spans="1:44">
      <c r="B318" s="13" t="str">
        <f t="shared" si="270"/>
        <v>Pendente</v>
      </c>
      <c r="C318" s="14" t="str">
        <f t="shared" si="319"/>
        <v/>
      </c>
      <c r="D318" s="13" t="s">
        <v>611</v>
      </c>
      <c r="E318" s="14" t="str">
        <f t="shared" ref="E318" si="329">IF(C318="", "", EDATE(C318, 3))</f>
        <v/>
      </c>
      <c r="F318" s="13" t="s">
        <v>611</v>
      </c>
      <c r="G318" s="40">
        <v>202500357</v>
      </c>
      <c r="H318" s="13" t="s">
        <v>5102</v>
      </c>
      <c r="I318" s="13" t="s">
        <v>613</v>
      </c>
      <c r="J318" s="14">
        <v>45761</v>
      </c>
      <c r="K318" s="14">
        <v>46121</v>
      </c>
      <c r="L318" s="13" t="s">
        <v>5103</v>
      </c>
      <c r="M318" s="13" t="s">
        <v>5104</v>
      </c>
      <c r="N318" s="13" t="s">
        <v>5105</v>
      </c>
      <c r="O318" s="17" t="s">
        <v>5106</v>
      </c>
      <c r="P318" s="79" t="s">
        <v>478</v>
      </c>
      <c r="Q318" s="13" t="s">
        <v>618</v>
      </c>
      <c r="R318" s="246" t="str">
        <f>VLOOKUP(P318,'Dados das Regiões '!A:B,2,0)</f>
        <v>TOLEDO</v>
      </c>
      <c r="S318" s="13" t="s">
        <v>5107</v>
      </c>
      <c r="V318" s="13" t="s">
        <v>5108</v>
      </c>
      <c r="W318" s="13" t="s">
        <v>5109</v>
      </c>
      <c r="X318" s="15">
        <v>0.5625</v>
      </c>
      <c r="Y318" s="516">
        <v>0.64583333333333337</v>
      </c>
      <c r="Z318" s="16" t="s">
        <v>622</v>
      </c>
      <c r="AB318" s="164">
        <v>202500357</v>
      </c>
      <c r="AC318" s="55" t="s">
        <v>32</v>
      </c>
      <c r="AD318" s="40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</row>
    <row r="319" spans="1:44">
      <c r="B319" s="13" t="str">
        <f t="shared" si="270"/>
        <v>Pendente</v>
      </c>
      <c r="C319" s="14" t="str">
        <f t="shared" si="319"/>
        <v/>
      </c>
      <c r="D319" s="13" t="s">
        <v>611</v>
      </c>
      <c r="E319" s="14" t="str">
        <f t="shared" ref="E319" si="330">IF(C319="", "", EDATE(C319, 3))</f>
        <v/>
      </c>
      <c r="F319" s="13" t="s">
        <v>611</v>
      </c>
      <c r="G319" s="40">
        <v>202500357</v>
      </c>
      <c r="H319" s="13" t="s">
        <v>5110</v>
      </c>
      <c r="I319" s="13" t="s">
        <v>613</v>
      </c>
      <c r="J319" s="14">
        <v>45761</v>
      </c>
      <c r="K319" s="14">
        <v>46121</v>
      </c>
      <c r="L319" s="13" t="s">
        <v>5066</v>
      </c>
      <c r="M319" s="13" t="s">
        <v>5111</v>
      </c>
      <c r="N319" s="13" t="s">
        <v>5112</v>
      </c>
      <c r="O319" s="17" t="s">
        <v>5113</v>
      </c>
      <c r="P319" s="79" t="s">
        <v>481</v>
      </c>
      <c r="Q319" s="13" t="s">
        <v>618</v>
      </c>
      <c r="R319" s="246" t="str">
        <f>VLOOKUP(P319,'Dados das Regiões '!A:B,2,0)</f>
        <v>TOLEDO</v>
      </c>
      <c r="S319" s="13" t="s">
        <v>5114</v>
      </c>
      <c r="V319" s="13" t="s">
        <v>5115</v>
      </c>
      <c r="W319" s="13" t="s">
        <v>5116</v>
      </c>
      <c r="X319" s="15">
        <v>0.33333333333333331</v>
      </c>
      <c r="Y319" s="516">
        <v>0.41666666666666669</v>
      </c>
      <c r="Z319" s="16" t="s">
        <v>622</v>
      </c>
      <c r="AB319" s="164">
        <v>202500357</v>
      </c>
      <c r="AC319" s="55" t="s">
        <v>32</v>
      </c>
      <c r="AD319" s="40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</row>
    <row r="320" spans="1:44">
      <c r="B320" s="13" t="str">
        <f t="shared" si="270"/>
        <v>Pendente</v>
      </c>
      <c r="C320" s="14" t="str">
        <f t="shared" si="319"/>
        <v/>
      </c>
      <c r="D320" s="13" t="s">
        <v>611</v>
      </c>
      <c r="E320" s="14" t="str">
        <f t="shared" ref="E320" si="331">IF(C320="", "", EDATE(C320, 3))</f>
        <v/>
      </c>
      <c r="F320" s="13" t="s">
        <v>611</v>
      </c>
      <c r="G320" s="40">
        <v>202500357</v>
      </c>
      <c r="H320" s="13" t="s">
        <v>5117</v>
      </c>
      <c r="I320" s="13" t="s">
        <v>613</v>
      </c>
      <c r="J320" s="14">
        <v>45761</v>
      </c>
      <c r="K320" s="14">
        <v>46121</v>
      </c>
      <c r="L320" s="13" t="s">
        <v>5103</v>
      </c>
      <c r="M320" s="13" t="s">
        <v>5118</v>
      </c>
      <c r="N320" s="13" t="s">
        <v>5119</v>
      </c>
      <c r="O320" s="17" t="s">
        <v>5120</v>
      </c>
      <c r="P320" s="79" t="s">
        <v>493</v>
      </c>
      <c r="Q320" s="13" t="s">
        <v>618</v>
      </c>
      <c r="R320" s="246" t="str">
        <f>VLOOKUP(P320,'Dados das Regiões '!A:B,2,0)</f>
        <v>UMUARAMA</v>
      </c>
      <c r="S320" s="13" t="s">
        <v>5121</v>
      </c>
      <c r="V320" s="13" t="s">
        <v>5122</v>
      </c>
      <c r="W320" s="13" t="s">
        <v>5123</v>
      </c>
      <c r="X320" s="15">
        <v>0.33333333333333331</v>
      </c>
      <c r="Y320" s="516">
        <v>0.41666666666666669</v>
      </c>
      <c r="Z320" s="16" t="s">
        <v>622</v>
      </c>
      <c r="AB320" s="164">
        <v>202500357</v>
      </c>
      <c r="AC320" s="55" t="s">
        <v>32</v>
      </c>
      <c r="AD320" s="40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</row>
    <row r="321" spans="1:44">
      <c r="B321" s="13" t="str">
        <f t="shared" ref="B321:B374" si="332">IF(ISBLANK(A321), "Pendente", "Realizada")</f>
        <v>Pendente</v>
      </c>
      <c r="C321" s="14" t="str">
        <f t="shared" si="319"/>
        <v/>
      </c>
      <c r="D321" s="13" t="s">
        <v>611</v>
      </c>
      <c r="E321" s="14" t="str">
        <f t="shared" ref="E321" si="333">IF(C321="", "", EDATE(C321, 3))</f>
        <v/>
      </c>
      <c r="F321" s="13" t="s">
        <v>611</v>
      </c>
      <c r="G321" s="40">
        <v>202500357</v>
      </c>
      <c r="H321" s="13" t="s">
        <v>5124</v>
      </c>
      <c r="I321" s="13" t="s">
        <v>613</v>
      </c>
      <c r="J321" s="14">
        <v>45761</v>
      </c>
      <c r="K321" s="14">
        <v>46121</v>
      </c>
      <c r="L321" s="13" t="s">
        <v>5066</v>
      </c>
      <c r="M321" s="13" t="s">
        <v>5125</v>
      </c>
      <c r="N321" s="13" t="s">
        <v>5126</v>
      </c>
      <c r="O321" s="17" t="s">
        <v>5127</v>
      </c>
      <c r="P321" s="79" t="s">
        <v>321</v>
      </c>
      <c r="Q321" s="13" t="s">
        <v>618</v>
      </c>
      <c r="R321" s="246" t="str">
        <f>VLOOKUP(P321,'Dados das Regiões '!A:B,2,0)</f>
        <v>IVAIPORÃ</v>
      </c>
      <c r="S321" s="13" t="s">
        <v>5128</v>
      </c>
      <c r="V321" s="13" t="s">
        <v>5129</v>
      </c>
      <c r="W321" s="13" t="s">
        <v>5130</v>
      </c>
      <c r="X321" s="15">
        <v>0.5625</v>
      </c>
      <c r="Y321" s="516">
        <v>0.64583333333333337</v>
      </c>
      <c r="Z321" s="16" t="s">
        <v>622</v>
      </c>
      <c r="AB321" s="164">
        <v>202500357</v>
      </c>
      <c r="AC321" s="55" t="s">
        <v>32</v>
      </c>
      <c r="AD321" s="40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</row>
    <row r="322" spans="1:44">
      <c r="B322" s="13" t="str">
        <f t="shared" si="332"/>
        <v>Pendente</v>
      </c>
      <c r="C322" s="14" t="str">
        <f t="shared" si="319"/>
        <v/>
      </c>
      <c r="D322" s="13" t="s">
        <v>611</v>
      </c>
      <c r="E322" s="14" t="str">
        <f t="shared" ref="E322" si="334">IF(C322="", "", EDATE(C322, 3))</f>
        <v/>
      </c>
      <c r="F322" s="13" t="s">
        <v>611</v>
      </c>
      <c r="G322" s="40">
        <v>202500357</v>
      </c>
      <c r="H322" s="13" t="s">
        <v>5131</v>
      </c>
      <c r="I322" s="13" t="s">
        <v>613</v>
      </c>
      <c r="J322" s="14">
        <v>45761</v>
      </c>
      <c r="K322" s="14">
        <v>46121</v>
      </c>
      <c r="L322" s="13" t="s">
        <v>5066</v>
      </c>
      <c r="M322" s="13" t="s">
        <v>5089</v>
      </c>
      <c r="N322" s="13" t="s">
        <v>5090</v>
      </c>
      <c r="O322" s="17" t="s">
        <v>5091</v>
      </c>
      <c r="P322" s="79" t="s">
        <v>359</v>
      </c>
      <c r="Q322" s="13" t="s">
        <v>618</v>
      </c>
      <c r="R322" s="246" t="str">
        <f>VLOOKUP(P322,'Dados das Regiões '!A:B,2,0)</f>
        <v>MARECHAL CÂNDIDO RONDON</v>
      </c>
      <c r="S322" s="13" t="s">
        <v>5092</v>
      </c>
      <c r="V322" s="13" t="s">
        <v>5093</v>
      </c>
      <c r="W322" s="13" t="s">
        <v>5094</v>
      </c>
      <c r="X322" s="15">
        <v>0.5625</v>
      </c>
      <c r="Y322" s="516">
        <v>0.64583333333333337</v>
      </c>
      <c r="Z322" s="16" t="s">
        <v>622</v>
      </c>
      <c r="AB322" s="164">
        <v>202500357</v>
      </c>
      <c r="AC322" s="55" t="s">
        <v>32</v>
      </c>
      <c r="AD322" s="40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</row>
    <row r="323" spans="1:44">
      <c r="A323" s="14">
        <v>45932</v>
      </c>
      <c r="B323" s="13" t="str">
        <f t="shared" si="332"/>
        <v>Realizada</v>
      </c>
      <c r="C323" s="14">
        <f t="shared" si="319"/>
        <v>46024</v>
      </c>
      <c r="D323" s="13" t="s">
        <v>611</v>
      </c>
      <c r="E323" s="14">
        <f t="shared" ref="E323" si="335">IF(C323="", "", EDATE(C323, 3))</f>
        <v>46114</v>
      </c>
      <c r="F323" s="13" t="s">
        <v>611</v>
      </c>
      <c r="G323" s="40">
        <v>202500357</v>
      </c>
      <c r="H323" s="13" t="s">
        <v>5132</v>
      </c>
      <c r="I323" s="13" t="s">
        <v>613</v>
      </c>
      <c r="J323" s="14">
        <v>45761</v>
      </c>
      <c r="K323" s="14">
        <v>46121</v>
      </c>
      <c r="L323" s="13" t="s">
        <v>5066</v>
      </c>
      <c r="M323" s="13" t="s">
        <v>5133</v>
      </c>
      <c r="N323" s="13" t="s">
        <v>5134</v>
      </c>
      <c r="O323" s="17" t="s">
        <v>5135</v>
      </c>
      <c r="P323" s="79" t="s">
        <v>271</v>
      </c>
      <c r="Q323" s="13" t="s">
        <v>618</v>
      </c>
      <c r="R323" s="246" t="str">
        <f>VLOOKUP(P323,'Dados das Regiões '!A:B,2,0)</f>
        <v>FRANCISCO BELTRÃO</v>
      </c>
      <c r="S323" s="13" t="s">
        <v>5136</v>
      </c>
      <c r="V323" s="13" t="s">
        <v>5137</v>
      </c>
      <c r="W323" s="13" t="s">
        <v>5138</v>
      </c>
      <c r="X323" s="15">
        <v>0.54166666666666663</v>
      </c>
      <c r="Y323" s="516">
        <v>0.625</v>
      </c>
      <c r="Z323" s="16" t="s">
        <v>622</v>
      </c>
      <c r="AB323" s="164">
        <v>202500357</v>
      </c>
      <c r="AC323" s="55" t="s">
        <v>32</v>
      </c>
      <c r="AD323" s="40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</row>
    <row r="324" spans="1:44">
      <c r="B324" s="13" t="str">
        <f t="shared" si="332"/>
        <v>Pendente</v>
      </c>
      <c r="C324" s="14" t="str">
        <f t="shared" si="319"/>
        <v/>
      </c>
      <c r="D324" s="13" t="s">
        <v>611</v>
      </c>
      <c r="E324" s="14" t="str">
        <f t="shared" ref="E324" si="336">IF(C324="", "", EDATE(C324, 3))</f>
        <v/>
      </c>
      <c r="F324" s="13" t="s">
        <v>611</v>
      </c>
      <c r="G324" s="40">
        <v>202500357</v>
      </c>
      <c r="H324" s="13" t="s">
        <v>5139</v>
      </c>
      <c r="I324" s="13" t="s">
        <v>613</v>
      </c>
      <c r="J324" s="14">
        <v>45761</v>
      </c>
      <c r="K324" s="14">
        <v>46121</v>
      </c>
      <c r="L324" s="13" t="s">
        <v>5066</v>
      </c>
      <c r="M324" s="13" t="s">
        <v>5140</v>
      </c>
      <c r="N324" s="13" t="s">
        <v>5090</v>
      </c>
      <c r="O324" s="17" t="s">
        <v>5091</v>
      </c>
      <c r="P324" s="79" t="s">
        <v>359</v>
      </c>
      <c r="Q324" s="13" t="s">
        <v>618</v>
      </c>
      <c r="R324" s="246" t="str">
        <f>VLOOKUP(P324,'Dados das Regiões '!A:B,2,0)</f>
        <v>MARECHAL CÂNDIDO RONDON</v>
      </c>
      <c r="S324" s="13" t="s">
        <v>5141</v>
      </c>
      <c r="V324" s="13" t="s">
        <v>5142</v>
      </c>
      <c r="W324" s="13" t="s">
        <v>5143</v>
      </c>
      <c r="X324" s="15">
        <v>0.5625</v>
      </c>
      <c r="Y324" s="516">
        <v>0.64583333333333337</v>
      </c>
      <c r="Z324" s="16" t="s">
        <v>622</v>
      </c>
      <c r="AB324" s="164">
        <v>202500357</v>
      </c>
      <c r="AC324" s="55" t="s">
        <v>32</v>
      </c>
      <c r="AD324" s="40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</row>
    <row r="325" spans="1:44">
      <c r="B325" s="13" t="str">
        <f t="shared" si="332"/>
        <v>Pendente</v>
      </c>
      <c r="C325" s="14" t="str">
        <f t="shared" si="319"/>
        <v/>
      </c>
      <c r="D325" s="13" t="s">
        <v>611</v>
      </c>
      <c r="E325" s="14" t="str">
        <f t="shared" ref="E325" si="337">IF(C325="", "", EDATE(C325, 3))</f>
        <v/>
      </c>
      <c r="F325" s="13" t="s">
        <v>611</v>
      </c>
      <c r="G325" s="40">
        <v>202500357</v>
      </c>
      <c r="H325" s="13" t="s">
        <v>5144</v>
      </c>
      <c r="I325" s="13" t="s">
        <v>613</v>
      </c>
      <c r="J325" s="14">
        <v>45761</v>
      </c>
      <c r="K325" s="14">
        <v>46121</v>
      </c>
      <c r="L325" s="13" t="s">
        <v>5066</v>
      </c>
      <c r="M325" s="13" t="s">
        <v>5145</v>
      </c>
      <c r="N325" s="13" t="s">
        <v>5146</v>
      </c>
      <c r="O325" s="17" t="s">
        <v>5147</v>
      </c>
      <c r="P325" s="79" t="s">
        <v>363</v>
      </c>
      <c r="Q325" s="13" t="s">
        <v>618</v>
      </c>
      <c r="R325" s="246" t="str">
        <f>VLOOKUP(P325,'Dados das Regiões '!A:B,2,0)</f>
        <v>MARINGÁ</v>
      </c>
      <c r="S325" s="13" t="s">
        <v>5148</v>
      </c>
      <c r="V325" s="13" t="s">
        <v>5149</v>
      </c>
      <c r="W325" s="13" t="s">
        <v>5150</v>
      </c>
      <c r="X325" s="15">
        <v>0.5625</v>
      </c>
      <c r="Y325" s="516">
        <v>0.64583333333333337</v>
      </c>
      <c r="Z325" s="16" t="s">
        <v>622</v>
      </c>
      <c r="AB325" s="164">
        <v>202500357</v>
      </c>
      <c r="AC325" s="55" t="s">
        <v>32</v>
      </c>
      <c r="AD325" s="40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</row>
    <row r="326" spans="1:44">
      <c r="B326" s="13" t="str">
        <f t="shared" si="332"/>
        <v>Pendente</v>
      </c>
      <c r="C326" s="14" t="str">
        <f t="shared" si="319"/>
        <v/>
      </c>
      <c r="D326" s="13" t="s">
        <v>611</v>
      </c>
      <c r="E326" s="14" t="str">
        <f t="shared" ref="E326" si="338">IF(C326="", "", EDATE(C326, 3))</f>
        <v/>
      </c>
      <c r="F326" s="13" t="s">
        <v>611</v>
      </c>
      <c r="G326" s="40">
        <v>202500357</v>
      </c>
      <c r="H326" s="13" t="s">
        <v>5151</v>
      </c>
      <c r="I326" s="13" t="s">
        <v>613</v>
      </c>
      <c r="J326" s="14">
        <v>45761</v>
      </c>
      <c r="K326" s="14">
        <v>46121</v>
      </c>
      <c r="L326" s="13" t="s">
        <v>5103</v>
      </c>
      <c r="M326" s="13" t="s">
        <v>5118</v>
      </c>
      <c r="N326" s="13" t="s">
        <v>5119</v>
      </c>
      <c r="O326" s="17" t="s">
        <v>5120</v>
      </c>
      <c r="P326" s="79" t="s">
        <v>493</v>
      </c>
      <c r="Q326" s="13" t="s">
        <v>618</v>
      </c>
      <c r="R326" s="246" t="str">
        <f>VLOOKUP(P326,'Dados das Regiões '!A:B,2,0)</f>
        <v>UMUARAMA</v>
      </c>
      <c r="S326" s="13" t="s">
        <v>5121</v>
      </c>
      <c r="V326" s="13" t="s">
        <v>5122</v>
      </c>
      <c r="W326" s="13" t="s">
        <v>5123</v>
      </c>
      <c r="X326" s="15">
        <v>0.33333333333333331</v>
      </c>
      <c r="Y326" s="516">
        <v>0.41666666666666669</v>
      </c>
      <c r="Z326" s="16" t="s">
        <v>622</v>
      </c>
      <c r="AB326" s="164">
        <v>202500357</v>
      </c>
      <c r="AC326" s="55" t="s">
        <v>32</v>
      </c>
      <c r="AD326" s="40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</row>
    <row r="327" spans="1:44">
      <c r="A327" s="14">
        <v>45932</v>
      </c>
      <c r="B327" s="13" t="str">
        <f t="shared" si="332"/>
        <v>Realizada</v>
      </c>
      <c r="C327" s="14">
        <f t="shared" si="319"/>
        <v>46024</v>
      </c>
      <c r="D327" s="13" t="s">
        <v>611</v>
      </c>
      <c r="E327" s="14">
        <f t="shared" ref="E327" si="339">IF(C327="", "", EDATE(C327, 3))</f>
        <v>46114</v>
      </c>
      <c r="F327" s="13" t="s">
        <v>611</v>
      </c>
      <c r="G327" s="40">
        <v>202500357</v>
      </c>
      <c r="H327" s="13" t="s">
        <v>5152</v>
      </c>
      <c r="I327" s="13" t="s">
        <v>613</v>
      </c>
      <c r="J327" s="14">
        <v>45761</v>
      </c>
      <c r="K327" s="14">
        <v>46121</v>
      </c>
      <c r="L327" s="13" t="s">
        <v>5066</v>
      </c>
      <c r="M327" s="13" t="s">
        <v>5133</v>
      </c>
      <c r="N327" s="13" t="s">
        <v>5134</v>
      </c>
      <c r="O327" s="17" t="s">
        <v>5135</v>
      </c>
      <c r="P327" s="79" t="s">
        <v>271</v>
      </c>
      <c r="Q327" s="13" t="s">
        <v>618</v>
      </c>
      <c r="R327" s="246" t="str">
        <f>VLOOKUP(P327,'Dados das Regiões '!A:B,2,0)</f>
        <v>FRANCISCO BELTRÃO</v>
      </c>
      <c r="S327" s="13" t="s">
        <v>5153</v>
      </c>
      <c r="V327" s="13" t="s">
        <v>5137</v>
      </c>
      <c r="W327" s="13" t="s">
        <v>5138</v>
      </c>
      <c r="X327" s="15">
        <v>0.54166666666666663</v>
      </c>
      <c r="Y327" s="516">
        <v>0.625</v>
      </c>
      <c r="Z327" s="16" t="s">
        <v>622</v>
      </c>
      <c r="AB327" s="164">
        <v>202500357</v>
      </c>
      <c r="AC327" s="55" t="s">
        <v>32</v>
      </c>
      <c r="AD327" s="40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</row>
    <row r="328" spans="1:44">
      <c r="B328" s="13" t="str">
        <f t="shared" si="332"/>
        <v>Pendente</v>
      </c>
      <c r="C328" s="14" t="str">
        <f t="shared" si="319"/>
        <v/>
      </c>
      <c r="D328" s="13" t="s">
        <v>611</v>
      </c>
      <c r="E328" s="14" t="str">
        <f t="shared" ref="E328" si="340">IF(C328="", "", EDATE(C328, 3))</f>
        <v/>
      </c>
      <c r="F328" s="13" t="s">
        <v>611</v>
      </c>
      <c r="G328" s="40">
        <v>202500357</v>
      </c>
      <c r="H328" s="13" t="s">
        <v>5154</v>
      </c>
      <c r="I328" s="13" t="s">
        <v>613</v>
      </c>
      <c r="J328" s="14">
        <v>45761</v>
      </c>
      <c r="K328" s="14">
        <v>46121</v>
      </c>
      <c r="L328" s="13" t="s">
        <v>5066</v>
      </c>
      <c r="M328" s="13" t="s">
        <v>5155</v>
      </c>
      <c r="N328" s="13" t="s">
        <v>5156</v>
      </c>
      <c r="O328" s="17" t="s">
        <v>5157</v>
      </c>
      <c r="P328" s="79" t="s">
        <v>354</v>
      </c>
      <c r="Q328" s="13" t="s">
        <v>618</v>
      </c>
      <c r="R328" s="246" t="str">
        <f>VLOOKUP(P328,'Dados das Regiões '!A:B,2,0)</f>
        <v>MARECHAL CÂNDIDO RONDON</v>
      </c>
      <c r="S328" s="13" t="s">
        <v>5158</v>
      </c>
      <c r="V328" s="13" t="s">
        <v>5159</v>
      </c>
      <c r="W328" s="13" t="s">
        <v>5160</v>
      </c>
      <c r="X328" s="15">
        <v>0.33333333333333331</v>
      </c>
      <c r="Y328" s="516">
        <v>0.41666666666666669</v>
      </c>
      <c r="Z328" s="16" t="s">
        <v>622</v>
      </c>
      <c r="AB328" s="164">
        <v>202500357</v>
      </c>
      <c r="AC328" s="55" t="s">
        <v>32</v>
      </c>
      <c r="AD328" s="40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</row>
    <row r="329" spans="1:44">
      <c r="B329" s="13" t="str">
        <f t="shared" si="332"/>
        <v>Pendente</v>
      </c>
      <c r="C329" s="14" t="str">
        <f t="shared" si="319"/>
        <v/>
      </c>
      <c r="D329" s="13" t="s">
        <v>611</v>
      </c>
      <c r="E329" s="14" t="str">
        <f t="shared" ref="E329" si="341">IF(C329="", "", EDATE(C329, 3))</f>
        <v/>
      </c>
      <c r="F329" s="13" t="s">
        <v>611</v>
      </c>
      <c r="G329" s="40">
        <v>202500357</v>
      </c>
      <c r="H329" s="13" t="s">
        <v>5161</v>
      </c>
      <c r="I329" s="13" t="s">
        <v>613</v>
      </c>
      <c r="J329" s="14">
        <v>45761</v>
      </c>
      <c r="K329" s="14">
        <v>46121</v>
      </c>
      <c r="L329" s="13" t="s">
        <v>5103</v>
      </c>
      <c r="M329" s="13" t="s">
        <v>5162</v>
      </c>
      <c r="N329" s="13" t="s">
        <v>5163</v>
      </c>
      <c r="O329" s="17" t="s">
        <v>5164</v>
      </c>
      <c r="P329" s="79" t="s">
        <v>478</v>
      </c>
      <c r="Q329" s="13" t="s">
        <v>618</v>
      </c>
      <c r="R329" s="246" t="str">
        <f>VLOOKUP(P329,'Dados das Regiões '!A:B,2,0)</f>
        <v>TOLEDO</v>
      </c>
      <c r="S329" s="13" t="s">
        <v>5165</v>
      </c>
      <c r="V329" s="13" t="s">
        <v>5166</v>
      </c>
      <c r="W329" s="13" t="s">
        <v>5167</v>
      </c>
      <c r="X329" s="15">
        <v>0.5625</v>
      </c>
      <c r="Y329" s="516">
        <v>0.64583333333333337</v>
      </c>
      <c r="Z329" s="16" t="s">
        <v>622</v>
      </c>
      <c r="AB329" s="164">
        <v>202500357</v>
      </c>
      <c r="AC329" s="55" t="s">
        <v>32</v>
      </c>
      <c r="AD329" s="40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</row>
    <row r="330" spans="1:44">
      <c r="B330" s="13" t="str">
        <f t="shared" si="332"/>
        <v>Pendente</v>
      </c>
      <c r="C330" s="14" t="str">
        <f t="shared" si="319"/>
        <v/>
      </c>
      <c r="D330" s="13" t="s">
        <v>611</v>
      </c>
      <c r="E330" s="14" t="str">
        <f t="shared" ref="E330" si="342">IF(C330="", "", EDATE(C330, 3))</f>
        <v/>
      </c>
      <c r="F330" s="13" t="s">
        <v>611</v>
      </c>
      <c r="G330" s="40">
        <v>202500357</v>
      </c>
      <c r="H330" s="13" t="s">
        <v>5168</v>
      </c>
      <c r="I330" s="13" t="s">
        <v>613</v>
      </c>
      <c r="J330" s="14">
        <v>45761</v>
      </c>
      <c r="K330" s="14">
        <v>46121</v>
      </c>
      <c r="L330" s="13" t="s">
        <v>5066</v>
      </c>
      <c r="M330" s="13" t="s">
        <v>5169</v>
      </c>
      <c r="N330" s="13" t="s">
        <v>5170</v>
      </c>
      <c r="O330" s="17" t="s">
        <v>5171</v>
      </c>
      <c r="P330" s="79" t="s">
        <v>359</v>
      </c>
      <c r="Q330" s="13" t="s">
        <v>618</v>
      </c>
      <c r="R330" s="246" t="str">
        <f>VLOOKUP(P330,'Dados das Regiões '!A:B,2,0)</f>
        <v>MARECHAL CÂNDIDO RONDON</v>
      </c>
      <c r="S330" s="13" t="s">
        <v>5172</v>
      </c>
      <c r="V330" s="13" t="s">
        <v>5173</v>
      </c>
      <c r="W330" s="13" t="s">
        <v>5174</v>
      </c>
      <c r="X330" s="15">
        <v>0.33333333333333331</v>
      </c>
      <c r="Y330" s="516">
        <v>0.41666666666666669</v>
      </c>
      <c r="Z330" s="16" t="s">
        <v>622</v>
      </c>
      <c r="AB330" s="164">
        <v>202500357</v>
      </c>
      <c r="AC330" s="55" t="s">
        <v>32</v>
      </c>
      <c r="AD330" s="40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</row>
    <row r="331" spans="1:44">
      <c r="B331" s="13" t="str">
        <f t="shared" si="332"/>
        <v>Pendente</v>
      </c>
      <c r="C331" s="14" t="str">
        <f t="shared" si="319"/>
        <v/>
      </c>
      <c r="D331" s="13" t="s">
        <v>611</v>
      </c>
      <c r="E331" s="14" t="str">
        <f t="shared" ref="E331" si="343">IF(C331="", "", EDATE(C331, 3))</f>
        <v/>
      </c>
      <c r="F331" s="13" t="s">
        <v>611</v>
      </c>
      <c r="G331" s="40">
        <v>202500357</v>
      </c>
      <c r="H331" s="13" t="s">
        <v>5175</v>
      </c>
      <c r="I331" s="13" t="s">
        <v>613</v>
      </c>
      <c r="J331" s="14">
        <v>45761</v>
      </c>
      <c r="K331" s="14">
        <v>46121</v>
      </c>
      <c r="L331" s="13" t="s">
        <v>5074</v>
      </c>
      <c r="M331" s="13" t="s">
        <v>5075</v>
      </c>
      <c r="N331" s="13" t="s">
        <v>5076</v>
      </c>
      <c r="O331" s="17" t="s">
        <v>5077</v>
      </c>
      <c r="P331" s="79" t="s">
        <v>487</v>
      </c>
      <c r="Q331" s="13" t="s">
        <v>618</v>
      </c>
      <c r="R331" s="246" t="str">
        <f>VLOOKUP(P331,'Dados das Regiões '!A:B,2,0)</f>
        <v>UMUARAMA</v>
      </c>
      <c r="S331" s="13" t="s">
        <v>5078</v>
      </c>
      <c r="V331" s="13" t="s">
        <v>5176</v>
      </c>
      <c r="W331" s="13" t="s">
        <v>5080</v>
      </c>
      <c r="X331" s="15">
        <v>0.5625</v>
      </c>
      <c r="Y331" s="516">
        <v>0.64583333333333337</v>
      </c>
      <c r="Z331" s="16" t="s">
        <v>622</v>
      </c>
      <c r="AB331" s="164">
        <v>202500357</v>
      </c>
      <c r="AC331" s="55" t="s">
        <v>32</v>
      </c>
      <c r="AD331" s="40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</row>
    <row r="332" spans="1:44">
      <c r="B332" s="13" t="str">
        <f t="shared" si="332"/>
        <v>Pendente</v>
      </c>
      <c r="C332" s="14" t="str">
        <f t="shared" si="319"/>
        <v/>
      </c>
      <c r="D332" s="13" t="s">
        <v>611</v>
      </c>
      <c r="E332" s="14" t="str">
        <f t="shared" ref="E332" si="344">IF(C332="", "", EDATE(C332, 3))</f>
        <v/>
      </c>
      <c r="F332" s="13" t="s">
        <v>611</v>
      </c>
      <c r="G332" s="40">
        <v>202500357</v>
      </c>
      <c r="H332" s="13" t="s">
        <v>5177</v>
      </c>
      <c r="I332" s="13" t="s">
        <v>613</v>
      </c>
      <c r="J332" s="14">
        <v>45761</v>
      </c>
      <c r="K332" s="14">
        <v>46121</v>
      </c>
      <c r="L332" s="13" t="s">
        <v>5066</v>
      </c>
      <c r="M332" s="13" t="s">
        <v>5178</v>
      </c>
      <c r="N332" s="13" t="s">
        <v>5179</v>
      </c>
      <c r="O332" s="17" t="s">
        <v>5180</v>
      </c>
      <c r="P332" s="79" t="s">
        <v>192</v>
      </c>
      <c r="Q332" s="13" t="s">
        <v>618</v>
      </c>
      <c r="R332" s="246" t="str">
        <f>VLOOKUP(P332,'Dados das Regiões '!A:B,2,0)</f>
        <v>CASCAVEL</v>
      </c>
      <c r="S332" s="13" t="s">
        <v>5181</v>
      </c>
      <c r="V332" s="13" t="s">
        <v>5182</v>
      </c>
      <c r="W332" s="13" t="s">
        <v>5183</v>
      </c>
      <c r="X332" s="15">
        <v>0.33333333333333331</v>
      </c>
      <c r="Y332" s="516">
        <v>0.41666666666666669</v>
      </c>
      <c r="Z332" s="16" t="s">
        <v>622</v>
      </c>
      <c r="AB332" s="164">
        <v>202500357</v>
      </c>
      <c r="AC332" s="55" t="s">
        <v>32</v>
      </c>
      <c r="AD332" s="40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</row>
    <row r="333" spans="1:44">
      <c r="B333" s="13" t="str">
        <f t="shared" si="332"/>
        <v>Pendente</v>
      </c>
      <c r="C333" s="14" t="str">
        <f t="shared" si="319"/>
        <v/>
      </c>
      <c r="D333" s="13" t="s">
        <v>611</v>
      </c>
      <c r="E333" s="14" t="str">
        <f t="shared" ref="E333" si="345">IF(C333="", "", EDATE(C333, 3))</f>
        <v/>
      </c>
      <c r="F333" s="13" t="s">
        <v>611</v>
      </c>
      <c r="G333" s="40">
        <v>202500357</v>
      </c>
      <c r="H333" s="13" t="s">
        <v>5184</v>
      </c>
      <c r="I333" s="13" t="s">
        <v>613</v>
      </c>
      <c r="J333" s="14">
        <v>45761</v>
      </c>
      <c r="K333" s="14">
        <v>46121</v>
      </c>
      <c r="L333" s="13" t="s">
        <v>5066</v>
      </c>
      <c r="M333" s="13" t="s">
        <v>5125</v>
      </c>
      <c r="N333" s="13" t="s">
        <v>5126</v>
      </c>
      <c r="O333" s="17" t="s">
        <v>5127</v>
      </c>
      <c r="P333" s="79" t="s">
        <v>321</v>
      </c>
      <c r="Q333" s="13" t="s">
        <v>618</v>
      </c>
      <c r="R333" s="246" t="str">
        <f>VLOOKUP(P333,'Dados das Regiões '!A:B,2,0)</f>
        <v>IVAIPORÃ</v>
      </c>
      <c r="S333" s="13" t="s">
        <v>5128</v>
      </c>
      <c r="V333" s="13" t="s">
        <v>5129</v>
      </c>
      <c r="W333" s="13" t="s">
        <v>5130</v>
      </c>
      <c r="X333" s="15">
        <v>0.33333333333333331</v>
      </c>
      <c r="Y333" s="516">
        <v>0.41666666666666669</v>
      </c>
      <c r="Z333" s="16" t="s">
        <v>622</v>
      </c>
      <c r="AB333" s="164">
        <v>202500357</v>
      </c>
      <c r="AC333" s="55" t="s">
        <v>32</v>
      </c>
      <c r="AD333" s="40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</row>
    <row r="334" spans="1:44">
      <c r="B334" s="13" t="str">
        <f t="shared" si="332"/>
        <v>Pendente</v>
      </c>
      <c r="C334" s="14" t="str">
        <f t="shared" si="319"/>
        <v/>
      </c>
      <c r="D334" s="13" t="s">
        <v>611</v>
      </c>
      <c r="E334" s="14" t="str">
        <f t="shared" ref="E334" si="346">IF(C334="", "", EDATE(C334, 3))</f>
        <v/>
      </c>
      <c r="F334" s="13" t="s">
        <v>611</v>
      </c>
      <c r="G334" s="40">
        <v>202500357</v>
      </c>
      <c r="H334" s="13" t="s">
        <v>5185</v>
      </c>
      <c r="I334" s="13" t="s">
        <v>613</v>
      </c>
      <c r="J334" s="14">
        <v>45761</v>
      </c>
      <c r="K334" s="14">
        <v>46121</v>
      </c>
      <c r="L334" s="13" t="s">
        <v>5066</v>
      </c>
      <c r="M334" s="13" t="s">
        <v>5186</v>
      </c>
      <c r="N334" s="13" t="s">
        <v>5187</v>
      </c>
      <c r="O334" s="17" t="s">
        <v>5188</v>
      </c>
      <c r="P334" s="79" t="s">
        <v>185</v>
      </c>
      <c r="Q334" s="13" t="s">
        <v>618</v>
      </c>
      <c r="R334" s="246" t="str">
        <f>VLOOKUP(P334,'Dados das Regiões '!A:B,2,0)</f>
        <v>CASCAVEL</v>
      </c>
      <c r="S334" s="13" t="s">
        <v>5189</v>
      </c>
      <c r="U334" s="79" t="s">
        <v>5190</v>
      </c>
      <c r="V334" s="13" t="s">
        <v>5191</v>
      </c>
      <c r="W334" s="13" t="s">
        <v>5192</v>
      </c>
      <c r="X334" s="15">
        <v>0.5625</v>
      </c>
      <c r="Y334" s="516">
        <v>0.64583333333333337</v>
      </c>
      <c r="Z334" s="16" t="s">
        <v>622</v>
      </c>
      <c r="AB334" s="164">
        <v>202500357</v>
      </c>
      <c r="AC334" s="55" t="s">
        <v>32</v>
      </c>
      <c r="AD334" s="40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</row>
    <row r="335" spans="1:44">
      <c r="B335" s="13" t="str">
        <f t="shared" si="332"/>
        <v>Pendente</v>
      </c>
      <c r="C335" s="14" t="str">
        <f t="shared" si="319"/>
        <v/>
      </c>
      <c r="D335" s="13" t="s">
        <v>611</v>
      </c>
      <c r="E335" s="14" t="str">
        <f t="shared" ref="E335" si="347">IF(C335="", "", EDATE(C335, 3))</f>
        <v/>
      </c>
      <c r="F335" s="13" t="s">
        <v>611</v>
      </c>
      <c r="G335" s="40">
        <v>202500357</v>
      </c>
      <c r="H335" s="13" t="s">
        <v>5193</v>
      </c>
      <c r="I335" s="13" t="s">
        <v>613</v>
      </c>
      <c r="J335" s="14">
        <v>45761</v>
      </c>
      <c r="K335" s="14">
        <v>46121</v>
      </c>
      <c r="L335" s="13" t="s">
        <v>5066</v>
      </c>
      <c r="M335" s="13" t="s">
        <v>5186</v>
      </c>
      <c r="N335" s="13" t="s">
        <v>5187</v>
      </c>
      <c r="O335" s="17" t="s">
        <v>5188</v>
      </c>
      <c r="P335" s="79" t="s">
        <v>185</v>
      </c>
      <c r="Q335" s="13" t="s">
        <v>618</v>
      </c>
      <c r="R335" s="246" t="str">
        <f>VLOOKUP(P335,'Dados das Regiões '!A:B,2,0)</f>
        <v>CASCAVEL</v>
      </c>
      <c r="S335" s="13" t="s">
        <v>5189</v>
      </c>
      <c r="V335" s="13" t="s">
        <v>5190</v>
      </c>
      <c r="W335" s="13" t="s">
        <v>5192</v>
      </c>
      <c r="X335" s="15">
        <v>0.33333333333333331</v>
      </c>
      <c r="Y335" s="516">
        <v>0.41666666666666669</v>
      </c>
      <c r="Z335" s="16" t="s">
        <v>622</v>
      </c>
      <c r="AB335" s="164">
        <v>202500357</v>
      </c>
      <c r="AC335" s="55" t="s">
        <v>32</v>
      </c>
      <c r="AD335" s="40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</row>
    <row r="336" spans="1:44">
      <c r="B336" s="13" t="str">
        <f t="shared" si="332"/>
        <v>Pendente</v>
      </c>
      <c r="C336" s="14" t="str">
        <f t="shared" si="319"/>
        <v/>
      </c>
      <c r="D336" s="13" t="s">
        <v>611</v>
      </c>
      <c r="E336" s="14" t="str">
        <f t="shared" ref="E336" si="348">IF(C336="", "", EDATE(C336, 3))</f>
        <v/>
      </c>
      <c r="F336" s="13" t="s">
        <v>611</v>
      </c>
      <c r="G336" s="40">
        <v>202500357</v>
      </c>
      <c r="H336" s="13" t="s">
        <v>5194</v>
      </c>
      <c r="I336" s="13" t="s">
        <v>613</v>
      </c>
      <c r="J336" s="14">
        <v>45761</v>
      </c>
      <c r="K336" s="14">
        <v>46121</v>
      </c>
      <c r="L336" s="13" t="s">
        <v>5066</v>
      </c>
      <c r="M336" s="13" t="s">
        <v>5195</v>
      </c>
      <c r="N336" s="13" t="s">
        <v>5196</v>
      </c>
      <c r="O336" s="17" t="s">
        <v>5197</v>
      </c>
      <c r="P336" s="79" t="s">
        <v>359</v>
      </c>
      <c r="Q336" s="13" t="s">
        <v>618</v>
      </c>
      <c r="R336" s="246" t="str">
        <f>VLOOKUP(P336,'Dados das Regiões '!A:B,2,0)</f>
        <v>MARECHAL CÂNDIDO RONDON</v>
      </c>
      <c r="S336" s="13" t="s">
        <v>5198</v>
      </c>
      <c r="U336" s="79" t="s">
        <v>5199</v>
      </c>
      <c r="V336" s="13" t="s">
        <v>5200</v>
      </c>
      <c r="W336" s="13" t="s">
        <v>5201</v>
      </c>
      <c r="X336" s="15">
        <v>0.33333333333333331</v>
      </c>
      <c r="Y336" s="516">
        <v>0.41666666666666669</v>
      </c>
      <c r="Z336" s="16" t="s">
        <v>622</v>
      </c>
      <c r="AB336" s="164">
        <v>202500357</v>
      </c>
      <c r="AC336" s="55" t="s">
        <v>32</v>
      </c>
      <c r="AD336" s="40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</row>
    <row r="337" spans="1:44">
      <c r="B337" s="13" t="str">
        <f t="shared" si="332"/>
        <v>Pendente</v>
      </c>
      <c r="C337" s="14" t="str">
        <f t="shared" si="319"/>
        <v/>
      </c>
      <c r="D337" s="13" t="s">
        <v>611</v>
      </c>
      <c r="E337" s="14" t="str">
        <f t="shared" ref="E337" si="349">IF(C337="", "", EDATE(C337, 3))</f>
        <v/>
      </c>
      <c r="F337" s="13" t="s">
        <v>611</v>
      </c>
      <c r="G337" s="40">
        <v>202500357</v>
      </c>
      <c r="H337" s="13" t="s">
        <v>5202</v>
      </c>
      <c r="I337" s="13" t="s">
        <v>613</v>
      </c>
      <c r="J337" s="14">
        <v>45761</v>
      </c>
      <c r="K337" s="14">
        <v>46121</v>
      </c>
      <c r="L337" s="13" t="s">
        <v>5066</v>
      </c>
      <c r="M337" s="13" t="s">
        <v>5195</v>
      </c>
      <c r="N337" s="13" t="s">
        <v>5196</v>
      </c>
      <c r="O337" s="17" t="s">
        <v>5197</v>
      </c>
      <c r="P337" s="79" t="s">
        <v>359</v>
      </c>
      <c r="Q337" s="13" t="s">
        <v>618</v>
      </c>
      <c r="R337" s="246" t="str">
        <f>VLOOKUP(P337,'Dados das Regiões '!A:B,2,0)</f>
        <v>MARECHAL CÂNDIDO RONDON</v>
      </c>
      <c r="S337" s="13" t="s">
        <v>5198</v>
      </c>
      <c r="U337" s="79" t="s">
        <v>5199</v>
      </c>
      <c r="V337" s="13" t="s">
        <v>5200</v>
      </c>
      <c r="W337" s="13" t="s">
        <v>5201</v>
      </c>
      <c r="X337" s="15">
        <v>0.54166666666666663</v>
      </c>
      <c r="Y337" s="516">
        <v>0.625</v>
      </c>
      <c r="Z337" s="16" t="s">
        <v>622</v>
      </c>
      <c r="AB337" s="164">
        <v>202500357</v>
      </c>
      <c r="AC337" s="55" t="s">
        <v>32</v>
      </c>
      <c r="AD337" s="40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</row>
    <row r="338" spans="1:44">
      <c r="B338" s="13" t="str">
        <f t="shared" si="332"/>
        <v>Pendente</v>
      </c>
      <c r="C338" s="14" t="str">
        <f t="shared" si="319"/>
        <v/>
      </c>
      <c r="D338" s="13" t="s">
        <v>611</v>
      </c>
      <c r="E338" s="14" t="str">
        <f t="shared" ref="E338" si="350">IF(C338="", "", EDATE(C338, 3))</f>
        <v/>
      </c>
      <c r="F338" s="13" t="s">
        <v>611</v>
      </c>
      <c r="G338" s="40">
        <v>202500357</v>
      </c>
      <c r="H338" s="13" t="s">
        <v>5203</v>
      </c>
      <c r="I338" s="13" t="s">
        <v>613</v>
      </c>
      <c r="J338" s="14">
        <v>45761</v>
      </c>
      <c r="K338" s="14">
        <v>46121</v>
      </c>
      <c r="L338" s="13" t="s">
        <v>5066</v>
      </c>
      <c r="M338" s="13" t="s">
        <v>5169</v>
      </c>
      <c r="N338" s="13" t="s">
        <v>5170</v>
      </c>
      <c r="O338" s="17" t="s">
        <v>5171</v>
      </c>
      <c r="P338" s="79" t="s">
        <v>359</v>
      </c>
      <c r="Q338" s="13" t="s">
        <v>618</v>
      </c>
      <c r="R338" s="246" t="str">
        <f>VLOOKUP(P338,'Dados das Regiões '!A:B,2,0)</f>
        <v>MARECHAL CÂNDIDO RONDON</v>
      </c>
      <c r="S338" s="13" t="s">
        <v>5172</v>
      </c>
      <c r="V338" s="13" t="s">
        <v>5173</v>
      </c>
      <c r="W338" s="13" t="s">
        <v>5174</v>
      </c>
      <c r="X338" s="15">
        <v>0.33333333333333331</v>
      </c>
      <c r="Y338" s="516">
        <v>0.41666666666666669</v>
      </c>
      <c r="Z338" s="16" t="s">
        <v>622</v>
      </c>
      <c r="AB338" s="164">
        <v>202500357</v>
      </c>
      <c r="AC338" s="55" t="s">
        <v>32</v>
      </c>
      <c r="AD338" s="40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</row>
    <row r="339" spans="1:44">
      <c r="B339" s="13" t="str">
        <f t="shared" si="332"/>
        <v>Pendente</v>
      </c>
      <c r="C339" s="14" t="str">
        <f t="shared" si="319"/>
        <v/>
      </c>
      <c r="D339" s="13" t="s">
        <v>611</v>
      </c>
      <c r="E339" s="14" t="str">
        <f t="shared" ref="E339" si="351">IF(C339="", "", EDATE(C339, 3))</f>
        <v/>
      </c>
      <c r="F339" s="13" t="s">
        <v>611</v>
      </c>
      <c r="G339" s="40">
        <v>202500357</v>
      </c>
      <c r="H339" s="13" t="s">
        <v>5204</v>
      </c>
      <c r="I339" s="13" t="s">
        <v>613</v>
      </c>
      <c r="J339" s="14">
        <v>45761</v>
      </c>
      <c r="K339" s="14">
        <v>46121</v>
      </c>
      <c r="L339" s="13" t="s">
        <v>5066</v>
      </c>
      <c r="M339" s="13" t="s">
        <v>5195</v>
      </c>
      <c r="N339" s="13" t="s">
        <v>5196</v>
      </c>
      <c r="O339" s="17" t="s">
        <v>5197</v>
      </c>
      <c r="P339" s="79" t="s">
        <v>359</v>
      </c>
      <c r="Q339" s="13" t="s">
        <v>618</v>
      </c>
      <c r="R339" s="246" t="str">
        <f>VLOOKUP(P339,'Dados das Regiões '!A:B,2,0)</f>
        <v>MARECHAL CÂNDIDO RONDON</v>
      </c>
      <c r="S339" s="13" t="s">
        <v>5198</v>
      </c>
      <c r="U339" s="79" t="s">
        <v>5199</v>
      </c>
      <c r="V339" s="13" t="s">
        <v>5200</v>
      </c>
      <c r="W339" s="13" t="s">
        <v>5201</v>
      </c>
      <c r="X339" s="15">
        <v>0.33333333333333331</v>
      </c>
      <c r="Y339" s="516">
        <v>0.41666666666666669</v>
      </c>
      <c r="Z339" s="16" t="s">
        <v>622</v>
      </c>
      <c r="AB339" s="164">
        <v>202500357</v>
      </c>
      <c r="AC339" s="55" t="s">
        <v>32</v>
      </c>
      <c r="AD339" s="40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</row>
    <row r="340" spans="1:44">
      <c r="B340" s="13" t="str">
        <f t="shared" si="332"/>
        <v>Pendente</v>
      </c>
      <c r="C340" s="14" t="str">
        <f t="shared" si="319"/>
        <v/>
      </c>
      <c r="D340" s="13" t="s">
        <v>611</v>
      </c>
      <c r="E340" s="14" t="str">
        <f t="shared" ref="E340" si="352">IF(C340="", "", EDATE(C340, 3))</f>
        <v/>
      </c>
      <c r="F340" s="13" t="s">
        <v>611</v>
      </c>
      <c r="G340" s="40">
        <v>202500357</v>
      </c>
      <c r="H340" s="13" t="s">
        <v>5205</v>
      </c>
      <c r="I340" s="13" t="s">
        <v>613</v>
      </c>
      <c r="J340" s="14">
        <v>45761</v>
      </c>
      <c r="K340" s="14">
        <v>46121</v>
      </c>
      <c r="L340" s="13" t="s">
        <v>5066</v>
      </c>
      <c r="M340" s="13" t="s">
        <v>5195</v>
      </c>
      <c r="N340" s="13" t="s">
        <v>5196</v>
      </c>
      <c r="O340" s="17" t="s">
        <v>5197</v>
      </c>
      <c r="P340" s="79" t="s">
        <v>359</v>
      </c>
      <c r="Q340" s="13" t="s">
        <v>618</v>
      </c>
      <c r="R340" s="246" t="str">
        <f>VLOOKUP(P340,'Dados das Regiões '!A:B,2,0)</f>
        <v>MARECHAL CÂNDIDO RONDON</v>
      </c>
      <c r="S340" s="13" t="s">
        <v>5198</v>
      </c>
      <c r="U340" s="79" t="s">
        <v>5199</v>
      </c>
      <c r="V340" s="13" t="s">
        <v>5200</v>
      </c>
      <c r="W340" s="13" t="s">
        <v>5201</v>
      </c>
      <c r="X340" s="15">
        <v>0.54166666666666663</v>
      </c>
      <c r="Y340" s="516">
        <v>0.625</v>
      </c>
      <c r="Z340" s="16" t="s">
        <v>622</v>
      </c>
      <c r="AB340" s="164">
        <v>202500357</v>
      </c>
      <c r="AC340" s="55" t="s">
        <v>32</v>
      </c>
      <c r="AD340" s="40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</row>
    <row r="341" spans="1:44">
      <c r="B341" s="13" t="str">
        <f t="shared" si="332"/>
        <v>Pendente</v>
      </c>
      <c r="C341" s="14" t="str">
        <f t="shared" si="319"/>
        <v/>
      </c>
      <c r="D341" s="13" t="s">
        <v>611</v>
      </c>
      <c r="E341" s="14" t="str">
        <f t="shared" ref="E341" si="353">IF(C341="", "", EDATE(C341, 3))</f>
        <v/>
      </c>
      <c r="F341" s="13" t="s">
        <v>611</v>
      </c>
      <c r="G341" s="40">
        <v>202500357</v>
      </c>
      <c r="H341" s="13" t="s">
        <v>5206</v>
      </c>
      <c r="I341" s="13" t="s">
        <v>613</v>
      </c>
      <c r="J341" s="14">
        <v>45761</v>
      </c>
      <c r="K341" s="14">
        <v>46121</v>
      </c>
      <c r="L341" s="13" t="s">
        <v>5066</v>
      </c>
      <c r="M341" s="13" t="s">
        <v>5140</v>
      </c>
      <c r="N341" s="13" t="s">
        <v>5090</v>
      </c>
      <c r="O341" s="17" t="s">
        <v>5091</v>
      </c>
      <c r="P341" s="79" t="s">
        <v>359</v>
      </c>
      <c r="Q341" s="13" t="s">
        <v>618</v>
      </c>
      <c r="R341" s="246" t="str">
        <f>VLOOKUP(P341,'Dados das Regiões '!A:B,2,0)</f>
        <v>MARECHAL CÂNDIDO RONDON</v>
      </c>
      <c r="S341" s="13" t="s">
        <v>5141</v>
      </c>
      <c r="V341" s="13" t="s">
        <v>5142</v>
      </c>
      <c r="W341" s="13" t="s">
        <v>5143</v>
      </c>
      <c r="X341" s="15">
        <v>0.33333333333333331</v>
      </c>
      <c r="Y341" s="516">
        <v>0.41666666666666669</v>
      </c>
      <c r="Z341" s="16" t="s">
        <v>622</v>
      </c>
      <c r="AB341" s="164">
        <v>202500357</v>
      </c>
      <c r="AC341" s="55" t="s">
        <v>32</v>
      </c>
      <c r="AD341" s="40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</row>
    <row r="342" spans="1:44">
      <c r="B342" s="13" t="str">
        <f t="shared" si="332"/>
        <v>Pendente</v>
      </c>
      <c r="C342" s="14" t="str">
        <f t="shared" si="319"/>
        <v/>
      </c>
      <c r="D342" s="13" t="s">
        <v>611</v>
      </c>
      <c r="E342" s="14" t="str">
        <f t="shared" ref="E342" si="354">IF(C342="", "", EDATE(C342, 3))</f>
        <v/>
      </c>
      <c r="F342" s="13" t="s">
        <v>611</v>
      </c>
      <c r="G342" s="40">
        <v>202500358</v>
      </c>
      <c r="H342" s="13" t="s">
        <v>5207</v>
      </c>
      <c r="I342" s="13" t="s">
        <v>613</v>
      </c>
      <c r="J342" s="14">
        <v>45761</v>
      </c>
      <c r="K342" s="14">
        <v>46121</v>
      </c>
      <c r="L342" s="13" t="s">
        <v>657</v>
      </c>
      <c r="M342" s="13" t="s">
        <v>5208</v>
      </c>
      <c r="N342" s="13" t="s">
        <v>5209</v>
      </c>
      <c r="O342" s="17" t="s">
        <v>5210</v>
      </c>
      <c r="P342" s="79" t="s">
        <v>269</v>
      </c>
      <c r="Q342" s="13" t="s">
        <v>618</v>
      </c>
      <c r="R342" s="246" t="str">
        <f>VLOOKUP(P342,'Dados das Regiões '!A:B,2,0)</f>
        <v>FRANCISCO BELTRÃO</v>
      </c>
      <c r="S342" s="13" t="s">
        <v>5211</v>
      </c>
      <c r="V342" s="13" t="s">
        <v>5212</v>
      </c>
      <c r="W342" s="13" t="s">
        <v>5213</v>
      </c>
      <c r="X342" s="15">
        <v>0.33333333333333331</v>
      </c>
      <c r="Y342" s="516">
        <v>0.41666666666666669</v>
      </c>
      <c r="Z342" s="16" t="s">
        <v>622</v>
      </c>
      <c r="AB342" s="164">
        <v>202500358</v>
      </c>
      <c r="AC342" s="55" t="s">
        <v>33</v>
      </c>
      <c r="AD342" s="40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</row>
    <row r="343" spans="1:44">
      <c r="B343" s="13" t="str">
        <f t="shared" si="332"/>
        <v>Pendente</v>
      </c>
      <c r="C343" s="14" t="str">
        <f t="shared" si="319"/>
        <v/>
      </c>
      <c r="D343" s="13" t="s">
        <v>611</v>
      </c>
      <c r="E343" s="14" t="str">
        <f t="shared" ref="E343" si="355">IF(C343="", "", EDATE(C343, 3))</f>
        <v/>
      </c>
      <c r="F343" s="13" t="s">
        <v>611</v>
      </c>
      <c r="G343" s="40">
        <v>202500358</v>
      </c>
      <c r="H343" s="13" t="s">
        <v>5214</v>
      </c>
      <c r="I343" s="13" t="s">
        <v>613</v>
      </c>
      <c r="J343" s="14">
        <v>45761</v>
      </c>
      <c r="K343" s="14">
        <v>46121</v>
      </c>
      <c r="L343" s="13" t="s">
        <v>682</v>
      </c>
      <c r="M343" s="13" t="s">
        <v>5215</v>
      </c>
      <c r="N343" s="18" t="s">
        <v>5216</v>
      </c>
      <c r="O343" s="28" t="s">
        <v>5217</v>
      </c>
      <c r="P343" s="79" t="s">
        <v>130</v>
      </c>
      <c r="Q343" s="13" t="s">
        <v>618</v>
      </c>
      <c r="R343" s="246" t="str">
        <f>VLOOKUP(P343,'Dados das Regiões '!A:B,2,0)</f>
        <v>APUCARANA</v>
      </c>
      <c r="S343" s="13" t="s">
        <v>5218</v>
      </c>
      <c r="U343" s="79" t="s">
        <v>5219</v>
      </c>
      <c r="V343" s="13" t="s">
        <v>5220</v>
      </c>
      <c r="W343" s="13" t="s">
        <v>5221</v>
      </c>
      <c r="X343" s="15">
        <v>0.5625</v>
      </c>
      <c r="Y343" s="516">
        <v>0.64583333333333337</v>
      </c>
      <c r="Z343" s="16" t="s">
        <v>622</v>
      </c>
      <c r="AB343" s="164">
        <v>202500358</v>
      </c>
      <c r="AC343" s="55" t="s">
        <v>33</v>
      </c>
      <c r="AD343" s="40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</row>
    <row r="344" spans="1:44">
      <c r="A344" s="14">
        <v>45819</v>
      </c>
      <c r="B344" s="13" t="str">
        <f t="shared" si="332"/>
        <v>Realizada</v>
      </c>
      <c r="C344" s="14">
        <f t="shared" si="319"/>
        <v>45911</v>
      </c>
      <c r="D344" s="13" t="s">
        <v>104</v>
      </c>
      <c r="E344" s="14">
        <f t="shared" ref="E344" si="356">IF(C344="", "", EDATE(C344, 3))</f>
        <v>46002</v>
      </c>
      <c r="F344" s="13" t="s">
        <v>611</v>
      </c>
      <c r="G344" s="40">
        <v>202500358</v>
      </c>
      <c r="H344" s="13" t="s">
        <v>5222</v>
      </c>
      <c r="I344" s="13" t="s">
        <v>613</v>
      </c>
      <c r="J344" s="14">
        <v>45761</v>
      </c>
      <c r="K344" s="14">
        <v>46121</v>
      </c>
      <c r="L344" s="13" t="s">
        <v>5223</v>
      </c>
      <c r="M344" s="13" t="s">
        <v>5224</v>
      </c>
      <c r="N344" s="13" t="s">
        <v>558</v>
      </c>
      <c r="O344" s="17" t="s">
        <v>559</v>
      </c>
      <c r="P344" s="79" t="s">
        <v>457</v>
      </c>
      <c r="Q344" s="13" t="s">
        <v>618</v>
      </c>
      <c r="R344" s="246" t="str">
        <f>VLOOKUP(P344,'Dados das Regiões '!A:B,2,0)</f>
        <v>RIO NEGRO</v>
      </c>
      <c r="S344" s="13" t="s">
        <v>560</v>
      </c>
      <c r="V344" s="13" t="s">
        <v>561</v>
      </c>
      <c r="W344" s="13" t="s">
        <v>5225</v>
      </c>
      <c r="X344" s="15">
        <v>0.33333333333333331</v>
      </c>
      <c r="Y344" s="516">
        <v>0.41666666666666669</v>
      </c>
      <c r="Z344" s="16" t="s">
        <v>622</v>
      </c>
      <c r="AB344" s="164">
        <v>202500358</v>
      </c>
      <c r="AC344" s="55" t="s">
        <v>33</v>
      </c>
    </row>
    <row r="345" spans="1:44">
      <c r="A345" s="14">
        <v>45933</v>
      </c>
      <c r="B345" s="13" t="str">
        <f t="shared" si="332"/>
        <v>Realizada</v>
      </c>
      <c r="C345" s="14">
        <f t="shared" si="319"/>
        <v>46025</v>
      </c>
      <c r="D345" s="13" t="s">
        <v>611</v>
      </c>
      <c r="E345" s="14">
        <f t="shared" ref="E345" si="357">IF(C345="", "", EDATE(C345, 3))</f>
        <v>46115</v>
      </c>
      <c r="F345" s="13" t="s">
        <v>611</v>
      </c>
      <c r="G345" s="40">
        <v>202500358</v>
      </c>
      <c r="H345" s="13" t="s">
        <v>5226</v>
      </c>
      <c r="I345" s="13" t="s">
        <v>613</v>
      </c>
      <c r="J345" s="14">
        <v>45761</v>
      </c>
      <c r="K345" s="14">
        <v>46121</v>
      </c>
      <c r="L345" s="13" t="s">
        <v>682</v>
      </c>
      <c r="M345" s="13" t="s">
        <v>5227</v>
      </c>
      <c r="N345" s="13" t="s">
        <v>5228</v>
      </c>
      <c r="O345" s="17" t="s">
        <v>5229</v>
      </c>
      <c r="P345" s="79" t="s">
        <v>173</v>
      </c>
      <c r="Q345" s="13" t="s">
        <v>618</v>
      </c>
      <c r="R345" s="246" t="str">
        <f>VLOOKUP(P345,'Dados das Regiões '!A:B,2,0)</f>
        <v>CAMPO MOURÃO</v>
      </c>
      <c r="S345" s="13" t="s">
        <v>5230</v>
      </c>
      <c r="U345" s="79" t="s">
        <v>5231</v>
      </c>
      <c r="V345" s="13" t="s">
        <v>5232</v>
      </c>
      <c r="W345" s="13" t="s">
        <v>5233</v>
      </c>
      <c r="X345" s="15">
        <v>0.33333333333333331</v>
      </c>
      <c r="Y345" s="516">
        <v>0.41666666666666669</v>
      </c>
      <c r="Z345" s="16" t="s">
        <v>622</v>
      </c>
      <c r="AB345" s="164">
        <v>202500358</v>
      </c>
      <c r="AC345" s="55" t="s">
        <v>33</v>
      </c>
      <c r="AD345" s="40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</row>
    <row r="346" spans="1:44">
      <c r="B346" s="13" t="str">
        <f t="shared" si="332"/>
        <v>Pendente</v>
      </c>
      <c r="C346" s="14" t="str">
        <f t="shared" si="319"/>
        <v/>
      </c>
      <c r="D346" s="13" t="s">
        <v>611</v>
      </c>
      <c r="E346" s="14" t="str">
        <f t="shared" ref="E346" si="358">IF(C346="", "", EDATE(C346, 3))</f>
        <v/>
      </c>
      <c r="F346" s="13" t="s">
        <v>611</v>
      </c>
      <c r="G346" s="40">
        <v>202500358</v>
      </c>
      <c r="H346" s="13" t="s">
        <v>5234</v>
      </c>
      <c r="I346" s="13" t="s">
        <v>613</v>
      </c>
      <c r="J346" s="14">
        <v>45761</v>
      </c>
      <c r="K346" s="14">
        <v>46121</v>
      </c>
      <c r="L346" s="13" t="s">
        <v>5235</v>
      </c>
      <c r="M346" s="13" t="s">
        <v>5236</v>
      </c>
      <c r="N346" s="13" t="s">
        <v>5146</v>
      </c>
      <c r="O346" s="17" t="s">
        <v>5147</v>
      </c>
      <c r="P346" s="79" t="s">
        <v>363</v>
      </c>
      <c r="Q346" s="13" t="s">
        <v>618</v>
      </c>
      <c r="R346" s="246" t="str">
        <f>VLOOKUP(P346,'Dados das Regiões '!A:B,2,0)</f>
        <v>MARINGÁ</v>
      </c>
      <c r="S346" s="13" t="s">
        <v>5237</v>
      </c>
      <c r="V346" s="13" t="s">
        <v>5149</v>
      </c>
      <c r="W346" s="13" t="s">
        <v>5238</v>
      </c>
      <c r="X346" s="15">
        <v>0.33333333333333331</v>
      </c>
      <c r="Y346" s="516">
        <v>0.41666666666666669</v>
      </c>
      <c r="Z346" s="16" t="s">
        <v>622</v>
      </c>
      <c r="AB346" s="164">
        <v>202500358</v>
      </c>
      <c r="AC346" s="55" t="s">
        <v>33</v>
      </c>
      <c r="AD346" s="40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</row>
    <row r="347" spans="1:44">
      <c r="B347" s="13" t="str">
        <f t="shared" si="332"/>
        <v>Pendente</v>
      </c>
      <c r="C347" s="14" t="str">
        <f t="shared" si="319"/>
        <v/>
      </c>
      <c r="D347" s="13" t="s">
        <v>611</v>
      </c>
      <c r="E347" s="14" t="str">
        <f t="shared" ref="E347" si="359">IF(C347="", "", EDATE(C347, 3))</f>
        <v/>
      </c>
      <c r="F347" s="13" t="s">
        <v>611</v>
      </c>
      <c r="G347" s="40">
        <v>202500358</v>
      </c>
      <c r="H347" s="13" t="s">
        <v>5239</v>
      </c>
      <c r="I347" s="13" t="s">
        <v>613</v>
      </c>
      <c r="J347" s="14">
        <v>45761</v>
      </c>
      <c r="K347" s="14">
        <v>46121</v>
      </c>
      <c r="L347" s="13" t="s">
        <v>1399</v>
      </c>
      <c r="M347" s="13" t="s">
        <v>5240</v>
      </c>
      <c r="N347" s="13" t="s">
        <v>5241</v>
      </c>
      <c r="O347" s="17" t="s">
        <v>5242</v>
      </c>
      <c r="P347" s="79" t="s">
        <v>485</v>
      </c>
      <c r="Q347" s="13" t="s">
        <v>618</v>
      </c>
      <c r="R347" s="246" t="str">
        <f>VLOOKUP(P347,'Dados das Regiões '!A:B,2,0)</f>
        <v>UMUARAMA</v>
      </c>
      <c r="S347" s="13" t="s">
        <v>5243</v>
      </c>
      <c r="V347" s="13" t="s">
        <v>5244</v>
      </c>
      <c r="W347" s="13" t="s">
        <v>5245</v>
      </c>
      <c r="X347" s="15">
        <v>0.54166666666666663</v>
      </c>
      <c r="Y347" s="516">
        <v>0.625</v>
      </c>
      <c r="Z347" s="16" t="s">
        <v>622</v>
      </c>
      <c r="AB347" s="164">
        <v>202500358</v>
      </c>
      <c r="AC347" s="55" t="s">
        <v>33</v>
      </c>
      <c r="AD347" s="40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</row>
    <row r="348" spans="1:44">
      <c r="B348" s="13" t="str">
        <f t="shared" si="332"/>
        <v>Pendente</v>
      </c>
      <c r="C348" s="14" t="str">
        <f t="shared" si="319"/>
        <v/>
      </c>
      <c r="D348" s="13" t="s">
        <v>611</v>
      </c>
      <c r="E348" s="14" t="str">
        <f t="shared" ref="E348" si="360">IF(C348="", "", EDATE(C348, 3))</f>
        <v/>
      </c>
      <c r="F348" s="13" t="s">
        <v>611</v>
      </c>
      <c r="G348" s="40">
        <v>202500358</v>
      </c>
      <c r="H348" s="13" t="s">
        <v>5246</v>
      </c>
      <c r="I348" s="13" t="s">
        <v>613</v>
      </c>
      <c r="J348" s="14">
        <v>45761</v>
      </c>
      <c r="K348" s="14">
        <v>46121</v>
      </c>
      <c r="L348" s="13" t="s">
        <v>5103</v>
      </c>
      <c r="M348" s="13" t="s">
        <v>5247</v>
      </c>
      <c r="N348" s="13" t="s">
        <v>5248</v>
      </c>
      <c r="O348" s="17" t="s">
        <v>5249</v>
      </c>
      <c r="P348" s="79" t="s">
        <v>201</v>
      </c>
      <c r="Q348" s="13" t="s">
        <v>618</v>
      </c>
      <c r="R348" s="246" t="str">
        <f>VLOOKUP(P348,'Dados das Regiões '!A:B,2,0)</f>
        <v>CASCAVEL</v>
      </c>
      <c r="S348" s="13" t="s">
        <v>5250</v>
      </c>
      <c r="V348" s="13" t="s">
        <v>5251</v>
      </c>
      <c r="W348" s="13" t="s">
        <v>5252</v>
      </c>
      <c r="X348" s="15">
        <v>0.33333333333333331</v>
      </c>
      <c r="Y348" s="516">
        <v>0.41666666666666669</v>
      </c>
      <c r="Z348" s="16" t="s">
        <v>622</v>
      </c>
      <c r="AB348" s="164">
        <v>202500358</v>
      </c>
      <c r="AC348" s="55" t="s">
        <v>33</v>
      </c>
      <c r="AD348" s="40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</row>
    <row r="349" spans="1:44">
      <c r="B349" s="13" t="str">
        <f t="shared" si="332"/>
        <v>Pendente</v>
      </c>
      <c r="C349" s="14" t="str">
        <f t="shared" si="319"/>
        <v/>
      </c>
      <c r="D349" s="13" t="s">
        <v>611</v>
      </c>
      <c r="E349" s="14" t="str">
        <f t="shared" ref="E349" si="361">IF(C349="", "", EDATE(C349, 3))</f>
        <v/>
      </c>
      <c r="F349" s="13" t="s">
        <v>611</v>
      </c>
      <c r="G349" s="40">
        <v>202500358</v>
      </c>
      <c r="H349" s="13" t="s">
        <v>5253</v>
      </c>
      <c r="I349" s="13" t="s">
        <v>613</v>
      </c>
      <c r="J349" s="14">
        <v>45761</v>
      </c>
      <c r="K349" s="14">
        <v>46121</v>
      </c>
      <c r="L349" s="13" t="s">
        <v>5103</v>
      </c>
      <c r="M349" s="13" t="s">
        <v>5254</v>
      </c>
      <c r="N349" s="13" t="s">
        <v>5255</v>
      </c>
      <c r="O349" s="17" t="s">
        <v>5256</v>
      </c>
      <c r="P349" s="79" t="s">
        <v>200</v>
      </c>
      <c r="Q349" s="13" t="s">
        <v>618</v>
      </c>
      <c r="R349" s="246" t="str">
        <f>VLOOKUP(P349,'Dados das Regiões '!A:B,2,0)</f>
        <v>CASCAVEL</v>
      </c>
      <c r="S349" s="13" t="s">
        <v>5257</v>
      </c>
      <c r="V349" s="13" t="s">
        <v>5258</v>
      </c>
      <c r="W349" s="13" t="s">
        <v>5259</v>
      </c>
      <c r="X349" s="15">
        <v>0.33333333333333331</v>
      </c>
      <c r="Y349" s="516">
        <v>0.41666666666666669</v>
      </c>
      <c r="Z349" s="16" t="s">
        <v>622</v>
      </c>
      <c r="AB349" s="164">
        <v>202500358</v>
      </c>
      <c r="AC349" s="55" t="s">
        <v>33</v>
      </c>
      <c r="AD349" s="40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</row>
    <row r="350" spans="1:44">
      <c r="B350" s="13" t="str">
        <f t="shared" si="332"/>
        <v>Pendente</v>
      </c>
      <c r="C350" s="14" t="str">
        <f t="shared" si="319"/>
        <v/>
      </c>
      <c r="D350" s="13" t="s">
        <v>611</v>
      </c>
      <c r="E350" s="14" t="str">
        <f t="shared" ref="E350" si="362">IF(C350="", "", EDATE(C350, 3))</f>
        <v/>
      </c>
      <c r="F350" s="13" t="s">
        <v>611</v>
      </c>
      <c r="G350" s="40">
        <v>202500358</v>
      </c>
      <c r="H350" s="13" t="s">
        <v>5260</v>
      </c>
      <c r="I350" s="13" t="s">
        <v>613</v>
      </c>
      <c r="J350" s="14">
        <v>45761</v>
      </c>
      <c r="K350" s="14">
        <v>46121</v>
      </c>
      <c r="L350" s="13" t="s">
        <v>5103</v>
      </c>
      <c r="M350" s="13" t="s">
        <v>5261</v>
      </c>
      <c r="N350" s="13" t="s">
        <v>5262</v>
      </c>
      <c r="O350" s="17" t="s">
        <v>5263</v>
      </c>
      <c r="P350" s="79" t="s">
        <v>485</v>
      </c>
      <c r="Q350" s="13" t="s">
        <v>618</v>
      </c>
      <c r="R350" s="246" t="str">
        <f>VLOOKUP(P350,'Dados das Regiões '!A:B,2,0)</f>
        <v>UMUARAMA</v>
      </c>
      <c r="S350" s="13" t="s">
        <v>5264</v>
      </c>
      <c r="V350" s="13" t="s">
        <v>5265</v>
      </c>
      <c r="W350" s="13" t="s">
        <v>5266</v>
      </c>
      <c r="X350" s="15">
        <v>0.5625</v>
      </c>
      <c r="Y350" s="516">
        <v>0.64583333333333337</v>
      </c>
      <c r="Z350" s="16" t="s">
        <v>622</v>
      </c>
      <c r="AB350" s="164">
        <v>202500358</v>
      </c>
      <c r="AC350" s="55" t="s">
        <v>33</v>
      </c>
      <c r="AD350" s="40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</row>
    <row r="351" spans="1:44">
      <c r="B351" s="13" t="str">
        <f t="shared" si="332"/>
        <v>Pendente</v>
      </c>
      <c r="C351" s="14" t="str">
        <f t="shared" si="319"/>
        <v/>
      </c>
      <c r="D351" s="13" t="s">
        <v>611</v>
      </c>
      <c r="E351" s="14" t="str">
        <f t="shared" ref="E351" si="363">IF(C351="", "", EDATE(C351, 3))</f>
        <v/>
      </c>
      <c r="F351" s="13" t="s">
        <v>611</v>
      </c>
      <c r="G351" s="40">
        <v>202500358</v>
      </c>
      <c r="H351" s="13" t="s">
        <v>5267</v>
      </c>
      <c r="I351" s="13" t="s">
        <v>613</v>
      </c>
      <c r="J351" s="14">
        <v>45761</v>
      </c>
      <c r="K351" s="14">
        <v>46121</v>
      </c>
      <c r="L351" s="13" t="s">
        <v>5103</v>
      </c>
      <c r="M351" s="13" t="s">
        <v>5268</v>
      </c>
      <c r="N351" s="13" t="s">
        <v>5269</v>
      </c>
      <c r="O351" s="17" t="s">
        <v>5270</v>
      </c>
      <c r="P351" s="79" t="s">
        <v>352</v>
      </c>
      <c r="Q351" s="13" t="s">
        <v>618</v>
      </c>
      <c r="R351" s="246" t="str">
        <f>VLOOKUP(P351,'Dados das Regiões '!A:B,2,0)</f>
        <v>MARECHAL CÂNDIDO RONDON</v>
      </c>
      <c r="S351" s="13" t="s">
        <v>5271</v>
      </c>
      <c r="V351" s="13" t="s">
        <v>5272</v>
      </c>
      <c r="W351" s="13" t="s">
        <v>5273</v>
      </c>
      <c r="X351" s="15">
        <v>0.33333333333333331</v>
      </c>
      <c r="Y351" s="516">
        <v>0.41666666666666669</v>
      </c>
      <c r="Z351" s="16" t="s">
        <v>622</v>
      </c>
      <c r="AB351" s="164">
        <v>202500358</v>
      </c>
      <c r="AC351" s="55" t="s">
        <v>33</v>
      </c>
      <c r="AD351" s="40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</row>
    <row r="352" spans="1:44">
      <c r="B352" s="13" t="str">
        <f t="shared" si="332"/>
        <v>Pendente</v>
      </c>
      <c r="C352" s="14" t="str">
        <f t="shared" si="319"/>
        <v/>
      </c>
      <c r="D352" s="13" t="s">
        <v>611</v>
      </c>
      <c r="E352" s="14" t="str">
        <f t="shared" ref="E352" si="364">IF(C352="", "", EDATE(C352, 3))</f>
        <v/>
      </c>
      <c r="F352" s="13" t="s">
        <v>611</v>
      </c>
      <c r="G352" s="40">
        <v>202500358</v>
      </c>
      <c r="H352" s="13" t="s">
        <v>5274</v>
      </c>
      <c r="I352" s="13" t="s">
        <v>613</v>
      </c>
      <c r="J352" s="14">
        <v>45761</v>
      </c>
      <c r="K352" s="14">
        <v>46121</v>
      </c>
      <c r="L352" s="13" t="s">
        <v>657</v>
      </c>
      <c r="M352" s="13" t="s">
        <v>751</v>
      </c>
      <c r="N352" s="13" t="s">
        <v>752</v>
      </c>
      <c r="O352" s="17" t="s">
        <v>753</v>
      </c>
      <c r="P352" s="79" t="s">
        <v>282</v>
      </c>
      <c r="Q352" s="13" t="s">
        <v>618</v>
      </c>
      <c r="R352" s="246" t="str">
        <f>VLOOKUP(P352,'Dados das Regiões '!A:B,2,0)</f>
        <v>FRANCISCO BELTRÃO</v>
      </c>
      <c r="S352" s="13" t="s">
        <v>5275</v>
      </c>
      <c r="U352" s="79" t="s">
        <v>755</v>
      </c>
      <c r="V352" s="13" t="s">
        <v>5276</v>
      </c>
      <c r="W352" s="13" t="s">
        <v>5277</v>
      </c>
      <c r="X352" s="15">
        <v>0.5625</v>
      </c>
      <c r="Y352" s="516">
        <v>0.64583333333333337</v>
      </c>
      <c r="Z352" s="16" t="s">
        <v>622</v>
      </c>
      <c r="AB352" s="164">
        <v>202500358</v>
      </c>
      <c r="AC352" s="55" t="s">
        <v>33</v>
      </c>
      <c r="AD352" s="40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</row>
    <row r="353" spans="1:44">
      <c r="A353" s="14">
        <v>45897</v>
      </c>
      <c r="B353" s="13" t="str">
        <f t="shared" si="332"/>
        <v>Realizada</v>
      </c>
      <c r="C353" s="14">
        <f t="shared" si="319"/>
        <v>45989</v>
      </c>
      <c r="D353" s="13" t="s">
        <v>611</v>
      </c>
      <c r="E353" s="14">
        <f t="shared" ref="E353" si="365">IF(C353="", "", EDATE(C353, 3))</f>
        <v>46081</v>
      </c>
      <c r="F353" s="13" t="s">
        <v>611</v>
      </c>
      <c r="G353" s="40">
        <v>202500358</v>
      </c>
      <c r="H353" s="13" t="s">
        <v>5278</v>
      </c>
      <c r="I353" s="13" t="s">
        <v>613</v>
      </c>
      <c r="J353" s="14">
        <v>45761</v>
      </c>
      <c r="K353" s="14">
        <v>46121</v>
      </c>
      <c r="L353" s="13" t="s">
        <v>657</v>
      </c>
      <c r="M353" s="13" t="s">
        <v>5279</v>
      </c>
      <c r="N353" s="13" t="s">
        <v>5280</v>
      </c>
      <c r="O353" s="17" t="s">
        <v>5281</v>
      </c>
      <c r="P353" s="79" t="s">
        <v>292</v>
      </c>
      <c r="Q353" s="13" t="s">
        <v>618</v>
      </c>
      <c r="R353" s="246" t="str">
        <f>VLOOKUP(P353,'Dados das Regiões '!A:B,2,0)</f>
        <v>GUARAPUAVA</v>
      </c>
      <c r="S353" s="13" t="s">
        <v>5282</v>
      </c>
      <c r="V353" s="13" t="s">
        <v>5283</v>
      </c>
      <c r="W353" s="13" t="s">
        <v>5284</v>
      </c>
      <c r="X353" s="15">
        <v>0.5625</v>
      </c>
      <c r="Y353" s="516">
        <v>0.64583333333333337</v>
      </c>
      <c r="Z353" s="16" t="s">
        <v>622</v>
      </c>
      <c r="AB353" s="164">
        <v>202500358</v>
      </c>
      <c r="AC353" s="55" t="s">
        <v>33</v>
      </c>
      <c r="AD353" s="40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</row>
    <row r="354" spans="1:44">
      <c r="A354" s="14">
        <v>45911</v>
      </c>
      <c r="B354" s="13" t="str">
        <f t="shared" si="332"/>
        <v>Realizada</v>
      </c>
      <c r="C354" s="14">
        <f t="shared" si="319"/>
        <v>46002</v>
      </c>
      <c r="D354" s="13" t="s">
        <v>611</v>
      </c>
      <c r="E354" s="14">
        <f t="shared" ref="E354" si="366">IF(C354="", "", EDATE(C354, 3))</f>
        <v>46092</v>
      </c>
      <c r="F354" s="13" t="s">
        <v>611</v>
      </c>
      <c r="G354" s="40">
        <v>202500358</v>
      </c>
      <c r="H354" s="13" t="s">
        <v>5285</v>
      </c>
      <c r="I354" s="13" t="s">
        <v>613</v>
      </c>
      <c r="J354" s="14">
        <v>45761</v>
      </c>
      <c r="K354" s="14">
        <v>46121</v>
      </c>
      <c r="L354" s="13" t="s">
        <v>5103</v>
      </c>
      <c r="M354" s="13" t="s">
        <v>5286</v>
      </c>
      <c r="N354" s="13" t="s">
        <v>5287</v>
      </c>
      <c r="O354" s="17" t="s">
        <v>5288</v>
      </c>
      <c r="P354" s="79" t="s">
        <v>166</v>
      </c>
      <c r="Q354" s="13" t="s">
        <v>618</v>
      </c>
      <c r="R354" s="246" t="str">
        <f>VLOOKUP(P354,'Dados das Regiões '!A:B,2,0)</f>
        <v>CAMPO MOURÃO</v>
      </c>
      <c r="S354" s="13" t="s">
        <v>5289</v>
      </c>
      <c r="V354" s="13" t="s">
        <v>5290</v>
      </c>
      <c r="W354" s="13" t="s">
        <v>5291</v>
      </c>
      <c r="X354" s="15">
        <v>0.5625</v>
      </c>
      <c r="Y354" s="516">
        <v>0.64583333333333337</v>
      </c>
      <c r="Z354" s="16" t="s">
        <v>622</v>
      </c>
      <c r="AB354" s="164">
        <v>202500358</v>
      </c>
      <c r="AC354" s="55" t="s">
        <v>33</v>
      </c>
      <c r="AD354" s="40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</row>
    <row r="355" spans="1:44">
      <c r="B355" s="13" t="str">
        <f t="shared" si="332"/>
        <v>Pendente</v>
      </c>
      <c r="C355" s="14" t="str">
        <f t="shared" si="319"/>
        <v/>
      </c>
      <c r="D355" s="13" t="s">
        <v>611</v>
      </c>
      <c r="E355" s="14" t="str">
        <f t="shared" ref="E355" si="367">IF(C355="", "", EDATE(C355, 3))</f>
        <v/>
      </c>
      <c r="F355" s="13" t="s">
        <v>611</v>
      </c>
      <c r="G355" s="40">
        <v>202500358</v>
      </c>
      <c r="H355" s="13" t="s">
        <v>5292</v>
      </c>
      <c r="I355" s="13" t="s">
        <v>613</v>
      </c>
      <c r="J355" s="14">
        <v>45761</v>
      </c>
      <c r="K355" s="14">
        <v>46121</v>
      </c>
      <c r="L355" s="13" t="s">
        <v>5103</v>
      </c>
      <c r="M355" s="13" t="s">
        <v>5293</v>
      </c>
      <c r="N355" s="13" t="s">
        <v>5294</v>
      </c>
      <c r="O355" s="17" t="s">
        <v>5295</v>
      </c>
      <c r="P355" s="79" t="s">
        <v>201</v>
      </c>
      <c r="Q355" s="13" t="s">
        <v>618</v>
      </c>
      <c r="R355" s="246" t="str">
        <f>VLOOKUP(P355,'Dados das Regiões '!A:B,2,0)</f>
        <v>CASCAVEL</v>
      </c>
      <c r="S355" s="13" t="s">
        <v>5250</v>
      </c>
      <c r="V355" s="13" t="s">
        <v>5251</v>
      </c>
      <c r="W355" s="13" t="s">
        <v>5252</v>
      </c>
      <c r="X355" s="15">
        <v>0.5625</v>
      </c>
      <c r="Y355" s="516">
        <v>0.64583333333333337</v>
      </c>
      <c r="Z355" s="16" t="s">
        <v>622</v>
      </c>
      <c r="AB355" s="164">
        <v>202500358</v>
      </c>
      <c r="AC355" s="55" t="s">
        <v>33</v>
      </c>
      <c r="AD355" s="40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</row>
    <row r="356" spans="1:44">
      <c r="B356" s="13" t="str">
        <f t="shared" si="332"/>
        <v>Pendente</v>
      </c>
      <c r="C356" s="14" t="str">
        <f t="shared" si="319"/>
        <v/>
      </c>
      <c r="D356" s="13" t="s">
        <v>611</v>
      </c>
      <c r="E356" s="14" t="str">
        <f t="shared" ref="E356" si="368">IF(C356="", "", EDATE(C356, 3))</f>
        <v/>
      </c>
      <c r="F356" s="13" t="s">
        <v>611</v>
      </c>
      <c r="G356" s="40">
        <v>202500358</v>
      </c>
      <c r="H356" s="13" t="s">
        <v>5296</v>
      </c>
      <c r="I356" s="13" t="s">
        <v>613</v>
      </c>
      <c r="J356" s="14">
        <v>45761</v>
      </c>
      <c r="K356" s="14">
        <v>46121</v>
      </c>
      <c r="L356" s="13" t="s">
        <v>5103</v>
      </c>
      <c r="M356" s="13" t="s">
        <v>5297</v>
      </c>
      <c r="N356" s="13" t="s">
        <v>5298</v>
      </c>
      <c r="O356" s="17" t="s">
        <v>5299</v>
      </c>
      <c r="P356" s="79" t="s">
        <v>365</v>
      </c>
      <c r="Q356" s="13" t="s">
        <v>618</v>
      </c>
      <c r="R356" s="246" t="str">
        <f>VLOOKUP(P356,'Dados das Regiões '!A:B,2,0)</f>
        <v>MARINGÁ</v>
      </c>
      <c r="S356" s="13" t="s">
        <v>5300</v>
      </c>
      <c r="V356" s="13" t="s">
        <v>5301</v>
      </c>
      <c r="W356" s="13" t="s">
        <v>5302</v>
      </c>
      <c r="X356" s="15">
        <v>0.5625</v>
      </c>
      <c r="Y356" s="516">
        <v>0.64583333333333337</v>
      </c>
      <c r="Z356" s="16" t="s">
        <v>622</v>
      </c>
      <c r="AB356" s="164">
        <v>202500358</v>
      </c>
      <c r="AC356" s="55" t="s">
        <v>33</v>
      </c>
      <c r="AD356" s="40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</row>
    <row r="357" spans="1:44">
      <c r="B357" s="13" t="str">
        <f t="shared" si="332"/>
        <v>Pendente</v>
      </c>
      <c r="C357" s="14" t="str">
        <f t="shared" si="319"/>
        <v/>
      </c>
      <c r="D357" s="13" t="s">
        <v>611</v>
      </c>
      <c r="E357" s="14" t="str">
        <f t="shared" ref="E357" si="369">IF(C357="", "", EDATE(C357, 3))</f>
        <v/>
      </c>
      <c r="F357" s="13" t="s">
        <v>611</v>
      </c>
      <c r="G357" s="40">
        <v>202500358</v>
      </c>
      <c r="H357" s="13" t="s">
        <v>5303</v>
      </c>
      <c r="I357" s="13" t="s">
        <v>613</v>
      </c>
      <c r="J357" s="14">
        <v>45761</v>
      </c>
      <c r="K357" s="14">
        <v>46121</v>
      </c>
      <c r="L357" s="13" t="s">
        <v>5103</v>
      </c>
      <c r="M357" s="13" t="s">
        <v>5304</v>
      </c>
      <c r="N357" s="13" t="s">
        <v>5305</v>
      </c>
      <c r="O357" s="17" t="s">
        <v>5306</v>
      </c>
      <c r="P357" s="79" t="s">
        <v>314</v>
      </c>
      <c r="Q357" s="13" t="s">
        <v>618</v>
      </c>
      <c r="R357" s="246" t="str">
        <f>VLOOKUP(P357,'Dados das Regiões '!A:B,2,0)</f>
        <v>IVAIPORÃ</v>
      </c>
      <c r="S357" s="13" t="s">
        <v>5307</v>
      </c>
      <c r="V357" s="13" t="s">
        <v>5308</v>
      </c>
      <c r="W357" s="13" t="s">
        <v>5309</v>
      </c>
      <c r="X357" s="15">
        <v>0.5625</v>
      </c>
      <c r="Y357" s="516">
        <v>0.64583333333333337</v>
      </c>
      <c r="Z357" s="16" t="s">
        <v>622</v>
      </c>
      <c r="AB357" s="164">
        <v>202500358</v>
      </c>
      <c r="AC357" s="55" t="s">
        <v>33</v>
      </c>
      <c r="AD357" s="40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</row>
    <row r="358" spans="1:44">
      <c r="B358" s="13" t="str">
        <f t="shared" si="332"/>
        <v>Pendente</v>
      </c>
      <c r="C358" s="14" t="str">
        <f t="shared" si="319"/>
        <v/>
      </c>
      <c r="D358" s="13" t="s">
        <v>611</v>
      </c>
      <c r="E358" s="14" t="str">
        <f t="shared" ref="E358" si="370">IF(C358="", "", EDATE(C358, 3))</f>
        <v/>
      </c>
      <c r="F358" s="13" t="s">
        <v>611</v>
      </c>
      <c r="G358" s="40">
        <v>202500358</v>
      </c>
      <c r="H358" s="13" t="s">
        <v>5310</v>
      </c>
      <c r="I358" s="13" t="s">
        <v>613</v>
      </c>
      <c r="J358" s="14">
        <v>45761</v>
      </c>
      <c r="K358" s="14">
        <v>46121</v>
      </c>
      <c r="L358" s="13" t="s">
        <v>682</v>
      </c>
      <c r="M358" s="13" t="s">
        <v>5311</v>
      </c>
      <c r="N358" s="18" t="s">
        <v>5312</v>
      </c>
      <c r="O358" s="28" t="s">
        <v>5313</v>
      </c>
      <c r="P358" s="79" t="s">
        <v>130</v>
      </c>
      <c r="Q358" s="13" t="s">
        <v>618</v>
      </c>
      <c r="R358" s="246" t="str">
        <f>VLOOKUP(P358,'Dados das Regiões '!A:B,2,0)</f>
        <v>APUCARANA</v>
      </c>
      <c r="S358" s="13" t="s">
        <v>5218</v>
      </c>
      <c r="U358" s="79" t="s">
        <v>5219</v>
      </c>
      <c r="V358" s="13" t="s">
        <v>5220</v>
      </c>
      <c r="W358" s="13" t="s">
        <v>5221</v>
      </c>
      <c r="X358" s="15">
        <v>0.5625</v>
      </c>
      <c r="Y358" s="516">
        <v>0.64583333333333337</v>
      </c>
      <c r="Z358" s="16" t="s">
        <v>622</v>
      </c>
      <c r="AB358" s="164">
        <v>202500358</v>
      </c>
      <c r="AC358" s="55" t="s">
        <v>33</v>
      </c>
      <c r="AD358" s="40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</row>
    <row r="359" spans="1:44">
      <c r="B359" s="13" t="str">
        <f t="shared" si="332"/>
        <v>Pendente</v>
      </c>
      <c r="C359" s="14" t="str">
        <f t="shared" si="319"/>
        <v/>
      </c>
      <c r="D359" s="13" t="s">
        <v>611</v>
      </c>
      <c r="E359" s="14" t="str">
        <f t="shared" ref="E359" si="371">IF(C359="", "", EDATE(C359, 3))</f>
        <v/>
      </c>
      <c r="F359" s="13" t="s">
        <v>611</v>
      </c>
      <c r="G359" s="40">
        <v>202500358</v>
      </c>
      <c r="H359" s="13" t="s">
        <v>5314</v>
      </c>
      <c r="I359" s="13" t="s">
        <v>613</v>
      </c>
      <c r="J359" s="14">
        <v>45761</v>
      </c>
      <c r="K359" s="14">
        <v>46121</v>
      </c>
      <c r="L359" s="13" t="s">
        <v>682</v>
      </c>
      <c r="M359" s="13" t="s">
        <v>5315</v>
      </c>
      <c r="N359" s="13" t="s">
        <v>5316</v>
      </c>
      <c r="O359" s="17" t="s">
        <v>5317</v>
      </c>
      <c r="P359" s="79" t="s">
        <v>218</v>
      </c>
      <c r="Q359" s="13" t="s">
        <v>618</v>
      </c>
      <c r="R359" s="246" t="str">
        <f>VLOOKUP(P359,'Dados das Regiões '!A:B,2,0)</f>
        <v>CORNÉLIO PROCÓPIO</v>
      </c>
      <c r="S359" s="13" t="s">
        <v>5318</v>
      </c>
      <c r="U359" s="79" t="s">
        <v>5319</v>
      </c>
      <c r="V359" s="13" t="s">
        <v>5320</v>
      </c>
      <c r="W359" s="13" t="s">
        <v>5321</v>
      </c>
      <c r="X359" s="15">
        <v>0.33333333333333331</v>
      </c>
      <c r="Y359" s="516">
        <v>0.41666666666666669</v>
      </c>
      <c r="Z359" s="16" t="s">
        <v>622</v>
      </c>
      <c r="AB359" s="164">
        <v>202500358</v>
      </c>
      <c r="AC359" s="55" t="s">
        <v>33</v>
      </c>
      <c r="AD359" s="40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</row>
    <row r="360" spans="1:44">
      <c r="B360" s="13" t="str">
        <f t="shared" si="332"/>
        <v>Pendente</v>
      </c>
      <c r="C360" s="14" t="str">
        <f t="shared" si="319"/>
        <v/>
      </c>
      <c r="D360" s="13" t="s">
        <v>611</v>
      </c>
      <c r="E360" s="14" t="str">
        <f t="shared" ref="E360" si="372">IF(C360="", "", EDATE(C360, 3))</f>
        <v/>
      </c>
      <c r="F360" s="13" t="s">
        <v>611</v>
      </c>
      <c r="G360" s="40">
        <v>202500358</v>
      </c>
      <c r="H360" s="13" t="s">
        <v>5322</v>
      </c>
      <c r="I360" s="13" t="s">
        <v>613</v>
      </c>
      <c r="J360" s="14">
        <v>45761</v>
      </c>
      <c r="K360" s="14">
        <v>46121</v>
      </c>
      <c r="L360" s="13" t="s">
        <v>682</v>
      </c>
      <c r="M360" s="13" t="s">
        <v>5323</v>
      </c>
      <c r="N360" s="13" t="s">
        <v>5324</v>
      </c>
      <c r="O360" s="17" t="s">
        <v>5325</v>
      </c>
      <c r="P360" s="79" t="s">
        <v>229</v>
      </c>
      <c r="Q360" s="13" t="s">
        <v>618</v>
      </c>
      <c r="R360" s="246" t="str">
        <f>VLOOKUP(P360,'Dados das Regiões '!A:B,2,0)</f>
        <v>CORNÉLIO PROCÓPIO</v>
      </c>
      <c r="S360" s="13" t="s">
        <v>5318</v>
      </c>
      <c r="U360" s="79" t="s">
        <v>5319</v>
      </c>
      <c r="V360" s="13" t="s">
        <v>5320</v>
      </c>
      <c r="W360" s="13" t="s">
        <v>5321</v>
      </c>
      <c r="X360" s="15">
        <v>0.33333333333333331</v>
      </c>
      <c r="Y360" s="516">
        <v>0.41666666666666669</v>
      </c>
      <c r="Z360" s="16" t="s">
        <v>622</v>
      </c>
      <c r="AB360" s="164">
        <v>202500358</v>
      </c>
      <c r="AC360" s="55" t="s">
        <v>33</v>
      </c>
      <c r="AD360" s="40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</row>
    <row r="361" spans="1:44">
      <c r="B361" s="13" t="str">
        <f t="shared" si="332"/>
        <v>Pendente</v>
      </c>
      <c r="C361" s="14" t="str">
        <f t="shared" si="319"/>
        <v/>
      </c>
      <c r="D361" s="13" t="s">
        <v>611</v>
      </c>
      <c r="E361" s="14" t="str">
        <f t="shared" ref="E361" si="373">IF(C361="", "", EDATE(C361, 3))</f>
        <v/>
      </c>
      <c r="F361" s="13" t="s">
        <v>611</v>
      </c>
      <c r="G361" s="40">
        <v>202500358</v>
      </c>
      <c r="H361" s="13" t="s">
        <v>5326</v>
      </c>
      <c r="I361" s="13" t="s">
        <v>613</v>
      </c>
      <c r="J361" s="14">
        <v>45761</v>
      </c>
      <c r="K361" s="14">
        <v>46121</v>
      </c>
      <c r="L361" s="13" t="s">
        <v>657</v>
      </c>
      <c r="M361" s="13" t="s">
        <v>5327</v>
      </c>
      <c r="N361" s="13" t="s">
        <v>5328</v>
      </c>
      <c r="O361" s="17" t="s">
        <v>5329</v>
      </c>
      <c r="P361" s="79" t="s">
        <v>190</v>
      </c>
      <c r="Q361" s="13" t="s">
        <v>618</v>
      </c>
      <c r="R361" s="246" t="str">
        <f>VLOOKUP(P361,'Dados das Regiões '!A:B,2,0)</f>
        <v>CASCAVEL</v>
      </c>
      <c r="S361" s="13" t="s">
        <v>5330</v>
      </c>
      <c r="V361" s="13" t="s">
        <v>5331</v>
      </c>
      <c r="W361" s="13" t="s">
        <v>5332</v>
      </c>
      <c r="X361" s="15">
        <v>0.33333333333333331</v>
      </c>
      <c r="Y361" s="516">
        <v>0.41666666666666669</v>
      </c>
      <c r="Z361" s="16" t="s">
        <v>622</v>
      </c>
      <c r="AB361" s="164">
        <v>202500358</v>
      </c>
      <c r="AC361" s="55" t="s">
        <v>33</v>
      </c>
      <c r="AD361" s="40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</row>
    <row r="362" spans="1:44">
      <c r="B362" s="13" t="str">
        <f t="shared" si="332"/>
        <v>Pendente</v>
      </c>
      <c r="C362" s="14" t="str">
        <f t="shared" si="319"/>
        <v/>
      </c>
      <c r="D362" s="13" t="s">
        <v>611</v>
      </c>
      <c r="E362" s="14" t="str">
        <f t="shared" ref="E362" si="374">IF(C362="", "", EDATE(C362, 3))</f>
        <v/>
      </c>
      <c r="F362" s="13" t="s">
        <v>611</v>
      </c>
      <c r="G362" s="40">
        <v>202500358</v>
      </c>
      <c r="H362" s="13" t="s">
        <v>5333</v>
      </c>
      <c r="I362" s="13" t="s">
        <v>613</v>
      </c>
      <c r="J362" s="14">
        <v>45761</v>
      </c>
      <c r="K362" s="14">
        <v>46121</v>
      </c>
      <c r="L362" s="13" t="s">
        <v>5103</v>
      </c>
      <c r="M362" s="13" t="s">
        <v>5261</v>
      </c>
      <c r="N362" s="13" t="s">
        <v>5262</v>
      </c>
      <c r="O362" s="17" t="s">
        <v>5263</v>
      </c>
      <c r="P362" s="79" t="s">
        <v>485</v>
      </c>
      <c r="Q362" s="13" t="s">
        <v>618</v>
      </c>
      <c r="R362" s="246" t="str">
        <f>VLOOKUP(P362,'Dados das Regiões '!A:B,2,0)</f>
        <v>UMUARAMA</v>
      </c>
      <c r="S362" s="13" t="s">
        <v>5264</v>
      </c>
      <c r="V362" s="13" t="s">
        <v>5265</v>
      </c>
      <c r="W362" s="13" t="s">
        <v>5266</v>
      </c>
      <c r="X362" s="15">
        <v>0.33333333333333331</v>
      </c>
      <c r="Y362" s="516">
        <v>0.41666666666666669</v>
      </c>
      <c r="Z362" s="16" t="s">
        <v>622</v>
      </c>
      <c r="AB362" s="164">
        <v>202500358</v>
      </c>
      <c r="AC362" s="55" t="s">
        <v>33</v>
      </c>
      <c r="AD362" s="40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</row>
    <row r="363" spans="1:44">
      <c r="B363" s="13" t="str">
        <f t="shared" si="332"/>
        <v>Pendente</v>
      </c>
      <c r="C363" s="14" t="str">
        <f t="shared" si="319"/>
        <v/>
      </c>
      <c r="D363" s="13" t="s">
        <v>611</v>
      </c>
      <c r="E363" s="14" t="str">
        <f t="shared" ref="E363" si="375">IF(C363="", "", EDATE(C363, 3))</f>
        <v/>
      </c>
      <c r="F363" s="13" t="s">
        <v>611</v>
      </c>
      <c r="G363" s="40">
        <v>202500358</v>
      </c>
      <c r="H363" s="13" t="s">
        <v>5334</v>
      </c>
      <c r="I363" s="13" t="s">
        <v>613</v>
      </c>
      <c r="J363" s="14">
        <v>45761</v>
      </c>
      <c r="K363" s="14">
        <v>46121</v>
      </c>
      <c r="L363" s="13" t="s">
        <v>1399</v>
      </c>
      <c r="M363" s="13" t="s">
        <v>5335</v>
      </c>
      <c r="N363" s="13" t="s">
        <v>5336</v>
      </c>
      <c r="O363" s="17" t="s">
        <v>5337</v>
      </c>
      <c r="P363" s="79" t="s">
        <v>478</v>
      </c>
      <c r="Q363" s="13" t="s">
        <v>618</v>
      </c>
      <c r="R363" s="246" t="str">
        <f>VLOOKUP(P363,'Dados das Regiões '!A:B,2,0)</f>
        <v>TOLEDO</v>
      </c>
      <c r="S363" s="13" t="s">
        <v>5338</v>
      </c>
      <c r="V363" s="13" t="s">
        <v>5339</v>
      </c>
      <c r="W363" s="13" t="s">
        <v>5340</v>
      </c>
      <c r="X363" s="15">
        <v>0.33333333333333331</v>
      </c>
      <c r="Y363" s="516">
        <v>0.41666666666666669</v>
      </c>
      <c r="Z363" s="16" t="s">
        <v>622</v>
      </c>
      <c r="AB363" s="164">
        <v>202500358</v>
      </c>
      <c r="AC363" s="55" t="s">
        <v>33</v>
      </c>
      <c r="AD363" s="40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</row>
    <row r="364" spans="1:44">
      <c r="B364" s="13" t="str">
        <f t="shared" si="332"/>
        <v>Pendente</v>
      </c>
      <c r="C364" s="14" t="str">
        <f t="shared" si="319"/>
        <v/>
      </c>
      <c r="D364" s="13" t="s">
        <v>611</v>
      </c>
      <c r="E364" s="14" t="str">
        <f t="shared" ref="E364" si="376">IF(C364="", "", EDATE(C364, 3))</f>
        <v/>
      </c>
      <c r="F364" s="13" t="s">
        <v>611</v>
      </c>
      <c r="G364" s="40">
        <v>202500358</v>
      </c>
      <c r="H364" s="13" t="s">
        <v>5341</v>
      </c>
      <c r="I364" s="13" t="s">
        <v>613</v>
      </c>
      <c r="J364" s="14">
        <v>45761</v>
      </c>
      <c r="K364" s="14">
        <v>46121</v>
      </c>
      <c r="L364" s="13" t="s">
        <v>5103</v>
      </c>
      <c r="M364" s="13" t="s">
        <v>5304</v>
      </c>
      <c r="N364" s="13" t="s">
        <v>5305</v>
      </c>
      <c r="O364" s="17" t="s">
        <v>5306</v>
      </c>
      <c r="P364" s="79" t="s">
        <v>314</v>
      </c>
      <c r="Q364" s="13" t="s">
        <v>618</v>
      </c>
      <c r="R364" s="246" t="str">
        <f>VLOOKUP(P364,'Dados das Regiões '!A:B,2,0)</f>
        <v>IVAIPORÃ</v>
      </c>
      <c r="S364" s="13" t="s">
        <v>5307</v>
      </c>
      <c r="V364" s="13" t="s">
        <v>5308</v>
      </c>
      <c r="W364" s="13" t="s">
        <v>5309</v>
      </c>
      <c r="X364" s="15">
        <v>0.33333333333333331</v>
      </c>
      <c r="Y364" s="516">
        <v>0.41666666666666669</v>
      </c>
      <c r="Z364" s="16" t="s">
        <v>622</v>
      </c>
      <c r="AB364" s="164">
        <v>202500358</v>
      </c>
      <c r="AC364" s="55" t="s">
        <v>33</v>
      </c>
      <c r="AD364" s="40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</row>
    <row r="365" spans="1:44">
      <c r="B365" s="13" t="str">
        <f t="shared" si="332"/>
        <v>Pendente</v>
      </c>
      <c r="C365" s="14" t="str">
        <f t="shared" si="319"/>
        <v/>
      </c>
      <c r="D365" s="13" t="s">
        <v>611</v>
      </c>
      <c r="E365" s="14" t="str">
        <f t="shared" ref="E365" si="377">IF(C365="", "", EDATE(C365, 3))</f>
        <v/>
      </c>
      <c r="F365" s="13" t="s">
        <v>611</v>
      </c>
      <c r="G365" s="40">
        <v>202500358</v>
      </c>
      <c r="H365" s="13" t="s">
        <v>5342</v>
      </c>
      <c r="I365" s="13" t="s">
        <v>613</v>
      </c>
      <c r="J365" s="14">
        <v>45761</v>
      </c>
      <c r="K365" s="14">
        <v>46121</v>
      </c>
      <c r="L365" s="13" t="s">
        <v>5103</v>
      </c>
      <c r="M365" s="13" t="s">
        <v>5343</v>
      </c>
      <c r="N365" s="13" t="s">
        <v>5344</v>
      </c>
      <c r="O365" s="17" t="s">
        <v>5345</v>
      </c>
      <c r="P365" s="79" t="s">
        <v>381</v>
      </c>
      <c r="Q365" s="13" t="s">
        <v>618</v>
      </c>
      <c r="R365" s="246" t="str">
        <f>VLOOKUP(P365,'Dados das Regiões '!A:B,2,0)</f>
        <v>MARINGÁ</v>
      </c>
      <c r="S365" s="13" t="s">
        <v>5346</v>
      </c>
      <c r="V365" s="13" t="s">
        <v>5347</v>
      </c>
      <c r="W365" s="13" t="s">
        <v>5348</v>
      </c>
      <c r="X365" s="15">
        <v>0.5625</v>
      </c>
      <c r="Y365" s="516">
        <v>0.64583333333333337</v>
      </c>
      <c r="Z365" s="16" t="s">
        <v>622</v>
      </c>
      <c r="AB365" s="164">
        <v>202500358</v>
      </c>
      <c r="AC365" s="55" t="s">
        <v>33</v>
      </c>
      <c r="AD365" s="40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</row>
    <row r="366" spans="1:44">
      <c r="B366" s="13" t="str">
        <f t="shared" si="332"/>
        <v>Pendente</v>
      </c>
      <c r="C366" s="14" t="str">
        <f t="shared" si="319"/>
        <v/>
      </c>
      <c r="D366" s="13" t="s">
        <v>611</v>
      </c>
      <c r="E366" s="14" t="str">
        <f t="shared" ref="E366" si="378">IF(C366="", "", EDATE(C366, 3))</f>
        <v/>
      </c>
      <c r="F366" s="13" t="s">
        <v>611</v>
      </c>
      <c r="G366" s="40">
        <v>202500358</v>
      </c>
      <c r="H366" s="13" t="s">
        <v>5349</v>
      </c>
      <c r="I366" s="13" t="s">
        <v>613</v>
      </c>
      <c r="J366" s="14">
        <v>45761</v>
      </c>
      <c r="K366" s="14">
        <v>46121</v>
      </c>
      <c r="L366" s="13" t="s">
        <v>5103</v>
      </c>
      <c r="M366" s="13" t="s">
        <v>5343</v>
      </c>
      <c r="N366" s="13" t="s">
        <v>5344</v>
      </c>
      <c r="O366" s="17" t="s">
        <v>5345</v>
      </c>
      <c r="P366" s="79" t="s">
        <v>381</v>
      </c>
      <c r="Q366" s="13" t="s">
        <v>618</v>
      </c>
      <c r="R366" s="246" t="str">
        <f>VLOOKUP(P366,'Dados das Regiões '!A:B,2,0)</f>
        <v>MARINGÁ</v>
      </c>
      <c r="S366" s="13" t="s">
        <v>5346</v>
      </c>
      <c r="U366" s="79" t="s">
        <v>5347</v>
      </c>
      <c r="V366" s="13" t="s">
        <v>5350</v>
      </c>
      <c r="W366" s="13" t="s">
        <v>5348</v>
      </c>
      <c r="X366" s="15">
        <v>0.33333333333333331</v>
      </c>
      <c r="Y366" s="516">
        <v>0.41666666666666669</v>
      </c>
      <c r="Z366" s="16" t="s">
        <v>622</v>
      </c>
      <c r="AB366" s="164">
        <v>202500358</v>
      </c>
      <c r="AC366" s="55" t="s">
        <v>33</v>
      </c>
      <c r="AD366" s="40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</row>
    <row r="367" spans="1:44">
      <c r="B367" s="13" t="str">
        <f t="shared" si="332"/>
        <v>Pendente</v>
      </c>
      <c r="C367" s="14" t="str">
        <f t="shared" si="319"/>
        <v/>
      </c>
      <c r="D367" s="13" t="s">
        <v>611</v>
      </c>
      <c r="E367" s="14" t="str">
        <f t="shared" ref="E367" si="379">IF(C367="", "", EDATE(C367, 3))</f>
        <v/>
      </c>
      <c r="F367" s="13" t="s">
        <v>611</v>
      </c>
      <c r="G367" s="40">
        <v>202500358</v>
      </c>
      <c r="H367" s="13" t="s">
        <v>5351</v>
      </c>
      <c r="I367" s="13" t="s">
        <v>613</v>
      </c>
      <c r="J367" s="14">
        <v>45761</v>
      </c>
      <c r="K367" s="14">
        <v>46121</v>
      </c>
      <c r="L367" s="13" t="s">
        <v>5103</v>
      </c>
      <c r="M367" s="13" t="s">
        <v>5352</v>
      </c>
      <c r="N367" s="13" t="s">
        <v>5353</v>
      </c>
      <c r="O367" s="17" t="s">
        <v>5354</v>
      </c>
      <c r="P367" s="79" t="s">
        <v>175</v>
      </c>
      <c r="Q367" s="13" t="s">
        <v>618</v>
      </c>
      <c r="R367" s="246" t="str">
        <f>VLOOKUP(P367,'Dados das Regiões '!A:B,2,0)</f>
        <v>CAMPO MOURÃO</v>
      </c>
      <c r="S367" s="13" t="s">
        <v>5355</v>
      </c>
      <c r="V367" s="13" t="s">
        <v>5356</v>
      </c>
      <c r="W367" s="13" t="s">
        <v>5357</v>
      </c>
      <c r="X367" s="15">
        <v>0.5625</v>
      </c>
      <c r="Y367" s="516">
        <v>0.64583333333333337</v>
      </c>
      <c r="Z367" s="16" t="s">
        <v>622</v>
      </c>
      <c r="AB367" s="164">
        <v>202500358</v>
      </c>
      <c r="AC367" s="55" t="s">
        <v>33</v>
      </c>
      <c r="AD367" s="40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</row>
    <row r="368" spans="1:44">
      <c r="B368" s="13" t="str">
        <f t="shared" si="332"/>
        <v>Pendente</v>
      </c>
      <c r="C368" s="14" t="str">
        <f t="shared" si="319"/>
        <v/>
      </c>
      <c r="D368" s="13" t="s">
        <v>611</v>
      </c>
      <c r="E368" s="14" t="str">
        <f t="shared" ref="E368" si="380">IF(C368="", "", EDATE(C368, 3))</f>
        <v/>
      </c>
      <c r="F368" s="13" t="s">
        <v>611</v>
      </c>
      <c r="G368" s="40">
        <v>202500358</v>
      </c>
      <c r="H368" s="13" t="s">
        <v>5358</v>
      </c>
      <c r="I368" s="13" t="s">
        <v>613</v>
      </c>
      <c r="J368" s="14">
        <v>45761</v>
      </c>
      <c r="K368" s="14">
        <v>46121</v>
      </c>
      <c r="L368" s="13" t="s">
        <v>5103</v>
      </c>
      <c r="M368" s="13" t="s">
        <v>5297</v>
      </c>
      <c r="N368" s="13" t="s">
        <v>5298</v>
      </c>
      <c r="O368" s="17" t="s">
        <v>5299</v>
      </c>
      <c r="P368" s="79" t="s">
        <v>365</v>
      </c>
      <c r="Q368" s="13" t="s">
        <v>618</v>
      </c>
      <c r="R368" s="246" t="str">
        <f>VLOOKUP(P368,'Dados das Regiões '!A:B,2,0)</f>
        <v>MARINGÁ</v>
      </c>
      <c r="S368" s="13" t="s">
        <v>5300</v>
      </c>
      <c r="V368" s="13" t="s">
        <v>5301</v>
      </c>
      <c r="W368" s="13" t="s">
        <v>5302</v>
      </c>
      <c r="X368" s="15">
        <v>0.33333333333333331</v>
      </c>
      <c r="Y368" s="516">
        <v>0.41666666666666669</v>
      </c>
      <c r="Z368" s="16" t="s">
        <v>622</v>
      </c>
      <c r="AB368" s="164">
        <v>202500358</v>
      </c>
      <c r="AC368" s="55" t="s">
        <v>33</v>
      </c>
      <c r="AD368" s="40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</row>
    <row r="369" spans="1:44">
      <c r="B369" s="13" t="str">
        <f t="shared" si="332"/>
        <v>Pendente</v>
      </c>
      <c r="C369" s="14" t="str">
        <f t="shared" si="319"/>
        <v/>
      </c>
      <c r="D369" s="13" t="s">
        <v>611</v>
      </c>
      <c r="E369" s="14" t="str">
        <f t="shared" ref="E369" si="381">IF(C369="", "", EDATE(C369, 3))</f>
        <v/>
      </c>
      <c r="F369" s="13" t="s">
        <v>611</v>
      </c>
      <c r="G369" s="40">
        <v>202500358</v>
      </c>
      <c r="H369" s="13" t="s">
        <v>5359</v>
      </c>
      <c r="I369" s="13" t="s">
        <v>613</v>
      </c>
      <c r="J369" s="14">
        <v>45761</v>
      </c>
      <c r="K369" s="14">
        <v>46121</v>
      </c>
      <c r="L369" s="13" t="s">
        <v>5103</v>
      </c>
      <c r="M369" s="13" t="s">
        <v>5360</v>
      </c>
      <c r="N369" s="13" t="s">
        <v>5361</v>
      </c>
      <c r="O369" s="17" t="s">
        <v>5362</v>
      </c>
      <c r="P369" s="79" t="s">
        <v>172</v>
      </c>
      <c r="Q369" s="13" t="s">
        <v>618</v>
      </c>
      <c r="R369" s="246" t="str">
        <f>VLOOKUP(P369,'Dados das Regiões '!A:B,2,0)</f>
        <v>CAMPO MOURÃO</v>
      </c>
      <c r="S369" s="13" t="s">
        <v>5363</v>
      </c>
      <c r="V369" s="13" t="s">
        <v>5364</v>
      </c>
      <c r="W369" s="13" t="s">
        <v>5365</v>
      </c>
      <c r="X369" s="15">
        <v>0.5625</v>
      </c>
      <c r="Y369" s="516">
        <v>0.64583333333333337</v>
      </c>
      <c r="Z369" s="16" t="s">
        <v>622</v>
      </c>
      <c r="AB369" s="164">
        <v>202500358</v>
      </c>
      <c r="AC369" s="55" t="s">
        <v>33</v>
      </c>
      <c r="AD369" s="40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</row>
    <row r="370" spans="1:44">
      <c r="B370" s="13" t="str">
        <f t="shared" si="332"/>
        <v>Pendente</v>
      </c>
      <c r="C370" s="14" t="str">
        <f t="shared" si="319"/>
        <v/>
      </c>
      <c r="D370" s="13" t="s">
        <v>611</v>
      </c>
      <c r="E370" s="14" t="str">
        <f t="shared" ref="E370" si="382">IF(C370="", "", EDATE(C370, 3))</f>
        <v/>
      </c>
      <c r="F370" s="13" t="s">
        <v>611</v>
      </c>
      <c r="G370" s="40">
        <v>202500358</v>
      </c>
      <c r="H370" s="13" t="s">
        <v>5366</v>
      </c>
      <c r="I370" s="13" t="s">
        <v>613</v>
      </c>
      <c r="J370" s="14">
        <v>45761</v>
      </c>
      <c r="K370" s="14">
        <v>46121</v>
      </c>
      <c r="L370" s="13" t="s">
        <v>5103</v>
      </c>
      <c r="M370" s="13" t="s">
        <v>5367</v>
      </c>
      <c r="N370" s="13" t="s">
        <v>5368</v>
      </c>
      <c r="O370" s="17" t="s">
        <v>5369</v>
      </c>
      <c r="P370" s="79" t="s">
        <v>482</v>
      </c>
      <c r="Q370" s="13" t="s">
        <v>618</v>
      </c>
      <c r="R370" s="246" t="str">
        <f>VLOOKUP(P370,'Dados das Regiões '!A:B,2,0)</f>
        <v>TOLEDO</v>
      </c>
      <c r="S370" s="13" t="s">
        <v>5370</v>
      </c>
      <c r="V370" s="13" t="s">
        <v>5371</v>
      </c>
      <c r="W370" s="13" t="s">
        <v>5372</v>
      </c>
      <c r="X370" s="15">
        <v>0.33333333333333331</v>
      </c>
      <c r="Y370" s="516">
        <v>0.41666666666666669</v>
      </c>
      <c r="Z370" s="16" t="s">
        <v>622</v>
      </c>
      <c r="AB370" s="164">
        <v>202500358</v>
      </c>
      <c r="AC370" s="55" t="s">
        <v>33</v>
      </c>
      <c r="AD370" s="40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</row>
    <row r="371" spans="1:44">
      <c r="B371" s="13" t="str">
        <f t="shared" si="332"/>
        <v>Pendente</v>
      </c>
      <c r="C371" s="14" t="str">
        <f t="shared" si="319"/>
        <v/>
      </c>
      <c r="D371" s="13" t="s">
        <v>611</v>
      </c>
      <c r="E371" s="14" t="str">
        <f t="shared" ref="E371" si="383">IF(C371="", "", EDATE(C371, 3))</f>
        <v/>
      </c>
      <c r="F371" s="13" t="s">
        <v>611</v>
      </c>
      <c r="G371" s="40">
        <v>202500132</v>
      </c>
      <c r="H371" s="13" t="s">
        <v>5373</v>
      </c>
      <c r="I371" s="13" t="s">
        <v>613</v>
      </c>
      <c r="J371" s="14">
        <v>45761</v>
      </c>
      <c r="K371" s="14">
        <v>46121</v>
      </c>
      <c r="L371" s="13" t="s">
        <v>632</v>
      </c>
      <c r="M371" s="13" t="s">
        <v>5374</v>
      </c>
      <c r="N371" s="13" t="s">
        <v>5375</v>
      </c>
      <c r="O371" s="17" t="s">
        <v>5376</v>
      </c>
      <c r="P371" s="79" t="s">
        <v>378</v>
      </c>
      <c r="Q371" s="13" t="s">
        <v>618</v>
      </c>
      <c r="R371" s="246" t="str">
        <f>VLOOKUP(P371,'Dados das Regiões '!A:B,2,0)</f>
        <v>MARINGÁ</v>
      </c>
      <c r="S371" s="13" t="s">
        <v>5377</v>
      </c>
      <c r="V371" s="13" t="s">
        <v>5378</v>
      </c>
      <c r="W371" s="13" t="s">
        <v>5379</v>
      </c>
      <c r="X371" s="15">
        <v>0.33333333333333331</v>
      </c>
      <c r="Y371" s="516">
        <v>0.41666666666666669</v>
      </c>
      <c r="Z371" s="16" t="s">
        <v>622</v>
      </c>
      <c r="AB371" s="164">
        <v>202500132</v>
      </c>
      <c r="AC371" s="55" t="s">
        <v>30</v>
      </c>
      <c r="AD371" s="40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</row>
    <row r="372" spans="1:44">
      <c r="A372" s="14">
        <v>45867</v>
      </c>
      <c r="B372" s="13" t="str">
        <f t="shared" si="332"/>
        <v>Realizada</v>
      </c>
      <c r="C372" s="14">
        <v>45964</v>
      </c>
      <c r="D372" s="13" t="s">
        <v>611</v>
      </c>
      <c r="E372" s="14">
        <f t="shared" ref="E372" si="384">IF(C372="", "", EDATE(C372, 3))</f>
        <v>46056</v>
      </c>
      <c r="F372" s="13" t="s">
        <v>611</v>
      </c>
      <c r="G372" s="40">
        <v>202500132</v>
      </c>
      <c r="H372" s="13" t="s">
        <v>3277</v>
      </c>
      <c r="I372" s="13" t="s">
        <v>613</v>
      </c>
      <c r="J372" s="14">
        <v>45761</v>
      </c>
      <c r="K372" s="14">
        <v>46121</v>
      </c>
      <c r="L372" s="13" t="s">
        <v>672</v>
      </c>
      <c r="M372" s="13" t="s">
        <v>4070</v>
      </c>
      <c r="N372" s="13" t="s">
        <v>3272</v>
      </c>
      <c r="O372" s="13" t="s">
        <v>3273</v>
      </c>
      <c r="P372" s="79" t="s">
        <v>449</v>
      </c>
      <c r="Q372" s="13" t="s">
        <v>618</v>
      </c>
      <c r="R372" s="246" t="str">
        <f>VLOOKUP(P372,'Dados das Regiões '!A:B,2,0)</f>
        <v>PONTA GROSSA</v>
      </c>
      <c r="S372" s="13" t="s">
        <v>5380</v>
      </c>
      <c r="V372" s="13" t="s">
        <v>5381</v>
      </c>
      <c r="W372" s="13" t="s">
        <v>5382</v>
      </c>
      <c r="X372" s="15">
        <v>0.3125</v>
      </c>
      <c r="Y372" s="516">
        <v>0.3125</v>
      </c>
      <c r="Z372" s="16" t="s">
        <v>622</v>
      </c>
      <c r="AB372" s="164">
        <v>202500132</v>
      </c>
      <c r="AC372" s="55" t="s">
        <v>30</v>
      </c>
      <c r="AD372" s="40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</row>
    <row r="373" spans="1:44">
      <c r="B373" s="13" t="str">
        <f t="shared" si="332"/>
        <v>Pendente</v>
      </c>
      <c r="C373" s="14" t="str">
        <f t="shared" ref="C373:C428" si="385">IF(A373="", "", EDATE(A373, 3))</f>
        <v/>
      </c>
      <c r="D373" s="13" t="s">
        <v>611</v>
      </c>
      <c r="E373" s="14" t="str">
        <f t="shared" ref="E373" si="386">IF(C373="", "", EDATE(C373, 3))</f>
        <v/>
      </c>
      <c r="F373" s="13" t="s">
        <v>611</v>
      </c>
      <c r="G373" s="22">
        <v>202500379</v>
      </c>
      <c r="H373" s="22" t="s">
        <v>5383</v>
      </c>
      <c r="I373" s="22" t="s">
        <v>613</v>
      </c>
      <c r="J373" s="87">
        <v>45824</v>
      </c>
      <c r="K373" s="185">
        <v>46184</v>
      </c>
      <c r="L373" s="22" t="s">
        <v>682</v>
      </c>
      <c r="M373" s="22" t="s">
        <v>5384</v>
      </c>
      <c r="N373" s="13" t="s">
        <v>5385</v>
      </c>
      <c r="O373" s="17" t="s">
        <v>5386</v>
      </c>
      <c r="P373" s="88" t="s">
        <v>220</v>
      </c>
      <c r="Q373" s="13" t="s">
        <v>618</v>
      </c>
      <c r="R373" s="246" t="str">
        <f>VLOOKUP(P373,'Dados das Regiões '!A:B,2,0)</f>
        <v>CORNÉLIO PROCÓPIO</v>
      </c>
      <c r="S373" s="22" t="s">
        <v>5387</v>
      </c>
      <c r="U373" s="88" t="s">
        <v>5388</v>
      </c>
      <c r="V373" s="89" t="s">
        <v>5389</v>
      </c>
      <c r="W373" s="89" t="s">
        <v>5390</v>
      </c>
      <c r="X373" s="90">
        <v>0.33333333333333331</v>
      </c>
      <c r="Y373" s="515">
        <v>0.41666666666666669</v>
      </c>
      <c r="Z373" s="16" t="s">
        <v>622</v>
      </c>
      <c r="AA373" s="13"/>
      <c r="AB373" s="121">
        <v>202500379</v>
      </c>
      <c r="AC373" s="55" t="s">
        <v>34</v>
      </c>
      <c r="AD373" s="40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</row>
    <row r="374" spans="1:44">
      <c r="B374" s="13" t="str">
        <f t="shared" si="332"/>
        <v>Pendente</v>
      </c>
      <c r="C374" s="14" t="str">
        <f t="shared" si="385"/>
        <v/>
      </c>
      <c r="D374" s="13" t="s">
        <v>611</v>
      </c>
      <c r="E374" s="14" t="str">
        <f t="shared" ref="E374" si="387">IF(C374="", "", EDATE(C374, 3))</f>
        <v/>
      </c>
      <c r="F374" s="13" t="s">
        <v>611</v>
      </c>
      <c r="G374" s="22">
        <v>202500379</v>
      </c>
      <c r="H374" s="22" t="s">
        <v>5391</v>
      </c>
      <c r="I374" s="22" t="s">
        <v>613</v>
      </c>
      <c r="J374" s="87">
        <v>45824</v>
      </c>
      <c r="K374" s="185">
        <v>46184</v>
      </c>
      <c r="L374" s="22" t="s">
        <v>682</v>
      </c>
      <c r="M374" s="22" t="s">
        <v>5392</v>
      </c>
      <c r="N374" s="13" t="s">
        <v>5393</v>
      </c>
      <c r="O374" s="17" t="s">
        <v>5394</v>
      </c>
      <c r="P374" s="88" t="s">
        <v>230</v>
      </c>
      <c r="Q374" s="13" t="s">
        <v>618</v>
      </c>
      <c r="R374" s="246" t="str">
        <f>VLOOKUP(P374,'Dados das Regiões '!A:B,2,0)</f>
        <v>CORNÉLIO PROCÓPIO</v>
      </c>
      <c r="S374" s="22" t="s">
        <v>5395</v>
      </c>
      <c r="U374" s="88"/>
      <c r="V374" s="89" t="s">
        <v>5396</v>
      </c>
      <c r="W374" s="89" t="s">
        <v>5397</v>
      </c>
      <c r="X374" s="90">
        <v>0.33333333333333331</v>
      </c>
      <c r="Y374" s="515">
        <v>0.41666666666666669</v>
      </c>
      <c r="Z374" s="16" t="s">
        <v>622</v>
      </c>
      <c r="AA374" s="13"/>
      <c r="AB374" s="121">
        <v>202500379</v>
      </c>
      <c r="AC374" s="55" t="s">
        <v>34</v>
      </c>
      <c r="AD374" s="40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</row>
    <row r="375" spans="1:44">
      <c r="B375" s="13" t="str">
        <f t="shared" ref="B375:B431" si="388">IF(ISBLANK(A375), "Pendente", "Realizada")</f>
        <v>Pendente</v>
      </c>
      <c r="C375" s="14" t="str">
        <f t="shared" si="385"/>
        <v/>
      </c>
      <c r="D375" s="13" t="s">
        <v>611</v>
      </c>
      <c r="E375" s="14" t="str">
        <f t="shared" ref="E375" si="389">IF(C375="", "", EDATE(C375, 3))</f>
        <v/>
      </c>
      <c r="F375" s="13" t="s">
        <v>611</v>
      </c>
      <c r="G375" s="22">
        <v>202500379</v>
      </c>
      <c r="H375" s="22" t="s">
        <v>5398</v>
      </c>
      <c r="I375" s="22" t="s">
        <v>613</v>
      </c>
      <c r="J375" s="87">
        <v>45824</v>
      </c>
      <c r="K375" s="185">
        <v>46184</v>
      </c>
      <c r="L375" s="22" t="s">
        <v>682</v>
      </c>
      <c r="M375" s="22" t="s">
        <v>5215</v>
      </c>
      <c r="N375" s="13" t="s">
        <v>5216</v>
      </c>
      <c r="O375" s="17" t="s">
        <v>5399</v>
      </c>
      <c r="P375" s="88" t="s">
        <v>130</v>
      </c>
      <c r="Q375" s="13" t="s">
        <v>618</v>
      </c>
      <c r="R375" s="246" t="str">
        <f>VLOOKUP(P375,'Dados das Regiões '!A:B,2,0)</f>
        <v>APUCARANA</v>
      </c>
      <c r="S375" s="22" t="s">
        <v>5218</v>
      </c>
      <c r="U375" s="88"/>
      <c r="V375" s="89" t="s">
        <v>5220</v>
      </c>
      <c r="W375" s="89" t="s">
        <v>5221</v>
      </c>
      <c r="X375" s="90">
        <v>0.33333333333333331</v>
      </c>
      <c r="Y375" s="515">
        <v>0.41666666666666669</v>
      </c>
      <c r="Z375" s="16" t="s">
        <v>622</v>
      </c>
      <c r="AA375" s="13"/>
      <c r="AB375" s="121">
        <v>202500379</v>
      </c>
      <c r="AC375" s="55" t="s">
        <v>34</v>
      </c>
      <c r="AD375" s="40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</row>
    <row r="376" spans="1:44">
      <c r="A376" s="14">
        <v>45967</v>
      </c>
      <c r="B376" s="13" t="str">
        <f t="shared" si="388"/>
        <v>Realizada</v>
      </c>
      <c r="C376" s="14">
        <f t="shared" si="385"/>
        <v>46059</v>
      </c>
      <c r="D376" s="13" t="s">
        <v>611</v>
      </c>
      <c r="E376" s="14">
        <f t="shared" ref="E376" si="390">IF(C376="", "", EDATE(C376, 3))</f>
        <v>46148</v>
      </c>
      <c r="F376" s="13" t="s">
        <v>611</v>
      </c>
      <c r="G376" s="22">
        <v>202500379</v>
      </c>
      <c r="H376" s="22" t="s">
        <v>5400</v>
      </c>
      <c r="I376" s="22" t="s">
        <v>613</v>
      </c>
      <c r="J376" s="87">
        <v>45824</v>
      </c>
      <c r="K376" s="185">
        <v>46184</v>
      </c>
      <c r="L376" s="22" t="s">
        <v>672</v>
      </c>
      <c r="M376" s="22" t="s">
        <v>4575</v>
      </c>
      <c r="N376" s="13" t="s">
        <v>4555</v>
      </c>
      <c r="O376" s="17" t="s">
        <v>5401</v>
      </c>
      <c r="P376" s="88" t="s">
        <v>154</v>
      </c>
      <c r="Q376" s="13" t="s">
        <v>618</v>
      </c>
      <c r="R376" s="246" t="str">
        <f>VLOOKUP(P376,'Dados das Regiões '!A:B,2,0)</f>
        <v>CAMPO MOURÃO</v>
      </c>
      <c r="S376" s="22" t="s">
        <v>4577</v>
      </c>
      <c r="U376" s="88"/>
      <c r="V376" s="89" t="s">
        <v>5402</v>
      </c>
      <c r="W376" s="89" t="s">
        <v>4579</v>
      </c>
      <c r="X376" s="90">
        <v>0.3125</v>
      </c>
      <c r="Y376" s="515">
        <v>0.39583333333333331</v>
      </c>
      <c r="Z376" s="16" t="s">
        <v>622</v>
      </c>
      <c r="AA376" s="13"/>
      <c r="AB376" s="121">
        <v>202500379</v>
      </c>
      <c r="AC376" s="55" t="s">
        <v>34</v>
      </c>
      <c r="AD376" s="40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</row>
    <row r="377" spans="1:44">
      <c r="B377" s="13" t="str">
        <f t="shared" si="388"/>
        <v>Pendente</v>
      </c>
      <c r="C377" s="14" t="str">
        <f t="shared" si="385"/>
        <v/>
      </c>
      <c r="D377" s="13" t="s">
        <v>611</v>
      </c>
      <c r="E377" s="14" t="str">
        <f t="shared" ref="E377" si="391">IF(C377="", "", EDATE(C377, 3))</f>
        <v/>
      </c>
      <c r="F377" s="13" t="s">
        <v>611</v>
      </c>
      <c r="G377" s="22">
        <v>202500379</v>
      </c>
      <c r="H377" s="22" t="s">
        <v>5403</v>
      </c>
      <c r="I377" s="22" t="s">
        <v>613</v>
      </c>
      <c r="J377" s="87">
        <v>45824</v>
      </c>
      <c r="K377" s="185">
        <v>46184</v>
      </c>
      <c r="L377" s="22" t="s">
        <v>672</v>
      </c>
      <c r="M377" s="22" t="s">
        <v>4794</v>
      </c>
      <c r="N377" s="13" t="s">
        <v>4795</v>
      </c>
      <c r="O377" s="17" t="s">
        <v>4796</v>
      </c>
      <c r="P377" s="88" t="s">
        <v>310</v>
      </c>
      <c r="Q377" s="13" t="s">
        <v>618</v>
      </c>
      <c r="R377" s="246" t="str">
        <f>VLOOKUP(P377,'Dados das Regiões '!A:B,2,0)</f>
        <v>IVAIPORÃ</v>
      </c>
      <c r="S377" s="22" t="s">
        <v>4797</v>
      </c>
      <c r="U377" s="88" t="s">
        <v>4798</v>
      </c>
      <c r="V377" s="89" t="s">
        <v>4799</v>
      </c>
      <c r="W377" s="89" t="s">
        <v>4800</v>
      </c>
      <c r="X377" s="90">
        <v>0.5625</v>
      </c>
      <c r="Y377" s="515">
        <v>0.64583333333333337</v>
      </c>
      <c r="Z377" s="16" t="s">
        <v>622</v>
      </c>
      <c r="AA377" s="13"/>
      <c r="AB377" s="121">
        <v>202500379</v>
      </c>
      <c r="AC377" s="55" t="s">
        <v>34</v>
      </c>
      <c r="AD377" s="40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</row>
    <row r="378" spans="1:44">
      <c r="A378" s="14">
        <v>45910</v>
      </c>
      <c r="B378" s="13" t="str">
        <f t="shared" si="388"/>
        <v>Realizada</v>
      </c>
      <c r="C378" s="14">
        <f t="shared" si="385"/>
        <v>46001</v>
      </c>
      <c r="D378" s="13" t="s">
        <v>611</v>
      </c>
      <c r="E378" s="14">
        <f t="shared" ref="E378" si="392">IF(C378="", "", EDATE(C378, 3))</f>
        <v>46091</v>
      </c>
      <c r="F378" s="13" t="s">
        <v>611</v>
      </c>
      <c r="G378" s="22">
        <v>202500379</v>
      </c>
      <c r="H378" s="22" t="s">
        <v>5404</v>
      </c>
      <c r="I378" s="22" t="s">
        <v>613</v>
      </c>
      <c r="J378" s="87">
        <v>45824</v>
      </c>
      <c r="K378" s="185">
        <v>46184</v>
      </c>
      <c r="L378" s="22" t="s">
        <v>672</v>
      </c>
      <c r="M378" s="22" t="s">
        <v>4554</v>
      </c>
      <c r="N378" s="13" t="s">
        <v>4555</v>
      </c>
      <c r="O378" s="13" t="s">
        <v>4508</v>
      </c>
      <c r="P378" s="88" t="s">
        <v>154</v>
      </c>
      <c r="Q378" s="13" t="s">
        <v>618</v>
      </c>
      <c r="R378" s="246" t="str">
        <f>VLOOKUP(P378,'Dados das Regiões '!A:B,2,0)</f>
        <v>CAMPO MOURÃO</v>
      </c>
      <c r="S378" s="22" t="s">
        <v>5405</v>
      </c>
      <c r="U378" s="88" t="s">
        <v>4557</v>
      </c>
      <c r="V378" s="89" t="s">
        <v>4558</v>
      </c>
      <c r="W378" s="89" t="s">
        <v>4559</v>
      </c>
      <c r="X378" s="90">
        <v>0.3125</v>
      </c>
      <c r="Y378" s="515">
        <v>0.39583333333333331</v>
      </c>
      <c r="Z378" s="16" t="s">
        <v>622</v>
      </c>
      <c r="AA378" s="13"/>
      <c r="AB378" s="121">
        <v>202500379</v>
      </c>
      <c r="AC378" s="55" t="s">
        <v>34</v>
      </c>
      <c r="AD378" s="40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</row>
    <row r="379" spans="1:44">
      <c r="A379" s="14">
        <v>45967</v>
      </c>
      <c r="B379" s="13" t="str">
        <f t="shared" si="388"/>
        <v>Realizada</v>
      </c>
      <c r="C379" s="14">
        <f t="shared" si="385"/>
        <v>46059</v>
      </c>
      <c r="D379" s="13" t="s">
        <v>611</v>
      </c>
      <c r="E379" s="14">
        <f t="shared" ref="E379" si="393">IF(C379="", "", EDATE(C379, 3))</f>
        <v>46148</v>
      </c>
      <c r="F379" s="13" t="s">
        <v>611</v>
      </c>
      <c r="G379" s="22">
        <v>202500379</v>
      </c>
      <c r="H379" s="22" t="s">
        <v>5406</v>
      </c>
      <c r="I379" s="22" t="s">
        <v>613</v>
      </c>
      <c r="J379" s="87">
        <v>45824</v>
      </c>
      <c r="K379" s="185">
        <v>46184</v>
      </c>
      <c r="L379" s="22" t="s">
        <v>672</v>
      </c>
      <c r="M379" s="22" t="s">
        <v>5407</v>
      </c>
      <c r="N379" s="13" t="s">
        <v>5408</v>
      </c>
      <c r="O379" s="17" t="s">
        <v>5409</v>
      </c>
      <c r="P379" s="88" t="s">
        <v>164</v>
      </c>
      <c r="Q379" s="13" t="s">
        <v>618</v>
      </c>
      <c r="R379" s="246" t="str">
        <f>VLOOKUP(P379,'Dados das Regiões '!A:B,2,0)</f>
        <v>CAMPO MOURÃO</v>
      </c>
      <c r="S379" s="22" t="s">
        <v>808</v>
      </c>
      <c r="U379" s="88" t="s">
        <v>809</v>
      </c>
      <c r="V379" s="89" t="s">
        <v>5410</v>
      </c>
      <c r="W379" s="89" t="s">
        <v>810</v>
      </c>
      <c r="X379" s="90">
        <v>0.3125</v>
      </c>
      <c r="Y379" s="515">
        <v>0.39583333333333331</v>
      </c>
      <c r="Z379" s="16" t="s">
        <v>622</v>
      </c>
      <c r="AA379" s="13"/>
      <c r="AB379" s="121">
        <v>202500379</v>
      </c>
      <c r="AC379" s="55" t="s">
        <v>34</v>
      </c>
      <c r="AD379" s="40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</row>
    <row r="380" spans="1:44">
      <c r="B380" s="13" t="str">
        <f t="shared" si="388"/>
        <v>Pendente</v>
      </c>
      <c r="C380" s="14" t="str">
        <f t="shared" si="385"/>
        <v/>
      </c>
      <c r="D380" s="13" t="s">
        <v>611</v>
      </c>
      <c r="E380" s="14" t="str">
        <f t="shared" ref="E380" si="394">IF(C380="", "", EDATE(C380, 3))</f>
        <v/>
      </c>
      <c r="F380" s="13" t="s">
        <v>611</v>
      </c>
      <c r="G380" s="22">
        <v>202500379</v>
      </c>
      <c r="H380" s="22" t="s">
        <v>5411</v>
      </c>
      <c r="I380" s="22" t="s">
        <v>613</v>
      </c>
      <c r="J380" s="87">
        <v>45824</v>
      </c>
      <c r="K380" s="185">
        <v>46184</v>
      </c>
      <c r="L380" s="22" t="s">
        <v>672</v>
      </c>
      <c r="M380" s="22" t="s">
        <v>896</v>
      </c>
      <c r="N380" s="13" t="s">
        <v>897</v>
      </c>
      <c r="O380" s="17" t="s">
        <v>898</v>
      </c>
      <c r="P380" s="88" t="s">
        <v>53</v>
      </c>
      <c r="Q380" s="13" t="s">
        <v>618</v>
      </c>
      <c r="R380" s="246" t="str">
        <f>VLOOKUP(P380,'Dados das Regiões '!A:B,2,0)</f>
        <v>GOIOERÊ</v>
      </c>
      <c r="S380" s="22" t="s">
        <v>899</v>
      </c>
      <c r="U380" s="88" t="s">
        <v>900</v>
      </c>
      <c r="V380" s="89" t="s">
        <v>901</v>
      </c>
      <c r="W380" s="89" t="s">
        <v>902</v>
      </c>
      <c r="X380" s="90">
        <v>0.64583333333333337</v>
      </c>
      <c r="Y380" s="515">
        <v>0.72916666666666663</v>
      </c>
      <c r="Z380" s="16" t="s">
        <v>622</v>
      </c>
      <c r="AA380" s="13"/>
      <c r="AB380" s="121">
        <v>202500379</v>
      </c>
      <c r="AC380" s="55" t="s">
        <v>34</v>
      </c>
      <c r="AD380" s="40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</row>
    <row r="381" spans="1:44">
      <c r="B381" s="13" t="str">
        <f t="shared" si="388"/>
        <v>Pendente</v>
      </c>
      <c r="C381" s="14" t="str">
        <f t="shared" si="385"/>
        <v/>
      </c>
      <c r="D381" s="13" t="s">
        <v>611</v>
      </c>
      <c r="E381" s="14" t="str">
        <f t="shared" ref="E381" si="395">IF(C381="", "", EDATE(C381, 3))</f>
        <v/>
      </c>
      <c r="F381" s="13" t="s">
        <v>611</v>
      </c>
      <c r="G381" s="22">
        <v>202500379</v>
      </c>
      <c r="H381" s="22" t="s">
        <v>5412</v>
      </c>
      <c r="I381" s="22" t="s">
        <v>613</v>
      </c>
      <c r="J381" s="87">
        <v>45824</v>
      </c>
      <c r="K381" s="185">
        <v>46184</v>
      </c>
      <c r="L381" s="22" t="s">
        <v>672</v>
      </c>
      <c r="M381" s="22" t="s">
        <v>896</v>
      </c>
      <c r="N381" s="13" t="s">
        <v>897</v>
      </c>
      <c r="O381" s="17" t="s">
        <v>898</v>
      </c>
      <c r="P381" s="88" t="s">
        <v>53</v>
      </c>
      <c r="Q381" s="13" t="s">
        <v>618</v>
      </c>
      <c r="R381" s="246" t="str">
        <f>VLOOKUP(P381,'Dados das Regiões '!A:B,2,0)</f>
        <v>GOIOERÊ</v>
      </c>
      <c r="S381" s="22" t="s">
        <v>899</v>
      </c>
      <c r="U381" s="88" t="s">
        <v>900</v>
      </c>
      <c r="V381" s="89" t="s">
        <v>901</v>
      </c>
      <c r="W381" s="89" t="s">
        <v>902</v>
      </c>
      <c r="X381" s="90">
        <v>0.3125</v>
      </c>
      <c r="Y381" s="515">
        <v>0.39583333333333331</v>
      </c>
      <c r="Z381" s="16" t="s">
        <v>622</v>
      </c>
      <c r="AA381" s="13"/>
      <c r="AB381" s="121">
        <v>202500379</v>
      </c>
      <c r="AC381" s="55" t="s">
        <v>34</v>
      </c>
      <c r="AD381" s="40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</row>
    <row r="382" spans="1:44">
      <c r="B382" s="13" t="str">
        <f t="shared" si="388"/>
        <v>Pendente</v>
      </c>
      <c r="C382" s="14" t="str">
        <f t="shared" si="385"/>
        <v/>
      </c>
      <c r="D382" s="13" t="s">
        <v>611</v>
      </c>
      <c r="E382" s="14" t="str">
        <f t="shared" ref="E382" si="396">IF(C382="", "", EDATE(C382, 3))</f>
        <v/>
      </c>
      <c r="F382" s="13" t="s">
        <v>611</v>
      </c>
      <c r="G382" s="22">
        <v>202500379</v>
      </c>
      <c r="H382" s="22" t="s">
        <v>5413</v>
      </c>
      <c r="I382" s="22" t="s">
        <v>613</v>
      </c>
      <c r="J382" s="87">
        <v>45824</v>
      </c>
      <c r="K382" s="185">
        <v>46184</v>
      </c>
      <c r="L382" s="22" t="s">
        <v>682</v>
      </c>
      <c r="M382" s="22" t="s">
        <v>5414</v>
      </c>
      <c r="N382" s="13" t="s">
        <v>5415</v>
      </c>
      <c r="O382" s="17" t="s">
        <v>5416</v>
      </c>
      <c r="P382" s="88" t="s">
        <v>365</v>
      </c>
      <c r="Q382" s="13" t="s">
        <v>618</v>
      </c>
      <c r="R382" s="246" t="str">
        <f>VLOOKUP(P382,'Dados das Regiões '!A:B,2,0)</f>
        <v>MARINGÁ</v>
      </c>
      <c r="S382" s="22" t="s">
        <v>5417</v>
      </c>
      <c r="U382" s="88"/>
      <c r="V382" s="89" t="s">
        <v>5418</v>
      </c>
      <c r="W382" s="89" t="s">
        <v>5419</v>
      </c>
      <c r="X382" s="90">
        <v>0.33333333333333331</v>
      </c>
      <c r="Y382" s="515">
        <v>0.41666666666666669</v>
      </c>
      <c r="Z382" s="16" t="s">
        <v>622</v>
      </c>
      <c r="AA382" s="13"/>
      <c r="AB382" s="121">
        <v>202500379</v>
      </c>
      <c r="AC382" s="55" t="s">
        <v>34</v>
      </c>
      <c r="AD382" s="40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</row>
    <row r="383" spans="1:44">
      <c r="A383" s="14">
        <v>45933</v>
      </c>
      <c r="B383" s="13" t="str">
        <f t="shared" si="388"/>
        <v>Realizada</v>
      </c>
      <c r="C383" s="14">
        <f t="shared" si="385"/>
        <v>46025</v>
      </c>
      <c r="D383" s="13" t="s">
        <v>611</v>
      </c>
      <c r="E383" s="14">
        <f t="shared" ref="E383" si="397">IF(C383="", "", EDATE(C383, 3))</f>
        <v>46115</v>
      </c>
      <c r="F383" s="13" t="s">
        <v>611</v>
      </c>
      <c r="G383" s="22">
        <v>202500379</v>
      </c>
      <c r="H383" s="22" t="s">
        <v>5420</v>
      </c>
      <c r="I383" s="22" t="s">
        <v>613</v>
      </c>
      <c r="J383" s="87">
        <v>45824</v>
      </c>
      <c r="K383" s="185">
        <v>46184</v>
      </c>
      <c r="L383" s="22" t="s">
        <v>672</v>
      </c>
      <c r="M383" s="22" t="s">
        <v>5421</v>
      </c>
      <c r="N383" s="13" t="s">
        <v>5422</v>
      </c>
      <c r="O383" s="17" t="s">
        <v>5423</v>
      </c>
      <c r="P383" s="88" t="s">
        <v>173</v>
      </c>
      <c r="Q383" s="13" t="s">
        <v>618</v>
      </c>
      <c r="R383" s="246" t="str">
        <f>VLOOKUP(P383,'Dados das Regiões '!A:B,2,0)</f>
        <v>CAMPO MOURÃO</v>
      </c>
      <c r="S383" s="22" t="s">
        <v>5424</v>
      </c>
      <c r="U383" s="88" t="s">
        <v>5425</v>
      </c>
      <c r="V383" s="89" t="s">
        <v>5426</v>
      </c>
      <c r="W383" s="89" t="s">
        <v>5427</v>
      </c>
      <c r="X383" s="90">
        <v>0.3125</v>
      </c>
      <c r="Y383" s="515">
        <v>0.39583333333333331</v>
      </c>
      <c r="Z383" s="16" t="s">
        <v>622</v>
      </c>
      <c r="AA383" s="13"/>
      <c r="AB383" s="121">
        <v>202500379</v>
      </c>
      <c r="AC383" s="55" t="s">
        <v>34</v>
      </c>
      <c r="AD383" s="40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</row>
    <row r="384" spans="1:44">
      <c r="A384" s="14">
        <v>45933</v>
      </c>
      <c r="B384" s="13" t="str">
        <f t="shared" si="388"/>
        <v>Realizada</v>
      </c>
      <c r="C384" s="14">
        <f t="shared" si="385"/>
        <v>46025</v>
      </c>
      <c r="D384" s="13" t="s">
        <v>611</v>
      </c>
      <c r="E384" s="14">
        <f t="shared" ref="E384" si="398">IF(C384="", "", EDATE(C384, 3))</f>
        <v>46115</v>
      </c>
      <c r="F384" s="13" t="s">
        <v>611</v>
      </c>
      <c r="G384" s="22">
        <v>202500379</v>
      </c>
      <c r="H384" s="22" t="s">
        <v>5428</v>
      </c>
      <c r="I384" s="22" t="s">
        <v>613</v>
      </c>
      <c r="J384" s="87">
        <v>45824</v>
      </c>
      <c r="K384" s="185">
        <v>46184</v>
      </c>
      <c r="L384" s="22" t="s">
        <v>672</v>
      </c>
      <c r="M384" s="22" t="s">
        <v>5421</v>
      </c>
      <c r="N384" s="13" t="s">
        <v>5422</v>
      </c>
      <c r="O384" s="17" t="s">
        <v>5423</v>
      </c>
      <c r="P384" s="88" t="s">
        <v>173</v>
      </c>
      <c r="Q384" s="13" t="s">
        <v>618</v>
      </c>
      <c r="R384" s="246" t="str">
        <f>VLOOKUP(P384,'Dados das Regiões '!A:B,2,0)</f>
        <v>CAMPO MOURÃO</v>
      </c>
      <c r="S384" s="22" t="s">
        <v>5424</v>
      </c>
      <c r="U384" s="88" t="s">
        <v>5425</v>
      </c>
      <c r="V384" s="89" t="s">
        <v>5426</v>
      </c>
      <c r="W384" s="89" t="s">
        <v>5427</v>
      </c>
      <c r="X384" s="90">
        <v>0.5625</v>
      </c>
      <c r="Y384" s="515">
        <v>0.64583333333333337</v>
      </c>
      <c r="Z384" s="16" t="s">
        <v>622</v>
      </c>
      <c r="AA384" s="13"/>
      <c r="AB384" s="121">
        <v>202500379</v>
      </c>
      <c r="AC384" s="55" t="s">
        <v>34</v>
      </c>
      <c r="AD384" s="40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</row>
    <row r="385" spans="1:44">
      <c r="B385" s="13" t="str">
        <f t="shared" si="388"/>
        <v>Pendente</v>
      </c>
      <c r="C385" s="14" t="str">
        <f t="shared" si="385"/>
        <v/>
      </c>
      <c r="D385" s="13" t="s">
        <v>611</v>
      </c>
      <c r="E385" s="14" t="str">
        <f t="shared" ref="E385" si="399">IF(C385="", "", EDATE(C385, 3))</f>
        <v/>
      </c>
      <c r="F385" s="13" t="s">
        <v>611</v>
      </c>
      <c r="G385" s="22">
        <v>202500379</v>
      </c>
      <c r="H385" s="22" t="s">
        <v>5429</v>
      </c>
      <c r="I385" s="22" t="s">
        <v>613</v>
      </c>
      <c r="J385" s="87">
        <v>45824</v>
      </c>
      <c r="K385" s="185">
        <v>46184</v>
      </c>
      <c r="L385" s="22" t="s">
        <v>672</v>
      </c>
      <c r="M385" s="22" t="s">
        <v>1471</v>
      </c>
      <c r="N385" s="13" t="s">
        <v>1472</v>
      </c>
      <c r="O385" s="17" t="s">
        <v>1473</v>
      </c>
      <c r="P385" s="88" t="s">
        <v>354</v>
      </c>
      <c r="Q385" s="13" t="s">
        <v>618</v>
      </c>
      <c r="R385" s="246" t="str">
        <f>VLOOKUP(P385,'Dados das Regiões '!A:B,2,0)</f>
        <v>MARECHAL CÂNDIDO RONDON</v>
      </c>
      <c r="S385" s="22" t="s">
        <v>1474</v>
      </c>
      <c r="U385" s="88" t="s">
        <v>1475</v>
      </c>
      <c r="V385" s="89" t="s">
        <v>1476</v>
      </c>
      <c r="W385" s="89" t="s">
        <v>1477</v>
      </c>
      <c r="X385" s="90">
        <v>0.3125</v>
      </c>
      <c r="Y385" s="515">
        <v>0.39583333333333331</v>
      </c>
      <c r="Z385" s="16" t="s">
        <v>622</v>
      </c>
      <c r="AA385" s="13"/>
      <c r="AB385" s="121">
        <v>202500379</v>
      </c>
      <c r="AC385" s="55" t="s">
        <v>34</v>
      </c>
      <c r="AD385" s="40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</row>
    <row r="386" spans="1:44">
      <c r="A386" s="14">
        <v>45933</v>
      </c>
      <c r="B386" s="13" t="str">
        <f t="shared" si="388"/>
        <v>Realizada</v>
      </c>
      <c r="C386" s="14">
        <f t="shared" si="385"/>
        <v>46025</v>
      </c>
      <c r="D386" s="13" t="s">
        <v>611</v>
      </c>
      <c r="E386" s="14">
        <f t="shared" ref="E386" si="400">IF(C386="", "", EDATE(C386, 3))</f>
        <v>46115</v>
      </c>
      <c r="F386" s="13" t="s">
        <v>611</v>
      </c>
      <c r="G386" s="22">
        <v>202500379</v>
      </c>
      <c r="H386" s="22" t="s">
        <v>5430</v>
      </c>
      <c r="I386" s="22" t="s">
        <v>613</v>
      </c>
      <c r="J386" s="87">
        <v>45824</v>
      </c>
      <c r="K386" s="185">
        <v>46184</v>
      </c>
      <c r="L386" s="22" t="s">
        <v>672</v>
      </c>
      <c r="M386" s="22" t="s">
        <v>4087</v>
      </c>
      <c r="N386" s="13" t="s">
        <v>1443</v>
      </c>
      <c r="O386" s="13" t="s">
        <v>4088</v>
      </c>
      <c r="P386" s="88" t="s">
        <v>155</v>
      </c>
      <c r="Q386" s="13" t="s">
        <v>618</v>
      </c>
      <c r="R386" s="246" t="str">
        <f>VLOOKUP(P386,'Dados das Regiões '!A:B,2,0)</f>
        <v>CAMPO MOURÃO</v>
      </c>
      <c r="S386" s="22" t="s">
        <v>5431</v>
      </c>
      <c r="U386" s="88" t="s">
        <v>5432</v>
      </c>
      <c r="V386" s="89" t="s">
        <v>5433</v>
      </c>
      <c r="W386" s="89" t="s">
        <v>5434</v>
      </c>
      <c r="X386" s="90">
        <v>0.39583333333333331</v>
      </c>
      <c r="Y386" s="515">
        <v>0.47916666666666669</v>
      </c>
      <c r="Z386" s="16" t="s">
        <v>622</v>
      </c>
      <c r="AA386" s="13"/>
      <c r="AB386" s="121">
        <v>202500379</v>
      </c>
      <c r="AC386" s="55" t="s">
        <v>34</v>
      </c>
      <c r="AD386" s="40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</row>
    <row r="387" spans="1:44">
      <c r="B387" s="13" t="str">
        <f t="shared" si="388"/>
        <v>Pendente</v>
      </c>
      <c r="C387" s="14" t="str">
        <f t="shared" si="385"/>
        <v/>
      </c>
      <c r="D387" s="13" t="s">
        <v>611</v>
      </c>
      <c r="E387" s="14" t="str">
        <f t="shared" ref="E387" si="401">IF(C387="", "", EDATE(C387, 3))</f>
        <v/>
      </c>
      <c r="F387" s="13" t="s">
        <v>611</v>
      </c>
      <c r="G387" s="22">
        <v>202500379</v>
      </c>
      <c r="H387" s="22" t="s">
        <v>5435</v>
      </c>
      <c r="I387" s="22" t="s">
        <v>613</v>
      </c>
      <c r="J387" s="87">
        <v>45824</v>
      </c>
      <c r="K387" s="185">
        <v>46184</v>
      </c>
      <c r="L387" s="22" t="s">
        <v>672</v>
      </c>
      <c r="M387" s="22" t="s">
        <v>4157</v>
      </c>
      <c r="N387" s="13" t="s">
        <v>4158</v>
      </c>
      <c r="O387" s="13" t="s">
        <v>4159</v>
      </c>
      <c r="P387" s="88" t="s">
        <v>321</v>
      </c>
      <c r="Q387" s="13" t="s">
        <v>618</v>
      </c>
      <c r="R387" s="246" t="str">
        <f>VLOOKUP(P387,'Dados das Regiões '!A:B,2,0)</f>
        <v>IVAIPORÃ</v>
      </c>
      <c r="S387" s="22" t="s">
        <v>4160</v>
      </c>
      <c r="U387" s="88"/>
      <c r="V387" s="89" t="s">
        <v>5436</v>
      </c>
      <c r="W387" s="89" t="s">
        <v>4162</v>
      </c>
      <c r="X387" s="90">
        <v>0.3125</v>
      </c>
      <c r="Y387" s="515">
        <v>0.39583333333333331</v>
      </c>
      <c r="Z387" s="16" t="s">
        <v>622</v>
      </c>
      <c r="AA387" s="13"/>
      <c r="AB387" s="121">
        <v>202500379</v>
      </c>
      <c r="AC387" s="55" t="s">
        <v>34</v>
      </c>
      <c r="AD387" s="40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</row>
    <row r="388" spans="1:44">
      <c r="B388" s="13" t="str">
        <f t="shared" si="388"/>
        <v>Pendente</v>
      </c>
      <c r="C388" s="14" t="str">
        <f t="shared" si="385"/>
        <v/>
      </c>
      <c r="D388" s="13" t="s">
        <v>611</v>
      </c>
      <c r="E388" s="14" t="str">
        <f t="shared" ref="E388" si="402">IF(C388="", "", EDATE(C388, 3))</f>
        <v/>
      </c>
      <c r="F388" s="13" t="s">
        <v>611</v>
      </c>
      <c r="G388" s="22">
        <v>202500379</v>
      </c>
      <c r="H388" s="22" t="s">
        <v>5437</v>
      </c>
      <c r="I388" s="22" t="s">
        <v>613</v>
      </c>
      <c r="J388" s="87">
        <v>45824</v>
      </c>
      <c r="K388" s="185">
        <v>46184</v>
      </c>
      <c r="L388" s="22" t="s">
        <v>672</v>
      </c>
      <c r="M388" s="22" t="s">
        <v>4157</v>
      </c>
      <c r="N388" s="13" t="s">
        <v>4158</v>
      </c>
      <c r="O388" s="13" t="s">
        <v>4159</v>
      </c>
      <c r="P388" s="88" t="s">
        <v>321</v>
      </c>
      <c r="Q388" s="13" t="s">
        <v>618</v>
      </c>
      <c r="R388" s="246" t="str">
        <f>VLOOKUP(P388,'Dados das Regiões '!A:B,2,0)</f>
        <v>IVAIPORÃ</v>
      </c>
      <c r="S388" s="22" t="s">
        <v>4160</v>
      </c>
      <c r="U388" s="88" t="s">
        <v>5436</v>
      </c>
      <c r="V388" s="89" t="s">
        <v>5436</v>
      </c>
      <c r="W388" s="89" t="s">
        <v>4162</v>
      </c>
      <c r="X388" s="90">
        <v>0.39583333333333331</v>
      </c>
      <c r="Y388" s="515">
        <v>0.47916666666666669</v>
      </c>
      <c r="Z388" s="16" t="s">
        <v>622</v>
      </c>
      <c r="AA388" s="13"/>
      <c r="AB388" s="121">
        <v>202500379</v>
      </c>
      <c r="AC388" s="55" t="s">
        <v>34</v>
      </c>
      <c r="AD388" s="40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</row>
    <row r="389" spans="1:44">
      <c r="B389" s="13" t="str">
        <f t="shared" si="388"/>
        <v>Pendente</v>
      </c>
      <c r="C389" s="14" t="str">
        <f t="shared" si="385"/>
        <v/>
      </c>
      <c r="D389" s="13" t="s">
        <v>611</v>
      </c>
      <c r="E389" s="14" t="str">
        <f t="shared" ref="E389" si="403">IF(C389="", "", EDATE(C389, 3))</f>
        <v/>
      </c>
      <c r="F389" s="13" t="s">
        <v>611</v>
      </c>
      <c r="G389" s="22">
        <v>202500379</v>
      </c>
      <c r="H389" s="22" t="s">
        <v>5438</v>
      </c>
      <c r="I389" s="22" t="s">
        <v>613</v>
      </c>
      <c r="J389" s="87">
        <v>45824</v>
      </c>
      <c r="K389" s="185">
        <v>46184</v>
      </c>
      <c r="L389" s="22" t="s">
        <v>672</v>
      </c>
      <c r="M389" s="22" t="s">
        <v>4157</v>
      </c>
      <c r="N389" s="13" t="s">
        <v>4158</v>
      </c>
      <c r="O389" s="13" t="s">
        <v>4159</v>
      </c>
      <c r="P389" s="88" t="s">
        <v>321</v>
      </c>
      <c r="Q389" s="13" t="s">
        <v>618</v>
      </c>
      <c r="R389" s="246" t="str">
        <f>VLOOKUP(P389,'Dados das Regiões '!A:B,2,0)</f>
        <v>IVAIPORÃ</v>
      </c>
      <c r="S389" s="22" t="s">
        <v>4160</v>
      </c>
      <c r="U389" s="88"/>
      <c r="V389" s="89" t="s">
        <v>5436</v>
      </c>
      <c r="W389" s="89" t="s">
        <v>4162</v>
      </c>
      <c r="X389" s="90">
        <v>0.64583333333333337</v>
      </c>
      <c r="Y389" s="515">
        <v>0.72916666666666663</v>
      </c>
      <c r="Z389" s="16" t="s">
        <v>622</v>
      </c>
      <c r="AA389" s="13"/>
      <c r="AB389" s="121">
        <v>202500379</v>
      </c>
      <c r="AC389" s="55" t="s">
        <v>34</v>
      </c>
      <c r="AD389" s="40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</row>
    <row r="390" spans="1:44">
      <c r="A390" s="14">
        <v>45883</v>
      </c>
      <c r="B390" s="13" t="str">
        <f t="shared" si="388"/>
        <v>Realizada</v>
      </c>
      <c r="C390" s="14">
        <v>45974</v>
      </c>
      <c r="D390" s="13" t="s">
        <v>104</v>
      </c>
      <c r="E390" s="14">
        <f t="shared" ref="E390" si="404">IF(C390="", "", EDATE(C390, 3))</f>
        <v>46066</v>
      </c>
      <c r="F390" s="13" t="s">
        <v>611</v>
      </c>
      <c r="G390" s="22">
        <v>202500379</v>
      </c>
      <c r="H390" s="22" t="s">
        <v>5439</v>
      </c>
      <c r="I390" s="22" t="s">
        <v>613</v>
      </c>
      <c r="J390" s="87">
        <v>45824</v>
      </c>
      <c r="K390" s="185">
        <v>46184</v>
      </c>
      <c r="L390" s="22" t="s">
        <v>672</v>
      </c>
      <c r="M390" s="22" t="s">
        <v>4095</v>
      </c>
      <c r="N390" s="13" t="s">
        <v>4096</v>
      </c>
      <c r="O390" s="13" t="s">
        <v>4002</v>
      </c>
      <c r="P390" s="88" t="s">
        <v>299</v>
      </c>
      <c r="Q390" s="13" t="s">
        <v>618</v>
      </c>
      <c r="R390" s="246" t="str">
        <f>VLOOKUP(P390,'Dados das Regiões '!A:B,2,0)</f>
        <v>GUARAPUAVA</v>
      </c>
      <c r="S390" s="22" t="s">
        <v>4097</v>
      </c>
      <c r="U390" s="88"/>
      <c r="V390" s="89" t="s">
        <v>4099</v>
      </c>
      <c r="W390" s="89" t="s">
        <v>5440</v>
      </c>
      <c r="X390" s="90">
        <v>0.5625</v>
      </c>
      <c r="Y390" s="515">
        <v>0.64583333333333337</v>
      </c>
      <c r="Z390" s="16" t="s">
        <v>622</v>
      </c>
      <c r="AA390" s="13"/>
      <c r="AB390" s="121">
        <v>202500379</v>
      </c>
      <c r="AC390" s="55" t="s">
        <v>34</v>
      </c>
      <c r="AD390" s="40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</row>
    <row r="391" spans="1:44">
      <c r="A391" s="14">
        <v>45883</v>
      </c>
      <c r="B391" s="13" t="str">
        <f t="shared" si="388"/>
        <v>Realizada</v>
      </c>
      <c r="C391" s="14">
        <v>45974</v>
      </c>
      <c r="D391" s="13" t="s">
        <v>104</v>
      </c>
      <c r="E391" s="14">
        <f t="shared" ref="E391" si="405">IF(C391="", "", EDATE(C391, 3))</f>
        <v>46066</v>
      </c>
      <c r="F391" s="13" t="s">
        <v>611</v>
      </c>
      <c r="G391" s="22">
        <v>202500379</v>
      </c>
      <c r="H391" s="22" t="s">
        <v>5441</v>
      </c>
      <c r="I391" s="22" t="s">
        <v>613</v>
      </c>
      <c r="J391" s="87">
        <v>45824</v>
      </c>
      <c r="K391" s="185">
        <v>46184</v>
      </c>
      <c r="L391" s="22" t="s">
        <v>672</v>
      </c>
      <c r="M391" s="22" t="s">
        <v>4063</v>
      </c>
      <c r="N391" s="13" t="s">
        <v>4064</v>
      </c>
      <c r="O391" s="17" t="s">
        <v>4065</v>
      </c>
      <c r="P391" s="88" t="s">
        <v>293</v>
      </c>
      <c r="Q391" s="13" t="s">
        <v>618</v>
      </c>
      <c r="R391" s="246" t="str">
        <f>VLOOKUP(P391,'Dados das Regiões '!A:B,2,0)</f>
        <v>GUARAPUAVA</v>
      </c>
      <c r="S391" s="22" t="s">
        <v>4066</v>
      </c>
      <c r="U391" s="88" t="s">
        <v>4067</v>
      </c>
      <c r="V391" s="89" t="s">
        <v>4068</v>
      </c>
      <c r="W391" s="89" t="s">
        <v>4069</v>
      </c>
      <c r="X391" s="90">
        <v>0.5625</v>
      </c>
      <c r="Y391" s="515">
        <v>0.64583333333333337</v>
      </c>
      <c r="Z391" s="16" t="s">
        <v>622</v>
      </c>
      <c r="AA391" s="13"/>
      <c r="AB391" s="121">
        <v>202500379</v>
      </c>
      <c r="AC391" s="55" t="s">
        <v>34</v>
      </c>
      <c r="AD391" s="40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</row>
    <row r="392" spans="1:44">
      <c r="B392" s="13" t="str">
        <f t="shared" si="388"/>
        <v>Pendente</v>
      </c>
      <c r="C392" s="14" t="str">
        <f t="shared" si="385"/>
        <v/>
      </c>
      <c r="D392" s="13" t="s">
        <v>611</v>
      </c>
      <c r="E392" s="14" t="str">
        <f t="shared" ref="E392" si="406">IF(C392="", "", EDATE(C392, 3))</f>
        <v/>
      </c>
      <c r="F392" s="13" t="s">
        <v>611</v>
      </c>
      <c r="G392" s="22">
        <v>202500379</v>
      </c>
      <c r="H392" s="22" t="s">
        <v>5442</v>
      </c>
      <c r="I392" s="22" t="s">
        <v>613</v>
      </c>
      <c r="J392" s="87">
        <v>45824</v>
      </c>
      <c r="K392" s="185">
        <v>46184</v>
      </c>
      <c r="L392" s="22" t="s">
        <v>672</v>
      </c>
      <c r="M392" s="22" t="s">
        <v>5443</v>
      </c>
      <c r="N392" s="13" t="s">
        <v>5444</v>
      </c>
      <c r="O392" s="17" t="s">
        <v>5445</v>
      </c>
      <c r="P392" s="88" t="s">
        <v>146</v>
      </c>
      <c r="Q392" s="13" t="s">
        <v>618</v>
      </c>
      <c r="R392" s="246" t="str">
        <f>VLOOKUP(P392,'Dados das Regiões '!A:B,2,0)</f>
        <v>CAMPO MOURÃO</v>
      </c>
      <c r="S392" s="22" t="s">
        <v>5446</v>
      </c>
      <c r="U392" s="88"/>
      <c r="V392" s="89" t="s">
        <v>5447</v>
      </c>
      <c r="W392" s="89" t="s">
        <v>5448</v>
      </c>
      <c r="X392" s="90">
        <v>0.64583333333333337</v>
      </c>
      <c r="Y392" s="515">
        <v>0.72916666666666663</v>
      </c>
      <c r="Z392" s="16" t="s">
        <v>622</v>
      </c>
      <c r="AA392" s="13"/>
      <c r="AB392" s="121">
        <v>202500379</v>
      </c>
      <c r="AC392" s="55" t="s">
        <v>34</v>
      </c>
      <c r="AD392" s="40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</row>
    <row r="393" spans="1:44">
      <c r="B393" s="13" t="str">
        <f t="shared" si="388"/>
        <v>Pendente</v>
      </c>
      <c r="C393" s="14" t="str">
        <f t="shared" si="385"/>
        <v/>
      </c>
      <c r="D393" s="13" t="s">
        <v>611</v>
      </c>
      <c r="E393" s="14" t="str">
        <f t="shared" ref="E393" si="407">IF(C393="", "", EDATE(C393, 3))</f>
        <v/>
      </c>
      <c r="F393" s="13" t="s">
        <v>611</v>
      </c>
      <c r="G393" s="22">
        <v>202500379</v>
      </c>
      <c r="H393" s="22" t="s">
        <v>5449</v>
      </c>
      <c r="I393" s="22" t="s">
        <v>613</v>
      </c>
      <c r="J393" s="87">
        <v>45824</v>
      </c>
      <c r="K393" s="185">
        <v>46184</v>
      </c>
      <c r="L393" s="22" t="s">
        <v>672</v>
      </c>
      <c r="M393" s="22" t="s">
        <v>5443</v>
      </c>
      <c r="N393" s="13" t="s">
        <v>5444</v>
      </c>
      <c r="O393" s="17" t="s">
        <v>5445</v>
      </c>
      <c r="P393" s="88" t="s">
        <v>146</v>
      </c>
      <c r="Q393" s="13" t="s">
        <v>618</v>
      </c>
      <c r="R393" s="246" t="str">
        <f>VLOOKUP(P393,'Dados das Regiões '!A:B,2,0)</f>
        <v>CAMPO MOURÃO</v>
      </c>
      <c r="S393" s="22" t="s">
        <v>5446</v>
      </c>
      <c r="U393" s="88"/>
      <c r="V393" s="89" t="s">
        <v>5447</v>
      </c>
      <c r="W393" s="89" t="s">
        <v>5448</v>
      </c>
      <c r="X393" s="90">
        <v>0.39583333333333331</v>
      </c>
      <c r="Y393" s="515">
        <v>0.47916666666666669</v>
      </c>
      <c r="Z393" s="16" t="s">
        <v>622</v>
      </c>
      <c r="AA393" s="13"/>
      <c r="AB393" s="121">
        <v>202500379</v>
      </c>
      <c r="AC393" s="55" t="s">
        <v>34</v>
      </c>
      <c r="AD393" s="40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</row>
    <row r="394" spans="1:44">
      <c r="B394" s="13" t="str">
        <f t="shared" si="388"/>
        <v>Pendente</v>
      </c>
      <c r="C394" s="14" t="str">
        <f t="shared" si="385"/>
        <v/>
      </c>
      <c r="D394" s="13" t="s">
        <v>611</v>
      </c>
      <c r="E394" s="14" t="str">
        <f t="shared" ref="E394" si="408">IF(C394="", "", EDATE(C394, 3))</f>
        <v/>
      </c>
      <c r="F394" s="13" t="s">
        <v>611</v>
      </c>
      <c r="G394" s="22">
        <v>202500631</v>
      </c>
      <c r="H394" s="22" t="s">
        <v>5450</v>
      </c>
      <c r="I394" s="22" t="s">
        <v>613</v>
      </c>
      <c r="J394" s="87">
        <v>45824</v>
      </c>
      <c r="K394" s="185">
        <v>46184</v>
      </c>
      <c r="L394" s="22" t="s">
        <v>672</v>
      </c>
      <c r="M394" s="22" t="s">
        <v>4128</v>
      </c>
      <c r="N394" s="13" t="s">
        <v>4129</v>
      </c>
      <c r="O394" s="13" t="s">
        <v>675</v>
      </c>
      <c r="P394" s="88" t="s">
        <v>127</v>
      </c>
      <c r="Q394" s="13" t="s">
        <v>618</v>
      </c>
      <c r="R394" s="246" t="str">
        <f>VLOOKUP(P394,'Dados das Regiões '!A:B,2,0)</f>
        <v>APUCARANA</v>
      </c>
      <c r="S394" s="22" t="s">
        <v>4130</v>
      </c>
      <c r="U394" s="88" t="s">
        <v>4131</v>
      </c>
      <c r="V394" s="89" t="s">
        <v>4132</v>
      </c>
      <c r="W394" s="89" t="s">
        <v>5451</v>
      </c>
      <c r="X394" s="90">
        <v>0.64583333333333337</v>
      </c>
      <c r="Y394" s="515">
        <v>0.72916666666666663</v>
      </c>
      <c r="Z394" s="16" t="s">
        <v>622</v>
      </c>
      <c r="AA394" s="13"/>
      <c r="AB394" s="121">
        <v>202500631</v>
      </c>
      <c r="AC394" s="55" t="s">
        <v>35</v>
      </c>
      <c r="AD394" s="40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</row>
    <row r="395" spans="1:44">
      <c r="B395" s="13" t="str">
        <f t="shared" si="388"/>
        <v>Pendente</v>
      </c>
      <c r="C395" s="14" t="str">
        <f t="shared" si="385"/>
        <v/>
      </c>
      <c r="D395" s="13" t="s">
        <v>611</v>
      </c>
      <c r="E395" s="14" t="str">
        <f t="shared" ref="E395" si="409">IF(C395="", "", EDATE(C395, 3))</f>
        <v/>
      </c>
      <c r="F395" s="13" t="s">
        <v>611</v>
      </c>
      <c r="G395" s="22">
        <v>202500631</v>
      </c>
      <c r="H395" s="22" t="s">
        <v>5452</v>
      </c>
      <c r="I395" s="22" t="s">
        <v>613</v>
      </c>
      <c r="J395" s="87">
        <v>45824</v>
      </c>
      <c r="K395" s="185">
        <v>46184</v>
      </c>
      <c r="L395" s="22" t="s">
        <v>672</v>
      </c>
      <c r="M395" s="22" t="s">
        <v>5453</v>
      </c>
      <c r="N395" s="13" t="s">
        <v>5454</v>
      </c>
      <c r="O395" s="17" t="s">
        <v>5455</v>
      </c>
      <c r="P395" s="88" t="s">
        <v>308</v>
      </c>
      <c r="Q395" s="13" t="s">
        <v>618</v>
      </c>
      <c r="R395" s="246" t="str">
        <f>VLOOKUP(P395,'Dados das Regiões '!A:B,2,0)</f>
        <v>IVAIPORÃ</v>
      </c>
      <c r="S395" s="22" t="s">
        <v>5456</v>
      </c>
      <c r="U395" s="88"/>
      <c r="V395" s="89" t="s">
        <v>5457</v>
      </c>
      <c r="W395" s="89" t="s">
        <v>5458</v>
      </c>
      <c r="X395" s="90">
        <v>0.3125</v>
      </c>
      <c r="Y395" s="515">
        <v>0.39583333333333331</v>
      </c>
      <c r="Z395" s="16" t="s">
        <v>622</v>
      </c>
      <c r="AA395" s="13"/>
      <c r="AB395" s="121">
        <v>202500631</v>
      </c>
      <c r="AC395" s="55" t="s">
        <v>35</v>
      </c>
      <c r="AD395" s="40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</row>
    <row r="396" spans="1:44">
      <c r="A396" s="14">
        <v>45854</v>
      </c>
      <c r="B396" s="13" t="str">
        <f t="shared" si="388"/>
        <v>Realizada</v>
      </c>
      <c r="C396" s="14">
        <f t="shared" si="385"/>
        <v>45946</v>
      </c>
      <c r="D396" s="13" t="s">
        <v>104</v>
      </c>
      <c r="E396" s="14">
        <f t="shared" ref="E396" si="410">IF(C396="", "", EDATE(C396, 3))</f>
        <v>46038</v>
      </c>
      <c r="F396" s="13" t="s">
        <v>611</v>
      </c>
      <c r="G396" s="22">
        <v>202500631</v>
      </c>
      <c r="H396" s="22" t="s">
        <v>5459</v>
      </c>
      <c r="I396" s="22" t="s">
        <v>613</v>
      </c>
      <c r="J396" s="87">
        <v>45824</v>
      </c>
      <c r="K396" s="185">
        <v>46184</v>
      </c>
      <c r="L396" s="22" t="s">
        <v>5460</v>
      </c>
      <c r="M396" s="22" t="s">
        <v>5461</v>
      </c>
      <c r="N396" s="13" t="s">
        <v>5462</v>
      </c>
      <c r="O396" s="17" t="s">
        <v>5463</v>
      </c>
      <c r="P396" s="88" t="s">
        <v>294</v>
      </c>
      <c r="Q396" s="13" t="s">
        <v>618</v>
      </c>
      <c r="R396" s="246" t="str">
        <f>VLOOKUP(P396,'Dados das Regiões '!A:B,2,0)</f>
        <v>GUARAPUAVA</v>
      </c>
      <c r="S396" s="22" t="s">
        <v>5464</v>
      </c>
      <c r="U396" s="88" t="s">
        <v>5465</v>
      </c>
      <c r="V396" s="89" t="s">
        <v>5466</v>
      </c>
      <c r="W396" s="89" t="s">
        <v>5467</v>
      </c>
      <c r="X396" s="90">
        <v>0.5625</v>
      </c>
      <c r="Y396" s="515">
        <v>0.64583333333333337</v>
      </c>
      <c r="Z396" s="16" t="s">
        <v>622</v>
      </c>
      <c r="AA396" s="13"/>
      <c r="AB396" s="121">
        <v>202500631</v>
      </c>
      <c r="AC396" s="55" t="s">
        <v>35</v>
      </c>
      <c r="AD396" s="40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</row>
    <row r="397" spans="1:44">
      <c r="A397" s="14">
        <v>45854</v>
      </c>
      <c r="B397" s="13" t="str">
        <f t="shared" si="388"/>
        <v>Realizada</v>
      </c>
      <c r="C397" s="14">
        <f t="shared" si="385"/>
        <v>45946</v>
      </c>
      <c r="D397" s="13" t="s">
        <v>104</v>
      </c>
      <c r="E397" s="14">
        <f t="shared" ref="E397" si="411">IF(C397="", "", EDATE(C397, 3))</f>
        <v>46038</v>
      </c>
      <c r="F397" s="13" t="s">
        <v>611</v>
      </c>
      <c r="G397" s="22">
        <v>202500631</v>
      </c>
      <c r="H397" s="22" t="s">
        <v>5468</v>
      </c>
      <c r="I397" s="22" t="s">
        <v>613</v>
      </c>
      <c r="J397" s="87">
        <v>45824</v>
      </c>
      <c r="K397" s="185">
        <v>46184</v>
      </c>
      <c r="L397" s="22" t="s">
        <v>5460</v>
      </c>
      <c r="M397" s="22" t="s">
        <v>5461</v>
      </c>
      <c r="N397" s="13" t="s">
        <v>5462</v>
      </c>
      <c r="O397" s="17" t="s">
        <v>5463</v>
      </c>
      <c r="P397" s="88" t="s">
        <v>294</v>
      </c>
      <c r="Q397" s="13" t="s">
        <v>618</v>
      </c>
      <c r="R397" s="246" t="str">
        <f>VLOOKUP(P397,'Dados das Regiões '!A:B,2,0)</f>
        <v>GUARAPUAVA</v>
      </c>
      <c r="S397" s="22" t="s">
        <v>5464</v>
      </c>
      <c r="U397" s="88" t="s">
        <v>5465</v>
      </c>
      <c r="V397" s="89" t="s">
        <v>5466</v>
      </c>
      <c r="W397" s="89" t="s">
        <v>5467</v>
      </c>
      <c r="X397" s="90">
        <v>0.5625</v>
      </c>
      <c r="Y397" s="515">
        <v>0.64583333333333337</v>
      </c>
      <c r="Z397" s="16" t="s">
        <v>622</v>
      </c>
      <c r="AA397" s="13"/>
      <c r="AB397" s="121">
        <v>202500631</v>
      </c>
      <c r="AC397" s="55" t="s">
        <v>35</v>
      </c>
      <c r="AD397" s="40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</row>
    <row r="398" spans="1:44">
      <c r="B398" s="13" t="str">
        <f t="shared" si="388"/>
        <v>Pendente</v>
      </c>
      <c r="C398" s="14" t="str">
        <f t="shared" si="385"/>
        <v/>
      </c>
      <c r="D398" s="13" t="s">
        <v>611</v>
      </c>
      <c r="E398" s="14" t="str">
        <f t="shared" ref="E398" si="412">IF(C398="", "", EDATE(C398, 3))</f>
        <v/>
      </c>
      <c r="F398" s="13" t="s">
        <v>611</v>
      </c>
      <c r="G398" s="22">
        <v>202500631</v>
      </c>
      <c r="H398" s="22" t="s">
        <v>5469</v>
      </c>
      <c r="I398" s="22" t="s">
        <v>613</v>
      </c>
      <c r="J398" s="87">
        <v>45824</v>
      </c>
      <c r="K398" s="185">
        <v>46184</v>
      </c>
      <c r="L398" s="22" t="s">
        <v>672</v>
      </c>
      <c r="M398" s="22" t="s">
        <v>5470</v>
      </c>
      <c r="N398" s="13" t="s">
        <v>5471</v>
      </c>
      <c r="O398" s="17" t="s">
        <v>5472</v>
      </c>
      <c r="P398" s="88" t="s">
        <v>482</v>
      </c>
      <c r="Q398" s="13" t="s">
        <v>618</v>
      </c>
      <c r="R398" s="246" t="str">
        <f>VLOOKUP(P398,'Dados das Regiões '!A:B,2,0)</f>
        <v>TOLEDO</v>
      </c>
      <c r="S398" s="22" t="s">
        <v>1466</v>
      </c>
      <c r="U398" s="88" t="s">
        <v>5473</v>
      </c>
      <c r="V398" s="89" t="s">
        <v>1468</v>
      </c>
      <c r="W398" s="89" t="s">
        <v>5474</v>
      </c>
      <c r="X398" s="90">
        <v>0.3125</v>
      </c>
      <c r="Y398" s="515">
        <v>0.39583333333333331</v>
      </c>
      <c r="Z398" s="16" t="s">
        <v>622</v>
      </c>
      <c r="AA398" s="13"/>
      <c r="AB398" s="121">
        <v>202500631</v>
      </c>
      <c r="AC398" s="55" t="s">
        <v>35</v>
      </c>
      <c r="AD398" s="40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</row>
    <row r="399" spans="1:44">
      <c r="B399" s="13" t="str">
        <f t="shared" si="388"/>
        <v>Pendente</v>
      </c>
      <c r="C399" s="14" t="str">
        <f t="shared" si="385"/>
        <v/>
      </c>
      <c r="D399" s="13" t="s">
        <v>611</v>
      </c>
      <c r="E399" s="14" t="str">
        <f t="shared" ref="E399" si="413">IF(C399="", "", EDATE(C399, 3))</f>
        <v/>
      </c>
      <c r="F399" s="13" t="s">
        <v>611</v>
      </c>
      <c r="G399" s="22">
        <v>202500631</v>
      </c>
      <c r="H399" s="22" t="s">
        <v>5475</v>
      </c>
      <c r="I399" s="22" t="s">
        <v>613</v>
      </c>
      <c r="J399" s="87">
        <v>45824</v>
      </c>
      <c r="K399" s="185">
        <v>46184</v>
      </c>
      <c r="L399" s="22" t="s">
        <v>672</v>
      </c>
      <c r="M399" s="22" t="s">
        <v>5470</v>
      </c>
      <c r="N399" s="13" t="s">
        <v>5471</v>
      </c>
      <c r="O399" s="17" t="s">
        <v>5472</v>
      </c>
      <c r="P399" s="88" t="s">
        <v>482</v>
      </c>
      <c r="Q399" s="13" t="s">
        <v>618</v>
      </c>
      <c r="R399" s="246" t="str">
        <f>VLOOKUP(P399,'Dados das Regiões '!A:B,2,0)</f>
        <v>TOLEDO</v>
      </c>
      <c r="S399" s="22" t="s">
        <v>1466</v>
      </c>
      <c r="U399" s="88" t="s">
        <v>5473</v>
      </c>
      <c r="V399" s="89" t="s">
        <v>1468</v>
      </c>
      <c r="W399" s="89" t="s">
        <v>5474</v>
      </c>
      <c r="X399" s="90">
        <v>0.5625</v>
      </c>
      <c r="Y399" s="515">
        <v>0.64583333333333337</v>
      </c>
      <c r="Z399" s="16" t="s">
        <v>622</v>
      </c>
      <c r="AA399" s="13"/>
      <c r="AB399" s="121">
        <v>202500631</v>
      </c>
      <c r="AC399" s="55" t="s">
        <v>35</v>
      </c>
      <c r="AD399" s="40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</row>
    <row r="400" spans="1:44">
      <c r="B400" s="13" t="str">
        <f t="shared" si="388"/>
        <v>Pendente</v>
      </c>
      <c r="C400" s="14" t="str">
        <f t="shared" si="385"/>
        <v/>
      </c>
      <c r="D400" s="13" t="s">
        <v>611</v>
      </c>
      <c r="E400" s="14" t="str">
        <f t="shared" ref="E400" si="414">IF(C400="", "", EDATE(C400, 3))</f>
        <v/>
      </c>
      <c r="F400" s="13" t="s">
        <v>611</v>
      </c>
      <c r="G400" s="22">
        <v>202500631</v>
      </c>
      <c r="H400" s="22" t="s">
        <v>5476</v>
      </c>
      <c r="I400" s="22" t="s">
        <v>613</v>
      </c>
      <c r="J400" s="87">
        <v>45824</v>
      </c>
      <c r="K400" s="185">
        <v>46184</v>
      </c>
      <c r="L400" s="22" t="s">
        <v>672</v>
      </c>
      <c r="M400" s="22" t="s">
        <v>5470</v>
      </c>
      <c r="N400" s="13" t="s">
        <v>5471</v>
      </c>
      <c r="O400" s="17" t="s">
        <v>5472</v>
      </c>
      <c r="P400" s="88" t="s">
        <v>482</v>
      </c>
      <c r="Q400" s="13" t="s">
        <v>618</v>
      </c>
      <c r="R400" s="246" t="str">
        <f>VLOOKUP(P400,'Dados das Regiões '!A:B,2,0)</f>
        <v>TOLEDO</v>
      </c>
      <c r="S400" s="22" t="s">
        <v>1466</v>
      </c>
      <c r="U400" s="88" t="s">
        <v>5473</v>
      </c>
      <c r="V400" s="89" t="s">
        <v>1468</v>
      </c>
      <c r="W400" s="89" t="s">
        <v>5474</v>
      </c>
      <c r="X400" s="90">
        <v>0.39583333333333331</v>
      </c>
      <c r="Y400" s="515">
        <v>0.47916666666666669</v>
      </c>
      <c r="Z400" s="16" t="s">
        <v>622</v>
      </c>
      <c r="AA400" s="13"/>
      <c r="AB400" s="121">
        <v>202500631</v>
      </c>
      <c r="AC400" s="55" t="s">
        <v>35</v>
      </c>
      <c r="AD400" s="40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</row>
    <row r="401" spans="1:44">
      <c r="A401" s="14">
        <v>45881</v>
      </c>
      <c r="B401" s="13" t="str">
        <f t="shared" si="388"/>
        <v>Realizada</v>
      </c>
      <c r="C401" s="14">
        <f t="shared" si="385"/>
        <v>45973</v>
      </c>
      <c r="D401" s="13" t="s">
        <v>611</v>
      </c>
      <c r="E401" s="14">
        <f t="shared" ref="E401" si="415">IF(C401="", "", EDATE(C401, 3))</f>
        <v>46065</v>
      </c>
      <c r="F401" s="13" t="s">
        <v>611</v>
      </c>
      <c r="G401" s="22">
        <v>202500631</v>
      </c>
      <c r="H401" s="22" t="s">
        <v>5477</v>
      </c>
      <c r="I401" s="22" t="s">
        <v>613</v>
      </c>
      <c r="J401" s="87">
        <v>45824</v>
      </c>
      <c r="K401" s="185">
        <v>46184</v>
      </c>
      <c r="L401" s="22" t="s">
        <v>672</v>
      </c>
      <c r="M401" s="22" t="s">
        <v>918</v>
      </c>
      <c r="N401" s="13" t="s">
        <v>919</v>
      </c>
      <c r="O401" s="17" t="s">
        <v>920</v>
      </c>
      <c r="P401" s="88" t="s">
        <v>286</v>
      </c>
      <c r="Q401" s="13" t="s">
        <v>618</v>
      </c>
      <c r="R401" s="246" t="str">
        <f>VLOOKUP(P401,'Dados das Regiões '!A:B,2,0)</f>
        <v>GUARAPUAVA</v>
      </c>
      <c r="S401" s="22" t="s">
        <v>921</v>
      </c>
      <c r="U401" s="88" t="s">
        <v>922</v>
      </c>
      <c r="V401" s="89" t="s">
        <v>923</v>
      </c>
      <c r="W401" s="89" t="s">
        <v>924</v>
      </c>
      <c r="X401" s="90">
        <v>0.3125</v>
      </c>
      <c r="Y401" s="515">
        <v>0.39583333333333331</v>
      </c>
      <c r="Z401" s="16" t="s">
        <v>622</v>
      </c>
      <c r="AA401" s="13"/>
      <c r="AB401" s="121">
        <v>202500631</v>
      </c>
      <c r="AC401" s="55" t="s">
        <v>35</v>
      </c>
      <c r="AD401" s="40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</row>
    <row r="402" spans="1:44">
      <c r="A402" s="14">
        <v>45854</v>
      </c>
      <c r="B402" s="13" t="str">
        <f t="shared" si="388"/>
        <v>Realizada</v>
      </c>
      <c r="C402" s="14">
        <f t="shared" si="385"/>
        <v>45946</v>
      </c>
      <c r="D402" s="13" t="s">
        <v>104</v>
      </c>
      <c r="E402" s="14">
        <f t="shared" ref="E402" si="416">IF(C402="", "", EDATE(C402, 3))</f>
        <v>46038</v>
      </c>
      <c r="F402" s="13" t="s">
        <v>611</v>
      </c>
      <c r="G402" s="22">
        <v>202500631</v>
      </c>
      <c r="H402" s="22" t="s">
        <v>5478</v>
      </c>
      <c r="I402" s="22" t="s">
        <v>613</v>
      </c>
      <c r="J402" s="87">
        <v>45824</v>
      </c>
      <c r="K402" s="185">
        <v>46184</v>
      </c>
      <c r="L402" s="22" t="s">
        <v>672</v>
      </c>
      <c r="M402" s="22" t="s">
        <v>5479</v>
      </c>
      <c r="N402" t="s">
        <v>5480</v>
      </c>
      <c r="O402" s="17" t="s">
        <v>5481</v>
      </c>
      <c r="P402" s="88" t="s">
        <v>294</v>
      </c>
      <c r="Q402" s="13" t="s">
        <v>618</v>
      </c>
      <c r="R402" s="246" t="str">
        <f>VLOOKUP(P402,'Dados das Regiões '!A:B,2,0)</f>
        <v>GUARAPUAVA</v>
      </c>
      <c r="S402" s="22" t="s">
        <v>5482</v>
      </c>
      <c r="U402" s="88" t="s">
        <v>5483</v>
      </c>
      <c r="V402" s="89" t="s">
        <v>5484</v>
      </c>
      <c r="W402" s="89" t="s">
        <v>5485</v>
      </c>
      <c r="X402" s="90">
        <v>0.5625</v>
      </c>
      <c r="Y402" s="515">
        <v>0.64583333333333337</v>
      </c>
      <c r="Z402" s="16" t="s">
        <v>622</v>
      </c>
      <c r="AA402" s="13"/>
      <c r="AB402" s="121">
        <v>202500631</v>
      </c>
      <c r="AC402" s="55" t="s">
        <v>35</v>
      </c>
      <c r="AD402" s="40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</row>
    <row r="403" spans="1:44">
      <c r="A403" s="14">
        <v>45855</v>
      </c>
      <c r="B403" s="13" t="str">
        <f t="shared" si="388"/>
        <v>Realizada</v>
      </c>
      <c r="C403" s="14">
        <v>45940</v>
      </c>
      <c r="D403" s="13" t="s">
        <v>104</v>
      </c>
      <c r="E403" s="14">
        <f t="shared" ref="E403" si="417">IF(C403="", "", EDATE(C403, 3))</f>
        <v>46032</v>
      </c>
      <c r="F403" s="13" t="s">
        <v>611</v>
      </c>
      <c r="G403" s="22">
        <v>202500631</v>
      </c>
      <c r="H403" s="22" t="s">
        <v>5486</v>
      </c>
      <c r="I403" s="22" t="s">
        <v>613</v>
      </c>
      <c r="J403" s="87">
        <v>45824</v>
      </c>
      <c r="K403" s="185">
        <v>46184</v>
      </c>
      <c r="L403" s="22" t="s">
        <v>672</v>
      </c>
      <c r="M403" s="22" t="s">
        <v>5479</v>
      </c>
      <c r="N403" t="s">
        <v>5480</v>
      </c>
      <c r="O403" s="17" t="s">
        <v>5481</v>
      </c>
      <c r="P403" s="88" t="s">
        <v>294</v>
      </c>
      <c r="Q403" s="13" t="s">
        <v>618</v>
      </c>
      <c r="R403" s="246" t="str">
        <f>VLOOKUP(P403,'Dados das Regiões '!A:B,2,0)</f>
        <v>GUARAPUAVA</v>
      </c>
      <c r="S403" s="22" t="s">
        <v>5482</v>
      </c>
      <c r="U403" s="88" t="s">
        <v>5483</v>
      </c>
      <c r="V403" s="89" t="s">
        <v>5484</v>
      </c>
      <c r="W403" s="89" t="s">
        <v>5485</v>
      </c>
      <c r="X403" s="90">
        <v>0.3125</v>
      </c>
      <c r="Y403" s="515">
        <v>0.39583333333333331</v>
      </c>
      <c r="Z403" s="16" t="s">
        <v>622</v>
      </c>
      <c r="AA403" s="13"/>
      <c r="AB403" s="121">
        <v>202500631</v>
      </c>
      <c r="AC403" s="55" t="s">
        <v>35</v>
      </c>
      <c r="AD403" s="40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</row>
    <row r="404" spans="1:44">
      <c r="B404" s="13" t="str">
        <f t="shared" si="388"/>
        <v>Pendente</v>
      </c>
      <c r="C404" s="14" t="str">
        <f t="shared" si="385"/>
        <v/>
      </c>
      <c r="D404" s="13" t="s">
        <v>611</v>
      </c>
      <c r="E404" s="14" t="str">
        <f t="shared" ref="E404" si="418">IF(C404="", "", EDATE(C404, 3))</f>
        <v/>
      </c>
      <c r="F404" s="13" t="s">
        <v>611</v>
      </c>
      <c r="G404" s="22">
        <v>202500631</v>
      </c>
      <c r="H404" s="22" t="s">
        <v>5487</v>
      </c>
      <c r="I404" s="22" t="s">
        <v>613</v>
      </c>
      <c r="J404" s="87">
        <v>45824</v>
      </c>
      <c r="K404" s="185">
        <v>46184</v>
      </c>
      <c r="L404" s="22" t="s">
        <v>672</v>
      </c>
      <c r="M404" s="22" t="s">
        <v>1504</v>
      </c>
      <c r="N404" s="13" t="s">
        <v>1505</v>
      </c>
      <c r="O404" s="17" t="s">
        <v>1506</v>
      </c>
      <c r="P404" s="88" t="s">
        <v>482</v>
      </c>
      <c r="Q404" s="13" t="s">
        <v>618</v>
      </c>
      <c r="R404" s="246" t="str">
        <f>VLOOKUP(P404,'Dados das Regiões '!A:B,2,0)</f>
        <v>TOLEDO</v>
      </c>
      <c r="S404" s="22" t="s">
        <v>1507</v>
      </c>
      <c r="U404" s="88" t="s">
        <v>1508</v>
      </c>
      <c r="V404" s="89" t="s">
        <v>1509</v>
      </c>
      <c r="W404" s="89" t="s">
        <v>5488</v>
      </c>
      <c r="X404" s="90">
        <v>0.5625</v>
      </c>
      <c r="Y404" s="515">
        <v>0.64583333333333337</v>
      </c>
      <c r="Z404" s="16" t="s">
        <v>622</v>
      </c>
      <c r="AA404" s="13"/>
      <c r="AB404" s="121">
        <v>202500631</v>
      </c>
      <c r="AC404" s="55" t="s">
        <v>35</v>
      </c>
      <c r="AD404" s="40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</row>
    <row r="405" spans="1:44">
      <c r="B405" s="13" t="str">
        <f t="shared" si="388"/>
        <v>Pendente</v>
      </c>
      <c r="C405" s="14" t="str">
        <f t="shared" si="385"/>
        <v/>
      </c>
      <c r="D405" s="13" t="s">
        <v>611</v>
      </c>
      <c r="E405" s="14" t="str">
        <f t="shared" ref="E405" si="419">IF(C405="", "", EDATE(C405, 3))</f>
        <v/>
      </c>
      <c r="F405" s="13" t="s">
        <v>611</v>
      </c>
      <c r="G405" s="22">
        <v>202500631</v>
      </c>
      <c r="H405" s="22" t="s">
        <v>5489</v>
      </c>
      <c r="I405" s="22" t="s">
        <v>613</v>
      </c>
      <c r="J405" s="87">
        <v>45824</v>
      </c>
      <c r="K405" s="185">
        <v>46184</v>
      </c>
      <c r="L405" s="22" t="s">
        <v>672</v>
      </c>
      <c r="M405" s="22" t="s">
        <v>4168</v>
      </c>
      <c r="N405" s="13" t="s">
        <v>4169</v>
      </c>
      <c r="O405" s="13" t="s">
        <v>4159</v>
      </c>
      <c r="P405" s="88" t="s">
        <v>321</v>
      </c>
      <c r="Q405" s="13" t="s">
        <v>618</v>
      </c>
      <c r="R405" s="246" t="str">
        <f>VLOOKUP(P405,'Dados das Regiões '!A:B,2,0)</f>
        <v>IVAIPORÃ</v>
      </c>
      <c r="S405" s="22" t="s">
        <v>4160</v>
      </c>
      <c r="U405" s="88"/>
      <c r="V405" s="89" t="s">
        <v>5436</v>
      </c>
      <c r="W405" s="89" t="s">
        <v>4162</v>
      </c>
      <c r="X405" s="90">
        <v>0.5625</v>
      </c>
      <c r="Y405" s="515">
        <v>0.64583333333333337</v>
      </c>
      <c r="Z405" s="16" t="s">
        <v>622</v>
      </c>
      <c r="AA405" s="13"/>
      <c r="AB405" s="121">
        <v>202500631</v>
      </c>
      <c r="AC405" s="55" t="s">
        <v>35</v>
      </c>
      <c r="AD405" s="40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</row>
    <row r="406" spans="1:44">
      <c r="A406" s="14">
        <v>45904</v>
      </c>
      <c r="B406" s="13" t="str">
        <f t="shared" si="388"/>
        <v>Realizada</v>
      </c>
      <c r="C406" s="14">
        <f t="shared" si="385"/>
        <v>45995</v>
      </c>
      <c r="D406" s="13" t="s">
        <v>611</v>
      </c>
      <c r="E406" s="14">
        <f t="shared" ref="E406" si="420">IF(C406="", "", EDATE(C406, 3))</f>
        <v>46085</v>
      </c>
      <c r="F406" s="13" t="s">
        <v>611</v>
      </c>
      <c r="G406" s="22">
        <v>202500631</v>
      </c>
      <c r="H406" s="22" t="s">
        <v>5490</v>
      </c>
      <c r="I406" s="22" t="s">
        <v>613</v>
      </c>
      <c r="J406" s="87">
        <v>45824</v>
      </c>
      <c r="K406" s="185">
        <v>46184</v>
      </c>
      <c r="L406" s="22" t="s">
        <v>672</v>
      </c>
      <c r="M406" s="22" t="s">
        <v>4838</v>
      </c>
      <c r="N406" s="13" t="s">
        <v>4839</v>
      </c>
      <c r="O406" s="17" t="s">
        <v>4840</v>
      </c>
      <c r="P406" s="88" t="s">
        <v>289</v>
      </c>
      <c r="Q406" s="13" t="s">
        <v>618</v>
      </c>
      <c r="R406" s="246" t="str">
        <f>VLOOKUP(P406,'Dados das Regiões '!A:B,2,0)</f>
        <v>GUARAPUAVA</v>
      </c>
      <c r="S406" s="22" t="s">
        <v>4841</v>
      </c>
      <c r="U406" s="88" t="s">
        <v>4842</v>
      </c>
      <c r="V406" s="89" t="s">
        <v>4843</v>
      </c>
      <c r="W406" s="89" t="s">
        <v>5491</v>
      </c>
      <c r="X406" s="90">
        <v>0.5625</v>
      </c>
      <c r="Y406" s="515">
        <v>0.64583333333333337</v>
      </c>
      <c r="Z406" s="16" t="s">
        <v>622</v>
      </c>
      <c r="AA406" s="13"/>
      <c r="AB406" s="121">
        <v>202500631</v>
      </c>
      <c r="AC406" s="55" t="s">
        <v>35</v>
      </c>
      <c r="AD406" s="40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</row>
    <row r="407" spans="1:44">
      <c r="A407" s="14">
        <v>45855</v>
      </c>
      <c r="B407" s="13" t="str">
        <f t="shared" si="388"/>
        <v>Realizada</v>
      </c>
      <c r="C407" s="14">
        <v>45940</v>
      </c>
      <c r="D407" s="13" t="s">
        <v>104</v>
      </c>
      <c r="E407" s="14">
        <f t="shared" ref="E407" si="421">IF(C407="", "", EDATE(C407, 3))</f>
        <v>46032</v>
      </c>
      <c r="F407" s="13" t="s">
        <v>611</v>
      </c>
      <c r="G407" s="22">
        <v>202500631</v>
      </c>
      <c r="H407" s="22" t="s">
        <v>5492</v>
      </c>
      <c r="I407" s="22" t="s">
        <v>613</v>
      </c>
      <c r="J407" s="87">
        <v>45824</v>
      </c>
      <c r="K407" s="185">
        <v>46184</v>
      </c>
      <c r="L407" s="22" t="s">
        <v>672</v>
      </c>
      <c r="M407" s="22" t="s">
        <v>5479</v>
      </c>
      <c r="N407" t="s">
        <v>5480</v>
      </c>
      <c r="O407" s="17" t="s">
        <v>5481</v>
      </c>
      <c r="P407" s="88" t="s">
        <v>294</v>
      </c>
      <c r="Q407" s="13" t="s">
        <v>618</v>
      </c>
      <c r="R407" s="246" t="str">
        <f>VLOOKUP(P407,'Dados das Regiões '!A:B,2,0)</f>
        <v>GUARAPUAVA</v>
      </c>
      <c r="S407" s="22" t="s">
        <v>5482</v>
      </c>
      <c r="U407" s="88" t="s">
        <v>5483</v>
      </c>
      <c r="V407" s="89" t="s">
        <v>5484</v>
      </c>
      <c r="W407" s="89" t="s">
        <v>5485</v>
      </c>
      <c r="X407" s="90">
        <v>0.3125</v>
      </c>
      <c r="Y407" s="515">
        <v>0.39583333333333331</v>
      </c>
      <c r="Z407" s="16" t="s">
        <v>622</v>
      </c>
      <c r="AA407" s="13"/>
      <c r="AB407" s="121">
        <v>202500631</v>
      </c>
      <c r="AC407" s="55" t="s">
        <v>35</v>
      </c>
      <c r="AD407" s="40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</row>
    <row r="408" spans="1:44">
      <c r="B408" s="13" t="str">
        <f t="shared" si="388"/>
        <v>Pendente</v>
      </c>
      <c r="C408" s="14" t="str">
        <f t="shared" si="385"/>
        <v/>
      </c>
      <c r="D408" s="13" t="s">
        <v>611</v>
      </c>
      <c r="E408" s="14" t="str">
        <f t="shared" ref="E408" si="422">IF(C408="", "", EDATE(C408, 3))</f>
        <v/>
      </c>
      <c r="F408" s="13" t="s">
        <v>611</v>
      </c>
      <c r="G408" s="22">
        <v>202500631</v>
      </c>
      <c r="H408" s="22" t="s">
        <v>5493</v>
      </c>
      <c r="I408" s="22" t="s">
        <v>613</v>
      </c>
      <c r="J408" s="87">
        <v>45824</v>
      </c>
      <c r="K408" s="185">
        <v>46184</v>
      </c>
      <c r="L408" s="22" t="s">
        <v>632</v>
      </c>
      <c r="M408" s="22" t="s">
        <v>5494</v>
      </c>
      <c r="N408" s="13" t="s">
        <v>5495</v>
      </c>
      <c r="O408" s="17" t="s">
        <v>5496</v>
      </c>
      <c r="P408" s="88" t="s">
        <v>232</v>
      </c>
      <c r="Q408" s="13" t="s">
        <v>618</v>
      </c>
      <c r="R408" s="246" t="str">
        <f>VLOOKUP(P408,'Dados das Regiões '!A:B,2,0)</f>
        <v>CORNÉLIO PROCÓPIO</v>
      </c>
      <c r="S408" s="22" t="s">
        <v>5497</v>
      </c>
      <c r="U408" s="88" t="s">
        <v>5498</v>
      </c>
      <c r="V408" s="89" t="s">
        <v>5499</v>
      </c>
      <c r="W408" s="89" t="s">
        <v>5500</v>
      </c>
      <c r="X408" s="90">
        <v>0.33333333333333331</v>
      </c>
      <c r="Y408" s="515">
        <v>0.41666666666666669</v>
      </c>
      <c r="Z408" s="16" t="s">
        <v>622</v>
      </c>
      <c r="AA408" s="13"/>
      <c r="AB408" s="121">
        <v>202500631</v>
      </c>
      <c r="AC408" s="55" t="s">
        <v>35</v>
      </c>
      <c r="AD408" s="40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</row>
    <row r="409" spans="1:44">
      <c r="B409" s="13" t="str">
        <f t="shared" si="388"/>
        <v>Pendente</v>
      </c>
      <c r="C409" s="14" t="str">
        <f t="shared" si="385"/>
        <v/>
      </c>
      <c r="D409" s="13" t="s">
        <v>611</v>
      </c>
      <c r="E409" s="14" t="str">
        <f t="shared" ref="E409" si="423">IF(C409="", "", EDATE(C409, 3))</f>
        <v/>
      </c>
      <c r="F409" s="13" t="s">
        <v>611</v>
      </c>
      <c r="G409" s="22">
        <v>202500379</v>
      </c>
      <c r="H409" s="22" t="s">
        <v>5501</v>
      </c>
      <c r="I409" s="22" t="s">
        <v>613</v>
      </c>
      <c r="J409" s="87">
        <v>45824</v>
      </c>
      <c r="K409" s="185">
        <v>46184</v>
      </c>
      <c r="L409" s="22" t="s">
        <v>682</v>
      </c>
      <c r="M409" s="22" t="s">
        <v>1084</v>
      </c>
      <c r="N409" s="13" t="s">
        <v>1085</v>
      </c>
      <c r="O409" s="17" t="s">
        <v>1086</v>
      </c>
      <c r="P409" s="88" t="s">
        <v>324</v>
      </c>
      <c r="Q409" s="13" t="s">
        <v>618</v>
      </c>
      <c r="R409" s="246" t="str">
        <f>VLOOKUP(P409,'Dados das Regiões '!A:B,2,0)</f>
        <v>JACAREZINHO</v>
      </c>
      <c r="S409" s="22" t="s">
        <v>4712</v>
      </c>
      <c r="U409" s="88"/>
      <c r="V409" s="89" t="s">
        <v>4714</v>
      </c>
      <c r="W409" s="89" t="s">
        <v>5502</v>
      </c>
      <c r="X409" s="90">
        <v>0.33333333333333331</v>
      </c>
      <c r="Y409" s="515">
        <v>0.41666666666666669</v>
      </c>
      <c r="Z409" s="16" t="s">
        <v>622</v>
      </c>
      <c r="AA409" s="13"/>
      <c r="AB409" s="121">
        <v>202500379</v>
      </c>
      <c r="AC409" s="55" t="s">
        <v>34</v>
      </c>
      <c r="AD409" s="40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</row>
    <row r="410" spans="1:44">
      <c r="B410" s="13" t="str">
        <f t="shared" si="388"/>
        <v>Pendente</v>
      </c>
      <c r="C410" s="14" t="str">
        <f t="shared" si="385"/>
        <v/>
      </c>
      <c r="D410" s="13" t="s">
        <v>611</v>
      </c>
      <c r="E410" s="14" t="str">
        <f t="shared" ref="E410" si="424">IF(C410="", "", EDATE(C410, 3))</f>
        <v/>
      </c>
      <c r="F410" s="13" t="s">
        <v>611</v>
      </c>
      <c r="G410" s="22">
        <v>202500379</v>
      </c>
      <c r="H410" s="22" t="s">
        <v>5503</v>
      </c>
      <c r="I410" s="22" t="s">
        <v>613</v>
      </c>
      <c r="J410" s="87">
        <v>45824</v>
      </c>
      <c r="K410" s="185">
        <v>46184</v>
      </c>
      <c r="L410" s="22" t="s">
        <v>682</v>
      </c>
      <c r="M410" s="22" t="s">
        <v>4709</v>
      </c>
      <c r="N410" s="13" t="s">
        <v>4710</v>
      </c>
      <c r="O410" s="13" t="s">
        <v>4711</v>
      </c>
      <c r="P410" s="88" t="s">
        <v>217</v>
      </c>
      <c r="Q410" s="13" t="s">
        <v>618</v>
      </c>
      <c r="R410" s="246" t="str">
        <f>VLOOKUP(P410,'Dados das Regiões '!A:B,2,0)</f>
        <v>CORNÉLIO PROCÓPIO</v>
      </c>
      <c r="S410" s="22" t="s">
        <v>4712</v>
      </c>
      <c r="U410" s="88" t="s">
        <v>4713</v>
      </c>
      <c r="V410" s="89" t="s">
        <v>4714</v>
      </c>
      <c r="W410" s="89" t="s">
        <v>5502</v>
      </c>
      <c r="X410" s="90">
        <v>0.33333333333333331</v>
      </c>
      <c r="Y410" s="515">
        <v>0.41666666666666669</v>
      </c>
      <c r="Z410" s="16" t="s">
        <v>622</v>
      </c>
      <c r="AA410" s="13"/>
      <c r="AB410" s="121">
        <v>202500379</v>
      </c>
      <c r="AC410" s="55" t="s">
        <v>34</v>
      </c>
      <c r="AD410" s="40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</row>
    <row r="411" spans="1:44">
      <c r="B411" s="13" t="str">
        <f t="shared" si="388"/>
        <v>Pendente</v>
      </c>
      <c r="C411" s="14" t="str">
        <f t="shared" si="385"/>
        <v/>
      </c>
      <c r="D411" s="13" t="s">
        <v>611</v>
      </c>
      <c r="E411" s="14" t="str">
        <f t="shared" ref="E411" si="425">IF(C411="", "", EDATE(C411, 3))</f>
        <v/>
      </c>
      <c r="F411" s="13" t="s">
        <v>611</v>
      </c>
      <c r="G411" s="22">
        <v>202500379</v>
      </c>
      <c r="H411" s="22" t="s">
        <v>5504</v>
      </c>
      <c r="I411" s="22" t="s">
        <v>613</v>
      </c>
      <c r="J411" s="87">
        <v>45824</v>
      </c>
      <c r="K411" s="185">
        <v>46184</v>
      </c>
      <c r="L411" s="22" t="s">
        <v>672</v>
      </c>
      <c r="M411" s="22" t="s">
        <v>4152</v>
      </c>
      <c r="N411" s="13" t="s">
        <v>4153</v>
      </c>
      <c r="O411" s="13" t="s">
        <v>2213</v>
      </c>
      <c r="P411" s="88" t="s">
        <v>317</v>
      </c>
      <c r="Q411" s="13" t="s">
        <v>618</v>
      </c>
      <c r="R411" s="246" t="str">
        <f>VLOOKUP(P411,'Dados das Regiões '!A:B,2,0)</f>
        <v>IVAIPORÃ</v>
      </c>
      <c r="S411" s="22" t="s">
        <v>990</v>
      </c>
      <c r="U411" s="88" t="s">
        <v>991</v>
      </c>
      <c r="V411" s="89" t="s">
        <v>4154</v>
      </c>
      <c r="W411" s="89" t="s">
        <v>993</v>
      </c>
      <c r="X411" s="90">
        <v>0.5625</v>
      </c>
      <c r="Y411" s="515">
        <v>0.64583333333333337</v>
      </c>
      <c r="Z411" s="16" t="s">
        <v>622</v>
      </c>
      <c r="AA411" s="13"/>
      <c r="AB411" s="121">
        <v>202500379</v>
      </c>
      <c r="AC411" s="55" t="s">
        <v>34</v>
      </c>
      <c r="AD411" s="40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</row>
    <row r="412" spans="1:44">
      <c r="B412" s="13" t="str">
        <f t="shared" si="388"/>
        <v>Pendente</v>
      </c>
      <c r="C412" s="14" t="str">
        <f t="shared" si="385"/>
        <v/>
      </c>
      <c r="D412" s="13" t="s">
        <v>611</v>
      </c>
      <c r="E412" s="14" t="str">
        <f t="shared" ref="E412" si="426">IF(C412="", "", EDATE(C412, 3))</f>
        <v/>
      </c>
      <c r="F412" s="13" t="s">
        <v>611</v>
      </c>
      <c r="G412" s="22">
        <v>202500379</v>
      </c>
      <c r="H412" s="22" t="s">
        <v>5505</v>
      </c>
      <c r="I412" s="22" t="s">
        <v>613</v>
      </c>
      <c r="J412" s="87">
        <v>45824</v>
      </c>
      <c r="K412" s="185">
        <v>46184</v>
      </c>
      <c r="L412" s="22" t="s">
        <v>672</v>
      </c>
      <c r="M412" s="22" t="s">
        <v>4152</v>
      </c>
      <c r="N412" s="13" t="s">
        <v>4153</v>
      </c>
      <c r="O412" s="13" t="s">
        <v>2213</v>
      </c>
      <c r="P412" s="88" t="s">
        <v>317</v>
      </c>
      <c r="Q412" s="13" t="s">
        <v>618</v>
      </c>
      <c r="R412" s="246" t="str">
        <f>VLOOKUP(P412,'Dados das Regiões '!A:B,2,0)</f>
        <v>IVAIPORÃ</v>
      </c>
      <c r="S412" s="22" t="s">
        <v>990</v>
      </c>
      <c r="U412" s="88" t="s">
        <v>991</v>
      </c>
      <c r="V412" s="89" t="s">
        <v>4154</v>
      </c>
      <c r="W412" s="89" t="s">
        <v>993</v>
      </c>
      <c r="X412" s="90">
        <v>0.3125</v>
      </c>
      <c r="Y412" s="515">
        <v>0.39583333333333331</v>
      </c>
      <c r="Z412" s="16" t="s">
        <v>622</v>
      </c>
      <c r="AA412" s="13"/>
      <c r="AB412" s="121">
        <v>202500379</v>
      </c>
      <c r="AC412" s="55" t="s">
        <v>34</v>
      </c>
      <c r="AD412" s="40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</row>
    <row r="413" spans="1:44">
      <c r="B413" s="13" t="str">
        <f t="shared" si="388"/>
        <v>Pendente</v>
      </c>
      <c r="C413" s="14" t="str">
        <f t="shared" si="385"/>
        <v/>
      </c>
      <c r="D413" s="13" t="s">
        <v>611</v>
      </c>
      <c r="E413" s="14" t="str">
        <f t="shared" ref="E413" si="427">IF(C413="", "", EDATE(C413, 3))</f>
        <v/>
      </c>
      <c r="F413" s="13" t="s">
        <v>611</v>
      </c>
      <c r="G413" s="22">
        <v>202500631</v>
      </c>
      <c r="H413" s="22" t="s">
        <v>5506</v>
      </c>
      <c r="I413" s="22" t="s">
        <v>613</v>
      </c>
      <c r="J413" s="87">
        <v>45824</v>
      </c>
      <c r="K413" s="185">
        <v>46184</v>
      </c>
      <c r="L413" s="22" t="s">
        <v>672</v>
      </c>
      <c r="M413" s="22" t="s">
        <v>4650</v>
      </c>
      <c r="N413" s="13" t="s">
        <v>1012</v>
      </c>
      <c r="O413" s="13" t="s">
        <v>997</v>
      </c>
      <c r="P413" s="88" t="s">
        <v>408</v>
      </c>
      <c r="Q413" s="13" t="s">
        <v>618</v>
      </c>
      <c r="R413" s="246" t="str">
        <f>VLOOKUP(P413,'Dados das Regiões '!A:B,2,0)</f>
        <v>PALMAS</v>
      </c>
      <c r="S413" s="22" t="s">
        <v>998</v>
      </c>
      <c r="U413" s="88" t="s">
        <v>999</v>
      </c>
      <c r="V413" s="89" t="s">
        <v>1000</v>
      </c>
      <c r="W413" s="89" t="s">
        <v>1001</v>
      </c>
      <c r="X413" s="90">
        <v>0.39583333333333331</v>
      </c>
      <c r="Y413" s="515">
        <v>0.47916666666666669</v>
      </c>
      <c r="Z413" s="16" t="s">
        <v>622</v>
      </c>
      <c r="AA413" s="13"/>
      <c r="AB413" s="121">
        <v>202500631</v>
      </c>
      <c r="AC413" s="55" t="s">
        <v>35</v>
      </c>
      <c r="AD413" s="40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</row>
    <row r="414" spans="1:44">
      <c r="B414" s="13" t="str">
        <f t="shared" si="388"/>
        <v>Pendente</v>
      </c>
      <c r="C414" s="14" t="str">
        <f t="shared" si="385"/>
        <v/>
      </c>
      <c r="D414" s="13" t="s">
        <v>611</v>
      </c>
      <c r="E414" s="14" t="str">
        <f t="shared" ref="E414" si="428">IF(C414="", "", EDATE(C414, 3))</f>
        <v/>
      </c>
      <c r="F414" s="13" t="s">
        <v>611</v>
      </c>
      <c r="G414" s="22">
        <v>202500631</v>
      </c>
      <c r="H414" s="22" t="s">
        <v>5507</v>
      </c>
      <c r="I414" s="22" t="s">
        <v>613</v>
      </c>
      <c r="J414" s="87">
        <v>45824</v>
      </c>
      <c r="K414" s="185">
        <v>46184</v>
      </c>
      <c r="L414" s="22" t="s">
        <v>672</v>
      </c>
      <c r="M414" s="22" t="s">
        <v>5508</v>
      </c>
      <c r="N414" s="13" t="s">
        <v>1012</v>
      </c>
      <c r="O414" s="17" t="s">
        <v>5509</v>
      </c>
      <c r="P414" s="88" t="s">
        <v>408</v>
      </c>
      <c r="Q414" s="13" t="s">
        <v>618</v>
      </c>
      <c r="R414" s="246" t="str">
        <f>VLOOKUP(P414,'Dados das Regiões '!A:B,2,0)</f>
        <v>PALMAS</v>
      </c>
      <c r="S414" s="22" t="s">
        <v>5510</v>
      </c>
      <c r="U414" s="88" t="s">
        <v>999</v>
      </c>
      <c r="V414" s="89" t="s">
        <v>5511</v>
      </c>
      <c r="W414" s="89" t="s">
        <v>5512</v>
      </c>
      <c r="X414" s="90">
        <v>0.3125</v>
      </c>
      <c r="Y414" s="515">
        <v>0.39583333333333331</v>
      </c>
      <c r="Z414" s="16" t="s">
        <v>622</v>
      </c>
      <c r="AA414" s="13"/>
      <c r="AB414" s="121">
        <v>202500631</v>
      </c>
      <c r="AC414" s="55" t="s">
        <v>35</v>
      </c>
      <c r="AD414" s="40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</row>
    <row r="415" spans="1:44">
      <c r="B415" s="13" t="str">
        <f t="shared" si="388"/>
        <v>Pendente</v>
      </c>
      <c r="C415" s="14" t="str">
        <f t="shared" si="385"/>
        <v/>
      </c>
      <c r="D415" s="13" t="s">
        <v>611</v>
      </c>
      <c r="E415" s="14" t="str">
        <f t="shared" ref="E415" si="429">IF(C415="", "", EDATE(C415, 3))</f>
        <v/>
      </c>
      <c r="F415" s="13" t="s">
        <v>611</v>
      </c>
      <c r="G415" s="22">
        <v>202500631</v>
      </c>
      <c r="H415" s="22" t="s">
        <v>5513</v>
      </c>
      <c r="I415" s="22" t="s">
        <v>613</v>
      </c>
      <c r="J415" s="87">
        <v>45824</v>
      </c>
      <c r="K415" s="185">
        <v>46184</v>
      </c>
      <c r="L415" s="22" t="s">
        <v>672</v>
      </c>
      <c r="M415" s="22" t="s">
        <v>4646</v>
      </c>
      <c r="N415" s="13" t="s">
        <v>5514</v>
      </c>
      <c r="O415" s="17" t="s">
        <v>5515</v>
      </c>
      <c r="P415" s="88" t="s">
        <v>408</v>
      </c>
      <c r="Q415" s="13" t="s">
        <v>618</v>
      </c>
      <c r="R415" s="246" t="str">
        <f>VLOOKUP(P415,'Dados das Regiões '!A:B,2,0)</f>
        <v>PALMAS</v>
      </c>
      <c r="S415" s="22" t="s">
        <v>1481</v>
      </c>
      <c r="U415" s="88" t="s">
        <v>999</v>
      </c>
      <c r="V415" s="89" t="s">
        <v>5516</v>
      </c>
      <c r="W415" s="89" t="s">
        <v>1482</v>
      </c>
      <c r="X415" s="90">
        <v>0.3125</v>
      </c>
      <c r="Y415" s="515">
        <v>0.39583333333333331</v>
      </c>
      <c r="Z415" s="16" t="s">
        <v>622</v>
      </c>
      <c r="AA415" s="13"/>
      <c r="AB415" s="121">
        <v>202500631</v>
      </c>
      <c r="AC415" s="55" t="s">
        <v>35</v>
      </c>
      <c r="AD415" s="40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</row>
    <row r="416" spans="1:44">
      <c r="B416" s="13" t="str">
        <f t="shared" si="388"/>
        <v>Pendente</v>
      </c>
      <c r="C416" s="14" t="str">
        <f t="shared" si="385"/>
        <v/>
      </c>
      <c r="D416" s="13" t="s">
        <v>611</v>
      </c>
      <c r="E416" s="14" t="str">
        <f t="shared" ref="E416" si="430">IF(C416="", "", EDATE(C416, 3))</f>
        <v/>
      </c>
      <c r="F416" s="13" t="s">
        <v>611</v>
      </c>
      <c r="G416" s="22">
        <v>202500379</v>
      </c>
      <c r="H416" s="22" t="s">
        <v>5517</v>
      </c>
      <c r="I416" s="22" t="s">
        <v>613</v>
      </c>
      <c r="J416" s="87">
        <v>45824</v>
      </c>
      <c r="K416" s="185">
        <v>46184</v>
      </c>
      <c r="L416" s="22" t="s">
        <v>657</v>
      </c>
      <c r="M416" s="22" t="s">
        <v>5518</v>
      </c>
      <c r="N416" s="13" t="s">
        <v>5519</v>
      </c>
      <c r="O416" s="13" t="s">
        <v>5520</v>
      </c>
      <c r="P416" s="88" t="s">
        <v>283</v>
      </c>
      <c r="Q416" s="13" t="s">
        <v>618</v>
      </c>
      <c r="R416" s="246" t="str">
        <f>VLOOKUP(P416,'Dados das Regiões '!A:B,2,0)</f>
        <v>FRANCISCO BELTRÃO</v>
      </c>
      <c r="S416" s="22" t="s">
        <v>5521</v>
      </c>
      <c r="U416" s="88" t="s">
        <v>5522</v>
      </c>
      <c r="V416" s="89" t="s">
        <v>5523</v>
      </c>
      <c r="W416" s="89" t="s">
        <v>5524</v>
      </c>
      <c r="X416" s="90">
        <v>0.5625</v>
      </c>
      <c r="Y416" s="515">
        <v>0.64583333333333337</v>
      </c>
      <c r="Z416" s="16" t="s">
        <v>622</v>
      </c>
      <c r="AA416" s="13"/>
      <c r="AB416" s="121">
        <v>202500379</v>
      </c>
      <c r="AC416" s="55" t="s">
        <v>34</v>
      </c>
      <c r="AD416" s="40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</row>
    <row r="417" spans="1:44">
      <c r="B417" s="13" t="str">
        <f t="shared" si="388"/>
        <v>Pendente</v>
      </c>
      <c r="C417" s="14" t="str">
        <f t="shared" si="385"/>
        <v/>
      </c>
      <c r="D417" s="13" t="s">
        <v>611</v>
      </c>
      <c r="E417" s="14" t="str">
        <f t="shared" ref="E417" si="431">IF(C417="", "", EDATE(C417, 3))</f>
        <v/>
      </c>
      <c r="F417" s="13" t="s">
        <v>611</v>
      </c>
      <c r="G417" s="22">
        <v>202500631</v>
      </c>
      <c r="H417" s="22" t="s">
        <v>5525</v>
      </c>
      <c r="I417" s="22" t="s">
        <v>613</v>
      </c>
      <c r="J417" s="87">
        <v>45824</v>
      </c>
      <c r="K417" s="185">
        <v>46184</v>
      </c>
      <c r="L417" s="22" t="s">
        <v>672</v>
      </c>
      <c r="M417" s="22" t="s">
        <v>5526</v>
      </c>
      <c r="N417" s="13" t="s">
        <v>5187</v>
      </c>
      <c r="O417" s="17" t="s">
        <v>5527</v>
      </c>
      <c r="P417" s="88" t="s">
        <v>185</v>
      </c>
      <c r="Q417" s="13" t="s">
        <v>618</v>
      </c>
      <c r="R417" s="246" t="str">
        <f>VLOOKUP(P417,'Dados das Regiões '!A:B,2,0)</f>
        <v>CASCAVEL</v>
      </c>
      <c r="S417" s="22" t="s">
        <v>1523</v>
      </c>
      <c r="U417" s="88" t="s">
        <v>1524</v>
      </c>
      <c r="V417" s="89" t="s">
        <v>5528</v>
      </c>
      <c r="W417" s="89" t="s">
        <v>1526</v>
      </c>
      <c r="X417" s="90">
        <v>0.64583333333333337</v>
      </c>
      <c r="Y417" s="515">
        <v>0.72916666666666663</v>
      </c>
      <c r="Z417" s="16" t="s">
        <v>622</v>
      </c>
      <c r="AA417" s="13"/>
      <c r="AB417" s="121">
        <v>202500631</v>
      </c>
      <c r="AC417" s="55" t="s">
        <v>35</v>
      </c>
      <c r="AD417" s="40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</row>
    <row r="418" spans="1:44">
      <c r="B418" s="13" t="str">
        <f t="shared" si="388"/>
        <v>Pendente</v>
      </c>
      <c r="C418" s="14" t="str">
        <f t="shared" si="385"/>
        <v/>
      </c>
      <c r="D418" s="13" t="s">
        <v>611</v>
      </c>
      <c r="E418" s="14" t="str">
        <f t="shared" ref="E418" si="432">IF(C418="", "", EDATE(C418, 3))</f>
        <v/>
      </c>
      <c r="F418" s="13" t="s">
        <v>611</v>
      </c>
      <c r="G418" s="22">
        <v>202500631</v>
      </c>
      <c r="H418" s="22" t="s">
        <v>5529</v>
      </c>
      <c r="I418" s="22" t="s">
        <v>613</v>
      </c>
      <c r="J418" s="87">
        <v>45824</v>
      </c>
      <c r="K418" s="185">
        <v>46184</v>
      </c>
      <c r="L418" s="22" t="s">
        <v>672</v>
      </c>
      <c r="M418" s="22" t="s">
        <v>5453</v>
      </c>
      <c r="N418" s="13" t="s">
        <v>5454</v>
      </c>
      <c r="O418" s="17" t="s">
        <v>5455</v>
      </c>
      <c r="P418" s="88" t="s">
        <v>308</v>
      </c>
      <c r="Q418" s="13" t="s">
        <v>618</v>
      </c>
      <c r="R418" s="246" t="str">
        <f>VLOOKUP(P418,'Dados das Regiões '!A:B,2,0)</f>
        <v>IVAIPORÃ</v>
      </c>
      <c r="S418" s="22" t="s">
        <v>5456</v>
      </c>
      <c r="U418" s="88"/>
      <c r="V418" s="89" t="s">
        <v>5457</v>
      </c>
      <c r="W418" s="89" t="s">
        <v>5458</v>
      </c>
      <c r="X418" s="90">
        <v>0.5625</v>
      </c>
      <c r="Y418" s="515">
        <v>0.64583333333333337</v>
      </c>
      <c r="Z418" s="16" t="s">
        <v>622</v>
      </c>
      <c r="AA418" s="13"/>
      <c r="AB418" s="121">
        <v>202500631</v>
      </c>
      <c r="AC418" s="55" t="s">
        <v>35</v>
      </c>
      <c r="AD418" s="40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</row>
    <row r="419" spans="1:44">
      <c r="B419" s="13" t="str">
        <f t="shared" si="388"/>
        <v>Pendente</v>
      </c>
      <c r="C419" s="14" t="str">
        <f t="shared" si="385"/>
        <v/>
      </c>
      <c r="D419" s="13" t="s">
        <v>611</v>
      </c>
      <c r="E419" s="14" t="str">
        <f t="shared" ref="E419" si="433">IF(C419="", "", EDATE(C419, 3))</f>
        <v/>
      </c>
      <c r="F419" s="13" t="s">
        <v>611</v>
      </c>
      <c r="G419" s="22">
        <v>202500631</v>
      </c>
      <c r="H419" s="22" t="s">
        <v>5530</v>
      </c>
      <c r="I419" s="22" t="s">
        <v>613</v>
      </c>
      <c r="J419" s="87">
        <v>45824</v>
      </c>
      <c r="K419" s="185">
        <v>46184</v>
      </c>
      <c r="L419" s="22" t="s">
        <v>632</v>
      </c>
      <c r="M419" s="22" t="s">
        <v>1753</v>
      </c>
      <c r="N419" s="13" t="s">
        <v>1754</v>
      </c>
      <c r="O419" s="17" t="s">
        <v>1755</v>
      </c>
      <c r="P419" s="88" t="s">
        <v>343</v>
      </c>
      <c r="Q419" s="13" t="s">
        <v>618</v>
      </c>
      <c r="R419" s="246" t="str">
        <f>VLOOKUP(P419,'Dados das Regiões '!A:B,2,0)</f>
        <v>LONDRINA NORTE</v>
      </c>
      <c r="S419" s="22" t="s">
        <v>1756</v>
      </c>
      <c r="U419" s="88" t="s">
        <v>1757</v>
      </c>
      <c r="V419" s="89" t="s">
        <v>1758</v>
      </c>
      <c r="W419" s="89" t="s">
        <v>1759</v>
      </c>
      <c r="X419" s="90">
        <v>0.5625</v>
      </c>
      <c r="Y419" s="515">
        <v>0.64583333333333337</v>
      </c>
      <c r="Z419" s="16" t="s">
        <v>622</v>
      </c>
      <c r="AA419" s="13"/>
      <c r="AB419" s="121">
        <v>202500631</v>
      </c>
      <c r="AC419" s="55" t="s">
        <v>35</v>
      </c>
      <c r="AD419" s="40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</row>
    <row r="420" spans="1:44">
      <c r="B420" s="13" t="str">
        <f t="shared" si="388"/>
        <v>Pendente</v>
      </c>
      <c r="C420" s="14" t="str">
        <f t="shared" si="385"/>
        <v/>
      </c>
      <c r="D420" s="13" t="s">
        <v>611</v>
      </c>
      <c r="E420" s="14" t="str">
        <f t="shared" ref="E420" si="434">IF(C420="", "", EDATE(C420, 3))</f>
        <v/>
      </c>
      <c r="F420" s="13" t="s">
        <v>611</v>
      </c>
      <c r="G420" s="22">
        <v>202500631</v>
      </c>
      <c r="H420" s="22" t="s">
        <v>5531</v>
      </c>
      <c r="I420" s="22" t="s">
        <v>613</v>
      </c>
      <c r="J420" s="87">
        <v>45824</v>
      </c>
      <c r="K420" s="185">
        <v>46184</v>
      </c>
      <c r="L420" s="22" t="s">
        <v>632</v>
      </c>
      <c r="M420" s="22" t="s">
        <v>5532</v>
      </c>
      <c r="N420" s="13" t="s">
        <v>5533</v>
      </c>
      <c r="O420" s="17" t="s">
        <v>5534</v>
      </c>
      <c r="P420" s="88" t="s">
        <v>218</v>
      </c>
      <c r="Q420" s="13" t="s">
        <v>618</v>
      </c>
      <c r="R420" s="246" t="str">
        <f>VLOOKUP(P420,'Dados das Regiões '!A:B,2,0)</f>
        <v>CORNÉLIO PROCÓPIO</v>
      </c>
      <c r="S420" s="22" t="s">
        <v>5535</v>
      </c>
      <c r="U420" s="88" t="s">
        <v>5536</v>
      </c>
      <c r="V420" s="89" t="s">
        <v>5537</v>
      </c>
      <c r="W420" s="89" t="s">
        <v>5538</v>
      </c>
      <c r="X420" s="90">
        <v>0.33333333333333331</v>
      </c>
      <c r="Y420" s="515">
        <v>0.41666666666666669</v>
      </c>
      <c r="Z420" s="16" t="s">
        <v>622</v>
      </c>
      <c r="AA420" s="13"/>
      <c r="AB420" s="121">
        <v>202500631</v>
      </c>
      <c r="AC420" s="55" t="s">
        <v>35</v>
      </c>
      <c r="AD420" s="40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</row>
    <row r="421" spans="1:44">
      <c r="B421" s="13" t="str">
        <f t="shared" si="388"/>
        <v>Pendente</v>
      </c>
      <c r="C421" s="14" t="str">
        <f t="shared" si="385"/>
        <v/>
      </c>
      <c r="D421" s="13" t="s">
        <v>611</v>
      </c>
      <c r="E421" s="14" t="str">
        <f t="shared" ref="E421" si="435">IF(C421="", "", EDATE(C421, 3))</f>
        <v/>
      </c>
      <c r="F421" s="13" t="s">
        <v>611</v>
      </c>
      <c r="G421" s="22">
        <v>202500631</v>
      </c>
      <c r="H421" s="22" t="s">
        <v>5539</v>
      </c>
      <c r="I421" s="22" t="s">
        <v>613</v>
      </c>
      <c r="J421" s="87">
        <v>45824</v>
      </c>
      <c r="K421" s="185">
        <v>46184</v>
      </c>
      <c r="L421" s="22" t="s">
        <v>632</v>
      </c>
      <c r="M421" s="22" t="s">
        <v>1729</v>
      </c>
      <c r="N421" s="32" t="s">
        <v>1730</v>
      </c>
      <c r="O421" s="32" t="s">
        <v>1730</v>
      </c>
      <c r="P421" s="88" t="s">
        <v>233</v>
      </c>
      <c r="Q421" s="13" t="s">
        <v>618</v>
      </c>
      <c r="R421" s="246" t="str">
        <f>VLOOKUP(P421,'Dados das Regiões '!A:B,2,0)</f>
        <v>CORNÉLIO PROCÓPIO</v>
      </c>
      <c r="S421" s="22" t="s">
        <v>1731</v>
      </c>
      <c r="U421" s="88" t="s">
        <v>5540</v>
      </c>
      <c r="V421" s="89" t="s">
        <v>1732</v>
      </c>
      <c r="W421" s="89" t="s">
        <v>1733</v>
      </c>
      <c r="X421" s="90">
        <v>0.33333333333333331</v>
      </c>
      <c r="Y421" s="515">
        <v>0.41666666666666669</v>
      </c>
      <c r="Z421" s="16" t="s">
        <v>622</v>
      </c>
      <c r="AA421" s="13"/>
      <c r="AB421" s="121">
        <v>202500631</v>
      </c>
      <c r="AC421" s="55" t="s">
        <v>35</v>
      </c>
      <c r="AD421" s="40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</row>
    <row r="422" spans="1:44">
      <c r="B422" s="13" t="str">
        <f t="shared" si="388"/>
        <v>Pendente</v>
      </c>
      <c r="C422" s="14" t="str">
        <f t="shared" si="385"/>
        <v/>
      </c>
      <c r="D422" s="13" t="s">
        <v>611</v>
      </c>
      <c r="E422" s="14" t="str">
        <f t="shared" ref="E422" si="436">IF(C422="", "", EDATE(C422, 3))</f>
        <v/>
      </c>
      <c r="F422" s="13" t="s">
        <v>611</v>
      </c>
      <c r="G422" s="22">
        <v>202500379</v>
      </c>
      <c r="H422" s="22" t="s">
        <v>5541</v>
      </c>
      <c r="I422" s="22" t="s">
        <v>613</v>
      </c>
      <c r="J422" s="87">
        <v>45824</v>
      </c>
      <c r="K422" s="185">
        <v>46184</v>
      </c>
      <c r="L422" s="22" t="s">
        <v>672</v>
      </c>
      <c r="M422" s="22" t="s">
        <v>4184</v>
      </c>
      <c r="N422" s="13" t="s">
        <v>4185</v>
      </c>
      <c r="O422" s="13" t="s">
        <v>4186</v>
      </c>
      <c r="P422" s="88" t="s">
        <v>479</v>
      </c>
      <c r="Q422" s="13" t="s">
        <v>618</v>
      </c>
      <c r="R422" s="246" t="str">
        <f>VLOOKUP(P422,'Dados das Regiões '!A:B,2,0)</f>
        <v>TOLEDO</v>
      </c>
      <c r="S422" s="22" t="s">
        <v>5542</v>
      </c>
      <c r="U422" s="88" t="s">
        <v>4188</v>
      </c>
      <c r="V422" s="89" t="s">
        <v>5543</v>
      </c>
      <c r="W422" s="89" t="s">
        <v>4190</v>
      </c>
      <c r="X422" s="90">
        <v>0.5625</v>
      </c>
      <c r="Y422" s="515">
        <v>0.64583333333333337</v>
      </c>
      <c r="Z422" s="16" t="s">
        <v>622</v>
      </c>
      <c r="AA422" s="13"/>
      <c r="AB422" s="121">
        <v>202500379</v>
      </c>
      <c r="AC422" s="55" t="s">
        <v>34</v>
      </c>
      <c r="AD422" s="40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</row>
    <row r="423" spans="1:44">
      <c r="A423" s="14">
        <v>45888</v>
      </c>
      <c r="B423" s="13" t="str">
        <f t="shared" si="388"/>
        <v>Realizada</v>
      </c>
      <c r="C423" s="14">
        <v>45965</v>
      </c>
      <c r="D423" s="13" t="s">
        <v>611</v>
      </c>
      <c r="E423" s="14">
        <f t="shared" ref="E423" si="437">IF(C423="", "", EDATE(C423, 3))</f>
        <v>46057</v>
      </c>
      <c r="F423" s="13" t="s">
        <v>611</v>
      </c>
      <c r="G423" s="22">
        <v>202500631</v>
      </c>
      <c r="H423" s="22" t="s">
        <v>5544</v>
      </c>
      <c r="I423" s="22" t="s">
        <v>613</v>
      </c>
      <c r="J423" s="87">
        <v>45824</v>
      </c>
      <c r="K423" s="185">
        <v>46184</v>
      </c>
      <c r="L423" s="22" t="s">
        <v>672</v>
      </c>
      <c r="M423" s="22" t="s">
        <v>1529</v>
      </c>
      <c r="N423" s="17" t="s">
        <v>1530</v>
      </c>
      <c r="O423" s="17" t="s">
        <v>1531</v>
      </c>
      <c r="P423" s="88" t="s">
        <v>287</v>
      </c>
      <c r="Q423" s="13" t="s">
        <v>618</v>
      </c>
      <c r="R423" s="246" t="str">
        <f>VLOOKUP(P423,'Dados das Regiões '!A:B,2,0)</f>
        <v>GUARAPUAVA</v>
      </c>
      <c r="S423" s="22" t="s">
        <v>1532</v>
      </c>
      <c r="U423" s="88"/>
      <c r="V423" s="89" t="s">
        <v>1533</v>
      </c>
      <c r="W423" s="89" t="s">
        <v>1534</v>
      </c>
      <c r="X423" s="90">
        <v>0.3125</v>
      </c>
      <c r="Y423" s="515">
        <v>0.39583333333333331</v>
      </c>
      <c r="Z423" s="16" t="s">
        <v>622</v>
      </c>
      <c r="AA423" s="13"/>
      <c r="AB423" s="121">
        <v>202500631</v>
      </c>
      <c r="AC423" s="55" t="s">
        <v>35</v>
      </c>
      <c r="AD423" s="40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</row>
    <row r="424" spans="1:44">
      <c r="B424" s="13" t="str">
        <f t="shared" si="388"/>
        <v>Pendente</v>
      </c>
      <c r="C424" s="14" t="str">
        <f t="shared" si="385"/>
        <v/>
      </c>
      <c r="D424" s="13" t="s">
        <v>611</v>
      </c>
      <c r="E424" s="14" t="str">
        <f t="shared" ref="E424" si="438">IF(C424="", "", EDATE(C424, 3))</f>
        <v/>
      </c>
      <c r="F424" s="13" t="s">
        <v>611</v>
      </c>
      <c r="G424" s="22">
        <v>202500631</v>
      </c>
      <c r="H424" s="22" t="s">
        <v>5545</v>
      </c>
      <c r="I424" s="22" t="s">
        <v>613</v>
      </c>
      <c r="J424" s="87">
        <v>45824</v>
      </c>
      <c r="K424" s="185">
        <v>46184</v>
      </c>
      <c r="L424" s="22" t="s">
        <v>632</v>
      </c>
      <c r="M424" s="22" t="s">
        <v>5546</v>
      </c>
      <c r="N424" s="13" t="s">
        <v>5547</v>
      </c>
      <c r="O424" s="17" t="s">
        <v>5548</v>
      </c>
      <c r="P424" s="88" t="s">
        <v>505</v>
      </c>
      <c r="Q424" s="13" t="s">
        <v>618</v>
      </c>
      <c r="R424" s="246" t="str">
        <f>VLOOKUP(P424,'Dados das Regiões '!A:B,2,0)</f>
        <v>UMUARAMA</v>
      </c>
      <c r="S424" s="22" t="s">
        <v>5549</v>
      </c>
      <c r="U424" s="88" t="s">
        <v>5550</v>
      </c>
      <c r="V424" s="89" t="s">
        <v>5551</v>
      </c>
      <c r="W424" s="89" t="s">
        <v>5552</v>
      </c>
      <c r="X424" s="90">
        <v>0.33333333333333331</v>
      </c>
      <c r="Y424" s="515">
        <v>0.41666666666666669</v>
      </c>
      <c r="Z424" s="16" t="s">
        <v>622</v>
      </c>
      <c r="AA424" s="13"/>
      <c r="AB424" s="121">
        <v>202500631</v>
      </c>
      <c r="AC424" s="55" t="s">
        <v>35</v>
      </c>
      <c r="AD424" s="40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</row>
    <row r="425" spans="1:44">
      <c r="B425" s="13" t="str">
        <f t="shared" si="388"/>
        <v>Pendente</v>
      </c>
      <c r="C425" s="14" t="str">
        <f t="shared" si="385"/>
        <v/>
      </c>
      <c r="D425" s="13" t="s">
        <v>611</v>
      </c>
      <c r="E425" s="14" t="str">
        <f t="shared" ref="E425:E426" si="439">IF(C425="", "", EDATE(C425, 3))</f>
        <v/>
      </c>
      <c r="F425" s="13" t="s">
        <v>611</v>
      </c>
      <c r="G425" s="22">
        <v>202500631</v>
      </c>
      <c r="H425" s="22" t="s">
        <v>5553</v>
      </c>
      <c r="I425" s="22" t="s">
        <v>613</v>
      </c>
      <c r="J425" s="87">
        <v>45824</v>
      </c>
      <c r="K425" s="185">
        <v>46184</v>
      </c>
      <c r="L425" s="22" t="s">
        <v>632</v>
      </c>
      <c r="M425" s="22" t="s">
        <v>5554</v>
      </c>
      <c r="N425" s="13" t="s">
        <v>5555</v>
      </c>
      <c r="O425" s="17" t="s">
        <v>5556</v>
      </c>
      <c r="P425" s="88" t="s">
        <v>364</v>
      </c>
      <c r="Q425" s="13" t="s">
        <v>618</v>
      </c>
      <c r="R425" s="246" t="str">
        <f>VLOOKUP(P425,'Dados das Regiões '!A:B,2,0)</f>
        <v>MARINGÁ</v>
      </c>
      <c r="S425" s="22" t="s">
        <v>5557</v>
      </c>
      <c r="U425" s="88"/>
      <c r="V425" s="89" t="s">
        <v>5558</v>
      </c>
      <c r="W425" s="89" t="s">
        <v>5559</v>
      </c>
      <c r="X425" s="90">
        <v>0.33333333333333331</v>
      </c>
      <c r="Y425" s="515">
        <v>0.41666666666666669</v>
      </c>
      <c r="Z425" s="16" t="s">
        <v>622</v>
      </c>
      <c r="AA425" s="13"/>
      <c r="AB425" s="121">
        <v>202500631</v>
      </c>
      <c r="AC425" s="55" t="s">
        <v>35</v>
      </c>
      <c r="AD425" s="40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</row>
    <row r="426" spans="1:44">
      <c r="A426" s="14">
        <v>45933</v>
      </c>
      <c r="B426" s="13" t="str">
        <f t="shared" si="388"/>
        <v>Realizada</v>
      </c>
      <c r="C426" s="14">
        <f t="shared" si="385"/>
        <v>46025</v>
      </c>
      <c r="D426" s="13" t="s">
        <v>611</v>
      </c>
      <c r="E426" s="14">
        <f t="shared" si="439"/>
        <v>46115</v>
      </c>
      <c r="F426" s="13" t="s">
        <v>611</v>
      </c>
      <c r="G426" s="22">
        <v>202500379</v>
      </c>
      <c r="H426" s="22" t="s">
        <v>5560</v>
      </c>
      <c r="I426" s="22" t="s">
        <v>613</v>
      </c>
      <c r="J426" s="87">
        <v>45824</v>
      </c>
      <c r="K426" s="185">
        <v>46184</v>
      </c>
      <c r="L426" s="22" t="s">
        <v>672</v>
      </c>
      <c r="M426" s="22" t="s">
        <v>701</v>
      </c>
      <c r="N426" s="13" t="s">
        <v>702</v>
      </c>
      <c r="O426" s="17" t="s">
        <v>703</v>
      </c>
      <c r="P426" s="88" t="s">
        <v>161</v>
      </c>
      <c r="Q426" s="13" t="s">
        <v>618</v>
      </c>
      <c r="R426" s="246" t="str">
        <f>VLOOKUP(P426,'Dados das Regiões '!A:B,2,0)</f>
        <v>CAMPO MOURÃO</v>
      </c>
      <c r="S426" s="22" t="s">
        <v>5561</v>
      </c>
      <c r="U426" s="88"/>
      <c r="V426" s="89" t="s">
        <v>706</v>
      </c>
      <c r="W426" s="89" t="s">
        <v>707</v>
      </c>
      <c r="X426" s="90">
        <v>0.3125</v>
      </c>
      <c r="Y426" s="515">
        <v>0.39583333333333331</v>
      </c>
      <c r="Z426" s="16" t="s">
        <v>622</v>
      </c>
      <c r="AA426" s="13"/>
      <c r="AB426" s="121">
        <v>202500379</v>
      </c>
      <c r="AC426" s="55" t="s">
        <v>34</v>
      </c>
      <c r="AD426" s="40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</row>
    <row r="427" spans="1:44">
      <c r="B427" s="13" t="str">
        <f t="shared" si="388"/>
        <v>Pendente</v>
      </c>
      <c r="C427" s="14" t="str">
        <f t="shared" si="385"/>
        <v/>
      </c>
      <c r="D427" s="13" t="s">
        <v>611</v>
      </c>
      <c r="E427" s="14" t="str">
        <f t="shared" ref="E427" si="440">IF(C427="", "", EDATE(C427, 3))</f>
        <v/>
      </c>
      <c r="F427" s="13" t="s">
        <v>611</v>
      </c>
      <c r="G427" s="22">
        <v>202500379</v>
      </c>
      <c r="H427" s="22" t="s">
        <v>5562</v>
      </c>
      <c r="I427" s="22" t="s">
        <v>613</v>
      </c>
      <c r="J427" s="87">
        <v>45824</v>
      </c>
      <c r="K427" s="185">
        <v>46184</v>
      </c>
      <c r="L427" s="22" t="s">
        <v>657</v>
      </c>
      <c r="M427" s="22" t="s">
        <v>5563</v>
      </c>
      <c r="N427" s="13" t="s">
        <v>5564</v>
      </c>
      <c r="O427" s="17" t="s">
        <v>5565</v>
      </c>
      <c r="P427" s="88" t="s">
        <v>266</v>
      </c>
      <c r="Q427" s="13" t="s">
        <v>618</v>
      </c>
      <c r="R427" s="246" t="str">
        <f>VLOOKUP(P427,'Dados das Regiões '!A:B,2,0)</f>
        <v>FRANCISCO BELTRÃO</v>
      </c>
      <c r="S427" s="22" t="s">
        <v>5566</v>
      </c>
      <c r="U427" s="88" t="s">
        <v>5567</v>
      </c>
      <c r="V427" s="89" t="s">
        <v>5568</v>
      </c>
      <c r="W427" s="89" t="s">
        <v>5569</v>
      </c>
      <c r="X427" s="90">
        <v>0.64583333333333337</v>
      </c>
      <c r="Y427" s="515">
        <v>0.72916666666666663</v>
      </c>
      <c r="Z427" s="16" t="s">
        <v>622</v>
      </c>
      <c r="AA427" s="13"/>
      <c r="AB427" s="121">
        <v>202500379</v>
      </c>
      <c r="AC427" s="55" t="s">
        <v>34</v>
      </c>
      <c r="AD427" s="40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</row>
    <row r="428" spans="1:44">
      <c r="B428" s="13" t="str">
        <f t="shared" si="388"/>
        <v>Pendente</v>
      </c>
      <c r="C428" s="14" t="str">
        <f t="shared" si="385"/>
        <v/>
      </c>
      <c r="D428" s="13" t="s">
        <v>611</v>
      </c>
      <c r="E428" s="14" t="str">
        <f t="shared" ref="E428" si="441">IF(C428="", "", EDATE(C428, 3))</f>
        <v/>
      </c>
      <c r="F428" s="13" t="s">
        <v>611</v>
      </c>
      <c r="G428" s="22">
        <v>202500379</v>
      </c>
      <c r="H428" s="22" t="s">
        <v>5570</v>
      </c>
      <c r="I428" s="22" t="s">
        <v>613</v>
      </c>
      <c r="J428" s="87">
        <v>45824</v>
      </c>
      <c r="K428" s="185">
        <v>46184</v>
      </c>
      <c r="L428" s="22" t="s">
        <v>657</v>
      </c>
      <c r="M428" s="22" t="s">
        <v>5571</v>
      </c>
      <c r="N428" s="13" t="s">
        <v>5572</v>
      </c>
      <c r="O428" s="17" t="s">
        <v>5573</v>
      </c>
      <c r="P428" s="88" t="s">
        <v>434</v>
      </c>
      <c r="Q428" s="13" t="s">
        <v>618</v>
      </c>
      <c r="R428" s="246" t="str">
        <f>VLOOKUP(P428,'Dados das Regiões '!A:B,2,0)</f>
        <v>PATO BRANCO</v>
      </c>
      <c r="S428" s="22" t="s">
        <v>5574</v>
      </c>
      <c r="U428" s="88" t="s">
        <v>5575</v>
      </c>
      <c r="V428" s="89" t="s">
        <v>5576</v>
      </c>
      <c r="W428" s="89" t="s">
        <v>5577</v>
      </c>
      <c r="X428" s="90">
        <v>0.5625</v>
      </c>
      <c r="Y428" s="515">
        <v>0.64583333333333337</v>
      </c>
      <c r="Z428" s="16" t="s">
        <v>622</v>
      </c>
      <c r="AA428" s="13"/>
      <c r="AB428" s="121">
        <v>202500379</v>
      </c>
      <c r="AC428" s="55" t="s">
        <v>34</v>
      </c>
      <c r="AD428" s="40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</row>
    <row r="429" spans="1:44">
      <c r="B429" s="13" t="str">
        <f t="shared" si="388"/>
        <v>Pendente</v>
      </c>
      <c r="C429" s="14" t="str">
        <f t="shared" ref="C429:C488" si="442">IF(A429="", "", EDATE(A429, 3))</f>
        <v/>
      </c>
      <c r="D429" s="13" t="s">
        <v>611</v>
      </c>
      <c r="E429" s="14" t="str">
        <f t="shared" ref="E429" si="443">IF(C429="", "", EDATE(C429, 3))</f>
        <v/>
      </c>
      <c r="F429" s="13" t="s">
        <v>611</v>
      </c>
      <c r="G429" s="22">
        <v>202500379</v>
      </c>
      <c r="H429" s="22" t="s">
        <v>5578</v>
      </c>
      <c r="I429" s="22" t="s">
        <v>613</v>
      </c>
      <c r="J429" s="87">
        <v>45824</v>
      </c>
      <c r="K429" s="185">
        <v>46184</v>
      </c>
      <c r="L429" s="22" t="s">
        <v>682</v>
      </c>
      <c r="M429" s="22" t="s">
        <v>5579</v>
      </c>
      <c r="N429" s="13" t="s">
        <v>5580</v>
      </c>
      <c r="O429" s="17" t="s">
        <v>5581</v>
      </c>
      <c r="P429" s="88" t="s">
        <v>221</v>
      </c>
      <c r="Q429" s="13" t="s">
        <v>618</v>
      </c>
      <c r="R429" s="246" t="str">
        <f>VLOOKUP(P429,'Dados das Regiões '!A:B,2,0)</f>
        <v>CORNÉLIO PROCÓPIO</v>
      </c>
      <c r="S429" s="22" t="s">
        <v>5582</v>
      </c>
      <c r="U429" s="88" t="s">
        <v>5583</v>
      </c>
      <c r="V429" s="89" t="s">
        <v>5584</v>
      </c>
      <c r="W429" s="89" t="s">
        <v>5585</v>
      </c>
      <c r="X429" s="90">
        <v>0.5625</v>
      </c>
      <c r="Y429" s="515">
        <v>0.64583333333333337</v>
      </c>
      <c r="Z429" s="16" t="s">
        <v>622</v>
      </c>
      <c r="AA429" s="13"/>
      <c r="AB429" s="121">
        <v>202500379</v>
      </c>
      <c r="AC429" s="55" t="s">
        <v>34</v>
      </c>
      <c r="AD429" s="40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</row>
    <row r="430" spans="1:44">
      <c r="B430" s="13" t="str">
        <f t="shared" si="388"/>
        <v>Pendente</v>
      </c>
      <c r="C430" s="14" t="str">
        <f t="shared" si="442"/>
        <v/>
      </c>
      <c r="D430" s="13" t="s">
        <v>611</v>
      </c>
      <c r="E430" s="14" t="str">
        <f t="shared" ref="E430" si="444">IF(C430="", "", EDATE(C430, 3))</f>
        <v/>
      </c>
      <c r="F430" s="13" t="s">
        <v>611</v>
      </c>
      <c r="G430" s="22">
        <v>202500379</v>
      </c>
      <c r="H430" s="22" t="s">
        <v>5586</v>
      </c>
      <c r="I430" s="22" t="s">
        <v>613</v>
      </c>
      <c r="J430" s="87">
        <v>45824</v>
      </c>
      <c r="K430" s="185">
        <v>46184</v>
      </c>
      <c r="L430" s="22" t="s">
        <v>682</v>
      </c>
      <c r="M430" s="22" t="s">
        <v>5587</v>
      </c>
      <c r="N430" s="13" t="s">
        <v>5588</v>
      </c>
      <c r="O430" s="17" t="s">
        <v>5589</v>
      </c>
      <c r="P430" s="88" t="s">
        <v>227</v>
      </c>
      <c r="Q430" s="13" t="s">
        <v>618</v>
      </c>
      <c r="R430" s="246" t="str">
        <f>VLOOKUP(P430,'Dados das Regiões '!A:B,2,0)</f>
        <v>CORNÉLIO PROCÓPIO</v>
      </c>
      <c r="S430" s="22" t="s">
        <v>5590</v>
      </c>
      <c r="U430" s="88" t="s">
        <v>5591</v>
      </c>
      <c r="V430" s="89" t="s">
        <v>5592</v>
      </c>
      <c r="W430" s="89" t="s">
        <v>5593</v>
      </c>
      <c r="X430" s="90">
        <v>0.33333333333333331</v>
      </c>
      <c r="Y430" s="515">
        <v>0.41666666666666669</v>
      </c>
      <c r="Z430" s="16" t="s">
        <v>622</v>
      </c>
      <c r="AA430" s="13"/>
      <c r="AB430" s="121">
        <v>202500379</v>
      </c>
      <c r="AC430" s="55" t="s">
        <v>34</v>
      </c>
      <c r="AD430" s="40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</row>
    <row r="431" spans="1:44">
      <c r="B431" s="13" t="str">
        <f t="shared" si="388"/>
        <v>Pendente</v>
      </c>
      <c r="C431" s="14" t="str">
        <f t="shared" si="442"/>
        <v/>
      </c>
      <c r="D431" s="13" t="s">
        <v>611</v>
      </c>
      <c r="E431" s="14" t="str">
        <f t="shared" ref="E431:E490" si="445">IF(C431="", "", EDATE(C431, 3))</f>
        <v/>
      </c>
      <c r="F431" s="13" t="s">
        <v>611</v>
      </c>
      <c r="G431" s="22">
        <v>202500631</v>
      </c>
      <c r="H431" s="22" t="s">
        <v>5594</v>
      </c>
      <c r="I431" s="22" t="s">
        <v>613</v>
      </c>
      <c r="J431" s="87">
        <v>45824</v>
      </c>
      <c r="K431" s="185">
        <v>46184</v>
      </c>
      <c r="L431" s="22" t="s">
        <v>672</v>
      </c>
      <c r="M431" s="22" t="s">
        <v>4112</v>
      </c>
      <c r="N431" s="13" t="s">
        <v>4113</v>
      </c>
      <c r="O431" s="13" t="s">
        <v>3901</v>
      </c>
      <c r="P431" s="88" t="s">
        <v>175</v>
      </c>
      <c r="Q431" s="13" t="s">
        <v>618</v>
      </c>
      <c r="R431" s="246" t="str">
        <f>VLOOKUP(P431,'Dados das Regiões '!A:B,2,0)</f>
        <v>CAMPO MOURÃO</v>
      </c>
      <c r="S431" s="22" t="s">
        <v>4114</v>
      </c>
      <c r="U431" s="88" t="s">
        <v>5595</v>
      </c>
      <c r="V431" s="89" t="s">
        <v>4115</v>
      </c>
      <c r="W431" s="89" t="s">
        <v>4116</v>
      </c>
      <c r="X431" s="90">
        <v>0.5625</v>
      </c>
      <c r="Y431" s="515">
        <v>0.64583333333333337</v>
      </c>
      <c r="Z431" s="16" t="s">
        <v>622</v>
      </c>
      <c r="AA431" s="13"/>
      <c r="AB431" s="121">
        <v>202500631</v>
      </c>
      <c r="AC431" s="55" t="s">
        <v>35</v>
      </c>
      <c r="AD431" s="40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</row>
    <row r="432" spans="1:44">
      <c r="B432" s="13" t="str">
        <f t="shared" ref="B432:B440" si="446">IF(ISBLANK(A432), "Pendente", "Realizada")</f>
        <v>Pendente</v>
      </c>
      <c r="C432" s="14" t="str">
        <f t="shared" si="442"/>
        <v/>
      </c>
      <c r="D432" s="13" t="s">
        <v>611</v>
      </c>
      <c r="E432" s="14" t="str">
        <f t="shared" si="445"/>
        <v/>
      </c>
      <c r="F432" s="13" t="s">
        <v>611</v>
      </c>
      <c r="G432" s="22">
        <v>202500379</v>
      </c>
      <c r="H432" s="22" t="s">
        <v>5596</v>
      </c>
      <c r="I432" s="22" t="s">
        <v>613</v>
      </c>
      <c r="J432" s="87">
        <v>45824</v>
      </c>
      <c r="K432" s="185">
        <v>46184</v>
      </c>
      <c r="L432" s="22" t="s">
        <v>657</v>
      </c>
      <c r="M432" s="22" t="s">
        <v>5597</v>
      </c>
      <c r="N432" s="13" t="s">
        <v>5598</v>
      </c>
      <c r="O432" s="17" t="s">
        <v>5599</v>
      </c>
      <c r="P432" s="88" t="s">
        <v>277</v>
      </c>
      <c r="Q432" s="13" t="s">
        <v>618</v>
      </c>
      <c r="R432" s="246" t="str">
        <f>VLOOKUP(P432,'Dados das Regiões '!A:B,2,0)</f>
        <v>FRANCISCO BELTRÃO</v>
      </c>
      <c r="S432" s="22" t="s">
        <v>5600</v>
      </c>
      <c r="U432" s="88" t="s">
        <v>5601</v>
      </c>
      <c r="V432" s="89" t="s">
        <v>5602</v>
      </c>
      <c r="W432" s="89" t="s">
        <v>5603</v>
      </c>
      <c r="X432" s="90">
        <v>0.33333333333333331</v>
      </c>
      <c r="Y432" s="515">
        <v>0.41666666666666669</v>
      </c>
      <c r="Z432" s="16" t="s">
        <v>622</v>
      </c>
      <c r="AA432" s="13"/>
      <c r="AB432" s="121">
        <v>202500379</v>
      </c>
      <c r="AC432" s="55" t="s">
        <v>34</v>
      </c>
      <c r="AD432" s="40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</row>
    <row r="433" spans="1:44">
      <c r="B433" s="13" t="str">
        <f t="shared" si="446"/>
        <v>Pendente</v>
      </c>
      <c r="C433" s="14" t="str">
        <f t="shared" si="442"/>
        <v/>
      </c>
      <c r="D433" s="13" t="s">
        <v>611</v>
      </c>
      <c r="E433" s="14" t="str">
        <f t="shared" si="445"/>
        <v/>
      </c>
      <c r="F433" s="13" t="s">
        <v>611</v>
      </c>
      <c r="G433" s="22">
        <v>202500379</v>
      </c>
      <c r="H433" s="22" t="s">
        <v>5604</v>
      </c>
      <c r="I433" s="22" t="s">
        <v>613</v>
      </c>
      <c r="J433" s="87">
        <v>45824</v>
      </c>
      <c r="K433" s="185">
        <v>46184</v>
      </c>
      <c r="L433" s="22" t="s">
        <v>672</v>
      </c>
      <c r="M433" s="22" t="s">
        <v>4847</v>
      </c>
      <c r="N433" s="13" t="s">
        <v>4848</v>
      </c>
      <c r="O433" s="17" t="s">
        <v>4849</v>
      </c>
      <c r="P433" s="88" t="s">
        <v>318</v>
      </c>
      <c r="Q433" s="13" t="s">
        <v>618</v>
      </c>
      <c r="R433" s="246" t="str">
        <f>VLOOKUP(P433,'Dados das Regiões '!A:B,2,0)</f>
        <v>IVAIPORÃ</v>
      </c>
      <c r="S433" s="22" t="s">
        <v>5605</v>
      </c>
      <c r="U433" s="88"/>
      <c r="V433" s="89" t="s">
        <v>4852</v>
      </c>
      <c r="W433" s="89" t="s">
        <v>5606</v>
      </c>
      <c r="X433" s="90">
        <v>0.3125</v>
      </c>
      <c r="Y433" s="515">
        <v>0.39583333333333331</v>
      </c>
      <c r="Z433" s="16" t="s">
        <v>622</v>
      </c>
      <c r="AA433" s="13"/>
      <c r="AB433" s="121">
        <v>202500379</v>
      </c>
      <c r="AC433" s="55" t="s">
        <v>34</v>
      </c>
      <c r="AD433" s="40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</row>
    <row r="434" spans="1:44">
      <c r="B434" s="13" t="str">
        <f t="shared" si="446"/>
        <v>Pendente</v>
      </c>
      <c r="C434" s="14" t="str">
        <f t="shared" si="442"/>
        <v/>
      </c>
      <c r="D434" s="13" t="s">
        <v>611</v>
      </c>
      <c r="E434" s="14" t="str">
        <f t="shared" si="445"/>
        <v/>
      </c>
      <c r="F434" s="13" t="s">
        <v>611</v>
      </c>
      <c r="G434" s="22">
        <v>202500631</v>
      </c>
      <c r="H434" s="22" t="s">
        <v>5607</v>
      </c>
      <c r="I434" s="22" t="s">
        <v>613</v>
      </c>
      <c r="J434" s="87">
        <v>45824</v>
      </c>
      <c r="K434" s="185">
        <v>46184</v>
      </c>
      <c r="L434" s="22" t="s">
        <v>672</v>
      </c>
      <c r="M434" s="22" t="s">
        <v>5608</v>
      </c>
      <c r="N434" s="13" t="s">
        <v>4113</v>
      </c>
      <c r="O434" s="17" t="s">
        <v>5609</v>
      </c>
      <c r="P434" s="88" t="s">
        <v>175</v>
      </c>
      <c r="Q434" s="13" t="s">
        <v>618</v>
      </c>
      <c r="R434" s="246" t="str">
        <f>VLOOKUP(P434,'Dados das Regiões '!A:B,2,0)</f>
        <v>CAMPO MOURÃO</v>
      </c>
      <c r="S434" s="22" t="s">
        <v>5610</v>
      </c>
      <c r="U434" s="88" t="s">
        <v>5595</v>
      </c>
      <c r="V434" s="89" t="s">
        <v>4115</v>
      </c>
      <c r="W434" s="89" t="s">
        <v>4116</v>
      </c>
      <c r="X434" s="90">
        <v>0.64583333333333337</v>
      </c>
      <c r="Y434" s="515">
        <v>0.72916666666666663</v>
      </c>
      <c r="Z434" s="16" t="s">
        <v>622</v>
      </c>
      <c r="AA434" s="13"/>
      <c r="AB434" s="121">
        <v>202500631</v>
      </c>
      <c r="AC434" s="55" t="s">
        <v>35</v>
      </c>
      <c r="AD434" s="40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</row>
    <row r="435" spans="1:44">
      <c r="A435" s="14">
        <v>45967</v>
      </c>
      <c r="B435" s="13" t="str">
        <f t="shared" si="446"/>
        <v>Realizada</v>
      </c>
      <c r="C435" s="14">
        <f t="shared" si="442"/>
        <v>46059</v>
      </c>
      <c r="D435" s="13" t="s">
        <v>611</v>
      </c>
      <c r="E435" s="14">
        <f t="shared" si="445"/>
        <v>46148</v>
      </c>
      <c r="F435" s="13" t="s">
        <v>611</v>
      </c>
      <c r="G435" s="22">
        <v>202500631</v>
      </c>
      <c r="H435" s="22" t="s">
        <v>5611</v>
      </c>
      <c r="I435" s="22" t="s">
        <v>613</v>
      </c>
      <c r="J435" s="87">
        <v>45824</v>
      </c>
      <c r="K435" s="185">
        <v>46184</v>
      </c>
      <c r="L435" s="22" t="s">
        <v>672</v>
      </c>
      <c r="M435" s="22" t="s">
        <v>4112</v>
      </c>
      <c r="N435" s="13" t="s">
        <v>4113</v>
      </c>
      <c r="O435" s="13" t="s">
        <v>3901</v>
      </c>
      <c r="P435" s="88" t="s">
        <v>175</v>
      </c>
      <c r="Q435" s="13" t="s">
        <v>618</v>
      </c>
      <c r="R435" s="246" t="str">
        <f>VLOOKUP(P435,'Dados das Regiões '!A:B,2,0)</f>
        <v>CAMPO MOURÃO</v>
      </c>
      <c r="S435" s="22" t="s">
        <v>4114</v>
      </c>
      <c r="U435" s="88" t="s">
        <v>5595</v>
      </c>
      <c r="V435" s="89" t="s">
        <v>4115</v>
      </c>
      <c r="W435" s="89" t="s">
        <v>4116</v>
      </c>
      <c r="X435" s="90">
        <v>0.3125</v>
      </c>
      <c r="Y435" s="515">
        <v>0.39583333333333331</v>
      </c>
      <c r="Z435" s="16" t="s">
        <v>622</v>
      </c>
      <c r="AA435" s="13"/>
      <c r="AB435" s="121">
        <v>202500631</v>
      </c>
      <c r="AC435" s="55" t="s">
        <v>35</v>
      </c>
      <c r="AD435" s="40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</row>
    <row r="436" spans="1:44">
      <c r="B436" s="13" t="str">
        <f t="shared" si="446"/>
        <v>Pendente</v>
      </c>
      <c r="C436" s="14" t="str">
        <f t="shared" si="442"/>
        <v/>
      </c>
      <c r="D436" s="13" t="s">
        <v>611</v>
      </c>
      <c r="E436" s="14" t="str">
        <f t="shared" si="445"/>
        <v/>
      </c>
      <c r="F436" s="13" t="s">
        <v>611</v>
      </c>
      <c r="G436" s="22">
        <v>202500631</v>
      </c>
      <c r="H436" s="22" t="s">
        <v>5612</v>
      </c>
      <c r="I436" s="22" t="s">
        <v>613</v>
      </c>
      <c r="J436" s="87">
        <v>45824</v>
      </c>
      <c r="K436" s="185">
        <v>46184</v>
      </c>
      <c r="L436" s="22" t="s">
        <v>672</v>
      </c>
      <c r="M436" s="22" t="s">
        <v>4128</v>
      </c>
      <c r="N436" s="13" t="s">
        <v>4129</v>
      </c>
      <c r="O436" s="13" t="s">
        <v>675</v>
      </c>
      <c r="P436" s="88" t="s">
        <v>127</v>
      </c>
      <c r="Q436" s="13" t="s">
        <v>618</v>
      </c>
      <c r="R436" s="246" t="str">
        <f>VLOOKUP(P436,'Dados das Regiões '!A:B,2,0)</f>
        <v>APUCARANA</v>
      </c>
      <c r="S436" s="22" t="s">
        <v>4130</v>
      </c>
      <c r="U436" s="88" t="s">
        <v>5613</v>
      </c>
      <c r="V436" s="89" t="s">
        <v>4132</v>
      </c>
      <c r="W436" s="89" t="s">
        <v>5451</v>
      </c>
      <c r="X436" s="90">
        <v>0.3125</v>
      </c>
      <c r="Y436" s="515">
        <v>0.39583333333333331</v>
      </c>
      <c r="Z436" s="16" t="s">
        <v>622</v>
      </c>
      <c r="AA436" s="13"/>
      <c r="AB436" s="121">
        <v>202500631</v>
      </c>
      <c r="AC436" s="55" t="s">
        <v>35</v>
      </c>
      <c r="AD436" s="40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</row>
    <row r="437" spans="1:44">
      <c r="B437" s="13" t="str">
        <f t="shared" si="446"/>
        <v>Pendente</v>
      </c>
      <c r="C437" s="14" t="str">
        <f t="shared" si="442"/>
        <v/>
      </c>
      <c r="D437" s="13" t="s">
        <v>611</v>
      </c>
      <c r="E437" s="14" t="str">
        <f t="shared" si="445"/>
        <v/>
      </c>
      <c r="F437" s="13" t="s">
        <v>611</v>
      </c>
      <c r="G437" s="22">
        <v>202500631</v>
      </c>
      <c r="H437" s="22" t="s">
        <v>5614</v>
      </c>
      <c r="I437" s="22" t="s">
        <v>613</v>
      </c>
      <c r="J437" s="87">
        <v>45824</v>
      </c>
      <c r="K437" s="185">
        <v>46184</v>
      </c>
      <c r="L437" s="22" t="s">
        <v>632</v>
      </c>
      <c r="M437" s="22" t="s">
        <v>5615</v>
      </c>
      <c r="N437" s="13" t="s">
        <v>5616</v>
      </c>
      <c r="O437" s="17" t="s">
        <v>5617</v>
      </c>
      <c r="P437" s="88" t="s">
        <v>502</v>
      </c>
      <c r="Q437" s="13" t="s">
        <v>618</v>
      </c>
      <c r="R437" s="246" t="str">
        <f>VLOOKUP(P437,'Dados das Regiões '!A:B,2,0)</f>
        <v>UMUARAMA</v>
      </c>
      <c r="S437" s="22" t="s">
        <v>5618</v>
      </c>
      <c r="U437" s="88" t="s">
        <v>5619</v>
      </c>
      <c r="V437" s="89" t="s">
        <v>5620</v>
      </c>
      <c r="W437" s="89" t="s">
        <v>5621</v>
      </c>
      <c r="X437" s="90">
        <v>0.5625</v>
      </c>
      <c r="Y437" s="515">
        <v>0.64583333333333337</v>
      </c>
      <c r="Z437" s="16" t="s">
        <v>622</v>
      </c>
      <c r="AA437" s="13"/>
      <c r="AB437" s="121">
        <v>202500631</v>
      </c>
      <c r="AC437" s="55" t="s">
        <v>35</v>
      </c>
      <c r="AD437" s="40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</row>
    <row r="438" spans="1:44">
      <c r="B438" s="13" t="str">
        <f t="shared" si="446"/>
        <v>Pendente</v>
      </c>
      <c r="C438" s="14" t="str">
        <f t="shared" si="442"/>
        <v/>
      </c>
      <c r="D438" s="13" t="s">
        <v>611</v>
      </c>
      <c r="E438" s="14" t="str">
        <f t="shared" si="445"/>
        <v/>
      </c>
      <c r="F438" s="13" t="s">
        <v>611</v>
      </c>
      <c r="G438" s="22">
        <v>202500631</v>
      </c>
      <c r="H438" s="22" t="s">
        <v>5622</v>
      </c>
      <c r="I438" s="22" t="s">
        <v>613</v>
      </c>
      <c r="J438" s="87">
        <v>45824</v>
      </c>
      <c r="K438" s="185">
        <v>46184</v>
      </c>
      <c r="L438" s="22" t="s">
        <v>632</v>
      </c>
      <c r="M438" s="22" t="s">
        <v>1792</v>
      </c>
      <c r="N438" s="13" t="s">
        <v>1793</v>
      </c>
      <c r="O438" s="17" t="s">
        <v>1794</v>
      </c>
      <c r="P438" s="88" t="s">
        <v>381</v>
      </c>
      <c r="Q438" s="13" t="s">
        <v>618</v>
      </c>
      <c r="R438" s="246" t="str">
        <f>VLOOKUP(P438,'Dados das Regiões '!A:B,2,0)</f>
        <v>MARINGÁ</v>
      </c>
      <c r="S438" s="22" t="s">
        <v>5623</v>
      </c>
      <c r="U438" s="88" t="s">
        <v>1796</v>
      </c>
      <c r="V438" s="89" t="s">
        <v>5624</v>
      </c>
      <c r="W438" s="89" t="s">
        <v>5625</v>
      </c>
      <c r="X438" s="90">
        <v>0.64583333333333337</v>
      </c>
      <c r="Y438" s="515">
        <v>0.72916666666666663</v>
      </c>
      <c r="Z438" s="16" t="s">
        <v>622</v>
      </c>
      <c r="AA438" s="13"/>
      <c r="AB438" s="121">
        <v>202500631</v>
      </c>
      <c r="AC438" s="55" t="s">
        <v>35</v>
      </c>
      <c r="AD438" s="40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</row>
    <row r="439" spans="1:44" s="34" customFormat="1">
      <c r="A439" s="94">
        <v>45932</v>
      </c>
      <c r="B439" s="13" t="str">
        <f t="shared" si="446"/>
        <v>Realizada</v>
      </c>
      <c r="C439" s="14">
        <f t="shared" si="442"/>
        <v>46024</v>
      </c>
      <c r="D439" s="13" t="s">
        <v>611</v>
      </c>
      <c r="E439" s="14">
        <f t="shared" si="445"/>
        <v>46114</v>
      </c>
      <c r="F439" s="13" t="s">
        <v>611</v>
      </c>
      <c r="G439" s="191">
        <v>202500519</v>
      </c>
      <c r="H439" s="191" t="s">
        <v>5626</v>
      </c>
      <c r="I439" s="193" t="s">
        <v>613</v>
      </c>
      <c r="J439" s="194">
        <v>45880</v>
      </c>
      <c r="K439" s="194">
        <v>46239</v>
      </c>
      <c r="L439" s="193" t="s">
        <v>2822</v>
      </c>
      <c r="M439" s="193" t="s">
        <v>2823</v>
      </c>
      <c r="N439" s="13" t="s">
        <v>2824</v>
      </c>
      <c r="O439" s="17" t="s">
        <v>2825</v>
      </c>
      <c r="P439" s="314" t="s">
        <v>298</v>
      </c>
      <c r="Q439" s="13" t="s">
        <v>618</v>
      </c>
      <c r="R439" s="246" t="str">
        <f>VLOOKUP(P439,'Dados das Regiões '!A:B,2,0)</f>
        <v>GUARAPUAVA</v>
      </c>
      <c r="S439" s="191" t="s">
        <v>5627</v>
      </c>
      <c r="U439" s="191" t="s">
        <v>5628</v>
      </c>
      <c r="V439" s="191" t="s">
        <v>5628</v>
      </c>
      <c r="W439" s="191" t="s">
        <v>5629</v>
      </c>
      <c r="X439" s="195">
        <v>0.5625</v>
      </c>
      <c r="Y439" s="420">
        <v>0.64583333333333337</v>
      </c>
      <c r="Z439" s="191" t="s">
        <v>3315</v>
      </c>
      <c r="AA439" s="95"/>
      <c r="AB439" s="224">
        <v>202500519</v>
      </c>
      <c r="AC439" s="55" t="s">
        <v>36</v>
      </c>
      <c r="AD439" s="173"/>
    </row>
    <row r="440" spans="1:44">
      <c r="B440" s="13" t="str">
        <f t="shared" si="446"/>
        <v>Pendente</v>
      </c>
      <c r="C440" s="14" t="str">
        <f t="shared" si="442"/>
        <v/>
      </c>
      <c r="D440" s="13" t="s">
        <v>611</v>
      </c>
      <c r="E440" s="14" t="str">
        <f t="shared" si="445"/>
        <v/>
      </c>
      <c r="F440" s="13" t="s">
        <v>611</v>
      </c>
      <c r="G440" s="191">
        <v>202500519</v>
      </c>
      <c r="H440" s="191" t="s">
        <v>5630</v>
      </c>
      <c r="I440" s="193" t="s">
        <v>613</v>
      </c>
      <c r="J440" s="194">
        <v>45880</v>
      </c>
      <c r="K440" s="194">
        <v>46239</v>
      </c>
      <c r="L440" s="193" t="s">
        <v>1810</v>
      </c>
      <c r="M440" s="193" t="s">
        <v>1811</v>
      </c>
      <c r="N440" s="13" t="s">
        <v>1812</v>
      </c>
      <c r="O440" s="17" t="s">
        <v>1813</v>
      </c>
      <c r="P440" s="314" t="s">
        <v>53</v>
      </c>
      <c r="Q440" s="13" t="s">
        <v>618</v>
      </c>
      <c r="R440" s="246" t="str">
        <f>VLOOKUP(P440,'Dados das Regiões '!A:B,2,0)</f>
        <v>GOIOERÊ</v>
      </c>
      <c r="S440" s="191" t="s">
        <v>2598</v>
      </c>
      <c r="U440" s="191" t="s">
        <v>5631</v>
      </c>
      <c r="V440" s="191" t="s">
        <v>1815</v>
      </c>
      <c r="W440" s="191" t="s">
        <v>5632</v>
      </c>
      <c r="X440" s="195">
        <v>0.58333333333333337</v>
      </c>
      <c r="Y440" s="420">
        <v>0.66666666666666663</v>
      </c>
      <c r="Z440" s="191" t="s">
        <v>3315</v>
      </c>
      <c r="AB440" s="225">
        <v>202500519</v>
      </c>
      <c r="AC440" s="55" t="s">
        <v>36</v>
      </c>
      <c r="AD440" s="40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</row>
    <row r="441" spans="1:44">
      <c r="B441" s="13" t="str">
        <f t="shared" ref="B441:B500" si="447">IF(ISBLANK(A441), "Pendente", "Realizada")</f>
        <v>Pendente</v>
      </c>
      <c r="C441" s="14" t="str">
        <f t="shared" si="442"/>
        <v/>
      </c>
      <c r="D441" s="13" t="s">
        <v>611</v>
      </c>
      <c r="E441" s="14" t="str">
        <f t="shared" si="445"/>
        <v/>
      </c>
      <c r="F441" s="13" t="s">
        <v>611</v>
      </c>
      <c r="G441" s="191">
        <v>202500519</v>
      </c>
      <c r="H441" s="191" t="s">
        <v>5633</v>
      </c>
      <c r="I441" s="193" t="s">
        <v>613</v>
      </c>
      <c r="J441" s="194">
        <v>45880</v>
      </c>
      <c r="K441" s="194">
        <v>46239</v>
      </c>
      <c r="L441" s="193" t="s">
        <v>1801</v>
      </c>
      <c r="M441" s="193" t="s">
        <v>1843</v>
      </c>
      <c r="N441" s="27" t="s">
        <v>1844</v>
      </c>
      <c r="O441" s="28" t="s">
        <v>1845</v>
      </c>
      <c r="P441" s="314" t="s">
        <v>119</v>
      </c>
      <c r="Q441" s="13" t="s">
        <v>618</v>
      </c>
      <c r="R441" s="246" t="str">
        <f>VLOOKUP(P441,'Dados das Regiões '!A:B,2,0)</f>
        <v>APUCARANA</v>
      </c>
      <c r="S441" s="191" t="s">
        <v>5634</v>
      </c>
      <c r="U441" s="191"/>
      <c r="V441" s="191" t="s">
        <v>1847</v>
      </c>
      <c r="W441" s="191" t="s">
        <v>1848</v>
      </c>
      <c r="X441" s="195">
        <v>0.5625</v>
      </c>
      <c r="Y441" s="420">
        <v>0.64583333333333337</v>
      </c>
      <c r="Z441" s="191" t="s">
        <v>3315</v>
      </c>
      <c r="AB441" s="224">
        <v>202500519</v>
      </c>
      <c r="AC441" s="55" t="s">
        <v>36</v>
      </c>
    </row>
    <row r="442" spans="1:44">
      <c r="B442" s="13" t="str">
        <f t="shared" si="447"/>
        <v>Pendente</v>
      </c>
      <c r="C442" s="14" t="str">
        <f t="shared" si="442"/>
        <v/>
      </c>
      <c r="D442" s="13" t="s">
        <v>611</v>
      </c>
      <c r="E442" s="14" t="str">
        <f t="shared" si="445"/>
        <v/>
      </c>
      <c r="F442" s="13" t="s">
        <v>611</v>
      </c>
      <c r="G442" s="191">
        <v>202500519</v>
      </c>
      <c r="H442" s="191" t="s">
        <v>5635</v>
      </c>
      <c r="I442" s="193" t="s">
        <v>613</v>
      </c>
      <c r="J442" s="194">
        <v>45880</v>
      </c>
      <c r="K442" s="194">
        <v>46239</v>
      </c>
      <c r="L442" s="193" t="s">
        <v>1801</v>
      </c>
      <c r="M442" s="193" t="s">
        <v>2188</v>
      </c>
      <c r="N442" s="13" t="s">
        <v>2189</v>
      </c>
      <c r="O442" s="17" t="s">
        <v>2190</v>
      </c>
      <c r="P442" s="314" t="s">
        <v>378</v>
      </c>
      <c r="Q442" s="13" t="s">
        <v>618</v>
      </c>
      <c r="R442" s="246" t="str">
        <f>VLOOKUP(P442,'Dados das Regiões '!A:B,2,0)</f>
        <v>MARINGÁ</v>
      </c>
      <c r="S442" s="191" t="s">
        <v>5636</v>
      </c>
      <c r="U442" s="191"/>
      <c r="V442" s="191" t="s">
        <v>5637</v>
      </c>
      <c r="W442" s="191" t="s">
        <v>5638</v>
      </c>
      <c r="X442" s="195">
        <v>0.54166666666666663</v>
      </c>
      <c r="Y442" s="420">
        <v>0.625</v>
      </c>
      <c r="Z442" s="191" t="s">
        <v>3315</v>
      </c>
      <c r="AB442" s="225">
        <v>202500519</v>
      </c>
      <c r="AC442" s="55" t="s">
        <v>36</v>
      </c>
    </row>
    <row r="443" spans="1:44">
      <c r="B443" s="13" t="str">
        <f t="shared" si="447"/>
        <v>Pendente</v>
      </c>
      <c r="C443" s="14" t="str">
        <f t="shared" si="442"/>
        <v/>
      </c>
      <c r="D443" s="13" t="s">
        <v>611</v>
      </c>
      <c r="E443" s="14" t="str">
        <f t="shared" si="445"/>
        <v/>
      </c>
      <c r="F443" s="13" t="s">
        <v>611</v>
      </c>
      <c r="G443" s="191">
        <v>202500519</v>
      </c>
      <c r="H443" s="191" t="s">
        <v>5639</v>
      </c>
      <c r="I443" s="193" t="s">
        <v>613</v>
      </c>
      <c r="J443" s="194">
        <v>45880</v>
      </c>
      <c r="K443" s="194">
        <v>46239</v>
      </c>
      <c r="L443" s="193" t="s">
        <v>1810</v>
      </c>
      <c r="M443" s="193" t="s">
        <v>1811</v>
      </c>
      <c r="N443" s="13" t="s">
        <v>1812</v>
      </c>
      <c r="O443" s="17" t="s">
        <v>1813</v>
      </c>
      <c r="P443" s="314" t="s">
        <v>53</v>
      </c>
      <c r="Q443" s="13" t="s">
        <v>618</v>
      </c>
      <c r="R443" s="246" t="str">
        <f>VLOOKUP(P443,'Dados das Regiões '!A:B,2,0)</f>
        <v>GOIOERÊ</v>
      </c>
      <c r="S443" s="191" t="s">
        <v>1814</v>
      </c>
      <c r="U443" s="191" t="s">
        <v>5631</v>
      </c>
      <c r="V443" s="191" t="s">
        <v>1815</v>
      </c>
      <c r="W443" s="191" t="s">
        <v>5632</v>
      </c>
      <c r="X443" s="195">
        <v>0.58333333333333337</v>
      </c>
      <c r="Y443" s="420">
        <v>0.66666666666666663</v>
      </c>
      <c r="Z443" s="191" t="s">
        <v>3315</v>
      </c>
      <c r="AB443" s="224">
        <v>202500519</v>
      </c>
      <c r="AC443" s="55" t="s">
        <v>36</v>
      </c>
    </row>
    <row r="444" spans="1:44">
      <c r="B444" s="13" t="str">
        <f t="shared" si="447"/>
        <v>Pendente</v>
      </c>
      <c r="C444" s="14" t="str">
        <f t="shared" si="442"/>
        <v/>
      </c>
      <c r="D444" s="13" t="s">
        <v>611</v>
      </c>
      <c r="E444" s="14" t="str">
        <f t="shared" si="445"/>
        <v/>
      </c>
      <c r="F444" s="13" t="s">
        <v>611</v>
      </c>
      <c r="G444" s="191">
        <v>202500519</v>
      </c>
      <c r="H444" s="191" t="s">
        <v>5640</v>
      </c>
      <c r="I444" s="193" t="s">
        <v>613</v>
      </c>
      <c r="J444" s="194">
        <v>45880</v>
      </c>
      <c r="K444" s="194">
        <v>46239</v>
      </c>
      <c r="L444" s="193" t="s">
        <v>5641</v>
      </c>
      <c r="M444" s="193" t="s">
        <v>5642</v>
      </c>
      <c r="N444" s="13" t="s">
        <v>5643</v>
      </c>
      <c r="O444" s="17" t="s">
        <v>5644</v>
      </c>
      <c r="P444" s="314" t="s">
        <v>218</v>
      </c>
      <c r="Q444" s="13" t="s">
        <v>618</v>
      </c>
      <c r="R444" s="246" t="str">
        <f>VLOOKUP(P444,'Dados das Regiões '!A:B,2,0)</f>
        <v>CORNÉLIO PROCÓPIO</v>
      </c>
      <c r="S444" s="191" t="s">
        <v>5645</v>
      </c>
      <c r="U444" s="191"/>
      <c r="V444" s="191" t="s">
        <v>5646</v>
      </c>
      <c r="W444" s="191" t="s">
        <v>5647</v>
      </c>
      <c r="X444" s="195">
        <v>0.39583333333333331</v>
      </c>
      <c r="Y444" s="420">
        <v>0.47916666666666669</v>
      </c>
      <c r="Z444" s="191" t="s">
        <v>3315</v>
      </c>
      <c r="AB444" s="225">
        <v>202500519</v>
      </c>
      <c r="AC444" s="55" t="s">
        <v>36</v>
      </c>
    </row>
    <row r="445" spans="1:44">
      <c r="B445" s="13" t="str">
        <f t="shared" si="447"/>
        <v>Pendente</v>
      </c>
      <c r="C445" s="14" t="str">
        <f t="shared" si="442"/>
        <v/>
      </c>
      <c r="D445" s="13" t="s">
        <v>611</v>
      </c>
      <c r="E445" s="14" t="str">
        <f t="shared" si="445"/>
        <v/>
      </c>
      <c r="F445" s="13" t="s">
        <v>611</v>
      </c>
      <c r="G445" s="191">
        <v>202500519</v>
      </c>
      <c r="H445" s="191" t="s">
        <v>5648</v>
      </c>
      <c r="I445" s="193" t="s">
        <v>613</v>
      </c>
      <c r="J445" s="194">
        <v>45880</v>
      </c>
      <c r="K445" s="194">
        <v>46239</v>
      </c>
      <c r="L445" s="193" t="s">
        <v>2041</v>
      </c>
      <c r="M445" s="193" t="s">
        <v>2042</v>
      </c>
      <c r="N445" s="13" t="s">
        <v>2043</v>
      </c>
      <c r="O445" s="13" t="s">
        <v>2044</v>
      </c>
      <c r="P445" s="314" t="s">
        <v>341</v>
      </c>
      <c r="Q445" s="13" t="s">
        <v>618</v>
      </c>
      <c r="R445" s="246" t="str">
        <f>VLOOKUP(P445,'Dados das Regiões '!A:B,2,0)</f>
        <v>LONDRINA CENTRO</v>
      </c>
      <c r="S445" s="191" t="s">
        <v>5649</v>
      </c>
      <c r="U445" s="191" t="s">
        <v>5650</v>
      </c>
      <c r="V445" s="191" t="s">
        <v>5651</v>
      </c>
      <c r="W445" s="191" t="s">
        <v>5652</v>
      </c>
      <c r="X445" s="195">
        <v>0.5625</v>
      </c>
      <c r="Y445" s="420">
        <v>0.64583333333333337</v>
      </c>
      <c r="Z445" s="191" t="s">
        <v>3315</v>
      </c>
      <c r="AB445" s="224">
        <v>202500519</v>
      </c>
      <c r="AC445" s="55" t="s">
        <v>36</v>
      </c>
    </row>
    <row r="446" spans="1:44">
      <c r="A446" s="14">
        <v>45940</v>
      </c>
      <c r="B446" s="13" t="str">
        <f t="shared" si="447"/>
        <v>Realizada</v>
      </c>
      <c r="C446" s="14">
        <f t="shared" si="442"/>
        <v>46032</v>
      </c>
      <c r="D446" s="13" t="s">
        <v>611</v>
      </c>
      <c r="E446" s="14">
        <f t="shared" si="445"/>
        <v>46122</v>
      </c>
      <c r="F446" s="13" t="s">
        <v>611</v>
      </c>
      <c r="G446" s="191">
        <v>202500519</v>
      </c>
      <c r="H446" s="191" t="s">
        <v>5653</v>
      </c>
      <c r="I446" s="193" t="s">
        <v>613</v>
      </c>
      <c r="J446" s="194">
        <v>45880</v>
      </c>
      <c r="K446" s="194">
        <v>46239</v>
      </c>
      <c r="L446" s="193" t="s">
        <v>2005</v>
      </c>
      <c r="M446" s="193" t="s">
        <v>2025</v>
      </c>
      <c r="N446" s="13" t="s">
        <v>2026</v>
      </c>
      <c r="O446" s="17" t="s">
        <v>2027</v>
      </c>
      <c r="P446" s="314" t="s">
        <v>294</v>
      </c>
      <c r="Q446" s="13" t="s">
        <v>618</v>
      </c>
      <c r="R446" s="246" t="str">
        <f>VLOOKUP(P446,'Dados das Regiões '!A:B,2,0)</f>
        <v>GUARAPUAVA</v>
      </c>
      <c r="S446" s="191" t="s">
        <v>2028</v>
      </c>
      <c r="U446" s="191" t="s">
        <v>2010</v>
      </c>
      <c r="V446" s="191" t="s">
        <v>2011</v>
      </c>
      <c r="W446" s="191" t="s">
        <v>2012</v>
      </c>
      <c r="X446" s="195">
        <v>0.58333333333333337</v>
      </c>
      <c r="Y446" s="420">
        <v>0.66666666666666663</v>
      </c>
      <c r="Z446" s="191" t="s">
        <v>3315</v>
      </c>
      <c r="AB446" s="225">
        <v>202500519</v>
      </c>
      <c r="AC446" s="55" t="s">
        <v>36</v>
      </c>
    </row>
    <row r="447" spans="1:44">
      <c r="B447" s="13" t="str">
        <f t="shared" si="447"/>
        <v>Pendente</v>
      </c>
      <c r="C447" s="14" t="str">
        <f t="shared" si="442"/>
        <v/>
      </c>
      <c r="D447" s="13" t="s">
        <v>611</v>
      </c>
      <c r="E447" s="14" t="str">
        <f t="shared" si="445"/>
        <v/>
      </c>
      <c r="F447" s="13" t="s">
        <v>611</v>
      </c>
      <c r="G447" s="191">
        <v>202500519</v>
      </c>
      <c r="H447" s="191" t="s">
        <v>5654</v>
      </c>
      <c r="I447" s="193" t="s">
        <v>613</v>
      </c>
      <c r="J447" s="194">
        <v>45880</v>
      </c>
      <c r="K447" s="194">
        <v>46239</v>
      </c>
      <c r="L447" s="193" t="s">
        <v>1801</v>
      </c>
      <c r="M447" s="193" t="s">
        <v>2094</v>
      </c>
      <c r="N447" s="13" t="s">
        <v>2095</v>
      </c>
      <c r="O447" s="17" t="s">
        <v>2096</v>
      </c>
      <c r="P447" s="314" t="s">
        <v>340</v>
      </c>
      <c r="Q447" s="13" t="s">
        <v>618</v>
      </c>
      <c r="R447" s="246" t="str">
        <f>VLOOKUP(P447,'Dados das Regiões '!A:B,2,0)</f>
        <v>LONDRINA CENTRO</v>
      </c>
      <c r="S447" s="191" t="s">
        <v>2097</v>
      </c>
      <c r="U447" s="191" t="s">
        <v>2098</v>
      </c>
      <c r="V447" s="191" t="s">
        <v>2098</v>
      </c>
      <c r="W447" s="191" t="s">
        <v>5655</v>
      </c>
      <c r="X447" s="195">
        <v>0.58333333333333337</v>
      </c>
      <c r="Y447" s="420">
        <v>0.66666666666666663</v>
      </c>
      <c r="Z447" s="191" t="s">
        <v>3315</v>
      </c>
      <c r="AB447" s="224">
        <v>202500519</v>
      </c>
      <c r="AC447" s="55" t="s">
        <v>36</v>
      </c>
    </row>
    <row r="448" spans="1:44">
      <c r="B448" s="13" t="str">
        <f t="shared" si="447"/>
        <v>Pendente</v>
      </c>
      <c r="C448" s="14" t="str">
        <f t="shared" si="442"/>
        <v/>
      </c>
      <c r="D448" s="13" t="s">
        <v>611</v>
      </c>
      <c r="E448" s="14" t="str">
        <f t="shared" si="445"/>
        <v/>
      </c>
      <c r="F448" s="13" t="s">
        <v>611</v>
      </c>
      <c r="G448" s="191">
        <v>202500519</v>
      </c>
      <c r="H448" s="191" t="s">
        <v>5656</v>
      </c>
      <c r="I448" s="193" t="s">
        <v>613</v>
      </c>
      <c r="J448" s="194">
        <v>45880</v>
      </c>
      <c r="K448" s="194">
        <v>46239</v>
      </c>
      <c r="L448" s="193" t="s">
        <v>1801</v>
      </c>
      <c r="M448" s="193" t="s">
        <v>1802</v>
      </c>
      <c r="N448" s="13" t="s">
        <v>1803</v>
      </c>
      <c r="O448" s="17" t="s">
        <v>1804</v>
      </c>
      <c r="P448" s="314" t="s">
        <v>57</v>
      </c>
      <c r="Q448" s="13" t="s">
        <v>618</v>
      </c>
      <c r="R448" s="246" t="str">
        <f>VLOOKUP(P448,'Dados das Regiões '!A:B,2,0)</f>
        <v>BELA VISTA DO PARAÍSO</v>
      </c>
      <c r="S448" s="191" t="s">
        <v>1805</v>
      </c>
      <c r="U448" s="191"/>
      <c r="V448" s="191" t="s">
        <v>1806</v>
      </c>
      <c r="W448" s="191" t="s">
        <v>5657</v>
      </c>
      <c r="X448" s="195">
        <v>0.58333333333333337</v>
      </c>
      <c r="Y448" s="420">
        <v>0.66666666666666663</v>
      </c>
      <c r="Z448" s="191" t="s">
        <v>3315</v>
      </c>
      <c r="AB448" s="225">
        <v>202500519</v>
      </c>
      <c r="AC448" s="55" t="s">
        <v>36</v>
      </c>
    </row>
    <row r="449" spans="1:29">
      <c r="B449" s="13" t="str">
        <f t="shared" si="447"/>
        <v>Pendente</v>
      </c>
      <c r="C449" s="14" t="str">
        <f t="shared" si="442"/>
        <v/>
      </c>
      <c r="D449" s="13" t="s">
        <v>611</v>
      </c>
      <c r="E449" s="14" t="str">
        <f t="shared" si="445"/>
        <v/>
      </c>
      <c r="F449" s="13" t="s">
        <v>611</v>
      </c>
      <c r="G449" s="191">
        <v>202500519</v>
      </c>
      <c r="H449" s="191" t="s">
        <v>5658</v>
      </c>
      <c r="I449" s="193" t="s">
        <v>613</v>
      </c>
      <c r="J449" s="194">
        <v>45880</v>
      </c>
      <c r="K449" s="194">
        <v>46239</v>
      </c>
      <c r="L449" s="193" t="s">
        <v>1945</v>
      </c>
      <c r="M449" s="193" t="s">
        <v>1986</v>
      </c>
      <c r="N449" s="13" t="s">
        <v>1987</v>
      </c>
      <c r="O449" s="17" t="s">
        <v>1988</v>
      </c>
      <c r="P449" s="314" t="s">
        <v>53</v>
      </c>
      <c r="Q449" s="13" t="s">
        <v>618</v>
      </c>
      <c r="R449" s="246" t="str">
        <f>VLOOKUP(P449,'Dados das Regiões '!A:B,2,0)</f>
        <v>GOIOERÊ</v>
      </c>
      <c r="S449" s="191" t="s">
        <v>1989</v>
      </c>
      <c r="U449" s="191" t="s">
        <v>1990</v>
      </c>
      <c r="V449" s="191" t="s">
        <v>5659</v>
      </c>
      <c r="W449" s="191" t="s">
        <v>1992</v>
      </c>
      <c r="X449" s="195">
        <v>0.33333333333333331</v>
      </c>
      <c r="Y449" s="420">
        <v>0.41666666666666669</v>
      </c>
      <c r="Z449" s="191" t="s">
        <v>3315</v>
      </c>
      <c r="AB449" s="225">
        <v>202500519</v>
      </c>
      <c r="AC449" s="55" t="s">
        <v>36</v>
      </c>
    </row>
    <row r="450" spans="1:29">
      <c r="B450" s="13" t="str">
        <f t="shared" si="447"/>
        <v>Pendente</v>
      </c>
      <c r="C450" s="14" t="str">
        <f t="shared" si="442"/>
        <v/>
      </c>
      <c r="D450" s="13" t="s">
        <v>611</v>
      </c>
      <c r="E450" s="14" t="str">
        <f t="shared" si="445"/>
        <v/>
      </c>
      <c r="F450" s="13" t="s">
        <v>611</v>
      </c>
      <c r="G450" s="191">
        <v>202500519</v>
      </c>
      <c r="H450" s="191" t="s">
        <v>5660</v>
      </c>
      <c r="I450" s="193" t="s">
        <v>613</v>
      </c>
      <c r="J450" s="194">
        <v>45880</v>
      </c>
      <c r="K450" s="194">
        <v>46239</v>
      </c>
      <c r="L450" s="193" t="s">
        <v>1801</v>
      </c>
      <c r="M450" s="193" t="s">
        <v>2628</v>
      </c>
      <c r="N450" s="13" t="s">
        <v>2629</v>
      </c>
      <c r="O450" s="17" t="s">
        <v>2630</v>
      </c>
      <c r="P450" s="314" t="s">
        <v>136</v>
      </c>
      <c r="Q450" s="13" t="s">
        <v>618</v>
      </c>
      <c r="R450" s="246" t="str">
        <f>VLOOKUP(P450,'Dados das Regiões '!A:B,2,0)</f>
        <v>ARAPONGAS</v>
      </c>
      <c r="S450" s="191" t="s">
        <v>5661</v>
      </c>
      <c r="U450" s="191"/>
      <c r="V450" s="191" t="s">
        <v>5662</v>
      </c>
      <c r="W450" s="191" t="s">
        <v>5663</v>
      </c>
      <c r="X450" s="195">
        <v>0.5625</v>
      </c>
      <c r="Y450" s="420">
        <v>0.64583333333333337</v>
      </c>
      <c r="Z450" s="191" t="s">
        <v>3315</v>
      </c>
      <c r="AB450" s="224">
        <v>202500519</v>
      </c>
      <c r="AC450" s="55" t="s">
        <v>36</v>
      </c>
    </row>
    <row r="451" spans="1:29">
      <c r="A451" s="14">
        <v>45945</v>
      </c>
      <c r="B451" s="13" t="str">
        <f t="shared" si="447"/>
        <v>Realizada</v>
      </c>
      <c r="C451" s="14">
        <f t="shared" si="442"/>
        <v>46037</v>
      </c>
      <c r="D451" s="13" t="s">
        <v>611</v>
      </c>
      <c r="E451" s="14">
        <f t="shared" si="445"/>
        <v>46127</v>
      </c>
      <c r="F451" s="13" t="s">
        <v>611</v>
      </c>
      <c r="G451" s="191">
        <v>202500520</v>
      </c>
      <c r="H451" s="191" t="s">
        <v>3243</v>
      </c>
      <c r="I451" s="193" t="s">
        <v>1176</v>
      </c>
      <c r="J451" s="194">
        <v>45880</v>
      </c>
      <c r="K451" s="194">
        <v>46239</v>
      </c>
      <c r="L451" s="193" t="s">
        <v>1864</v>
      </c>
      <c r="M451" s="193" t="s">
        <v>2944</v>
      </c>
      <c r="N451" s="13" t="s">
        <v>2945</v>
      </c>
      <c r="O451" s="17" t="s">
        <v>2946</v>
      </c>
      <c r="P451" s="314" t="s">
        <v>216</v>
      </c>
      <c r="Q451" s="13" t="s">
        <v>618</v>
      </c>
      <c r="R451" s="246" t="str">
        <f>VLOOKUP(P451,'Dados das Regiões '!A:B,2,0)</f>
        <v>CASTRO</v>
      </c>
      <c r="S451" s="191" t="s">
        <v>3244</v>
      </c>
      <c r="U451" s="191" t="s">
        <v>2948</v>
      </c>
      <c r="V451" s="191" t="s">
        <v>3245</v>
      </c>
      <c r="W451" s="191" t="s">
        <v>2949</v>
      </c>
      <c r="X451" s="195">
        <v>0.5625</v>
      </c>
      <c r="Y451" s="420">
        <v>0.64583333333333337</v>
      </c>
      <c r="Z451" s="191" t="s">
        <v>3315</v>
      </c>
      <c r="AB451" s="225">
        <v>202500520</v>
      </c>
      <c r="AC451" s="55" t="s">
        <v>37</v>
      </c>
    </row>
    <row r="452" spans="1:29">
      <c r="B452" s="13" t="str">
        <f t="shared" si="447"/>
        <v>Pendente</v>
      </c>
      <c r="C452" s="14" t="str">
        <f t="shared" si="442"/>
        <v/>
      </c>
      <c r="D452" s="13" t="s">
        <v>611</v>
      </c>
      <c r="E452" s="14" t="str">
        <f t="shared" si="445"/>
        <v/>
      </c>
      <c r="F452" s="13" t="s">
        <v>611</v>
      </c>
      <c r="G452" s="191">
        <v>202500520</v>
      </c>
      <c r="H452" s="191" t="s">
        <v>5664</v>
      </c>
      <c r="I452" s="193" t="s">
        <v>1176</v>
      </c>
      <c r="J452" s="194">
        <v>45880</v>
      </c>
      <c r="K452" s="194">
        <v>46239</v>
      </c>
      <c r="L452" s="193" t="s">
        <v>2912</v>
      </c>
      <c r="M452" s="193" t="s">
        <v>2913</v>
      </c>
      <c r="N452" s="13" t="s">
        <v>2914</v>
      </c>
      <c r="O452" s="17" t="s">
        <v>2915</v>
      </c>
      <c r="P452" s="314" t="s">
        <v>396</v>
      </c>
      <c r="Q452" s="13" t="s">
        <v>618</v>
      </c>
      <c r="R452" s="246" t="str">
        <f>VLOOKUP(P452,'Dados das Regiões '!A:B,2,0)</f>
        <v>NOVA LONDRINA</v>
      </c>
      <c r="S452" s="191" t="s">
        <v>2916</v>
      </c>
      <c r="U452" s="191"/>
      <c r="V452" s="191" t="s">
        <v>5665</v>
      </c>
      <c r="W452" s="191" t="s">
        <v>5666</v>
      </c>
      <c r="X452" s="195">
        <v>0.5625</v>
      </c>
      <c r="Y452" s="420">
        <v>0.64583333333333337</v>
      </c>
      <c r="Z452" s="191" t="s">
        <v>3315</v>
      </c>
      <c r="AB452" s="224">
        <v>202500520</v>
      </c>
      <c r="AC452" s="55" t="s">
        <v>37</v>
      </c>
    </row>
    <row r="453" spans="1:29">
      <c r="B453" s="13" t="str">
        <f t="shared" si="447"/>
        <v>Pendente</v>
      </c>
      <c r="C453" s="14" t="str">
        <f t="shared" si="442"/>
        <v/>
      </c>
      <c r="D453" s="13" t="s">
        <v>611</v>
      </c>
      <c r="E453" s="14" t="str">
        <f t="shared" si="445"/>
        <v/>
      </c>
      <c r="F453" s="13" t="s">
        <v>611</v>
      </c>
      <c r="G453" s="191">
        <v>202500520</v>
      </c>
      <c r="H453" s="191" t="s">
        <v>5667</v>
      </c>
      <c r="I453" s="193" t="s">
        <v>1176</v>
      </c>
      <c r="J453" s="194">
        <v>45880</v>
      </c>
      <c r="K453" s="194">
        <v>46239</v>
      </c>
      <c r="L453" s="193" t="s">
        <v>1864</v>
      </c>
      <c r="M453" s="193" t="s">
        <v>5668</v>
      </c>
      <c r="N453" s="13" t="s">
        <v>5669</v>
      </c>
      <c r="O453" s="17" t="s">
        <v>5670</v>
      </c>
      <c r="P453" s="314" t="s">
        <v>203</v>
      </c>
      <c r="Q453" s="13" t="s">
        <v>618</v>
      </c>
      <c r="R453" s="246" t="str">
        <f>VLOOKUP(P453,'Dados das Regiões '!A:B,2,0)</f>
        <v>CASCAVEL</v>
      </c>
      <c r="S453" s="191" t="s">
        <v>5671</v>
      </c>
      <c r="U453" s="191"/>
      <c r="V453" s="191" t="s">
        <v>5672</v>
      </c>
      <c r="W453" s="191" t="s">
        <v>5673</v>
      </c>
      <c r="X453" s="195">
        <v>0.35416666666666669</v>
      </c>
      <c r="Y453" s="420">
        <v>0.4375</v>
      </c>
      <c r="Z453" s="191" t="s">
        <v>3315</v>
      </c>
      <c r="AB453" s="225">
        <v>202500520</v>
      </c>
      <c r="AC453" s="55" t="s">
        <v>37</v>
      </c>
    </row>
    <row r="454" spans="1:29">
      <c r="A454" s="14">
        <v>45932</v>
      </c>
      <c r="B454" s="13" t="str">
        <f t="shared" si="447"/>
        <v>Realizada</v>
      </c>
      <c r="C454" s="14">
        <f t="shared" si="442"/>
        <v>46024</v>
      </c>
      <c r="D454" s="13" t="s">
        <v>611</v>
      </c>
      <c r="E454" s="14">
        <f t="shared" si="445"/>
        <v>46114</v>
      </c>
      <c r="F454" s="13" t="s">
        <v>611</v>
      </c>
      <c r="G454" s="191">
        <v>202500520</v>
      </c>
      <c r="H454" s="191" t="s">
        <v>5674</v>
      </c>
      <c r="I454" s="193" t="s">
        <v>1176</v>
      </c>
      <c r="J454" s="194">
        <v>45880</v>
      </c>
      <c r="K454" s="194">
        <v>46239</v>
      </c>
      <c r="L454" s="193" t="s">
        <v>2261</v>
      </c>
      <c r="M454" s="193" t="s">
        <v>2262</v>
      </c>
      <c r="N454" s="13" t="s">
        <v>2263</v>
      </c>
      <c r="O454" s="17" t="s">
        <v>2264</v>
      </c>
      <c r="P454" s="314" t="s">
        <v>145</v>
      </c>
      <c r="Q454" s="13" t="s">
        <v>618</v>
      </c>
      <c r="R454" s="246" t="str">
        <f>VLOOKUP(P454,'Dados das Regiões '!A:B,2,0)</f>
        <v>CAMPO MOURÃO</v>
      </c>
      <c r="S454" s="191" t="s">
        <v>5675</v>
      </c>
      <c r="U454" s="191"/>
      <c r="V454" s="191" t="s">
        <v>5676</v>
      </c>
      <c r="W454" s="191" t="s">
        <v>5677</v>
      </c>
      <c r="X454" s="195">
        <v>0.5625</v>
      </c>
      <c r="Y454" s="420">
        <v>0.64583333333333337</v>
      </c>
      <c r="Z454" s="191" t="s">
        <v>3315</v>
      </c>
      <c r="AB454" s="225">
        <v>202500520</v>
      </c>
      <c r="AC454" s="55" t="s">
        <v>37</v>
      </c>
    </row>
    <row r="455" spans="1:29">
      <c r="A455" s="14">
        <v>45964</v>
      </c>
      <c r="B455" s="13" t="str">
        <f t="shared" si="447"/>
        <v>Realizada</v>
      </c>
      <c r="C455" s="14">
        <f t="shared" si="442"/>
        <v>46056</v>
      </c>
      <c r="D455" s="13" t="s">
        <v>611</v>
      </c>
      <c r="E455" s="14">
        <f t="shared" si="445"/>
        <v>46145</v>
      </c>
      <c r="F455" s="13" t="s">
        <v>611</v>
      </c>
      <c r="G455" s="191">
        <v>202500520</v>
      </c>
      <c r="H455" s="191" t="s">
        <v>3270</v>
      </c>
      <c r="I455" s="193" t="s">
        <v>1176</v>
      </c>
      <c r="J455" s="194">
        <v>45880</v>
      </c>
      <c r="K455" s="194">
        <v>46239</v>
      </c>
      <c r="L455" s="193" t="s">
        <v>1177</v>
      </c>
      <c r="M455" s="193" t="s">
        <v>1178</v>
      </c>
      <c r="N455" s="101" t="s">
        <v>1179</v>
      </c>
      <c r="O455" s="101" t="s">
        <v>1935</v>
      </c>
      <c r="P455" s="314" t="s">
        <v>446</v>
      </c>
      <c r="Q455" s="13" t="s">
        <v>618</v>
      </c>
      <c r="R455" s="246" t="str">
        <f>VLOOKUP(P455,'Dados das Regiões '!A:B,2,0)</f>
        <v>PONTA GROSSA</v>
      </c>
      <c r="S455" s="191" t="s">
        <v>1936</v>
      </c>
      <c r="U455" s="191"/>
      <c r="V455" s="191" t="s">
        <v>1937</v>
      </c>
      <c r="W455" s="191" t="s">
        <v>1938</v>
      </c>
      <c r="X455" s="195">
        <v>0.71875</v>
      </c>
      <c r="Y455" s="420">
        <v>0.80208333333333337</v>
      </c>
      <c r="Z455" s="191" t="s">
        <v>3315</v>
      </c>
      <c r="AB455" s="224">
        <v>202500520</v>
      </c>
      <c r="AC455" s="55" t="s">
        <v>37</v>
      </c>
    </row>
    <row r="456" spans="1:29">
      <c r="B456" s="13" t="str">
        <f t="shared" si="447"/>
        <v>Pendente</v>
      </c>
      <c r="C456" s="14" t="str">
        <f t="shared" si="442"/>
        <v/>
      </c>
      <c r="D456" s="13" t="s">
        <v>611</v>
      </c>
      <c r="E456" s="14" t="str">
        <f t="shared" si="445"/>
        <v/>
      </c>
      <c r="F456" s="13" t="s">
        <v>611</v>
      </c>
      <c r="G456" s="191">
        <v>202500521</v>
      </c>
      <c r="H456" s="191" t="s">
        <v>5678</v>
      </c>
      <c r="I456" s="193" t="s">
        <v>1192</v>
      </c>
      <c r="J456" s="194">
        <v>45880</v>
      </c>
      <c r="K456" s="194">
        <v>46239</v>
      </c>
      <c r="L456" s="193" t="s">
        <v>2176</v>
      </c>
      <c r="M456" s="193" t="s">
        <v>2177</v>
      </c>
      <c r="N456" s="13" t="s">
        <v>2178</v>
      </c>
      <c r="O456" s="13" t="s">
        <v>4532</v>
      </c>
      <c r="P456" s="314" t="s">
        <v>196</v>
      </c>
      <c r="Q456" s="13" t="s">
        <v>618</v>
      </c>
      <c r="R456" s="246" t="str">
        <f>VLOOKUP(P456,'Dados das Regiões '!A:B,2,0)</f>
        <v>CASCAVEL</v>
      </c>
      <c r="S456" s="191" t="s">
        <v>2180</v>
      </c>
      <c r="U456" s="191" t="s">
        <v>5679</v>
      </c>
      <c r="V456" s="191" t="s">
        <v>5679</v>
      </c>
      <c r="W456" s="191" t="s">
        <v>2183</v>
      </c>
      <c r="X456" s="195">
        <v>0.33333333333333331</v>
      </c>
      <c r="Y456" s="420">
        <v>0.41666666666666669</v>
      </c>
      <c r="Z456" s="191" t="s">
        <v>3315</v>
      </c>
      <c r="AB456" s="225">
        <v>202500521</v>
      </c>
      <c r="AC456" s="55" t="s">
        <v>38</v>
      </c>
    </row>
    <row r="457" spans="1:29">
      <c r="B457" s="13" t="str">
        <f t="shared" si="447"/>
        <v>Pendente</v>
      </c>
      <c r="C457" s="14" t="str">
        <f t="shared" si="442"/>
        <v/>
      </c>
      <c r="D457" s="13" t="s">
        <v>611</v>
      </c>
      <c r="E457" s="14" t="str">
        <f t="shared" si="445"/>
        <v/>
      </c>
      <c r="F457" s="13" t="s">
        <v>611</v>
      </c>
      <c r="G457" s="191">
        <v>202500519</v>
      </c>
      <c r="H457" s="191" t="s">
        <v>5680</v>
      </c>
      <c r="I457" s="193" t="s">
        <v>613</v>
      </c>
      <c r="J457" s="194">
        <v>45880</v>
      </c>
      <c r="K457" s="194">
        <v>46239</v>
      </c>
      <c r="L457" s="193" t="s">
        <v>1801</v>
      </c>
      <c r="M457" s="193" t="s">
        <v>2118</v>
      </c>
      <c r="N457" s="13" t="s">
        <v>2119</v>
      </c>
      <c r="O457" s="17" t="s">
        <v>2120</v>
      </c>
      <c r="P457" s="314" t="s">
        <v>294</v>
      </c>
      <c r="Q457" s="13" t="s">
        <v>618</v>
      </c>
      <c r="R457" s="246" t="str">
        <f>VLOOKUP(P457,'Dados das Regiões '!A:B,2,0)</f>
        <v>GUARAPUAVA</v>
      </c>
      <c r="S457" s="191" t="s">
        <v>5681</v>
      </c>
      <c r="U457" s="191" t="s">
        <v>5682</v>
      </c>
      <c r="V457" s="191" t="s">
        <v>2122</v>
      </c>
      <c r="W457" s="191" t="s">
        <v>5683</v>
      </c>
      <c r="X457" s="195">
        <v>0.58333333333333337</v>
      </c>
      <c r="Y457" s="420">
        <v>0.66666666666666663</v>
      </c>
      <c r="Z457" s="191" t="s">
        <v>3315</v>
      </c>
      <c r="AB457" s="224">
        <v>202500519</v>
      </c>
      <c r="AC457" s="55" t="s">
        <v>36</v>
      </c>
    </row>
    <row r="458" spans="1:29">
      <c r="A458" s="14">
        <v>45938</v>
      </c>
      <c r="B458" s="13" t="str">
        <f t="shared" si="447"/>
        <v>Realizada</v>
      </c>
      <c r="C458" s="14">
        <f t="shared" si="442"/>
        <v>46030</v>
      </c>
      <c r="D458" s="13" t="s">
        <v>611</v>
      </c>
      <c r="E458" s="14">
        <f t="shared" si="445"/>
        <v>46120</v>
      </c>
      <c r="F458" s="13" t="s">
        <v>611</v>
      </c>
      <c r="G458" s="191">
        <v>202500519</v>
      </c>
      <c r="H458" s="191" t="s">
        <v>3131</v>
      </c>
      <c r="I458" s="193" t="s">
        <v>613</v>
      </c>
      <c r="J458" s="194">
        <v>45880</v>
      </c>
      <c r="K458" s="194">
        <v>46239</v>
      </c>
      <c r="L458" s="193" t="s">
        <v>2049</v>
      </c>
      <c r="M458" s="193" t="s">
        <v>2065</v>
      </c>
      <c r="N458" s="13" t="s">
        <v>2066</v>
      </c>
      <c r="O458" s="17" t="s">
        <v>2067</v>
      </c>
      <c r="P458" s="318" t="s">
        <v>307</v>
      </c>
      <c r="Q458" s="13" t="s">
        <v>618</v>
      </c>
      <c r="R458" s="246" t="str">
        <f>VLOOKUP(P458,'Dados das Regiões '!A:B,2,0)</f>
        <v>IRATI</v>
      </c>
      <c r="S458" s="191" t="s">
        <v>2060</v>
      </c>
      <c r="U458" s="191"/>
      <c r="V458" s="191" t="s">
        <v>3132</v>
      </c>
      <c r="W458" s="191" t="s">
        <v>2062</v>
      </c>
      <c r="X458" s="195">
        <v>0.33333333333333331</v>
      </c>
      <c r="Y458" s="420">
        <v>0.41666666666666669</v>
      </c>
      <c r="Z458" s="191" t="s">
        <v>3315</v>
      </c>
      <c r="AB458" s="225">
        <v>202500519</v>
      </c>
      <c r="AC458" s="55" t="s">
        <v>36</v>
      </c>
    </row>
    <row r="459" spans="1:29">
      <c r="B459" s="13" t="str">
        <f t="shared" si="447"/>
        <v>Pendente</v>
      </c>
      <c r="C459" s="14" t="str">
        <f t="shared" si="442"/>
        <v/>
      </c>
      <c r="D459" s="13" t="s">
        <v>611</v>
      </c>
      <c r="E459" s="14" t="str">
        <f t="shared" si="445"/>
        <v/>
      </c>
      <c r="F459" s="13" t="s">
        <v>611</v>
      </c>
      <c r="G459" s="191">
        <v>202500519</v>
      </c>
      <c r="H459" s="191" t="s">
        <v>5684</v>
      </c>
      <c r="I459" s="193" t="s">
        <v>613</v>
      </c>
      <c r="J459" s="194">
        <v>45880</v>
      </c>
      <c r="K459" s="194">
        <v>46239</v>
      </c>
      <c r="L459" s="193" t="s">
        <v>2771</v>
      </c>
      <c r="M459" s="193" t="s">
        <v>2772</v>
      </c>
      <c r="N459" s="13" t="s">
        <v>2773</v>
      </c>
      <c r="O459" s="17" t="s">
        <v>2774</v>
      </c>
      <c r="P459" s="314" t="s">
        <v>57</v>
      </c>
      <c r="Q459" s="13" t="s">
        <v>618</v>
      </c>
      <c r="R459" s="246" t="str">
        <f>VLOOKUP(P459,'Dados das Regiões '!A:B,2,0)</f>
        <v>BELA VISTA DO PARAÍSO</v>
      </c>
      <c r="S459" s="191" t="s">
        <v>2775</v>
      </c>
      <c r="U459" s="191" t="s">
        <v>5685</v>
      </c>
      <c r="V459" s="191" t="s">
        <v>2776</v>
      </c>
      <c r="W459" s="191" t="s">
        <v>2777</v>
      </c>
      <c r="X459" s="195">
        <v>0.58333333333333337</v>
      </c>
      <c r="Y459" s="420">
        <v>0.66666666666666663</v>
      </c>
      <c r="Z459" s="191" t="s">
        <v>3315</v>
      </c>
      <c r="AB459" s="224">
        <v>202500519</v>
      </c>
      <c r="AC459" s="55" t="s">
        <v>36</v>
      </c>
    </row>
    <row r="460" spans="1:29">
      <c r="A460" s="14">
        <v>45974</v>
      </c>
      <c r="B460" s="13" t="str">
        <f t="shared" si="447"/>
        <v>Realizada</v>
      </c>
      <c r="C460" s="14">
        <f t="shared" si="442"/>
        <v>46066</v>
      </c>
      <c r="D460" s="13" t="s">
        <v>611</v>
      </c>
      <c r="E460" s="14">
        <f t="shared" si="445"/>
        <v>46155</v>
      </c>
      <c r="F460" s="13" t="s">
        <v>611</v>
      </c>
      <c r="G460" s="191">
        <v>202500520</v>
      </c>
      <c r="H460" s="191" t="s">
        <v>5686</v>
      </c>
      <c r="I460" s="193" t="s">
        <v>1176</v>
      </c>
      <c r="J460" s="194">
        <v>45880</v>
      </c>
      <c r="K460" s="194">
        <v>46239</v>
      </c>
      <c r="L460" s="193" t="s">
        <v>2891</v>
      </c>
      <c r="M460" s="193" t="s">
        <v>3040</v>
      </c>
      <c r="N460" s="13" t="s">
        <v>3041</v>
      </c>
      <c r="O460" s="17" t="s">
        <v>3042</v>
      </c>
      <c r="P460" s="314" t="s">
        <v>293</v>
      </c>
      <c r="Q460" s="13" t="s">
        <v>618</v>
      </c>
      <c r="R460" s="246" t="str">
        <f>VLOOKUP(P460,'Dados das Regiões '!A:B,2,0)</f>
        <v>GUARAPUAVA</v>
      </c>
      <c r="S460" s="191" t="s">
        <v>3043</v>
      </c>
      <c r="U460" s="191" t="s">
        <v>3044</v>
      </c>
      <c r="V460" s="191" t="s">
        <v>3045</v>
      </c>
      <c r="W460" s="191" t="s">
        <v>3046</v>
      </c>
      <c r="X460" s="195">
        <v>0.54166666666666663</v>
      </c>
      <c r="Y460" s="420">
        <v>0.625</v>
      </c>
      <c r="Z460" s="191" t="s">
        <v>3315</v>
      </c>
      <c r="AB460" s="225">
        <v>202500520</v>
      </c>
      <c r="AC460" s="55" t="s">
        <v>37</v>
      </c>
    </row>
    <row r="461" spans="1:29">
      <c r="A461" s="14">
        <v>45940</v>
      </c>
      <c r="B461" s="13" t="str">
        <f t="shared" si="447"/>
        <v>Realizada</v>
      </c>
      <c r="C461" s="14">
        <f t="shared" si="442"/>
        <v>46032</v>
      </c>
      <c r="D461" s="13" t="s">
        <v>611</v>
      </c>
      <c r="E461" s="14">
        <f t="shared" si="445"/>
        <v>46122</v>
      </c>
      <c r="F461" s="13" t="s">
        <v>611</v>
      </c>
      <c r="G461" s="191">
        <v>202500519</v>
      </c>
      <c r="H461" s="191" t="s">
        <v>5687</v>
      </c>
      <c r="I461" s="193" t="s">
        <v>613</v>
      </c>
      <c r="J461" s="194">
        <v>45880</v>
      </c>
      <c r="K461" s="194">
        <v>46239</v>
      </c>
      <c r="L461" s="193" t="s">
        <v>2005</v>
      </c>
      <c r="M461" s="193" t="s">
        <v>2006</v>
      </c>
      <c r="N461" s="101" t="s">
        <v>2007</v>
      </c>
      <c r="O461" s="196" t="s">
        <v>2008</v>
      </c>
      <c r="P461" s="314" t="s">
        <v>294</v>
      </c>
      <c r="Q461" s="13" t="s">
        <v>618</v>
      </c>
      <c r="R461" s="246" t="str">
        <f>VLOOKUP(P461,'Dados das Regiões '!A:B,2,0)</f>
        <v>GUARAPUAVA</v>
      </c>
      <c r="S461" s="191" t="s">
        <v>2028</v>
      </c>
      <c r="U461" s="191"/>
      <c r="V461" s="191" t="s">
        <v>5688</v>
      </c>
      <c r="W461" s="191" t="s">
        <v>2012</v>
      </c>
      <c r="X461" s="195">
        <v>0.54166666666666663</v>
      </c>
      <c r="Y461" s="420">
        <v>0.625</v>
      </c>
      <c r="Z461" s="191" t="s">
        <v>3315</v>
      </c>
      <c r="AB461" s="225">
        <v>202500519</v>
      </c>
      <c r="AC461" s="55" t="s">
        <v>36</v>
      </c>
    </row>
    <row r="462" spans="1:29">
      <c r="B462" s="13" t="str">
        <f t="shared" si="447"/>
        <v>Pendente</v>
      </c>
      <c r="C462" s="14" t="str">
        <f t="shared" si="442"/>
        <v/>
      </c>
      <c r="D462" s="13" t="s">
        <v>611</v>
      </c>
      <c r="E462" s="14" t="str">
        <f t="shared" si="445"/>
        <v/>
      </c>
      <c r="F462" s="13" t="s">
        <v>611</v>
      </c>
      <c r="G462" s="191">
        <v>202500519</v>
      </c>
      <c r="H462" s="191" t="s">
        <v>5689</v>
      </c>
      <c r="I462" s="193" t="s">
        <v>613</v>
      </c>
      <c r="J462" s="194">
        <v>45880</v>
      </c>
      <c r="K462" s="194">
        <v>46239</v>
      </c>
      <c r="L462" s="193" t="s">
        <v>1801</v>
      </c>
      <c r="M462" s="193" t="s">
        <v>5690</v>
      </c>
      <c r="N462" s="13" t="s">
        <v>5691</v>
      </c>
      <c r="O462" s="17" t="s">
        <v>5692</v>
      </c>
      <c r="P462" s="314" t="s">
        <v>436</v>
      </c>
      <c r="Q462" s="13" t="s">
        <v>618</v>
      </c>
      <c r="R462" s="246" t="str">
        <f>VLOOKUP(P462,'Dados das Regiões '!A:B,2,0)</f>
        <v>PATO BRANCO</v>
      </c>
      <c r="S462" s="191" t="s">
        <v>5693</v>
      </c>
      <c r="U462" s="191"/>
      <c r="V462" s="191" t="s">
        <v>2073</v>
      </c>
      <c r="W462" s="191" t="s">
        <v>5694</v>
      </c>
      <c r="X462" s="195">
        <v>0.5625</v>
      </c>
      <c r="Y462" s="420">
        <v>0.64583333333333337</v>
      </c>
      <c r="Z462" s="191" t="s">
        <v>3315</v>
      </c>
      <c r="AB462" s="224">
        <v>202500519</v>
      </c>
      <c r="AC462" s="55" t="s">
        <v>36</v>
      </c>
    </row>
    <row r="463" spans="1:29">
      <c r="B463" s="13" t="str">
        <f t="shared" si="447"/>
        <v>Pendente</v>
      </c>
      <c r="C463" s="14" t="str">
        <f t="shared" si="442"/>
        <v/>
      </c>
      <c r="D463" s="13" t="s">
        <v>611</v>
      </c>
      <c r="E463" s="14" t="str">
        <f t="shared" si="445"/>
        <v/>
      </c>
      <c r="F463" s="13" t="s">
        <v>611</v>
      </c>
      <c r="G463" s="191">
        <v>202500520</v>
      </c>
      <c r="H463" s="191" t="s">
        <v>5695</v>
      </c>
      <c r="I463" s="193" t="s">
        <v>1176</v>
      </c>
      <c r="J463" s="194">
        <v>45880</v>
      </c>
      <c r="K463" s="194">
        <v>46239</v>
      </c>
      <c r="L463" s="193" t="s">
        <v>2891</v>
      </c>
      <c r="M463" s="193" t="s">
        <v>5696</v>
      </c>
      <c r="N463" s="13" t="s">
        <v>5697</v>
      </c>
      <c r="O463" s="13" t="s">
        <v>5698</v>
      </c>
      <c r="P463" s="314" t="s">
        <v>314</v>
      </c>
      <c r="Q463" s="13" t="s">
        <v>618</v>
      </c>
      <c r="R463" s="246" t="str">
        <f>VLOOKUP(P463,'Dados das Regiões '!A:B,2,0)</f>
        <v>IVAIPORÃ</v>
      </c>
      <c r="S463" s="191" t="s">
        <v>5699</v>
      </c>
      <c r="U463" s="191" t="s">
        <v>5700</v>
      </c>
      <c r="V463" s="191" t="s">
        <v>5701</v>
      </c>
      <c r="W463" s="191" t="s">
        <v>5702</v>
      </c>
      <c r="X463" s="195">
        <v>0.54166666666666663</v>
      </c>
      <c r="Y463" s="420">
        <v>0.625</v>
      </c>
      <c r="Z463" s="191" t="s">
        <v>3315</v>
      </c>
      <c r="AB463" s="225">
        <v>202500520</v>
      </c>
      <c r="AC463" s="55" t="s">
        <v>37</v>
      </c>
    </row>
    <row r="464" spans="1:29">
      <c r="B464" s="13" t="str">
        <f t="shared" si="447"/>
        <v>Pendente</v>
      </c>
      <c r="C464" s="14" t="str">
        <f t="shared" si="442"/>
        <v/>
      </c>
      <c r="D464" s="13" t="s">
        <v>611</v>
      </c>
      <c r="E464" s="14" t="str">
        <f t="shared" si="445"/>
        <v/>
      </c>
      <c r="F464" s="13" t="s">
        <v>611</v>
      </c>
      <c r="G464" s="191">
        <v>202500519</v>
      </c>
      <c r="H464" s="191" t="s">
        <v>5703</v>
      </c>
      <c r="I464" s="193" t="s">
        <v>613</v>
      </c>
      <c r="J464" s="194">
        <v>45880</v>
      </c>
      <c r="K464" s="194">
        <v>46239</v>
      </c>
      <c r="L464" s="193" t="s">
        <v>1801</v>
      </c>
      <c r="M464" s="193" t="s">
        <v>2244</v>
      </c>
      <c r="N464" s="13" t="s">
        <v>2245</v>
      </c>
      <c r="O464" s="197" t="s">
        <v>2246</v>
      </c>
      <c r="P464" s="314" t="s">
        <v>457</v>
      </c>
      <c r="Q464" s="13" t="s">
        <v>618</v>
      </c>
      <c r="R464" s="246" t="str">
        <f>VLOOKUP(P464,'Dados das Regiões '!A:B,2,0)</f>
        <v>RIO NEGRO</v>
      </c>
      <c r="S464" s="191" t="s">
        <v>5704</v>
      </c>
      <c r="U464" s="191" t="s">
        <v>5705</v>
      </c>
      <c r="V464" s="191" t="s">
        <v>5706</v>
      </c>
      <c r="W464" s="191" t="s">
        <v>5707</v>
      </c>
      <c r="X464" s="195">
        <v>0.54166666666666663</v>
      </c>
      <c r="Y464" s="420">
        <v>0.625</v>
      </c>
      <c r="Z464" s="191" t="s">
        <v>3315</v>
      </c>
      <c r="AB464" s="224">
        <v>202500519</v>
      </c>
      <c r="AC464" s="55" t="s">
        <v>36</v>
      </c>
    </row>
    <row r="465" spans="1:29">
      <c r="B465" s="13" t="str">
        <f t="shared" si="447"/>
        <v>Pendente</v>
      </c>
      <c r="C465" s="14" t="str">
        <f t="shared" si="442"/>
        <v/>
      </c>
      <c r="D465" s="13" t="s">
        <v>611</v>
      </c>
      <c r="E465" s="14" t="str">
        <f t="shared" si="445"/>
        <v/>
      </c>
      <c r="F465" s="13" t="s">
        <v>611</v>
      </c>
      <c r="G465" s="191">
        <v>202500519</v>
      </c>
      <c r="H465" s="191" t="s">
        <v>5708</v>
      </c>
      <c r="I465" s="193" t="s">
        <v>613</v>
      </c>
      <c r="J465" s="194">
        <v>45880</v>
      </c>
      <c r="K465" s="194">
        <v>46239</v>
      </c>
      <c r="L465" s="193" t="s">
        <v>5709</v>
      </c>
      <c r="M465" s="193" t="s">
        <v>5710</v>
      </c>
      <c r="N465" s="13" t="s">
        <v>5711</v>
      </c>
      <c r="O465" s="17" t="s">
        <v>5712</v>
      </c>
      <c r="P465" s="314" t="s">
        <v>509</v>
      </c>
      <c r="Q465" s="13" t="s">
        <v>618</v>
      </c>
      <c r="R465" s="246" t="str">
        <f>VLOOKUP(P465,'Dados das Regiões '!A:B,2,0)</f>
        <v>UNIÃO DA VITÓRIA</v>
      </c>
      <c r="S465" s="191" t="s">
        <v>5713</v>
      </c>
      <c r="U465" s="191" t="s">
        <v>5714</v>
      </c>
      <c r="V465" s="191" t="s">
        <v>5715</v>
      </c>
      <c r="W465" s="191" t="s">
        <v>5716</v>
      </c>
      <c r="X465" s="195">
        <v>0.33333333333333331</v>
      </c>
      <c r="Y465" s="420">
        <v>0.41666666666666669</v>
      </c>
      <c r="Z465" s="191" t="s">
        <v>3315</v>
      </c>
      <c r="AB465" s="224">
        <v>202500519</v>
      </c>
      <c r="AC465" s="55" t="s">
        <v>36</v>
      </c>
    </row>
    <row r="466" spans="1:29">
      <c r="A466" s="14">
        <v>45964</v>
      </c>
      <c r="B466" s="13" t="str">
        <f t="shared" si="447"/>
        <v>Realizada</v>
      </c>
      <c r="C466" s="14">
        <f t="shared" si="442"/>
        <v>46056</v>
      </c>
      <c r="D466" s="13" t="s">
        <v>611</v>
      </c>
      <c r="E466" s="14">
        <f t="shared" si="445"/>
        <v>46145</v>
      </c>
      <c r="F466" s="13" t="s">
        <v>611</v>
      </c>
      <c r="G466" s="191">
        <v>202500520</v>
      </c>
      <c r="H466" s="191" t="s">
        <v>3290</v>
      </c>
      <c r="I466" s="193" t="s">
        <v>1176</v>
      </c>
      <c r="J466" s="194">
        <v>45880</v>
      </c>
      <c r="K466" s="194">
        <v>46239</v>
      </c>
      <c r="L466" s="193" t="s">
        <v>2891</v>
      </c>
      <c r="M466" s="193" t="s">
        <v>5717</v>
      </c>
      <c r="N466" s="13" t="s">
        <v>3291</v>
      </c>
      <c r="O466" s="17" t="s">
        <v>3292</v>
      </c>
      <c r="P466" s="314" t="s">
        <v>449</v>
      </c>
      <c r="Q466" s="13" t="s">
        <v>618</v>
      </c>
      <c r="R466" s="246" t="str">
        <f>VLOOKUP(P466,'Dados das Regiões '!A:B,2,0)</f>
        <v>PONTA GROSSA</v>
      </c>
      <c r="S466" s="191" t="s">
        <v>5718</v>
      </c>
      <c r="U466" s="191" t="s">
        <v>5719</v>
      </c>
      <c r="V466" s="191" t="s">
        <v>5720</v>
      </c>
      <c r="W466" s="191" t="s">
        <v>3295</v>
      </c>
      <c r="X466" s="195">
        <v>0.58333333333333337</v>
      </c>
      <c r="Y466" s="420">
        <v>0.66666666666666663</v>
      </c>
      <c r="Z466" s="191" t="s">
        <v>3315</v>
      </c>
      <c r="AB466" s="225">
        <v>202500520</v>
      </c>
      <c r="AC466" s="55" t="s">
        <v>37</v>
      </c>
    </row>
    <row r="467" spans="1:29">
      <c r="A467" s="14">
        <v>45938</v>
      </c>
      <c r="B467" s="13" t="str">
        <f t="shared" si="447"/>
        <v>Realizada</v>
      </c>
      <c r="C467" s="14">
        <f t="shared" si="442"/>
        <v>46030</v>
      </c>
      <c r="D467" s="13" t="s">
        <v>611</v>
      </c>
      <c r="E467" s="14">
        <f t="shared" si="445"/>
        <v>46120</v>
      </c>
      <c r="F467" s="13" t="s">
        <v>611</v>
      </c>
      <c r="G467" s="191">
        <v>202500520</v>
      </c>
      <c r="H467" s="191" t="s">
        <v>3209</v>
      </c>
      <c r="I467" s="193" t="s">
        <v>1176</v>
      </c>
      <c r="J467" s="194">
        <v>45880</v>
      </c>
      <c r="K467" s="194">
        <v>46239</v>
      </c>
      <c r="L467" s="193" t="s">
        <v>1864</v>
      </c>
      <c r="M467" s="193" t="s">
        <v>5721</v>
      </c>
      <c r="N467" s="13" t="s">
        <v>3210</v>
      </c>
      <c r="O467" s="17" t="s">
        <v>5722</v>
      </c>
      <c r="P467" s="318" t="s">
        <v>303</v>
      </c>
      <c r="Q467" s="13" t="s">
        <v>618</v>
      </c>
      <c r="R467" s="246" t="str">
        <f>VLOOKUP(P467,'Dados das Regiões '!A:B,2,0)</f>
        <v>IRATI</v>
      </c>
      <c r="S467" s="191" t="s">
        <v>5723</v>
      </c>
      <c r="U467" s="191" t="s">
        <v>3212</v>
      </c>
      <c r="V467" s="191" t="s">
        <v>3212</v>
      </c>
      <c r="W467" s="191" t="s">
        <v>3213</v>
      </c>
      <c r="X467" s="195">
        <v>0.54166666666666663</v>
      </c>
      <c r="Y467" s="420">
        <v>0.625</v>
      </c>
      <c r="Z467" s="191" t="s">
        <v>3315</v>
      </c>
      <c r="AA467" s="36" t="s">
        <v>5724</v>
      </c>
      <c r="AB467" s="224">
        <v>202500520</v>
      </c>
      <c r="AC467" s="55" t="s">
        <v>37</v>
      </c>
    </row>
    <row r="468" spans="1:29">
      <c r="B468" s="13" t="str">
        <f t="shared" si="447"/>
        <v>Pendente</v>
      </c>
      <c r="C468" s="14" t="str">
        <f t="shared" si="442"/>
        <v/>
      </c>
      <c r="D468" s="13" t="s">
        <v>611</v>
      </c>
      <c r="E468" s="14" t="str">
        <f t="shared" si="445"/>
        <v/>
      </c>
      <c r="F468" s="13" t="s">
        <v>611</v>
      </c>
      <c r="G468" s="191">
        <v>202500519</v>
      </c>
      <c r="H468" s="191" t="s">
        <v>5725</v>
      </c>
      <c r="I468" s="193" t="s">
        <v>613</v>
      </c>
      <c r="J468" s="194">
        <v>45880</v>
      </c>
      <c r="K468" s="194">
        <v>46239</v>
      </c>
      <c r="L468" s="193" t="s">
        <v>1945</v>
      </c>
      <c r="M468" s="193" t="s">
        <v>1953</v>
      </c>
      <c r="N468" s="13" t="s">
        <v>5726</v>
      </c>
      <c r="O468" s="197" t="s">
        <v>1955</v>
      </c>
      <c r="P468" s="314" t="s">
        <v>352</v>
      </c>
      <c r="Q468" s="13" t="s">
        <v>618</v>
      </c>
      <c r="R468" s="246" t="str">
        <f>VLOOKUP(P468,'Dados das Regiões '!A:B,2,0)</f>
        <v>MARECHAL CÂNDIDO RONDON</v>
      </c>
      <c r="S468" s="191" t="s">
        <v>1956</v>
      </c>
      <c r="U468" s="191" t="s">
        <v>1957</v>
      </c>
      <c r="V468" s="191" t="s">
        <v>1958</v>
      </c>
      <c r="W468" s="191" t="s">
        <v>1959</v>
      </c>
      <c r="X468" s="195">
        <v>0.5625</v>
      </c>
      <c r="Y468" s="420">
        <v>0.64583333333333337</v>
      </c>
      <c r="Z468" s="191" t="s">
        <v>3315</v>
      </c>
      <c r="AB468" s="225">
        <v>202500519</v>
      </c>
      <c r="AC468" s="55" t="s">
        <v>36</v>
      </c>
    </row>
    <row r="469" spans="1:29">
      <c r="A469" s="14">
        <v>45988</v>
      </c>
      <c r="B469" s="13" t="str">
        <f t="shared" si="447"/>
        <v>Realizada</v>
      </c>
      <c r="C469" s="14">
        <f t="shared" si="442"/>
        <v>46080</v>
      </c>
      <c r="D469" s="13" t="s">
        <v>611</v>
      </c>
      <c r="E469" s="14">
        <f t="shared" si="445"/>
        <v>46169</v>
      </c>
      <c r="F469" s="13" t="s">
        <v>611</v>
      </c>
      <c r="G469" s="191">
        <v>202500519</v>
      </c>
      <c r="H469" s="191" t="s">
        <v>5727</v>
      </c>
      <c r="I469" s="193" t="s">
        <v>613</v>
      </c>
      <c r="J469" s="194">
        <v>45880</v>
      </c>
      <c r="K469" s="194">
        <v>46239</v>
      </c>
      <c r="L469" s="193" t="s">
        <v>4777</v>
      </c>
      <c r="M469" s="193" t="s">
        <v>5728</v>
      </c>
      <c r="N469" s="13" t="s">
        <v>5729</v>
      </c>
      <c r="O469" s="17" t="s">
        <v>5730</v>
      </c>
      <c r="P469" s="314" t="s">
        <v>295</v>
      </c>
      <c r="Q469" s="13" t="s">
        <v>618</v>
      </c>
      <c r="R469" s="246" t="str">
        <f>VLOOKUP(P469,'Dados das Regiões '!A:B,2,0)</f>
        <v>GUARAPUAVA</v>
      </c>
      <c r="S469" s="191" t="s">
        <v>5731</v>
      </c>
      <c r="U469" s="191"/>
      <c r="V469" s="191" t="s">
        <v>5732</v>
      </c>
      <c r="W469" s="191" t="s">
        <v>5733</v>
      </c>
      <c r="X469" s="195">
        <v>0.58333333333333337</v>
      </c>
      <c r="Y469" s="420">
        <v>0.66666666666666663</v>
      </c>
      <c r="Z469" s="191" t="s">
        <v>3315</v>
      </c>
      <c r="AB469" s="224">
        <v>202500519</v>
      </c>
      <c r="AC469" s="55" t="s">
        <v>36</v>
      </c>
    </row>
    <row r="470" spans="1:29">
      <c r="B470" s="13" t="str">
        <f t="shared" si="447"/>
        <v>Pendente</v>
      </c>
      <c r="C470" s="14" t="str">
        <f t="shared" si="442"/>
        <v/>
      </c>
      <c r="D470" s="13" t="s">
        <v>611</v>
      </c>
      <c r="E470" s="14" t="str">
        <f t="shared" si="445"/>
        <v/>
      </c>
      <c r="F470" s="13" t="s">
        <v>611</v>
      </c>
      <c r="G470" s="191">
        <v>202500519</v>
      </c>
      <c r="H470" s="191" t="s">
        <v>5734</v>
      </c>
      <c r="I470" s="193" t="s">
        <v>613</v>
      </c>
      <c r="J470" s="194">
        <v>45880</v>
      </c>
      <c r="K470" s="194">
        <v>46239</v>
      </c>
      <c r="L470" s="193" t="s">
        <v>1801</v>
      </c>
      <c r="M470" s="193" t="s">
        <v>2085</v>
      </c>
      <c r="N470" s="13" t="s">
        <v>2086</v>
      </c>
      <c r="O470" s="197" t="s">
        <v>2087</v>
      </c>
      <c r="P470" s="314" t="s">
        <v>418</v>
      </c>
      <c r="Q470" s="13" t="s">
        <v>618</v>
      </c>
      <c r="R470" s="246" t="str">
        <f>VLOOKUP(P470,'Dados das Regiões '!A:B,2,0)</f>
        <v>PARANAVAÍ</v>
      </c>
      <c r="S470" s="191" t="s">
        <v>5735</v>
      </c>
      <c r="U470" s="191" t="s">
        <v>5736</v>
      </c>
      <c r="V470" s="191" t="s">
        <v>5736</v>
      </c>
      <c r="W470" s="191" t="s">
        <v>5737</v>
      </c>
      <c r="X470" s="195">
        <v>0.58333333333333337</v>
      </c>
      <c r="Y470" s="420">
        <v>0.66666666666666663</v>
      </c>
      <c r="Z470" s="191" t="s">
        <v>3315</v>
      </c>
      <c r="AB470" s="225">
        <v>202500519</v>
      </c>
      <c r="AC470" s="55" t="s">
        <v>36</v>
      </c>
    </row>
    <row r="471" spans="1:29">
      <c r="B471" s="13" t="str">
        <f t="shared" si="447"/>
        <v>Pendente</v>
      </c>
      <c r="C471" s="14" t="str">
        <f t="shared" si="442"/>
        <v/>
      </c>
      <c r="D471" s="13" t="s">
        <v>611</v>
      </c>
      <c r="E471" s="14" t="str">
        <f t="shared" si="445"/>
        <v/>
      </c>
      <c r="F471" s="13" t="s">
        <v>611</v>
      </c>
      <c r="G471" s="191">
        <v>202500520</v>
      </c>
      <c r="H471" s="191" t="s">
        <v>5738</v>
      </c>
      <c r="I471" s="193" t="s">
        <v>1176</v>
      </c>
      <c r="J471" s="194">
        <v>45880</v>
      </c>
      <c r="K471" s="194">
        <v>46239</v>
      </c>
      <c r="L471" s="193" t="s">
        <v>1864</v>
      </c>
      <c r="M471" s="193" t="s">
        <v>1834</v>
      </c>
      <c r="N471" s="13" t="s">
        <v>1835</v>
      </c>
      <c r="O471" s="197" t="s">
        <v>1836</v>
      </c>
      <c r="P471" s="314" t="s">
        <v>324</v>
      </c>
      <c r="Q471" s="13" t="s">
        <v>618</v>
      </c>
      <c r="R471" s="246" t="str">
        <f>VLOOKUP(P471,'Dados das Regiões '!A:B,2,0)</f>
        <v>JACAREZINHO</v>
      </c>
      <c r="S471" s="191" t="s">
        <v>1837</v>
      </c>
      <c r="U471" s="191"/>
      <c r="V471" s="191" t="s">
        <v>1839</v>
      </c>
      <c r="W471" s="191" t="s">
        <v>1840</v>
      </c>
      <c r="X471" s="195">
        <v>0.3611111111111111</v>
      </c>
      <c r="Y471" s="420">
        <v>0.44444444444444442</v>
      </c>
      <c r="Z471" s="191" t="s">
        <v>3315</v>
      </c>
      <c r="AB471" s="224">
        <v>202500520</v>
      </c>
      <c r="AC471" s="55" t="s">
        <v>37</v>
      </c>
    </row>
    <row r="472" spans="1:29">
      <c r="B472" s="13" t="str">
        <f t="shared" si="447"/>
        <v>Pendente</v>
      </c>
      <c r="C472" s="14" t="str">
        <f t="shared" si="442"/>
        <v/>
      </c>
      <c r="D472" s="13" t="s">
        <v>611</v>
      </c>
      <c r="E472" s="14" t="str">
        <f t="shared" si="445"/>
        <v/>
      </c>
      <c r="F472" s="13" t="s">
        <v>611</v>
      </c>
      <c r="G472" s="191">
        <v>202500520</v>
      </c>
      <c r="H472" s="191" t="s">
        <v>5739</v>
      </c>
      <c r="I472" s="193" t="s">
        <v>1176</v>
      </c>
      <c r="J472" s="194">
        <v>45880</v>
      </c>
      <c r="K472" s="194">
        <v>46239</v>
      </c>
      <c r="L472" s="193" t="s">
        <v>1864</v>
      </c>
      <c r="M472" s="193" t="s">
        <v>2393</v>
      </c>
      <c r="N472" s="13" t="s">
        <v>2394</v>
      </c>
      <c r="O472" s="197" t="s">
        <v>2395</v>
      </c>
      <c r="P472" s="314" t="s">
        <v>136</v>
      </c>
      <c r="Q472" s="13" t="s">
        <v>618</v>
      </c>
      <c r="R472" s="246" t="str">
        <f>VLOOKUP(P472,'Dados das Regiões '!A:B,2,0)</f>
        <v>ARAPONGAS</v>
      </c>
      <c r="S472" s="191" t="s">
        <v>5740</v>
      </c>
      <c r="U472" s="191" t="s">
        <v>2397</v>
      </c>
      <c r="V472" s="191" t="s">
        <v>2398</v>
      </c>
      <c r="W472" s="191" t="s">
        <v>5741</v>
      </c>
      <c r="X472" s="195">
        <v>0.54166666666666663</v>
      </c>
      <c r="Y472" s="420">
        <v>0.625</v>
      </c>
      <c r="Z472" s="191" t="s">
        <v>3315</v>
      </c>
      <c r="AB472" s="225">
        <v>202500520</v>
      </c>
      <c r="AC472" s="55" t="s">
        <v>37</v>
      </c>
    </row>
    <row r="473" spans="1:29">
      <c r="B473" s="13" t="str">
        <f t="shared" si="447"/>
        <v>Pendente</v>
      </c>
      <c r="C473" s="14" t="str">
        <f t="shared" si="442"/>
        <v/>
      </c>
      <c r="D473" s="13" t="s">
        <v>611</v>
      </c>
      <c r="E473" s="14" t="str">
        <f t="shared" si="445"/>
        <v/>
      </c>
      <c r="F473" s="13" t="s">
        <v>611</v>
      </c>
      <c r="G473" s="191">
        <v>202500519</v>
      </c>
      <c r="H473" s="191" t="s">
        <v>5742</v>
      </c>
      <c r="I473" s="193" t="s">
        <v>613</v>
      </c>
      <c r="J473" s="194">
        <v>45880</v>
      </c>
      <c r="K473" s="194">
        <v>46239</v>
      </c>
      <c r="L473" s="193" t="s">
        <v>1801</v>
      </c>
      <c r="M473" s="193" t="s">
        <v>2140</v>
      </c>
      <c r="N473" s="13" t="s">
        <v>2141</v>
      </c>
      <c r="O473" s="197" t="s">
        <v>2142</v>
      </c>
      <c r="P473" s="314" t="s">
        <v>256</v>
      </c>
      <c r="Q473" s="13" t="s">
        <v>618</v>
      </c>
      <c r="R473" s="246" t="str">
        <f>VLOOKUP(P473,'Dados das Regiões '!A:B,2,0)</f>
        <v>FOZ DO IGUAÇU</v>
      </c>
      <c r="S473" s="191" t="s">
        <v>5743</v>
      </c>
      <c r="U473" s="191"/>
      <c r="V473" s="191" t="s">
        <v>2144</v>
      </c>
      <c r="W473" s="191" t="s">
        <v>5744</v>
      </c>
      <c r="X473" s="195">
        <v>0.5625</v>
      </c>
      <c r="Y473" s="420">
        <v>0.64583333333333337</v>
      </c>
      <c r="Z473" s="191" t="s">
        <v>3315</v>
      </c>
      <c r="AB473" s="224">
        <v>202500519</v>
      </c>
      <c r="AC473" s="55" t="s">
        <v>36</v>
      </c>
    </row>
    <row r="474" spans="1:29">
      <c r="A474" s="14">
        <v>45944</v>
      </c>
      <c r="B474" s="13" t="str">
        <f t="shared" si="447"/>
        <v>Realizada</v>
      </c>
      <c r="C474" s="14">
        <f t="shared" si="442"/>
        <v>46036</v>
      </c>
      <c r="D474" s="13" t="s">
        <v>611</v>
      </c>
      <c r="E474" s="14">
        <f t="shared" si="445"/>
        <v>46126</v>
      </c>
      <c r="F474" s="13" t="s">
        <v>611</v>
      </c>
      <c r="G474" s="191">
        <v>202500520</v>
      </c>
      <c r="H474" s="191" t="s">
        <v>3235</v>
      </c>
      <c r="I474" s="193" t="s">
        <v>1176</v>
      </c>
      <c r="J474" s="194">
        <v>45880</v>
      </c>
      <c r="K474" s="194">
        <v>46239</v>
      </c>
      <c r="L474" s="193" t="s">
        <v>1864</v>
      </c>
      <c r="M474" s="193" t="s">
        <v>2905</v>
      </c>
      <c r="N474" s="13" t="s">
        <v>2906</v>
      </c>
      <c r="O474" s="197" t="s">
        <v>2907</v>
      </c>
      <c r="P474" s="314" t="s">
        <v>208</v>
      </c>
      <c r="Q474" s="13" t="s">
        <v>618</v>
      </c>
      <c r="R474" s="246" t="str">
        <f>VLOOKUP(P474,'Dados das Regiões '!A:B,2,0)</f>
        <v>CASTRO</v>
      </c>
      <c r="S474" s="191" t="s">
        <v>2908</v>
      </c>
      <c r="U474" s="191" t="s">
        <v>5745</v>
      </c>
      <c r="V474" s="191" t="s">
        <v>2909</v>
      </c>
      <c r="W474" s="191" t="s">
        <v>3236</v>
      </c>
      <c r="X474" s="195">
        <v>0.5625</v>
      </c>
      <c r="Y474" s="420">
        <v>0.64583333333333337</v>
      </c>
      <c r="Z474" s="191" t="s">
        <v>3315</v>
      </c>
      <c r="AB474" s="225">
        <v>202500520</v>
      </c>
      <c r="AC474" s="55" t="s">
        <v>37</v>
      </c>
    </row>
    <row r="475" spans="1:29">
      <c r="B475" s="13" t="str">
        <f t="shared" si="447"/>
        <v>Pendente</v>
      </c>
      <c r="C475" s="14" t="str">
        <f t="shared" si="442"/>
        <v/>
      </c>
      <c r="D475" s="13" t="s">
        <v>611</v>
      </c>
      <c r="E475" s="14" t="str">
        <f t="shared" si="445"/>
        <v/>
      </c>
      <c r="F475" s="13" t="s">
        <v>611</v>
      </c>
      <c r="G475" s="191">
        <v>202500519</v>
      </c>
      <c r="H475" s="191" t="s">
        <v>5746</v>
      </c>
      <c r="I475" s="193" t="s">
        <v>613</v>
      </c>
      <c r="J475" s="194">
        <v>45880</v>
      </c>
      <c r="K475" s="194">
        <v>46239</v>
      </c>
      <c r="L475" s="193" t="s">
        <v>1801</v>
      </c>
      <c r="M475" s="193" t="s">
        <v>2069</v>
      </c>
      <c r="N475" s="13" t="s">
        <v>2070</v>
      </c>
      <c r="O475" s="197" t="s">
        <v>2071</v>
      </c>
      <c r="P475" s="314" t="s">
        <v>276</v>
      </c>
      <c r="Q475" s="13" t="s">
        <v>618</v>
      </c>
      <c r="R475" s="246" t="str">
        <f>VLOOKUP(P475,'Dados das Regiões '!A:B,2,0)</f>
        <v>FRANCISCO BELTRÃO</v>
      </c>
      <c r="S475" s="191" t="s">
        <v>5747</v>
      </c>
      <c r="U475" s="191" t="s">
        <v>5748</v>
      </c>
      <c r="V475" s="191" t="s">
        <v>5749</v>
      </c>
      <c r="W475" s="191" t="s">
        <v>5750</v>
      </c>
      <c r="X475" s="195">
        <v>0.5625</v>
      </c>
      <c r="Y475" s="420">
        <v>0.64583333333333337</v>
      </c>
      <c r="Z475" s="191" t="s">
        <v>3315</v>
      </c>
      <c r="AB475" s="224">
        <v>202500519</v>
      </c>
      <c r="AC475" s="55" t="s">
        <v>36</v>
      </c>
    </row>
    <row r="476" spans="1:29">
      <c r="A476" s="14">
        <v>45940</v>
      </c>
      <c r="B476" s="13" t="str">
        <f t="shared" si="447"/>
        <v>Realizada</v>
      </c>
      <c r="C476" s="14">
        <f t="shared" si="442"/>
        <v>46032</v>
      </c>
      <c r="D476" s="13" t="s">
        <v>611</v>
      </c>
      <c r="E476" s="14">
        <f t="shared" si="445"/>
        <v>46122</v>
      </c>
      <c r="F476" s="13" t="s">
        <v>611</v>
      </c>
      <c r="G476" s="191">
        <v>202500521</v>
      </c>
      <c r="H476" s="191" t="s">
        <v>5751</v>
      </c>
      <c r="I476" s="193" t="s">
        <v>1192</v>
      </c>
      <c r="J476" s="194">
        <v>45880</v>
      </c>
      <c r="K476" s="194">
        <v>46239</v>
      </c>
      <c r="L476" s="193" t="s">
        <v>2176</v>
      </c>
      <c r="M476" s="193" t="s">
        <v>2309</v>
      </c>
      <c r="N476" s="13" t="s">
        <v>2310</v>
      </c>
      <c r="O476" s="197" t="s">
        <v>3951</v>
      </c>
      <c r="P476" s="314" t="s">
        <v>294</v>
      </c>
      <c r="Q476" s="13" t="s">
        <v>618</v>
      </c>
      <c r="R476" s="246" t="str">
        <f>VLOOKUP(P476,'Dados das Regiões '!A:B,2,0)</f>
        <v>GUARAPUAVA</v>
      </c>
      <c r="S476" s="191" t="s">
        <v>5752</v>
      </c>
      <c r="U476" s="191" t="s">
        <v>2224</v>
      </c>
      <c r="V476" s="191" t="s">
        <v>2224</v>
      </c>
      <c r="W476" s="191" t="s">
        <v>2225</v>
      </c>
      <c r="X476" s="195">
        <v>0.70833333333333337</v>
      </c>
      <c r="Y476" s="420">
        <v>0.79166666666666663</v>
      </c>
      <c r="Z476" s="191" t="s">
        <v>3315</v>
      </c>
      <c r="AB476" s="225">
        <v>202500521</v>
      </c>
      <c r="AC476" s="55" t="s">
        <v>38</v>
      </c>
    </row>
    <row r="477" spans="1:29">
      <c r="A477" s="14">
        <v>45946</v>
      </c>
      <c r="B477" s="13" t="str">
        <f t="shared" si="447"/>
        <v>Realizada</v>
      </c>
      <c r="C477" s="14">
        <f t="shared" si="442"/>
        <v>46038</v>
      </c>
      <c r="D477" s="13" t="s">
        <v>611</v>
      </c>
      <c r="E477" s="14">
        <f t="shared" si="445"/>
        <v>46128</v>
      </c>
      <c r="F477" s="13" t="s">
        <v>611</v>
      </c>
      <c r="G477" s="191">
        <v>202500521</v>
      </c>
      <c r="H477" s="191" t="s">
        <v>5753</v>
      </c>
      <c r="I477" s="193" t="s">
        <v>1192</v>
      </c>
      <c r="J477" s="194">
        <v>45880</v>
      </c>
      <c r="K477" s="194">
        <v>46239</v>
      </c>
      <c r="L477" s="193" t="s">
        <v>2176</v>
      </c>
      <c r="M477" s="193" t="s">
        <v>2309</v>
      </c>
      <c r="N477" s="13" t="s">
        <v>2310</v>
      </c>
      <c r="O477" s="197" t="s">
        <v>3951</v>
      </c>
      <c r="P477" s="314" t="s">
        <v>294</v>
      </c>
      <c r="Q477" s="13" t="s">
        <v>618</v>
      </c>
      <c r="R477" s="246" t="str">
        <f>VLOOKUP(P477,'Dados das Regiões '!A:B,2,0)</f>
        <v>GUARAPUAVA</v>
      </c>
      <c r="S477" s="191" t="s">
        <v>5752</v>
      </c>
      <c r="U477" s="191" t="s">
        <v>2224</v>
      </c>
      <c r="V477" s="191" t="s">
        <v>2224</v>
      </c>
      <c r="W477" s="191" t="s">
        <v>2225</v>
      </c>
      <c r="X477" s="195">
        <v>0.54166666666666663</v>
      </c>
      <c r="Y477" s="420">
        <v>0.625</v>
      </c>
      <c r="Z477" s="191" t="s">
        <v>3315</v>
      </c>
      <c r="AA477" s="36" t="s">
        <v>5754</v>
      </c>
      <c r="AB477" s="224">
        <v>202500521</v>
      </c>
      <c r="AC477" s="55" t="s">
        <v>38</v>
      </c>
    </row>
    <row r="478" spans="1:29">
      <c r="A478" s="14">
        <v>45940</v>
      </c>
      <c r="B478" s="13" t="str">
        <f t="shared" si="447"/>
        <v>Realizada</v>
      </c>
      <c r="C478" s="14">
        <f t="shared" si="442"/>
        <v>46032</v>
      </c>
      <c r="D478" s="13" t="s">
        <v>611</v>
      </c>
      <c r="E478" s="14">
        <f t="shared" si="445"/>
        <v>46122</v>
      </c>
      <c r="F478" s="13" t="s">
        <v>611</v>
      </c>
      <c r="G478" s="191">
        <v>202500521</v>
      </c>
      <c r="H478" s="191" t="s">
        <v>5755</v>
      </c>
      <c r="I478" s="193" t="s">
        <v>1192</v>
      </c>
      <c r="J478" s="194">
        <v>45880</v>
      </c>
      <c r="K478" s="194">
        <v>46239</v>
      </c>
      <c r="L478" s="193" t="s">
        <v>2176</v>
      </c>
      <c r="M478" s="193" t="s">
        <v>2219</v>
      </c>
      <c r="N478" s="13" t="s">
        <v>2220</v>
      </c>
      <c r="O478" s="13" t="s">
        <v>3951</v>
      </c>
      <c r="P478" s="314" t="s">
        <v>294</v>
      </c>
      <c r="Q478" s="13" t="s">
        <v>618</v>
      </c>
      <c r="R478" s="246" t="str">
        <f>VLOOKUP(P478,'Dados das Regiões '!A:B,2,0)</f>
        <v>GUARAPUAVA</v>
      </c>
      <c r="S478" s="191" t="s">
        <v>5752</v>
      </c>
      <c r="U478" s="191" t="s">
        <v>2224</v>
      </c>
      <c r="V478" s="191" t="s">
        <v>2224</v>
      </c>
      <c r="W478" s="191" t="s">
        <v>2225</v>
      </c>
      <c r="X478" s="195">
        <v>0.70833333333333337</v>
      </c>
      <c r="Y478" s="420">
        <v>0.79166666666666663</v>
      </c>
      <c r="Z478" s="191" t="s">
        <v>3315</v>
      </c>
      <c r="AB478" s="225">
        <v>202500521</v>
      </c>
      <c r="AC478" s="55" t="s">
        <v>38</v>
      </c>
    </row>
    <row r="479" spans="1:29">
      <c r="B479" s="13" t="str">
        <f t="shared" si="447"/>
        <v>Pendente</v>
      </c>
      <c r="C479" s="14" t="str">
        <f t="shared" si="442"/>
        <v/>
      </c>
      <c r="D479" s="13" t="s">
        <v>611</v>
      </c>
      <c r="E479" s="14" t="str">
        <f t="shared" si="445"/>
        <v/>
      </c>
      <c r="F479" s="13" t="s">
        <v>611</v>
      </c>
      <c r="G479" s="191">
        <v>202500519</v>
      </c>
      <c r="H479" s="191" t="s">
        <v>5756</v>
      </c>
      <c r="I479" s="193" t="s">
        <v>613</v>
      </c>
      <c r="J479" s="194">
        <v>45880</v>
      </c>
      <c r="K479" s="194">
        <v>46239</v>
      </c>
      <c r="L479" s="193" t="s">
        <v>2049</v>
      </c>
      <c r="M479" s="193" t="s">
        <v>2050</v>
      </c>
      <c r="N479" s="13" t="s">
        <v>2051</v>
      </c>
      <c r="O479" s="197" t="s">
        <v>2052</v>
      </c>
      <c r="P479" s="314" t="s">
        <v>57</v>
      </c>
      <c r="Q479" s="13" t="s">
        <v>618</v>
      </c>
      <c r="R479" s="246" t="str">
        <f>VLOOKUP(P479,'Dados das Regiões '!A:B,2,0)</f>
        <v>BELA VISTA DO PARAÍSO</v>
      </c>
      <c r="S479" s="191" t="s">
        <v>5757</v>
      </c>
      <c r="U479" s="191"/>
      <c r="V479" s="191" t="s">
        <v>5758</v>
      </c>
      <c r="W479" s="191" t="s">
        <v>2055</v>
      </c>
      <c r="X479" s="195">
        <v>0.5625</v>
      </c>
      <c r="Y479" s="420">
        <v>0.64583333333333337</v>
      </c>
      <c r="Z479" s="191" t="s">
        <v>3315</v>
      </c>
      <c r="AB479" s="224">
        <v>202500519</v>
      </c>
      <c r="AC479" s="55" t="s">
        <v>36</v>
      </c>
    </row>
    <row r="480" spans="1:29">
      <c r="B480" s="13" t="str">
        <f t="shared" si="447"/>
        <v>Pendente</v>
      </c>
      <c r="C480" s="14" t="str">
        <f t="shared" si="442"/>
        <v/>
      </c>
      <c r="D480" s="13" t="s">
        <v>611</v>
      </c>
      <c r="E480" s="14" t="str">
        <f t="shared" si="445"/>
        <v/>
      </c>
      <c r="F480" s="13" t="s">
        <v>611</v>
      </c>
      <c r="G480" s="191">
        <v>202500520</v>
      </c>
      <c r="H480" s="191" t="s">
        <v>5759</v>
      </c>
      <c r="I480" s="193" t="s">
        <v>1176</v>
      </c>
      <c r="J480" s="194">
        <v>45880</v>
      </c>
      <c r="K480" s="194">
        <v>46239</v>
      </c>
      <c r="L480" s="193" t="s">
        <v>2618</v>
      </c>
      <c r="M480" s="193" t="s">
        <v>2619</v>
      </c>
      <c r="N480" s="13" t="s">
        <v>2620</v>
      </c>
      <c r="O480" s="13" t="s">
        <v>2621</v>
      </c>
      <c r="P480" s="314" t="s">
        <v>491</v>
      </c>
      <c r="Q480" s="13" t="s">
        <v>618</v>
      </c>
      <c r="R480" s="246" t="str">
        <f>VLOOKUP(P480,'Dados das Regiões '!A:B,2,0)</f>
        <v>UMUARAMA</v>
      </c>
      <c r="S480" s="191" t="s">
        <v>3753</v>
      </c>
      <c r="U480" s="191"/>
      <c r="V480" s="191" t="s">
        <v>3754</v>
      </c>
      <c r="W480" s="191" t="s">
        <v>3755</v>
      </c>
      <c r="X480" s="195">
        <v>0.58333333333333337</v>
      </c>
      <c r="Y480" s="420">
        <v>0.66666666666666663</v>
      </c>
      <c r="Z480" s="191" t="s">
        <v>3315</v>
      </c>
      <c r="AB480" s="225">
        <v>202500520</v>
      </c>
      <c r="AC480" s="55" t="s">
        <v>37</v>
      </c>
    </row>
    <row r="481" spans="1:29">
      <c r="B481" s="13" t="str">
        <f t="shared" si="447"/>
        <v>Pendente</v>
      </c>
      <c r="C481" s="14" t="str">
        <f t="shared" si="442"/>
        <v/>
      </c>
      <c r="D481" s="13" t="s">
        <v>611</v>
      </c>
      <c r="E481" s="14" t="str">
        <f t="shared" si="445"/>
        <v/>
      </c>
      <c r="F481" s="13" t="s">
        <v>611</v>
      </c>
      <c r="G481" s="191">
        <v>202500520</v>
      </c>
      <c r="H481" s="191" t="s">
        <v>5760</v>
      </c>
      <c r="I481" s="193" t="s">
        <v>1176</v>
      </c>
      <c r="J481" s="194">
        <v>45880</v>
      </c>
      <c r="K481" s="194">
        <v>46239</v>
      </c>
      <c r="L481" s="193" t="s">
        <v>2618</v>
      </c>
      <c r="M481" s="193" t="s">
        <v>2619</v>
      </c>
      <c r="N481" s="13" t="s">
        <v>2620</v>
      </c>
      <c r="O481" s="13" t="s">
        <v>2621</v>
      </c>
      <c r="P481" s="314" t="s">
        <v>491</v>
      </c>
      <c r="Q481" s="13" t="s">
        <v>618</v>
      </c>
      <c r="R481" s="246" t="str">
        <f>VLOOKUP(P481,'Dados das Regiões '!A:B,2,0)</f>
        <v>UMUARAMA</v>
      </c>
      <c r="S481" s="191" t="s">
        <v>5761</v>
      </c>
      <c r="U481" s="191"/>
      <c r="V481" s="191" t="s">
        <v>4481</v>
      </c>
      <c r="W481" s="191" t="s">
        <v>4482</v>
      </c>
      <c r="X481" s="195">
        <v>0.58333333333333337</v>
      </c>
      <c r="Y481" s="420">
        <v>0.66666666666666663</v>
      </c>
      <c r="Z481" s="191" t="s">
        <v>3315</v>
      </c>
      <c r="AB481" s="224">
        <v>202500520</v>
      </c>
      <c r="AC481" s="55" t="s">
        <v>37</v>
      </c>
    </row>
    <row r="482" spans="1:29">
      <c r="B482" s="13" t="str">
        <f t="shared" si="447"/>
        <v>Pendente</v>
      </c>
      <c r="C482" s="14" t="str">
        <f t="shared" si="442"/>
        <v/>
      </c>
      <c r="D482" s="13" t="s">
        <v>611</v>
      </c>
      <c r="E482" s="14" t="str">
        <f t="shared" si="445"/>
        <v/>
      </c>
      <c r="F482" s="13" t="s">
        <v>611</v>
      </c>
      <c r="G482" s="191">
        <v>202500520</v>
      </c>
      <c r="H482" s="191" t="s">
        <v>5762</v>
      </c>
      <c r="I482" s="193" t="s">
        <v>1176</v>
      </c>
      <c r="J482" s="194">
        <v>45880</v>
      </c>
      <c r="K482" s="194">
        <v>46239</v>
      </c>
      <c r="L482" s="193" t="s">
        <v>2618</v>
      </c>
      <c r="M482" s="193" t="s">
        <v>2619</v>
      </c>
      <c r="N482" s="13" t="s">
        <v>2620</v>
      </c>
      <c r="O482" s="13" t="s">
        <v>2621</v>
      </c>
      <c r="P482" s="314" t="s">
        <v>491</v>
      </c>
      <c r="Q482" s="13" t="s">
        <v>618</v>
      </c>
      <c r="R482" s="246" t="str">
        <f>VLOOKUP(P482,'Dados das Regiões '!A:B,2,0)</f>
        <v>UMUARAMA</v>
      </c>
      <c r="S482" s="191" t="s">
        <v>5763</v>
      </c>
      <c r="U482" s="191"/>
      <c r="V482" s="191" t="s">
        <v>5764</v>
      </c>
      <c r="W482" s="191" t="s">
        <v>5765</v>
      </c>
      <c r="X482" s="195">
        <v>0.33333333333333331</v>
      </c>
      <c r="Y482" s="420">
        <v>0.41666666666666669</v>
      </c>
      <c r="Z482" s="191" t="s">
        <v>3315</v>
      </c>
      <c r="AB482" s="225">
        <v>202500520</v>
      </c>
      <c r="AC482" s="55" t="s">
        <v>37</v>
      </c>
    </row>
    <row r="483" spans="1:29">
      <c r="B483" s="13" t="str">
        <f t="shared" si="447"/>
        <v>Pendente</v>
      </c>
      <c r="C483" s="14" t="str">
        <f t="shared" si="442"/>
        <v/>
      </c>
      <c r="D483" s="13" t="s">
        <v>611</v>
      </c>
      <c r="E483" s="14" t="str">
        <f t="shared" si="445"/>
        <v/>
      </c>
      <c r="F483" s="13" t="s">
        <v>611</v>
      </c>
      <c r="G483" s="191">
        <v>202500520</v>
      </c>
      <c r="H483" s="191" t="s">
        <v>5766</v>
      </c>
      <c r="I483" s="193" t="s">
        <v>1176</v>
      </c>
      <c r="J483" s="194">
        <v>45880</v>
      </c>
      <c r="K483" s="194">
        <v>46239</v>
      </c>
      <c r="L483" s="193" t="s">
        <v>2618</v>
      </c>
      <c r="M483" s="193" t="s">
        <v>2619</v>
      </c>
      <c r="N483" s="13" t="s">
        <v>2620</v>
      </c>
      <c r="O483" s="13" t="s">
        <v>2621</v>
      </c>
      <c r="P483" s="314" t="s">
        <v>491</v>
      </c>
      <c r="Q483" s="13" t="s">
        <v>618</v>
      </c>
      <c r="R483" s="246" t="str">
        <f>VLOOKUP(P483,'Dados das Regiões '!A:B,2,0)</f>
        <v>UMUARAMA</v>
      </c>
      <c r="S483" s="191" t="s">
        <v>5767</v>
      </c>
      <c r="U483" s="191"/>
      <c r="V483" s="191" t="s">
        <v>5768</v>
      </c>
      <c r="W483" s="191" t="s">
        <v>5769</v>
      </c>
      <c r="X483" s="195">
        <v>0.58333333333333337</v>
      </c>
      <c r="Y483" s="420">
        <v>0.66666666666666663</v>
      </c>
      <c r="Z483" s="191" t="s">
        <v>3315</v>
      </c>
      <c r="AB483" s="224">
        <v>202500520</v>
      </c>
      <c r="AC483" s="55" t="s">
        <v>37</v>
      </c>
    </row>
    <row r="484" spans="1:29">
      <c r="B484" s="13" t="str">
        <f t="shared" si="447"/>
        <v>Pendente</v>
      </c>
      <c r="C484" s="14" t="str">
        <f t="shared" si="442"/>
        <v/>
      </c>
      <c r="D484" s="13" t="s">
        <v>611</v>
      </c>
      <c r="E484" s="14" t="str">
        <f t="shared" si="445"/>
        <v/>
      </c>
      <c r="F484" s="13" t="s">
        <v>611</v>
      </c>
      <c r="G484" s="191">
        <v>202500520</v>
      </c>
      <c r="H484" s="191" t="s">
        <v>5770</v>
      </c>
      <c r="I484" s="193" t="s">
        <v>1176</v>
      </c>
      <c r="J484" s="194">
        <v>45880</v>
      </c>
      <c r="K484" s="194">
        <v>46239</v>
      </c>
      <c r="L484" s="193" t="s">
        <v>2618</v>
      </c>
      <c r="M484" s="193" t="s">
        <v>2619</v>
      </c>
      <c r="N484" s="13" t="s">
        <v>2620</v>
      </c>
      <c r="O484" s="13" t="s">
        <v>2621</v>
      </c>
      <c r="P484" s="314" t="s">
        <v>491</v>
      </c>
      <c r="Q484" s="13" t="s">
        <v>618</v>
      </c>
      <c r="R484" s="246" t="str">
        <f>VLOOKUP(P484,'Dados das Regiões '!A:B,2,0)</f>
        <v>UMUARAMA</v>
      </c>
      <c r="S484" s="191" t="s">
        <v>4259</v>
      </c>
      <c r="U484" s="191"/>
      <c r="V484" s="191" t="s">
        <v>5771</v>
      </c>
      <c r="W484" s="191" t="s">
        <v>4261</v>
      </c>
      <c r="X484" s="195">
        <v>0.33333333333333331</v>
      </c>
      <c r="Y484" s="420">
        <v>0.41666666666666669</v>
      </c>
      <c r="Z484" s="191" t="s">
        <v>3315</v>
      </c>
      <c r="AB484" s="225">
        <v>202500520</v>
      </c>
      <c r="AC484" s="55" t="s">
        <v>37</v>
      </c>
    </row>
    <row r="485" spans="1:29">
      <c r="B485" s="13" t="str">
        <f t="shared" si="447"/>
        <v>Pendente</v>
      </c>
      <c r="C485" s="14" t="str">
        <f t="shared" si="442"/>
        <v/>
      </c>
      <c r="D485" s="13" t="s">
        <v>611</v>
      </c>
      <c r="E485" s="14" t="str">
        <f t="shared" si="445"/>
        <v/>
      </c>
      <c r="F485" s="13" t="s">
        <v>611</v>
      </c>
      <c r="G485" s="191">
        <v>202500521</v>
      </c>
      <c r="H485" s="191" t="s">
        <v>5772</v>
      </c>
      <c r="I485" s="193" t="s">
        <v>1192</v>
      </c>
      <c r="J485" s="194">
        <v>45880</v>
      </c>
      <c r="K485" s="194">
        <v>46239</v>
      </c>
      <c r="L485" s="193" t="s">
        <v>2176</v>
      </c>
      <c r="M485" s="193" t="s">
        <v>2309</v>
      </c>
      <c r="N485" s="13" t="s">
        <v>2310</v>
      </c>
      <c r="O485" s="197" t="s">
        <v>3951</v>
      </c>
      <c r="P485" s="314" t="s">
        <v>294</v>
      </c>
      <c r="Q485" s="13" t="s">
        <v>618</v>
      </c>
      <c r="R485" s="246" t="str">
        <f>VLOOKUP(P485,'Dados das Regiões '!A:B,2,0)</f>
        <v>GUARAPUAVA</v>
      </c>
      <c r="S485" s="191" t="s">
        <v>4516</v>
      </c>
      <c r="U485" s="191" t="s">
        <v>2224</v>
      </c>
      <c r="V485" s="191" t="s">
        <v>2224</v>
      </c>
      <c r="W485" s="191" t="s">
        <v>2225</v>
      </c>
      <c r="X485" s="195">
        <v>0.66666666666666663</v>
      </c>
      <c r="Y485" s="420">
        <v>0.75</v>
      </c>
      <c r="Z485" s="191" t="s">
        <v>3315</v>
      </c>
      <c r="AA485" s="36" t="s">
        <v>5773</v>
      </c>
      <c r="AB485" s="224">
        <v>202500521</v>
      </c>
      <c r="AC485" s="55" t="s">
        <v>38</v>
      </c>
    </row>
    <row r="486" spans="1:29">
      <c r="A486" s="14">
        <v>45940</v>
      </c>
      <c r="B486" s="13" t="str">
        <f t="shared" si="447"/>
        <v>Realizada</v>
      </c>
      <c r="C486" s="14">
        <f t="shared" si="442"/>
        <v>46032</v>
      </c>
      <c r="D486" s="13" t="s">
        <v>611</v>
      </c>
      <c r="E486" s="14">
        <f t="shared" si="445"/>
        <v>46122</v>
      </c>
      <c r="F486" s="13" t="s">
        <v>611</v>
      </c>
      <c r="G486" s="191">
        <v>202500521</v>
      </c>
      <c r="H486" s="191" t="s">
        <v>5774</v>
      </c>
      <c r="I486" s="193" t="s">
        <v>1192</v>
      </c>
      <c r="J486" s="194">
        <v>45880</v>
      </c>
      <c r="K486" s="194">
        <v>46239</v>
      </c>
      <c r="L486" s="193" t="s">
        <v>2176</v>
      </c>
      <c r="M486" s="193" t="s">
        <v>2219</v>
      </c>
      <c r="N486" s="13" t="s">
        <v>2220</v>
      </c>
      <c r="O486" s="13" t="s">
        <v>3951</v>
      </c>
      <c r="P486" s="314" t="s">
        <v>294</v>
      </c>
      <c r="Q486" s="13" t="s">
        <v>618</v>
      </c>
      <c r="R486" s="246" t="str">
        <f>VLOOKUP(P486,'Dados das Regiões '!A:B,2,0)</f>
        <v>GUARAPUAVA</v>
      </c>
      <c r="S486" s="191" t="s">
        <v>4516</v>
      </c>
      <c r="U486" s="191" t="s">
        <v>2224</v>
      </c>
      <c r="V486" s="191" t="s">
        <v>2224</v>
      </c>
      <c r="W486" s="191" t="s">
        <v>2225</v>
      </c>
      <c r="X486" s="195">
        <v>0.66666666666666663</v>
      </c>
      <c r="Y486" s="420">
        <v>0.75</v>
      </c>
      <c r="Z486" s="191" t="s">
        <v>3315</v>
      </c>
      <c r="AB486" s="225">
        <v>202500521</v>
      </c>
      <c r="AC486" s="55" t="s">
        <v>38</v>
      </c>
    </row>
    <row r="487" spans="1:29">
      <c r="A487" s="14">
        <v>45940</v>
      </c>
      <c r="B487" s="13" t="str">
        <f t="shared" si="447"/>
        <v>Realizada</v>
      </c>
      <c r="C487" s="14">
        <f t="shared" si="442"/>
        <v>46032</v>
      </c>
      <c r="D487" s="13" t="s">
        <v>611</v>
      </c>
      <c r="E487" s="14">
        <f t="shared" si="445"/>
        <v>46122</v>
      </c>
      <c r="F487" s="13" t="s">
        <v>611</v>
      </c>
      <c r="G487" s="191">
        <v>202500521</v>
      </c>
      <c r="H487" s="191" t="s">
        <v>5775</v>
      </c>
      <c r="I487" s="193" t="s">
        <v>1192</v>
      </c>
      <c r="J487" s="194">
        <v>45880</v>
      </c>
      <c r="K487" s="194">
        <v>46239</v>
      </c>
      <c r="L487" s="193" t="s">
        <v>2176</v>
      </c>
      <c r="M487" s="193" t="s">
        <v>2219</v>
      </c>
      <c r="N487" s="13" t="s">
        <v>2220</v>
      </c>
      <c r="O487" s="13" t="s">
        <v>3951</v>
      </c>
      <c r="P487" s="314" t="s">
        <v>294</v>
      </c>
      <c r="Q487" s="13" t="s">
        <v>618</v>
      </c>
      <c r="R487" s="246" t="str">
        <f>VLOOKUP(P487,'Dados das Regiões '!A:B,2,0)</f>
        <v>GUARAPUAVA</v>
      </c>
      <c r="S487" s="191" t="s">
        <v>5752</v>
      </c>
      <c r="U487" s="191" t="s">
        <v>2224</v>
      </c>
      <c r="V487" s="191" t="s">
        <v>2224</v>
      </c>
      <c r="W487" s="191" t="s">
        <v>2225</v>
      </c>
      <c r="X487" s="195">
        <v>0.58333333333333337</v>
      </c>
      <c r="Y487" s="420">
        <v>0.66666666666666663</v>
      </c>
      <c r="Z487" s="191" t="s">
        <v>3315</v>
      </c>
      <c r="AB487" s="224">
        <v>202500521</v>
      </c>
      <c r="AC487" s="55" t="s">
        <v>38</v>
      </c>
    </row>
    <row r="488" spans="1:29">
      <c r="B488" s="13" t="str">
        <f t="shared" si="447"/>
        <v>Pendente</v>
      </c>
      <c r="C488" s="14" t="str">
        <f t="shared" si="442"/>
        <v/>
      </c>
      <c r="D488" s="13" t="s">
        <v>611</v>
      </c>
      <c r="E488" s="14" t="str">
        <f t="shared" si="445"/>
        <v/>
      </c>
      <c r="F488" s="13" t="s">
        <v>611</v>
      </c>
      <c r="G488" s="191">
        <v>202500521</v>
      </c>
      <c r="H488" s="191" t="s">
        <v>5776</v>
      </c>
      <c r="I488" s="193" t="s">
        <v>1192</v>
      </c>
      <c r="J488" s="194">
        <v>45880</v>
      </c>
      <c r="K488" s="194">
        <v>46239</v>
      </c>
      <c r="L488" s="193" t="s">
        <v>3172</v>
      </c>
      <c r="M488" s="193" t="s">
        <v>5777</v>
      </c>
      <c r="N488" s="13" t="s">
        <v>5778</v>
      </c>
      <c r="O488" s="17" t="s">
        <v>5779</v>
      </c>
      <c r="P488" s="314" t="s">
        <v>511</v>
      </c>
      <c r="Q488" s="13" t="s">
        <v>618</v>
      </c>
      <c r="R488" s="246" t="str">
        <f>VLOOKUP(P488,'Dados das Regiões '!A:B,2,0)</f>
        <v>UNIÃO DA VITÓRIA</v>
      </c>
      <c r="S488" s="191" t="s">
        <v>5780</v>
      </c>
      <c r="U488" s="191" t="s">
        <v>5781</v>
      </c>
      <c r="V488" s="191" t="s">
        <v>5781</v>
      </c>
      <c r="W488" s="191" t="s">
        <v>5782</v>
      </c>
      <c r="X488" s="195">
        <v>0.5625</v>
      </c>
      <c r="Y488" s="420">
        <v>0.64583333333333337</v>
      </c>
      <c r="Z488" s="191" t="s">
        <v>3315</v>
      </c>
      <c r="AB488" s="225">
        <v>202500521</v>
      </c>
      <c r="AC488" s="55" t="s">
        <v>38</v>
      </c>
    </row>
    <row r="489" spans="1:29">
      <c r="B489" s="13" t="str">
        <f t="shared" si="447"/>
        <v>Pendente</v>
      </c>
      <c r="C489" s="14" t="str">
        <f t="shared" ref="C489:C552" si="448">IF(A489="", "", EDATE(A489, 3))</f>
        <v/>
      </c>
      <c r="D489" s="13" t="s">
        <v>611</v>
      </c>
      <c r="E489" s="14" t="str">
        <f t="shared" si="445"/>
        <v/>
      </c>
      <c r="F489" s="13" t="s">
        <v>611</v>
      </c>
      <c r="G489" s="191">
        <v>202500521</v>
      </c>
      <c r="H489" s="191" t="s">
        <v>5783</v>
      </c>
      <c r="I489" s="193" t="s">
        <v>1192</v>
      </c>
      <c r="J489" s="194">
        <v>45880</v>
      </c>
      <c r="K489" s="194">
        <v>46239</v>
      </c>
      <c r="L489" s="193" t="s">
        <v>3172</v>
      </c>
      <c r="M489" s="193" t="s">
        <v>5784</v>
      </c>
      <c r="N489" s="13" t="s">
        <v>5785</v>
      </c>
      <c r="O489" s="17" t="s">
        <v>5786</v>
      </c>
      <c r="P489" s="314" t="s">
        <v>472</v>
      </c>
      <c r="Q489" s="13" t="s">
        <v>618</v>
      </c>
      <c r="R489" s="246" t="str">
        <f>VLOOKUP(P489,'Dados das Regiões '!A:B,2,0)</f>
        <v>SÃO MATEUS DO SUL</v>
      </c>
      <c r="S489" s="191" t="s">
        <v>5787</v>
      </c>
      <c r="U489" s="191" t="s">
        <v>5788</v>
      </c>
      <c r="V489" s="191" t="s">
        <v>5788</v>
      </c>
      <c r="W489" s="191" t="s">
        <v>5789</v>
      </c>
      <c r="X489" s="195">
        <v>0.5625</v>
      </c>
      <c r="Y489" s="420">
        <v>0.64583333333333337</v>
      </c>
      <c r="Z489" s="191" t="s">
        <v>3315</v>
      </c>
      <c r="AB489" s="224">
        <v>202500521</v>
      </c>
      <c r="AC489" s="55" t="s">
        <v>38</v>
      </c>
    </row>
    <row r="490" spans="1:29">
      <c r="B490" s="13" t="str">
        <f t="shared" si="447"/>
        <v>Pendente</v>
      </c>
      <c r="C490" s="14" t="str">
        <f t="shared" si="448"/>
        <v/>
      </c>
      <c r="D490" s="13" t="s">
        <v>611</v>
      </c>
      <c r="E490" s="14" t="str">
        <f t="shared" si="445"/>
        <v/>
      </c>
      <c r="F490" s="13" t="s">
        <v>611</v>
      </c>
      <c r="G490" s="191">
        <v>202500521</v>
      </c>
      <c r="H490" s="191" t="s">
        <v>5790</v>
      </c>
      <c r="I490" s="193" t="s">
        <v>1192</v>
      </c>
      <c r="J490" s="194">
        <v>45880</v>
      </c>
      <c r="K490" s="194">
        <v>46239</v>
      </c>
      <c r="L490" s="193" t="s">
        <v>3172</v>
      </c>
      <c r="M490" s="193" t="s">
        <v>5784</v>
      </c>
      <c r="N490" s="13" t="s">
        <v>5785</v>
      </c>
      <c r="O490" s="197" t="s">
        <v>5786</v>
      </c>
      <c r="P490" s="314" t="s">
        <v>472</v>
      </c>
      <c r="Q490" s="13" t="s">
        <v>618</v>
      </c>
      <c r="R490" s="246" t="str">
        <f>VLOOKUP(P490,'Dados das Regiões '!A:B,2,0)</f>
        <v>SÃO MATEUS DO SUL</v>
      </c>
      <c r="S490" s="191" t="s">
        <v>5787</v>
      </c>
      <c r="U490" s="191" t="s">
        <v>5788</v>
      </c>
      <c r="V490" s="191" t="s">
        <v>5788</v>
      </c>
      <c r="W490" s="191" t="s">
        <v>5789</v>
      </c>
      <c r="X490" s="195">
        <v>0.5625</v>
      </c>
      <c r="Y490" s="420">
        <v>0.64583333333333337</v>
      </c>
      <c r="Z490" s="191" t="s">
        <v>3315</v>
      </c>
      <c r="AB490" s="225">
        <v>202500521</v>
      </c>
      <c r="AC490" s="55" t="s">
        <v>38</v>
      </c>
    </row>
    <row r="491" spans="1:29">
      <c r="B491" s="13" t="str">
        <f t="shared" si="447"/>
        <v>Pendente</v>
      </c>
      <c r="C491" s="14" t="str">
        <f t="shared" si="448"/>
        <v/>
      </c>
      <c r="D491" s="13" t="s">
        <v>611</v>
      </c>
      <c r="E491" s="14" t="str">
        <f t="shared" ref="E491:E554" si="449">IF(C491="", "", EDATE(C491, 3))</f>
        <v/>
      </c>
      <c r="F491" s="13" t="s">
        <v>611</v>
      </c>
      <c r="G491" s="191">
        <v>202500521</v>
      </c>
      <c r="H491" s="191" t="s">
        <v>5791</v>
      </c>
      <c r="I491" s="193" t="s">
        <v>1192</v>
      </c>
      <c r="J491" s="194">
        <v>45880</v>
      </c>
      <c r="K491" s="194">
        <v>46239</v>
      </c>
      <c r="L491" s="193" t="s">
        <v>2176</v>
      </c>
      <c r="M491" s="193" t="s">
        <v>5792</v>
      </c>
      <c r="N491" s="13" t="s">
        <v>5793</v>
      </c>
      <c r="O491" s="17" t="s">
        <v>5794</v>
      </c>
      <c r="P491" s="314" t="s">
        <v>509</v>
      </c>
      <c r="Q491" s="13" t="s">
        <v>618</v>
      </c>
      <c r="R491" s="246" t="str">
        <f>VLOOKUP(P491,'Dados das Regiões '!A:B,2,0)</f>
        <v>UNIÃO DA VITÓRIA</v>
      </c>
      <c r="S491" s="191" t="s">
        <v>5795</v>
      </c>
      <c r="U491" s="191" t="s">
        <v>5796</v>
      </c>
      <c r="V491" s="191" t="s">
        <v>5796</v>
      </c>
      <c r="W491" s="191" t="s">
        <v>5797</v>
      </c>
      <c r="X491" s="195">
        <v>0.58333333333333337</v>
      </c>
      <c r="Y491" s="420">
        <v>0.66666666666666663</v>
      </c>
      <c r="Z491" s="191" t="s">
        <v>3315</v>
      </c>
      <c r="AB491" s="224">
        <v>202500521</v>
      </c>
      <c r="AC491" s="55" t="s">
        <v>38</v>
      </c>
    </row>
    <row r="492" spans="1:29">
      <c r="B492" s="13" t="str">
        <f t="shared" si="447"/>
        <v>Pendente</v>
      </c>
      <c r="C492" s="14" t="str">
        <f t="shared" si="448"/>
        <v/>
      </c>
      <c r="D492" s="13" t="s">
        <v>611</v>
      </c>
      <c r="E492" s="14" t="str">
        <f t="shared" si="449"/>
        <v/>
      </c>
      <c r="F492" s="13" t="s">
        <v>611</v>
      </c>
      <c r="G492" s="191">
        <v>202500521</v>
      </c>
      <c r="H492" s="191" t="s">
        <v>5798</v>
      </c>
      <c r="I492" s="193" t="s">
        <v>1192</v>
      </c>
      <c r="J492" s="194">
        <v>45880</v>
      </c>
      <c r="K492" s="194">
        <v>46239</v>
      </c>
      <c r="L492" s="193" t="s">
        <v>3172</v>
      </c>
      <c r="M492" s="193" t="s">
        <v>5784</v>
      </c>
      <c r="N492" s="13" t="s">
        <v>5785</v>
      </c>
      <c r="O492" s="197" t="s">
        <v>5786</v>
      </c>
      <c r="P492" s="314" t="s">
        <v>472</v>
      </c>
      <c r="Q492" s="13" t="s">
        <v>618</v>
      </c>
      <c r="R492" s="246" t="str">
        <f>VLOOKUP(P492,'Dados das Regiões '!A:B,2,0)</f>
        <v>SÃO MATEUS DO SUL</v>
      </c>
      <c r="S492" s="191" t="s">
        <v>5799</v>
      </c>
      <c r="U492" s="191" t="s">
        <v>5788</v>
      </c>
      <c r="V492" s="191" t="s">
        <v>5788</v>
      </c>
      <c r="W492" s="191" t="s">
        <v>5789</v>
      </c>
      <c r="X492" s="195">
        <v>0.5625</v>
      </c>
      <c r="Y492" s="420">
        <v>0.64583333333333337</v>
      </c>
      <c r="Z492" s="191" t="s">
        <v>3315</v>
      </c>
      <c r="AB492" s="225">
        <v>202500521</v>
      </c>
      <c r="AC492" s="55" t="s">
        <v>38</v>
      </c>
    </row>
    <row r="493" spans="1:29">
      <c r="B493" s="13" t="str">
        <f t="shared" si="447"/>
        <v>Pendente</v>
      </c>
      <c r="C493" s="14" t="str">
        <f t="shared" si="448"/>
        <v/>
      </c>
      <c r="D493" s="13" t="s">
        <v>611</v>
      </c>
      <c r="E493" s="14" t="str">
        <f t="shared" si="449"/>
        <v/>
      </c>
      <c r="F493" s="13" t="s">
        <v>611</v>
      </c>
      <c r="G493" s="191">
        <v>202500519</v>
      </c>
      <c r="H493" s="191" t="s">
        <v>5800</v>
      </c>
      <c r="I493" s="193" t="s">
        <v>613</v>
      </c>
      <c r="J493" s="194">
        <v>45880</v>
      </c>
      <c r="K493" s="194">
        <v>46239</v>
      </c>
      <c r="L493" s="193" t="s">
        <v>5801</v>
      </c>
      <c r="M493" s="193" t="s">
        <v>5802</v>
      </c>
      <c r="N493" s="13" t="s">
        <v>5803</v>
      </c>
      <c r="O493" s="17" t="s">
        <v>5804</v>
      </c>
      <c r="P493" s="314" t="s">
        <v>276</v>
      </c>
      <c r="Q493" s="13" t="s">
        <v>618</v>
      </c>
      <c r="R493" s="246" t="str">
        <f>VLOOKUP(P493,'Dados das Regiões '!A:B,2,0)</f>
        <v>FRANCISCO BELTRÃO</v>
      </c>
      <c r="S493" s="191" t="s">
        <v>5805</v>
      </c>
      <c r="U493" s="191" t="s">
        <v>5806</v>
      </c>
      <c r="V493" s="191" t="s">
        <v>5807</v>
      </c>
      <c r="W493" s="191" t="s">
        <v>5808</v>
      </c>
      <c r="X493" s="195">
        <v>0.58333333333333337</v>
      </c>
      <c r="Y493" s="420">
        <v>0.66666666666666663</v>
      </c>
      <c r="Z493" s="191" t="s">
        <v>3315</v>
      </c>
      <c r="AB493" s="224">
        <v>202500519</v>
      </c>
      <c r="AC493" s="55" t="s">
        <v>36</v>
      </c>
    </row>
    <row r="494" spans="1:29">
      <c r="B494" s="13" t="str">
        <f t="shared" si="447"/>
        <v>Pendente</v>
      </c>
      <c r="C494" s="14" t="str">
        <f t="shared" si="448"/>
        <v/>
      </c>
      <c r="D494" s="13" t="s">
        <v>611</v>
      </c>
      <c r="E494" s="14" t="str">
        <f t="shared" si="449"/>
        <v/>
      </c>
      <c r="F494" s="13" t="s">
        <v>611</v>
      </c>
      <c r="G494" s="191">
        <v>202500519</v>
      </c>
      <c r="H494" s="191" t="s">
        <v>5809</v>
      </c>
      <c r="I494" s="193" t="s">
        <v>613</v>
      </c>
      <c r="J494" s="194">
        <v>45880</v>
      </c>
      <c r="K494" s="194">
        <v>46239</v>
      </c>
      <c r="L494" s="193" t="s">
        <v>5810</v>
      </c>
      <c r="M494" s="193" t="s">
        <v>5811</v>
      </c>
      <c r="N494" s="13" t="s">
        <v>5812</v>
      </c>
      <c r="O494" s="17" t="s">
        <v>5813</v>
      </c>
      <c r="P494" s="314" t="s">
        <v>509</v>
      </c>
      <c r="Q494" s="13" t="s">
        <v>618</v>
      </c>
      <c r="R494" s="246" t="str">
        <f>VLOOKUP(P494,'Dados das Regiões '!A:B,2,0)</f>
        <v>UNIÃO DA VITÓRIA</v>
      </c>
      <c r="S494" s="191" t="s">
        <v>5814</v>
      </c>
      <c r="U494" s="191"/>
      <c r="V494" s="191" t="s">
        <v>5815</v>
      </c>
      <c r="W494" s="191" t="s">
        <v>5816</v>
      </c>
      <c r="X494" s="195">
        <v>0.58333333333333337</v>
      </c>
      <c r="Y494" s="420">
        <v>0.66666666666666663</v>
      </c>
      <c r="Z494" s="191" t="s">
        <v>3315</v>
      </c>
      <c r="AB494" s="225">
        <v>202500519</v>
      </c>
      <c r="AC494" s="55" t="s">
        <v>36</v>
      </c>
    </row>
    <row r="495" spans="1:29">
      <c r="B495" s="13" t="str">
        <f t="shared" si="447"/>
        <v>Pendente</v>
      </c>
      <c r="C495" s="14" t="str">
        <f t="shared" si="448"/>
        <v/>
      </c>
      <c r="D495" s="13" t="s">
        <v>611</v>
      </c>
      <c r="E495" s="14" t="str">
        <f t="shared" si="449"/>
        <v/>
      </c>
      <c r="F495" s="13" t="s">
        <v>611</v>
      </c>
      <c r="G495" s="191">
        <v>202500519</v>
      </c>
      <c r="H495" s="191" t="s">
        <v>5817</v>
      </c>
      <c r="I495" s="193" t="s">
        <v>613</v>
      </c>
      <c r="J495" s="194">
        <v>45880</v>
      </c>
      <c r="K495" s="194">
        <v>46239</v>
      </c>
      <c r="L495" s="193" t="s">
        <v>5810</v>
      </c>
      <c r="M495" s="193" t="s">
        <v>5811</v>
      </c>
      <c r="N495" s="13" t="s">
        <v>5812</v>
      </c>
      <c r="O495" s="17" t="s">
        <v>5813</v>
      </c>
      <c r="P495" s="314" t="s">
        <v>509</v>
      </c>
      <c r="Q495" s="13" t="s">
        <v>618</v>
      </c>
      <c r="R495" s="246" t="str">
        <f>VLOOKUP(P495,'Dados das Regiões '!A:B,2,0)</f>
        <v>UNIÃO DA VITÓRIA</v>
      </c>
      <c r="S495" s="191" t="s">
        <v>5818</v>
      </c>
      <c r="U495" s="191"/>
      <c r="V495" s="191" t="s">
        <v>5815</v>
      </c>
      <c r="W495" s="191" t="s">
        <v>5816</v>
      </c>
      <c r="X495" s="195">
        <v>0.33333333333333331</v>
      </c>
      <c r="Y495" s="420">
        <v>0.41666666666666669</v>
      </c>
      <c r="Z495" s="191" t="s">
        <v>3315</v>
      </c>
      <c r="AB495" s="224">
        <v>202500519</v>
      </c>
      <c r="AC495" s="55" t="s">
        <v>36</v>
      </c>
    </row>
    <row r="496" spans="1:29">
      <c r="A496" s="14">
        <v>45936</v>
      </c>
      <c r="B496" s="13" t="str">
        <f t="shared" si="447"/>
        <v>Realizada</v>
      </c>
      <c r="C496" s="14">
        <f t="shared" si="448"/>
        <v>46028</v>
      </c>
      <c r="D496" s="13" t="s">
        <v>611</v>
      </c>
      <c r="E496" s="14">
        <f t="shared" si="449"/>
        <v>46118</v>
      </c>
      <c r="F496" s="13" t="s">
        <v>611</v>
      </c>
      <c r="G496" s="191">
        <v>202500519</v>
      </c>
      <c r="H496" s="191" t="s">
        <v>3149</v>
      </c>
      <c r="I496" s="193" t="s">
        <v>613</v>
      </c>
      <c r="J496" s="194">
        <v>45880</v>
      </c>
      <c r="K496" s="194">
        <v>46239</v>
      </c>
      <c r="L496" s="193" t="s">
        <v>3150</v>
      </c>
      <c r="M496" s="193" t="s">
        <v>5819</v>
      </c>
      <c r="N496" s="13" t="s">
        <v>3144</v>
      </c>
      <c r="O496" s="17" t="s">
        <v>3151</v>
      </c>
      <c r="P496" s="318" t="s">
        <v>302</v>
      </c>
      <c r="Q496" s="13" t="s">
        <v>618</v>
      </c>
      <c r="R496" s="246" t="str">
        <f>VLOOKUP(P496,'Dados das Regiões '!A:B,2,0)</f>
        <v>IRATI</v>
      </c>
      <c r="S496" s="191" t="s">
        <v>3152</v>
      </c>
      <c r="U496" s="191" t="s">
        <v>5820</v>
      </c>
      <c r="V496" s="191" t="s">
        <v>3153</v>
      </c>
      <c r="W496" s="191" t="s">
        <v>3154</v>
      </c>
      <c r="X496" s="195">
        <v>0.5625</v>
      </c>
      <c r="Y496" s="420">
        <v>0.64583333333333337</v>
      </c>
      <c r="Z496" s="191" t="s">
        <v>3315</v>
      </c>
      <c r="AB496" s="225">
        <v>202500519</v>
      </c>
      <c r="AC496" s="55" t="s">
        <v>36</v>
      </c>
    </row>
    <row r="497" spans="1:29">
      <c r="B497" s="13" t="str">
        <f t="shared" si="447"/>
        <v>Pendente</v>
      </c>
      <c r="C497" s="14" t="str">
        <f t="shared" si="448"/>
        <v/>
      </c>
      <c r="D497" s="13" t="s">
        <v>611</v>
      </c>
      <c r="E497" s="14" t="str">
        <f t="shared" si="449"/>
        <v/>
      </c>
      <c r="F497" s="13" t="s">
        <v>611</v>
      </c>
      <c r="G497" s="191">
        <v>202500519</v>
      </c>
      <c r="H497" s="191" t="s">
        <v>5821</v>
      </c>
      <c r="I497" s="193" t="s">
        <v>613</v>
      </c>
      <c r="J497" s="194">
        <v>45880</v>
      </c>
      <c r="K497" s="194">
        <v>46239</v>
      </c>
      <c r="L497" s="193" t="s">
        <v>5822</v>
      </c>
      <c r="M497" s="193" t="s">
        <v>5823</v>
      </c>
      <c r="N497" s="13" t="s">
        <v>5824</v>
      </c>
      <c r="O497" s="17" t="s">
        <v>5825</v>
      </c>
      <c r="P497" s="314" t="s">
        <v>269</v>
      </c>
      <c r="Q497" s="13" t="s">
        <v>618</v>
      </c>
      <c r="R497" s="246" t="str">
        <f>VLOOKUP(P497,'Dados das Regiões '!A:B,2,0)</f>
        <v>FRANCISCO BELTRÃO</v>
      </c>
      <c r="S497" s="191" t="s">
        <v>5826</v>
      </c>
      <c r="U497" s="191" t="s">
        <v>5827</v>
      </c>
      <c r="V497" s="191" t="s">
        <v>5828</v>
      </c>
      <c r="W497" s="191" t="s">
        <v>5829</v>
      </c>
      <c r="X497" s="195">
        <v>0.55208333333333337</v>
      </c>
      <c r="Y497" s="420">
        <v>0.63541666666666663</v>
      </c>
      <c r="Z497" s="191" t="s">
        <v>3315</v>
      </c>
      <c r="AB497" s="224">
        <v>202500519</v>
      </c>
      <c r="AC497" s="55" t="s">
        <v>36</v>
      </c>
    </row>
    <row r="498" spans="1:29">
      <c r="B498" s="13" t="str">
        <f t="shared" si="447"/>
        <v>Pendente</v>
      </c>
      <c r="C498" s="14" t="str">
        <f t="shared" si="448"/>
        <v/>
      </c>
      <c r="D498" s="13" t="s">
        <v>611</v>
      </c>
      <c r="E498" s="14" t="str">
        <f t="shared" si="449"/>
        <v/>
      </c>
      <c r="F498" s="13" t="s">
        <v>611</v>
      </c>
      <c r="G498" s="191">
        <v>202500519</v>
      </c>
      <c r="H498" s="191" t="s">
        <v>5830</v>
      </c>
      <c r="I498" s="193" t="s">
        <v>613</v>
      </c>
      <c r="J498" s="194">
        <v>45880</v>
      </c>
      <c r="K498" s="194">
        <v>46239</v>
      </c>
      <c r="L498" s="193" t="s">
        <v>2734</v>
      </c>
      <c r="M498" s="193" t="s">
        <v>2742</v>
      </c>
      <c r="N498" s="13" t="s">
        <v>2743</v>
      </c>
      <c r="O498" s="13" t="s">
        <v>2744</v>
      </c>
      <c r="P498" s="314" t="s">
        <v>53</v>
      </c>
      <c r="Q498" s="13" t="s">
        <v>618</v>
      </c>
      <c r="R498" s="246" t="str">
        <f>VLOOKUP(P498,'Dados das Regiões '!A:B,2,0)</f>
        <v>GOIOERÊ</v>
      </c>
      <c r="S498" s="191" t="s">
        <v>5831</v>
      </c>
      <c r="U498" s="191" t="s">
        <v>5832</v>
      </c>
      <c r="V498" s="191" t="s">
        <v>5833</v>
      </c>
      <c r="W498" s="191" t="s">
        <v>5834</v>
      </c>
      <c r="X498" s="195">
        <v>0.5625</v>
      </c>
      <c r="Y498" s="420">
        <v>0.64583333333333337</v>
      </c>
      <c r="Z498" s="191" t="s">
        <v>3315</v>
      </c>
      <c r="AB498" s="225">
        <v>202500519</v>
      </c>
      <c r="AC498" s="55" t="s">
        <v>36</v>
      </c>
    </row>
    <row r="499" spans="1:29">
      <c r="A499" s="14">
        <v>45936</v>
      </c>
      <c r="B499" s="13" t="str">
        <f t="shared" si="447"/>
        <v>Realizada</v>
      </c>
      <c r="C499" s="14">
        <f t="shared" si="448"/>
        <v>46028</v>
      </c>
      <c r="D499" s="13" t="s">
        <v>611</v>
      </c>
      <c r="E499" s="14">
        <f t="shared" si="449"/>
        <v>46118</v>
      </c>
      <c r="F499" s="13" t="s">
        <v>611</v>
      </c>
      <c r="G499" s="191">
        <v>202500519</v>
      </c>
      <c r="H499" s="191" t="s">
        <v>3159</v>
      </c>
      <c r="I499" s="193" t="s">
        <v>613</v>
      </c>
      <c r="J499" s="194">
        <v>45880</v>
      </c>
      <c r="K499" s="194">
        <v>46239</v>
      </c>
      <c r="L499" s="193" t="s">
        <v>3160</v>
      </c>
      <c r="M499" s="193" t="s">
        <v>5835</v>
      </c>
      <c r="N499" s="13" t="s">
        <v>5836</v>
      </c>
      <c r="O499" s="17" t="s">
        <v>5837</v>
      </c>
      <c r="P499" s="318" t="s">
        <v>306</v>
      </c>
      <c r="Q499" s="13" t="s">
        <v>618</v>
      </c>
      <c r="R499" s="246" t="str">
        <f>VLOOKUP(P499,'Dados das Regiões '!A:B,2,0)</f>
        <v>IRATI</v>
      </c>
      <c r="S499" s="191" t="s">
        <v>3163</v>
      </c>
      <c r="U499" s="191"/>
      <c r="V499" s="191" t="s">
        <v>3164</v>
      </c>
      <c r="W499" s="191" t="s">
        <v>3165</v>
      </c>
      <c r="X499" s="195">
        <v>0.54166666666666663</v>
      </c>
      <c r="Y499" s="420">
        <v>0.625</v>
      </c>
      <c r="Z499" s="191" t="s">
        <v>3315</v>
      </c>
      <c r="AB499" s="224">
        <v>202500519</v>
      </c>
      <c r="AC499" s="55" t="s">
        <v>36</v>
      </c>
    </row>
    <row r="500" spans="1:29">
      <c r="B500" s="13" t="str">
        <f t="shared" si="447"/>
        <v>Pendente</v>
      </c>
      <c r="C500" s="14" t="str">
        <f t="shared" si="448"/>
        <v/>
      </c>
      <c r="D500" s="13" t="s">
        <v>611</v>
      </c>
      <c r="E500" s="14" t="str">
        <f t="shared" si="449"/>
        <v/>
      </c>
      <c r="F500" s="13" t="s">
        <v>611</v>
      </c>
      <c r="G500" s="191">
        <v>202500519</v>
      </c>
      <c r="H500" s="191" t="s">
        <v>5838</v>
      </c>
      <c r="I500" s="193" t="s">
        <v>613</v>
      </c>
      <c r="J500" s="194">
        <v>45880</v>
      </c>
      <c r="K500" s="194">
        <v>46239</v>
      </c>
      <c r="L500" s="193" t="s">
        <v>5839</v>
      </c>
      <c r="M500" s="193" t="s">
        <v>5840</v>
      </c>
      <c r="N500" s="13" t="s">
        <v>5841</v>
      </c>
      <c r="O500" s="17" t="s">
        <v>5842</v>
      </c>
      <c r="P500" s="314" t="s">
        <v>433</v>
      </c>
      <c r="Q500" s="13" t="s">
        <v>618</v>
      </c>
      <c r="R500" s="246" t="str">
        <f>VLOOKUP(P500,'Dados das Regiões '!A:B,2,0)</f>
        <v>PARANAVAÍ</v>
      </c>
      <c r="S500" s="191" t="s">
        <v>5843</v>
      </c>
      <c r="U500" s="191"/>
      <c r="V500" s="191" t="s">
        <v>5844</v>
      </c>
      <c r="W500" s="191" t="s">
        <v>5845</v>
      </c>
      <c r="X500" s="195">
        <v>0.58333333333333337</v>
      </c>
      <c r="Y500" s="420">
        <v>0.66666666666666663</v>
      </c>
      <c r="Z500" s="191" t="s">
        <v>3315</v>
      </c>
      <c r="AB500" s="225">
        <v>202500519</v>
      </c>
      <c r="AC500" s="55" t="s">
        <v>36</v>
      </c>
    </row>
    <row r="501" spans="1:29">
      <c r="B501" s="13" t="str">
        <f t="shared" ref="B501:B563" si="450">IF(ISBLANK(A501), "Pendente", "Realizada")</f>
        <v>Pendente</v>
      </c>
      <c r="C501" s="14" t="str">
        <f t="shared" si="448"/>
        <v/>
      </c>
      <c r="D501" s="13" t="s">
        <v>611</v>
      </c>
      <c r="E501" s="14" t="str">
        <f t="shared" si="449"/>
        <v/>
      </c>
      <c r="F501" s="13" t="s">
        <v>611</v>
      </c>
      <c r="G501" s="191">
        <v>202500520</v>
      </c>
      <c r="H501" s="191" t="s">
        <v>5846</v>
      </c>
      <c r="I501" s="193" t="s">
        <v>1176</v>
      </c>
      <c r="J501" s="194">
        <v>45880</v>
      </c>
      <c r="K501" s="194">
        <v>46239</v>
      </c>
      <c r="L501" s="193" t="s">
        <v>1889</v>
      </c>
      <c r="M501" s="193" t="s">
        <v>1890</v>
      </c>
      <c r="N501" s="13" t="s">
        <v>1891</v>
      </c>
      <c r="O501" s="197" t="s">
        <v>1892</v>
      </c>
      <c r="P501" s="314" t="s">
        <v>208</v>
      </c>
      <c r="Q501" s="13" t="s">
        <v>618</v>
      </c>
      <c r="R501" s="246" t="str">
        <f>VLOOKUP(P501,'Dados das Regiões '!A:B,2,0)</f>
        <v>CASTRO</v>
      </c>
      <c r="S501" s="191" t="s">
        <v>5847</v>
      </c>
      <c r="U501" s="191"/>
      <c r="V501" s="191" t="s">
        <v>1894</v>
      </c>
      <c r="W501" s="191" t="s">
        <v>1895</v>
      </c>
      <c r="X501" s="195">
        <v>0.58333333333333337</v>
      </c>
      <c r="Y501" s="420">
        <v>0.66666666666666663</v>
      </c>
      <c r="Z501" s="191" t="s">
        <v>3315</v>
      </c>
      <c r="AB501" s="224">
        <v>202500520</v>
      </c>
      <c r="AC501" s="55" t="s">
        <v>37</v>
      </c>
    </row>
    <row r="502" spans="1:29">
      <c r="B502" s="13" t="str">
        <f t="shared" si="450"/>
        <v>Pendente</v>
      </c>
      <c r="C502" s="14" t="str">
        <f t="shared" si="448"/>
        <v/>
      </c>
      <c r="D502" s="13" t="s">
        <v>611</v>
      </c>
      <c r="E502" s="14" t="str">
        <f t="shared" si="449"/>
        <v/>
      </c>
      <c r="F502" s="13" t="s">
        <v>611</v>
      </c>
      <c r="G502" s="191">
        <v>202500521</v>
      </c>
      <c r="H502" s="191" t="s">
        <v>5848</v>
      </c>
      <c r="I502" s="193" t="s">
        <v>1192</v>
      </c>
      <c r="J502" s="194">
        <v>45880</v>
      </c>
      <c r="K502" s="194">
        <v>46239</v>
      </c>
      <c r="L502" s="193" t="s">
        <v>2176</v>
      </c>
      <c r="M502" s="193" t="s">
        <v>5792</v>
      </c>
      <c r="N502" s="13" t="s">
        <v>5793</v>
      </c>
      <c r="O502" s="17" t="s">
        <v>5794</v>
      </c>
      <c r="P502" s="314" t="s">
        <v>509</v>
      </c>
      <c r="Q502" s="13" t="s">
        <v>618</v>
      </c>
      <c r="R502" s="246" t="str">
        <f>VLOOKUP(P502,'Dados das Regiões '!A:B,2,0)</f>
        <v>UNIÃO DA VITÓRIA</v>
      </c>
      <c r="S502" s="191" t="s">
        <v>5795</v>
      </c>
      <c r="U502" s="191" t="s">
        <v>5796</v>
      </c>
      <c r="V502" s="191" t="s">
        <v>5796</v>
      </c>
      <c r="W502" s="191" t="s">
        <v>5797</v>
      </c>
      <c r="X502" s="195">
        <v>0.66666666666666663</v>
      </c>
      <c r="Y502" s="420">
        <v>0.75</v>
      </c>
      <c r="Z502" s="191" t="s">
        <v>3315</v>
      </c>
      <c r="AB502" s="225">
        <v>202500521</v>
      </c>
      <c r="AC502" s="55" t="s">
        <v>38</v>
      </c>
    </row>
    <row r="503" spans="1:29">
      <c r="B503" s="13" t="str">
        <f t="shared" si="450"/>
        <v>Pendente</v>
      </c>
      <c r="C503" s="14" t="str">
        <f t="shared" si="448"/>
        <v/>
      </c>
      <c r="D503" s="13" t="s">
        <v>611</v>
      </c>
      <c r="E503" s="14" t="str">
        <f t="shared" si="449"/>
        <v/>
      </c>
      <c r="F503" s="13" t="s">
        <v>611</v>
      </c>
      <c r="G503" s="191">
        <v>202500519</v>
      </c>
      <c r="H503" s="191" t="s">
        <v>5849</v>
      </c>
      <c r="I503" s="193" t="s">
        <v>613</v>
      </c>
      <c r="J503" s="194">
        <v>45880</v>
      </c>
      <c r="K503" s="194">
        <v>46239</v>
      </c>
      <c r="L503" s="193" t="s">
        <v>2870</v>
      </c>
      <c r="M503" s="193" t="s">
        <v>2871</v>
      </c>
      <c r="N503" s="13" t="s">
        <v>2872</v>
      </c>
      <c r="O503" s="197" t="s">
        <v>2873</v>
      </c>
      <c r="P503" s="314" t="s">
        <v>80</v>
      </c>
      <c r="Q503" s="13" t="s">
        <v>618</v>
      </c>
      <c r="R503" s="246" t="str">
        <f>VLOOKUP(P503,'Dados das Regiões '!A:B,2,0)</f>
        <v>FRANCISCO BELTRÃO</v>
      </c>
      <c r="S503" s="191" t="s">
        <v>5850</v>
      </c>
      <c r="U503" s="191" t="s">
        <v>5851</v>
      </c>
      <c r="V503" s="191" t="s">
        <v>5851</v>
      </c>
      <c r="W503" s="191" t="s">
        <v>5852</v>
      </c>
      <c r="X503" s="195">
        <v>0.33333333333333331</v>
      </c>
      <c r="Y503" s="420">
        <v>0.41666666666666669</v>
      </c>
      <c r="Z503" s="191" t="s">
        <v>3315</v>
      </c>
      <c r="AB503" s="224">
        <v>202500519</v>
      </c>
      <c r="AC503" s="55" t="s">
        <v>36</v>
      </c>
    </row>
    <row r="504" spans="1:29">
      <c r="B504" s="13" t="str">
        <f t="shared" si="450"/>
        <v>Pendente</v>
      </c>
      <c r="C504" s="14" t="str">
        <f t="shared" si="448"/>
        <v/>
      </c>
      <c r="D504" s="13" t="s">
        <v>611</v>
      </c>
      <c r="E504" s="14" t="str">
        <f t="shared" si="449"/>
        <v/>
      </c>
      <c r="F504" s="13" t="s">
        <v>611</v>
      </c>
      <c r="G504" s="191">
        <v>202500521</v>
      </c>
      <c r="H504" s="191" t="s">
        <v>5853</v>
      </c>
      <c r="I504" s="193" t="s">
        <v>1192</v>
      </c>
      <c r="J504" s="194">
        <v>45880</v>
      </c>
      <c r="K504" s="194">
        <v>46239</v>
      </c>
      <c r="L504" s="193" t="s">
        <v>2176</v>
      </c>
      <c r="M504" s="193" t="s">
        <v>2177</v>
      </c>
      <c r="N504" s="13" t="s">
        <v>2178</v>
      </c>
      <c r="O504" s="13" t="s">
        <v>4532</v>
      </c>
      <c r="P504" s="314" t="s">
        <v>196</v>
      </c>
      <c r="Q504" s="13" t="s">
        <v>618</v>
      </c>
      <c r="R504" s="246" t="str">
        <f>VLOOKUP(P504,'Dados das Regiões '!A:B,2,0)</f>
        <v>CASCAVEL</v>
      </c>
      <c r="S504" s="191" t="s">
        <v>5854</v>
      </c>
      <c r="U504" s="191" t="s">
        <v>5796</v>
      </c>
      <c r="V504" s="191" t="s">
        <v>5796</v>
      </c>
      <c r="W504" s="191" t="s">
        <v>5797</v>
      </c>
      <c r="X504" s="195">
        <v>0.58333333333333337</v>
      </c>
      <c r="Y504" s="420">
        <v>0.66666666666666663</v>
      </c>
      <c r="Z504" s="191" t="s">
        <v>3315</v>
      </c>
      <c r="AB504" s="225">
        <v>202500521</v>
      </c>
      <c r="AC504" s="55" t="s">
        <v>38</v>
      </c>
    </row>
    <row r="505" spans="1:29">
      <c r="A505" s="14">
        <v>45937</v>
      </c>
      <c r="B505" s="13" t="str">
        <f t="shared" si="450"/>
        <v>Realizada</v>
      </c>
      <c r="C505" s="14">
        <f t="shared" si="448"/>
        <v>46029</v>
      </c>
      <c r="D505" s="13" t="s">
        <v>611</v>
      </c>
      <c r="E505" s="14">
        <f t="shared" si="449"/>
        <v>46119</v>
      </c>
      <c r="F505" s="13" t="s">
        <v>611</v>
      </c>
      <c r="G505" s="191">
        <v>202500521</v>
      </c>
      <c r="H505" s="191" t="s">
        <v>3178</v>
      </c>
      <c r="I505" s="193" t="s">
        <v>1192</v>
      </c>
      <c r="J505" s="194">
        <v>45880</v>
      </c>
      <c r="K505" s="194">
        <v>46239</v>
      </c>
      <c r="L505" s="193" t="s">
        <v>3172</v>
      </c>
      <c r="M505" s="193" t="s">
        <v>4766</v>
      </c>
      <c r="N505" s="13" t="s">
        <v>3173</v>
      </c>
      <c r="O505" s="197" t="s">
        <v>3174</v>
      </c>
      <c r="P505" s="318" t="s">
        <v>304</v>
      </c>
      <c r="Q505" s="13" t="s">
        <v>618</v>
      </c>
      <c r="R505" s="246" t="str">
        <f>VLOOKUP(P505,'Dados das Regiões '!A:B,2,0)</f>
        <v>IRATI</v>
      </c>
      <c r="S505" s="191" t="s">
        <v>3175</v>
      </c>
      <c r="U505" s="191" t="s">
        <v>3176</v>
      </c>
      <c r="V505" s="191" t="s">
        <v>3176</v>
      </c>
      <c r="W505" s="191" t="s">
        <v>3177</v>
      </c>
      <c r="X505" s="195">
        <v>0.5625</v>
      </c>
      <c r="Y505" s="420">
        <v>0.64583333333333337</v>
      </c>
      <c r="Z505" s="191" t="s">
        <v>3315</v>
      </c>
      <c r="AB505" s="224">
        <v>202500521</v>
      </c>
      <c r="AC505" s="55" t="s">
        <v>38</v>
      </c>
    </row>
    <row r="506" spans="1:29">
      <c r="A506" s="14">
        <v>45937</v>
      </c>
      <c r="B506" s="13" t="str">
        <f t="shared" si="450"/>
        <v>Realizada</v>
      </c>
      <c r="C506" s="14">
        <f t="shared" si="448"/>
        <v>46029</v>
      </c>
      <c r="D506" s="13" t="s">
        <v>611</v>
      </c>
      <c r="E506" s="14">
        <f t="shared" si="449"/>
        <v>46119</v>
      </c>
      <c r="F506" s="13" t="s">
        <v>611</v>
      </c>
      <c r="G506" s="191">
        <v>202500521</v>
      </c>
      <c r="H506" s="191" t="s">
        <v>3179</v>
      </c>
      <c r="I506" s="193" t="s">
        <v>1192</v>
      </c>
      <c r="J506" s="194">
        <v>45880</v>
      </c>
      <c r="K506" s="194">
        <v>46239</v>
      </c>
      <c r="L506" s="193" t="s">
        <v>3172</v>
      </c>
      <c r="M506" s="193" t="s">
        <v>4766</v>
      </c>
      <c r="N506" s="13" t="s">
        <v>3173</v>
      </c>
      <c r="O506" s="197" t="s">
        <v>3174</v>
      </c>
      <c r="P506" s="318" t="s">
        <v>304</v>
      </c>
      <c r="Q506" s="13" t="s">
        <v>618</v>
      </c>
      <c r="R506" s="246" t="str">
        <f>VLOOKUP(P506,'Dados das Regiões '!A:B,2,0)</f>
        <v>IRATI</v>
      </c>
      <c r="S506" s="191" t="s">
        <v>4767</v>
      </c>
      <c r="U506" s="191" t="s">
        <v>3176</v>
      </c>
      <c r="V506" s="191" t="s">
        <v>3176</v>
      </c>
      <c r="W506" s="191" t="s">
        <v>3177</v>
      </c>
      <c r="X506" s="195">
        <v>0.5625</v>
      </c>
      <c r="Y506" s="420">
        <v>0.64583333333333337</v>
      </c>
      <c r="Z506" s="191" t="s">
        <v>3315</v>
      </c>
      <c r="AB506" s="225">
        <v>202500521</v>
      </c>
      <c r="AC506" s="55" t="s">
        <v>38</v>
      </c>
    </row>
    <row r="507" spans="1:29">
      <c r="A507" s="14">
        <v>45938</v>
      </c>
      <c r="B507" s="13" t="str">
        <f t="shared" si="450"/>
        <v>Realizada</v>
      </c>
      <c r="C507" s="14">
        <f t="shared" si="448"/>
        <v>46030</v>
      </c>
      <c r="D507" s="13" t="s">
        <v>611</v>
      </c>
      <c r="E507" s="14">
        <f t="shared" si="449"/>
        <v>46120</v>
      </c>
      <c r="F507" s="13" t="s">
        <v>611</v>
      </c>
      <c r="G507" s="191">
        <v>202500867</v>
      </c>
      <c r="H507" s="191" t="s">
        <v>3180</v>
      </c>
      <c r="I507" s="193" t="s">
        <v>1176</v>
      </c>
      <c r="J507" s="194">
        <v>45880</v>
      </c>
      <c r="K507" s="194">
        <v>46239</v>
      </c>
      <c r="L507" s="193" t="s">
        <v>1185</v>
      </c>
      <c r="M507" s="193" t="s">
        <v>2563</v>
      </c>
      <c r="N507" s="13" t="s">
        <v>2564</v>
      </c>
      <c r="O507" s="17" t="s">
        <v>2565</v>
      </c>
      <c r="P507" s="318" t="s">
        <v>304</v>
      </c>
      <c r="Q507" s="13" t="s">
        <v>618</v>
      </c>
      <c r="R507" s="246" t="str">
        <f>VLOOKUP(P507,'Dados das Regiões '!A:B,2,0)</f>
        <v>IRATI</v>
      </c>
      <c r="S507" s="191" t="s">
        <v>2566</v>
      </c>
      <c r="U507" s="191" t="s">
        <v>5855</v>
      </c>
      <c r="V507" s="191" t="s">
        <v>2568</v>
      </c>
      <c r="W507" s="191" t="s">
        <v>3181</v>
      </c>
      <c r="X507" s="195">
        <v>0.54166666666666663</v>
      </c>
      <c r="Y507" s="420">
        <v>0.625</v>
      </c>
      <c r="Z507" s="191" t="s">
        <v>3315</v>
      </c>
      <c r="AB507" s="224">
        <v>202500521</v>
      </c>
      <c r="AC507" s="55" t="s">
        <v>38</v>
      </c>
    </row>
    <row r="508" spans="1:29">
      <c r="B508" s="13" t="str">
        <f t="shared" si="450"/>
        <v>Pendente</v>
      </c>
      <c r="C508" s="14" t="str">
        <f t="shared" si="448"/>
        <v/>
      </c>
      <c r="D508" s="13" t="s">
        <v>611</v>
      </c>
      <c r="E508" s="14" t="str">
        <f t="shared" si="449"/>
        <v/>
      </c>
      <c r="F508" s="13" t="s">
        <v>611</v>
      </c>
      <c r="G508" s="191">
        <v>202500521</v>
      </c>
      <c r="H508" s="191" t="s">
        <v>5856</v>
      </c>
      <c r="I508" s="193" t="s">
        <v>1192</v>
      </c>
      <c r="J508" s="194">
        <v>45880</v>
      </c>
      <c r="K508" s="194">
        <v>46239</v>
      </c>
      <c r="L508" s="193" t="s">
        <v>3172</v>
      </c>
      <c r="M508" s="193" t="s">
        <v>5857</v>
      </c>
      <c r="N508" s="13" t="s">
        <v>5858</v>
      </c>
      <c r="O508" s="17" t="s">
        <v>5859</v>
      </c>
      <c r="P508" s="314" t="s">
        <v>471</v>
      </c>
      <c r="Q508" s="13" t="s">
        <v>618</v>
      </c>
      <c r="R508" s="246" t="str">
        <f>VLOOKUP(P508,'Dados das Regiões '!A:B,2,0)</f>
        <v>SÃO MATEUS DO SUL</v>
      </c>
      <c r="S508" s="191" t="s">
        <v>5860</v>
      </c>
      <c r="U508" s="191" t="s">
        <v>5861</v>
      </c>
      <c r="V508" s="191" t="s">
        <v>5861</v>
      </c>
      <c r="W508" s="191" t="s">
        <v>5862</v>
      </c>
      <c r="X508" s="195">
        <v>0.5625</v>
      </c>
      <c r="Y508" s="420">
        <v>0.64583333333333337</v>
      </c>
      <c r="Z508" s="191" t="s">
        <v>3315</v>
      </c>
      <c r="AB508" s="225">
        <v>202500521</v>
      </c>
      <c r="AC508" s="55" t="s">
        <v>38</v>
      </c>
    </row>
    <row r="509" spans="1:29">
      <c r="A509" s="14">
        <v>45936</v>
      </c>
      <c r="B509" s="13" t="str">
        <f t="shared" si="450"/>
        <v>Realizada</v>
      </c>
      <c r="C509" s="14">
        <f t="shared" si="448"/>
        <v>46028</v>
      </c>
      <c r="D509" s="13" t="s">
        <v>611</v>
      </c>
      <c r="E509" s="14">
        <f t="shared" si="449"/>
        <v>46118</v>
      </c>
      <c r="F509" s="13" t="s">
        <v>611</v>
      </c>
      <c r="G509" s="191">
        <v>202500521</v>
      </c>
      <c r="H509" s="191" t="s">
        <v>3182</v>
      </c>
      <c r="I509" s="193" t="s">
        <v>1192</v>
      </c>
      <c r="J509" s="194">
        <v>45880</v>
      </c>
      <c r="K509" s="194">
        <v>46239</v>
      </c>
      <c r="L509" s="193" t="s">
        <v>3172</v>
      </c>
      <c r="M509" s="193" t="s">
        <v>5863</v>
      </c>
      <c r="N509" s="13" t="s">
        <v>3183</v>
      </c>
      <c r="O509" s="17" t="s">
        <v>3184</v>
      </c>
      <c r="P509" s="318" t="s">
        <v>304</v>
      </c>
      <c r="Q509" s="13" t="s">
        <v>618</v>
      </c>
      <c r="R509" s="246" t="str">
        <f>VLOOKUP(P509,'Dados das Regiões '!A:B,2,0)</f>
        <v>IRATI</v>
      </c>
      <c r="S509" s="191" t="s">
        <v>3185</v>
      </c>
      <c r="U509" s="191" t="s">
        <v>3186</v>
      </c>
      <c r="V509" s="191" t="s">
        <v>3186</v>
      </c>
      <c r="W509" s="191" t="s">
        <v>3187</v>
      </c>
      <c r="X509" s="195">
        <v>0.5625</v>
      </c>
      <c r="Y509" s="420">
        <v>0.64583333333333337</v>
      </c>
      <c r="Z509" s="191" t="s">
        <v>3315</v>
      </c>
      <c r="AB509" s="224">
        <v>202500521</v>
      </c>
      <c r="AC509" s="55" t="s">
        <v>38</v>
      </c>
    </row>
    <row r="510" spans="1:29">
      <c r="A510" s="14">
        <v>45936</v>
      </c>
      <c r="B510" s="13" t="str">
        <f t="shared" si="450"/>
        <v>Realizada</v>
      </c>
      <c r="C510" s="14">
        <f t="shared" si="448"/>
        <v>46028</v>
      </c>
      <c r="D510" s="13" t="s">
        <v>611</v>
      </c>
      <c r="E510" s="14">
        <f t="shared" si="449"/>
        <v>46118</v>
      </c>
      <c r="F510" s="13" t="s">
        <v>611</v>
      </c>
      <c r="G510" s="191">
        <v>202500521</v>
      </c>
      <c r="H510" s="191" t="s">
        <v>3188</v>
      </c>
      <c r="I510" s="193" t="s">
        <v>1192</v>
      </c>
      <c r="J510" s="194">
        <v>45880</v>
      </c>
      <c r="K510" s="194">
        <v>46239</v>
      </c>
      <c r="L510" s="193" t="s">
        <v>3172</v>
      </c>
      <c r="M510" s="193" t="s">
        <v>5863</v>
      </c>
      <c r="N510" s="13" t="s">
        <v>3183</v>
      </c>
      <c r="O510" s="197" t="s">
        <v>3184</v>
      </c>
      <c r="P510" s="318" t="s">
        <v>304</v>
      </c>
      <c r="Q510" s="13" t="s">
        <v>618</v>
      </c>
      <c r="R510" s="246" t="str">
        <f>VLOOKUP(P510,'Dados das Regiões '!A:B,2,0)</f>
        <v>IRATI</v>
      </c>
      <c r="S510" s="191" t="s">
        <v>5864</v>
      </c>
      <c r="U510" s="191" t="s">
        <v>3186</v>
      </c>
      <c r="V510" s="191" t="s">
        <v>3186</v>
      </c>
      <c r="W510" s="191" t="s">
        <v>3187</v>
      </c>
      <c r="X510" s="195">
        <v>0.5625</v>
      </c>
      <c r="Y510" s="420">
        <v>0.64583333333333337</v>
      </c>
      <c r="Z510" s="191" t="s">
        <v>3315</v>
      </c>
      <c r="AB510" s="225">
        <v>202500521</v>
      </c>
      <c r="AC510" s="55" t="s">
        <v>38</v>
      </c>
    </row>
    <row r="511" spans="1:29">
      <c r="B511" s="13" t="str">
        <f t="shared" si="450"/>
        <v>Pendente</v>
      </c>
      <c r="C511" s="14" t="str">
        <f t="shared" si="448"/>
        <v/>
      </c>
      <c r="D511" s="13" t="s">
        <v>611</v>
      </c>
      <c r="E511" s="14" t="str">
        <f t="shared" si="449"/>
        <v/>
      </c>
      <c r="F511" s="13" t="s">
        <v>611</v>
      </c>
      <c r="G511" s="191">
        <v>202500521</v>
      </c>
      <c r="H511" s="191" t="s">
        <v>5865</v>
      </c>
      <c r="I511" s="193" t="s">
        <v>1192</v>
      </c>
      <c r="J511" s="194">
        <v>45880</v>
      </c>
      <c r="K511" s="194">
        <v>46239</v>
      </c>
      <c r="L511" s="193" t="s">
        <v>3172</v>
      </c>
      <c r="M511" s="193" t="s">
        <v>5777</v>
      </c>
      <c r="N511" s="13" t="s">
        <v>5778</v>
      </c>
      <c r="O511" s="197" t="s">
        <v>5779</v>
      </c>
      <c r="P511" s="314" t="s">
        <v>511</v>
      </c>
      <c r="Q511" s="13" t="s">
        <v>618</v>
      </c>
      <c r="R511" s="246" t="str">
        <f>VLOOKUP(P511,'Dados das Regiões '!A:B,2,0)</f>
        <v>UNIÃO DA VITÓRIA</v>
      </c>
      <c r="S511" s="191" t="s">
        <v>5780</v>
      </c>
      <c r="U511" s="191" t="s">
        <v>5781</v>
      </c>
      <c r="V511" s="191" t="s">
        <v>5781</v>
      </c>
      <c r="W511" s="191" t="s">
        <v>5782</v>
      </c>
      <c r="X511" s="195">
        <v>0.5625</v>
      </c>
      <c r="Y511" s="420">
        <v>0.64583333333333337</v>
      </c>
      <c r="Z511" s="191" t="s">
        <v>3315</v>
      </c>
      <c r="AB511" s="224">
        <v>202500521</v>
      </c>
      <c r="AC511" s="55" t="s">
        <v>38</v>
      </c>
    </row>
    <row r="512" spans="1:29">
      <c r="A512" s="14">
        <v>45936</v>
      </c>
      <c r="B512" s="13" t="str">
        <f t="shared" si="450"/>
        <v>Realizada</v>
      </c>
      <c r="C512" s="14">
        <f t="shared" si="448"/>
        <v>46028</v>
      </c>
      <c r="D512" s="13" t="s">
        <v>611</v>
      </c>
      <c r="E512" s="14">
        <f t="shared" si="449"/>
        <v>46118</v>
      </c>
      <c r="F512" s="13" t="s">
        <v>611</v>
      </c>
      <c r="G512" s="191">
        <v>202500521</v>
      </c>
      <c r="H512" s="191" t="s">
        <v>3189</v>
      </c>
      <c r="I512" s="193" t="s">
        <v>1192</v>
      </c>
      <c r="J512" s="194">
        <v>45880</v>
      </c>
      <c r="K512" s="194">
        <v>46239</v>
      </c>
      <c r="L512" s="193" t="s">
        <v>3172</v>
      </c>
      <c r="M512" s="193" t="s">
        <v>5863</v>
      </c>
      <c r="N512" s="13" t="s">
        <v>3183</v>
      </c>
      <c r="O512" s="197" t="s">
        <v>3184</v>
      </c>
      <c r="P512" s="318" t="s">
        <v>304</v>
      </c>
      <c r="Q512" s="13" t="s">
        <v>618</v>
      </c>
      <c r="R512" s="246" t="str">
        <f>VLOOKUP(P512,'Dados das Regiões '!A:B,2,0)</f>
        <v>IRATI</v>
      </c>
      <c r="S512" s="191" t="s">
        <v>5864</v>
      </c>
      <c r="U512" s="191" t="s">
        <v>3186</v>
      </c>
      <c r="V512" s="191" t="s">
        <v>3186</v>
      </c>
      <c r="W512" s="191" t="s">
        <v>3187</v>
      </c>
      <c r="X512" s="195">
        <v>0.5625</v>
      </c>
      <c r="Y512" s="420">
        <v>0.64583333333333337</v>
      </c>
      <c r="Z512" s="191" t="s">
        <v>3315</v>
      </c>
      <c r="AB512" s="225">
        <v>202500521</v>
      </c>
      <c r="AC512" s="55" t="s">
        <v>38</v>
      </c>
    </row>
    <row r="513" spans="1:29">
      <c r="A513" s="14">
        <v>45936</v>
      </c>
      <c r="B513" s="13" t="str">
        <f t="shared" si="450"/>
        <v>Realizada</v>
      </c>
      <c r="C513" s="14">
        <f t="shared" si="448"/>
        <v>46028</v>
      </c>
      <c r="D513" s="13" t="s">
        <v>611</v>
      </c>
      <c r="E513" s="14">
        <f t="shared" si="449"/>
        <v>46118</v>
      </c>
      <c r="F513" s="13" t="s">
        <v>611</v>
      </c>
      <c r="G513">
        <v>202500119</v>
      </c>
      <c r="H513" t="s">
        <v>3190</v>
      </c>
      <c r="I513" t="s">
        <v>613</v>
      </c>
      <c r="J513" s="323">
        <v>45705</v>
      </c>
      <c r="K513" s="323">
        <v>46064</v>
      </c>
      <c r="L513" t="s">
        <v>3191</v>
      </c>
      <c r="M513" t="s">
        <v>5866</v>
      </c>
      <c r="N513" s="13" t="s">
        <v>3192</v>
      </c>
      <c r="O513" s="17" t="s">
        <v>3145</v>
      </c>
      <c r="P513" s="324" t="s">
        <v>304</v>
      </c>
      <c r="Q513" s="13" t="s">
        <v>618</v>
      </c>
      <c r="R513" s="246" t="str">
        <f>VLOOKUP(P513,'Dados das Regiões '!A:B,2,0)</f>
        <v>IRATI</v>
      </c>
      <c r="S513" t="s">
        <v>3193</v>
      </c>
      <c r="U513" s="57" t="s">
        <v>3194</v>
      </c>
      <c r="V513" t="s">
        <v>3194</v>
      </c>
      <c r="W513" t="s">
        <v>3195</v>
      </c>
      <c r="X513" s="325">
        <v>0.5625</v>
      </c>
      <c r="Y513" s="518">
        <v>0.64583333333333337</v>
      </c>
      <c r="Z513" s="326" t="s">
        <v>622</v>
      </c>
      <c r="AA513" s="56" t="s">
        <v>4330</v>
      </c>
      <c r="AB513" s="224">
        <v>202500521</v>
      </c>
      <c r="AC513" s="55" t="s">
        <v>38</v>
      </c>
    </row>
    <row r="514" spans="1:29">
      <c r="A514" s="14">
        <v>45937</v>
      </c>
      <c r="B514" s="13" t="str">
        <f t="shared" si="450"/>
        <v>Realizada</v>
      </c>
      <c r="C514" s="14">
        <f t="shared" si="448"/>
        <v>46029</v>
      </c>
      <c r="D514" s="13" t="s">
        <v>611</v>
      </c>
      <c r="E514" s="14">
        <f t="shared" si="449"/>
        <v>46119</v>
      </c>
      <c r="F514" s="13" t="s">
        <v>611</v>
      </c>
      <c r="G514" s="191">
        <v>202500521</v>
      </c>
      <c r="H514" s="191" t="s">
        <v>3197</v>
      </c>
      <c r="I514" s="193" t="s">
        <v>1192</v>
      </c>
      <c r="J514" s="194">
        <v>45880</v>
      </c>
      <c r="K514" s="194">
        <v>46239</v>
      </c>
      <c r="L514" s="193" t="s">
        <v>3172</v>
      </c>
      <c r="M514" s="193" t="s">
        <v>5867</v>
      </c>
      <c r="N514" s="13" t="s">
        <v>3198</v>
      </c>
      <c r="O514" s="17" t="s">
        <v>3199</v>
      </c>
      <c r="P514" s="318" t="s">
        <v>304</v>
      </c>
      <c r="Q514" s="13" t="s">
        <v>618</v>
      </c>
      <c r="R514" s="246" t="str">
        <f>VLOOKUP(P514,'Dados das Regiões '!A:B,2,0)</f>
        <v>IRATI</v>
      </c>
      <c r="S514" s="191" t="s">
        <v>5868</v>
      </c>
      <c r="U514" s="191" t="s">
        <v>3201</v>
      </c>
      <c r="V514" s="191" t="s">
        <v>3201</v>
      </c>
      <c r="W514" s="191" t="s">
        <v>3202</v>
      </c>
      <c r="X514" s="195">
        <v>0.5625</v>
      </c>
      <c r="Y514" s="420">
        <v>0.64583333333333337</v>
      </c>
      <c r="Z514" s="191" t="s">
        <v>3315</v>
      </c>
      <c r="AB514" s="225">
        <v>202500521</v>
      </c>
      <c r="AC514" s="55" t="s">
        <v>38</v>
      </c>
    </row>
    <row r="515" spans="1:29">
      <c r="A515" s="14">
        <v>45937</v>
      </c>
      <c r="B515" s="13" t="str">
        <f t="shared" si="450"/>
        <v>Realizada</v>
      </c>
      <c r="C515" s="14">
        <f t="shared" si="448"/>
        <v>46029</v>
      </c>
      <c r="D515" s="13" t="s">
        <v>611</v>
      </c>
      <c r="E515" s="14">
        <f t="shared" si="449"/>
        <v>46119</v>
      </c>
      <c r="F515" s="13" t="s">
        <v>611</v>
      </c>
      <c r="G515" s="191">
        <v>202500521</v>
      </c>
      <c r="H515" s="191" t="s">
        <v>3203</v>
      </c>
      <c r="I515" s="193" t="s">
        <v>1192</v>
      </c>
      <c r="J515" s="194">
        <v>45880</v>
      </c>
      <c r="K515" s="194">
        <v>46239</v>
      </c>
      <c r="L515" s="193" t="s">
        <v>3172</v>
      </c>
      <c r="M515" s="193" t="s">
        <v>5867</v>
      </c>
      <c r="N515" s="13" t="s">
        <v>3198</v>
      </c>
      <c r="O515" s="197" t="s">
        <v>3199</v>
      </c>
      <c r="P515" s="318" t="s">
        <v>304</v>
      </c>
      <c r="Q515" s="13" t="s">
        <v>618</v>
      </c>
      <c r="R515" s="246" t="str">
        <f>VLOOKUP(P515,'Dados das Regiões '!A:B,2,0)</f>
        <v>IRATI</v>
      </c>
      <c r="S515" s="191" t="s">
        <v>5868</v>
      </c>
      <c r="U515" s="191" t="s">
        <v>3201</v>
      </c>
      <c r="V515" s="191" t="s">
        <v>3201</v>
      </c>
      <c r="W515" s="191" t="s">
        <v>3202</v>
      </c>
      <c r="X515" s="195">
        <v>0.5625</v>
      </c>
      <c r="Y515" s="420">
        <v>0.64583333333333337</v>
      </c>
      <c r="Z515" s="191" t="s">
        <v>3315</v>
      </c>
      <c r="AB515" s="224">
        <v>202500521</v>
      </c>
      <c r="AC515" s="55" t="s">
        <v>38</v>
      </c>
    </row>
    <row r="516" spans="1:29">
      <c r="B516" s="13" t="str">
        <f t="shared" si="450"/>
        <v>Pendente</v>
      </c>
      <c r="C516" s="14" t="str">
        <f t="shared" si="448"/>
        <v/>
      </c>
      <c r="D516" s="13" t="s">
        <v>611</v>
      </c>
      <c r="E516" s="14" t="str">
        <f t="shared" si="449"/>
        <v/>
      </c>
      <c r="F516" s="13" t="s">
        <v>611</v>
      </c>
      <c r="G516" s="191">
        <v>202500519</v>
      </c>
      <c r="H516" s="191" t="s">
        <v>5869</v>
      </c>
      <c r="I516" s="193" t="s">
        <v>613</v>
      </c>
      <c r="J516" s="194">
        <v>45880</v>
      </c>
      <c r="K516" s="194">
        <v>46239</v>
      </c>
      <c r="L516" s="193" t="s">
        <v>1801</v>
      </c>
      <c r="M516" s="193" t="s">
        <v>2660</v>
      </c>
      <c r="N516" s="13" t="s">
        <v>2661</v>
      </c>
      <c r="O516" s="197" t="s">
        <v>2662</v>
      </c>
      <c r="P516" s="314" t="s">
        <v>396</v>
      </c>
      <c r="Q516" s="13" t="s">
        <v>618</v>
      </c>
      <c r="R516" s="246" t="str">
        <f>VLOOKUP(P516,'Dados das Regiões '!A:B,2,0)</f>
        <v>NOVA LONDRINA</v>
      </c>
      <c r="S516" s="191" t="s">
        <v>5870</v>
      </c>
      <c r="U516" s="191"/>
      <c r="V516" s="191" t="s">
        <v>2664</v>
      </c>
      <c r="W516" s="191" t="s">
        <v>5871</v>
      </c>
      <c r="X516" s="195">
        <v>0.5625</v>
      </c>
      <c r="Y516" s="420">
        <v>0.64583333333333337</v>
      </c>
      <c r="Z516" s="191" t="s">
        <v>3315</v>
      </c>
      <c r="AB516" s="225">
        <v>202500519</v>
      </c>
      <c r="AC516" s="55" t="s">
        <v>36</v>
      </c>
    </row>
    <row r="517" spans="1:29">
      <c r="B517" s="13" t="str">
        <f t="shared" si="450"/>
        <v>Pendente</v>
      </c>
      <c r="C517" s="14" t="str">
        <f t="shared" si="448"/>
        <v/>
      </c>
      <c r="D517" s="13" t="s">
        <v>611</v>
      </c>
      <c r="E517" s="14" t="str">
        <f t="shared" si="449"/>
        <v/>
      </c>
      <c r="F517" s="13" t="s">
        <v>611</v>
      </c>
      <c r="G517" s="191">
        <v>202500520</v>
      </c>
      <c r="H517" s="191" t="s">
        <v>5872</v>
      </c>
      <c r="I517" s="193" t="s">
        <v>1176</v>
      </c>
      <c r="J517" s="194">
        <v>45880</v>
      </c>
      <c r="K517" s="194">
        <v>46239</v>
      </c>
      <c r="L517" s="193" t="s">
        <v>5873</v>
      </c>
      <c r="M517" s="193" t="s">
        <v>5874</v>
      </c>
      <c r="N517" s="13" t="s">
        <v>5875</v>
      </c>
      <c r="O517" s="17" t="s">
        <v>5876</v>
      </c>
      <c r="P517" s="314" t="s">
        <v>166</v>
      </c>
      <c r="Q517" s="13" t="s">
        <v>618</v>
      </c>
      <c r="R517" s="246" t="str">
        <f>VLOOKUP(P517,'Dados das Regiões '!A:B,2,0)</f>
        <v>CAMPO MOURÃO</v>
      </c>
      <c r="S517" s="191" t="s">
        <v>5877</v>
      </c>
      <c r="U517" s="191" t="s">
        <v>5878</v>
      </c>
      <c r="V517" s="191" t="s">
        <v>5879</v>
      </c>
      <c r="W517" s="191" t="s">
        <v>5880</v>
      </c>
      <c r="X517" s="195">
        <v>0.5625</v>
      </c>
      <c r="Y517" s="420">
        <v>0.64583333333333337</v>
      </c>
      <c r="Z517" s="191" t="s">
        <v>3315</v>
      </c>
      <c r="AB517" s="224">
        <v>202500520</v>
      </c>
      <c r="AC517" s="55" t="s">
        <v>37</v>
      </c>
    </row>
    <row r="518" spans="1:29">
      <c r="A518" s="14">
        <v>45988</v>
      </c>
      <c r="B518" s="13" t="str">
        <f t="shared" si="450"/>
        <v>Realizada</v>
      </c>
      <c r="C518" s="14">
        <f t="shared" si="448"/>
        <v>46080</v>
      </c>
      <c r="D518" s="13" t="s">
        <v>611</v>
      </c>
      <c r="E518" s="14">
        <f t="shared" si="449"/>
        <v>46169</v>
      </c>
      <c r="F518" s="13" t="s">
        <v>611</v>
      </c>
      <c r="G518" s="191">
        <v>202500520</v>
      </c>
      <c r="H518" s="191" t="s">
        <v>5881</v>
      </c>
      <c r="I518" s="193" t="s">
        <v>1176</v>
      </c>
      <c r="J518" s="194">
        <v>45880</v>
      </c>
      <c r="K518" s="194">
        <v>46239</v>
      </c>
      <c r="L518" s="193" t="s">
        <v>2891</v>
      </c>
      <c r="M518" s="193" t="s">
        <v>3067</v>
      </c>
      <c r="N518" s="18" t="s">
        <v>3068</v>
      </c>
      <c r="O518" s="199" t="s">
        <v>3069</v>
      </c>
      <c r="P518" s="314" t="s">
        <v>295</v>
      </c>
      <c r="Q518" s="13" t="s">
        <v>618</v>
      </c>
      <c r="R518" s="246" t="str">
        <f>VLOOKUP(P518,'Dados das Regiões '!A:B,2,0)</f>
        <v>GUARAPUAVA</v>
      </c>
      <c r="S518" s="191" t="s">
        <v>5882</v>
      </c>
      <c r="U518" s="191" t="s">
        <v>3071</v>
      </c>
      <c r="V518" s="191" t="s">
        <v>5883</v>
      </c>
      <c r="W518" s="191" t="s">
        <v>5884</v>
      </c>
      <c r="X518" s="195">
        <v>0.625</v>
      </c>
      <c r="Y518" s="420">
        <v>0.70833333333333337</v>
      </c>
      <c r="Z518" s="191" t="s">
        <v>3315</v>
      </c>
      <c r="AB518" s="225">
        <v>202500520</v>
      </c>
      <c r="AC518" s="55" t="s">
        <v>37</v>
      </c>
    </row>
    <row r="519" spans="1:29">
      <c r="B519" s="13" t="str">
        <f t="shared" si="450"/>
        <v>Pendente</v>
      </c>
      <c r="C519" s="14" t="str">
        <f t="shared" si="448"/>
        <v/>
      </c>
      <c r="D519" s="13" t="s">
        <v>611</v>
      </c>
      <c r="E519" s="14" t="str">
        <f t="shared" si="449"/>
        <v/>
      </c>
      <c r="F519" s="13" t="s">
        <v>611</v>
      </c>
      <c r="G519" s="191">
        <v>202500520</v>
      </c>
      <c r="H519" s="191" t="s">
        <v>5885</v>
      </c>
      <c r="I519" s="193" t="s">
        <v>1176</v>
      </c>
      <c r="J519" s="194">
        <v>45880</v>
      </c>
      <c r="K519" s="194">
        <v>46239</v>
      </c>
      <c r="L519" s="193" t="s">
        <v>1864</v>
      </c>
      <c r="M519" s="193" t="s">
        <v>2983</v>
      </c>
      <c r="N519" s="13" t="s">
        <v>2984</v>
      </c>
      <c r="O519" s="197" t="s">
        <v>2985</v>
      </c>
      <c r="P519" s="314" t="s">
        <v>53</v>
      </c>
      <c r="Q519" s="13" t="s">
        <v>618</v>
      </c>
      <c r="R519" s="246" t="str">
        <f>VLOOKUP(P519,'Dados das Regiões '!A:B,2,0)</f>
        <v>GOIOERÊ</v>
      </c>
      <c r="S519" s="191" t="s">
        <v>2986</v>
      </c>
      <c r="U519" s="191" t="s">
        <v>5886</v>
      </c>
      <c r="V519" s="191" t="s">
        <v>2988</v>
      </c>
      <c r="W519" s="191" t="s">
        <v>2989</v>
      </c>
      <c r="X519" s="195">
        <v>0.5625</v>
      </c>
      <c r="Y519" s="420">
        <v>0.64583333333333337</v>
      </c>
      <c r="Z519" s="191" t="s">
        <v>3315</v>
      </c>
      <c r="AB519" s="224">
        <v>202500520</v>
      </c>
      <c r="AC519" s="55" t="s">
        <v>37</v>
      </c>
    </row>
    <row r="520" spans="1:29">
      <c r="B520" s="13" t="str">
        <f t="shared" si="450"/>
        <v>Pendente</v>
      </c>
      <c r="C520" s="14" t="str">
        <f t="shared" si="448"/>
        <v/>
      </c>
      <c r="D520" s="13" t="s">
        <v>611</v>
      </c>
      <c r="E520" s="14" t="str">
        <f t="shared" si="449"/>
        <v/>
      </c>
      <c r="F520" s="13" t="s">
        <v>611</v>
      </c>
      <c r="G520" s="191">
        <v>202500520</v>
      </c>
      <c r="H520" s="191" t="s">
        <v>5887</v>
      </c>
      <c r="I520" s="193" t="s">
        <v>1176</v>
      </c>
      <c r="J520" s="194">
        <v>45880</v>
      </c>
      <c r="K520" s="194">
        <v>46239</v>
      </c>
      <c r="L520" s="193" t="s">
        <v>1864</v>
      </c>
      <c r="M520" s="193" t="s">
        <v>4415</v>
      </c>
      <c r="N520" s="13" t="s">
        <v>4416</v>
      </c>
      <c r="O520" s="13" t="s">
        <v>4417</v>
      </c>
      <c r="P520" s="314" t="s">
        <v>352</v>
      </c>
      <c r="Q520" s="13" t="s">
        <v>618</v>
      </c>
      <c r="R520" s="246" t="str">
        <f>VLOOKUP(P520,'Dados das Regiões '!A:B,2,0)</f>
        <v>MARECHAL CÂNDIDO RONDON</v>
      </c>
      <c r="S520" s="191" t="s">
        <v>5888</v>
      </c>
      <c r="U520" s="191"/>
      <c r="V520" s="191" t="s">
        <v>5889</v>
      </c>
      <c r="W520" s="191" t="s">
        <v>4420</v>
      </c>
      <c r="X520" s="195">
        <v>0.33333333333333331</v>
      </c>
      <c r="Y520" s="420">
        <v>0.41666666666666669</v>
      </c>
      <c r="Z520" s="191" t="s">
        <v>3315</v>
      </c>
      <c r="AB520" s="225">
        <v>202500520</v>
      </c>
      <c r="AC520" s="55" t="s">
        <v>37</v>
      </c>
    </row>
    <row r="521" spans="1:29">
      <c r="A521" s="14">
        <v>45974</v>
      </c>
      <c r="B521" s="13" t="str">
        <f t="shared" si="450"/>
        <v>Realizada</v>
      </c>
      <c r="C521" s="14">
        <f t="shared" si="448"/>
        <v>46066</v>
      </c>
      <c r="D521" s="13" t="s">
        <v>611</v>
      </c>
      <c r="E521" s="14">
        <f t="shared" si="449"/>
        <v>46155</v>
      </c>
      <c r="F521" s="13" t="s">
        <v>611</v>
      </c>
      <c r="G521" s="191">
        <v>202500520</v>
      </c>
      <c r="H521" s="191" t="s">
        <v>5890</v>
      </c>
      <c r="I521" s="193" t="s">
        <v>1176</v>
      </c>
      <c r="J521" s="194">
        <v>45880</v>
      </c>
      <c r="K521" s="194">
        <v>46239</v>
      </c>
      <c r="L521" s="193" t="s">
        <v>1864</v>
      </c>
      <c r="M521" s="193" t="s">
        <v>5891</v>
      </c>
      <c r="N521" s="13" t="s">
        <v>5892</v>
      </c>
      <c r="O521" s="17" t="s">
        <v>5893</v>
      </c>
      <c r="P521" s="314" t="s">
        <v>254</v>
      </c>
      <c r="Q521" s="13" t="s">
        <v>618</v>
      </c>
      <c r="R521" s="246" t="str">
        <f>VLOOKUP(P521,'Dados das Regiões '!A:B,2,0)</f>
        <v>CURITIBA PORTÃO</v>
      </c>
      <c r="S521" s="191" t="s">
        <v>5894</v>
      </c>
      <c r="U521" s="191"/>
      <c r="V521" t="s">
        <v>5895</v>
      </c>
      <c r="W521" s="191"/>
      <c r="X521" s="195">
        <v>0.5625</v>
      </c>
      <c r="Y521" s="420">
        <v>0.64583333333333337</v>
      </c>
      <c r="Z521" s="191" t="s">
        <v>3315</v>
      </c>
      <c r="AB521" s="224">
        <v>202500520</v>
      </c>
      <c r="AC521" s="55" t="s">
        <v>37</v>
      </c>
    </row>
    <row r="522" spans="1:29">
      <c r="B522" s="13" t="str">
        <f t="shared" si="450"/>
        <v>Pendente</v>
      </c>
      <c r="C522" s="14" t="str">
        <f t="shared" si="448"/>
        <v/>
      </c>
      <c r="D522" s="13" t="s">
        <v>611</v>
      </c>
      <c r="E522" s="14" t="str">
        <f t="shared" si="449"/>
        <v/>
      </c>
      <c r="F522" s="13" t="s">
        <v>611</v>
      </c>
      <c r="G522" s="191">
        <v>202500520</v>
      </c>
      <c r="H522" s="191" t="s">
        <v>5896</v>
      </c>
      <c r="I522" s="193" t="s">
        <v>1176</v>
      </c>
      <c r="J522" s="194">
        <v>45880</v>
      </c>
      <c r="K522" s="194">
        <v>46239</v>
      </c>
      <c r="L522" s="193" t="s">
        <v>1864</v>
      </c>
      <c r="M522" s="193" t="s">
        <v>5897</v>
      </c>
      <c r="N522" s="13" t="s">
        <v>5898</v>
      </c>
      <c r="O522" s="17" t="s">
        <v>5899</v>
      </c>
      <c r="P522" s="314" t="s">
        <v>321</v>
      </c>
      <c r="Q522" s="13" t="s">
        <v>618</v>
      </c>
      <c r="R522" s="246" t="str">
        <f>VLOOKUP(P522,'Dados das Regiões '!A:B,2,0)</f>
        <v>IVAIPORÃ</v>
      </c>
      <c r="S522" s="191" t="s">
        <v>5900</v>
      </c>
      <c r="U522" s="191"/>
      <c r="V522" s="191" t="s">
        <v>5901</v>
      </c>
      <c r="W522" s="191" t="s">
        <v>5902</v>
      </c>
      <c r="X522" s="195">
        <v>0.35416666666666669</v>
      </c>
      <c r="Y522" s="420">
        <v>0.4375</v>
      </c>
      <c r="Z522" s="191" t="s">
        <v>3315</v>
      </c>
      <c r="AB522" s="225">
        <v>202500520</v>
      </c>
      <c r="AC522" s="55" t="s">
        <v>37</v>
      </c>
    </row>
    <row r="523" spans="1:29">
      <c r="B523" s="13" t="str">
        <f t="shared" si="450"/>
        <v>Pendente</v>
      </c>
      <c r="C523" s="14" t="str">
        <f t="shared" si="448"/>
        <v/>
      </c>
      <c r="D523" s="13" t="s">
        <v>611</v>
      </c>
      <c r="E523" s="14" t="str">
        <f t="shared" si="449"/>
        <v/>
      </c>
      <c r="F523" s="13" t="s">
        <v>611</v>
      </c>
      <c r="G523" s="191">
        <v>202500520</v>
      </c>
      <c r="H523" s="191" t="s">
        <v>5903</v>
      </c>
      <c r="I523" s="193" t="s">
        <v>1176</v>
      </c>
      <c r="J523" s="194">
        <v>45880</v>
      </c>
      <c r="K523" s="194">
        <v>46239</v>
      </c>
      <c r="L523" s="193" t="s">
        <v>1864</v>
      </c>
      <c r="M523" s="193" t="s">
        <v>2952</v>
      </c>
      <c r="N523" s="13" t="s">
        <v>2953</v>
      </c>
      <c r="O523" s="17" t="s">
        <v>5904</v>
      </c>
      <c r="P523" s="314" t="s">
        <v>340</v>
      </c>
      <c r="Q523" s="13" t="s">
        <v>618</v>
      </c>
      <c r="R523" s="246" t="str">
        <f>VLOOKUP(P523,'Dados das Regiões '!A:B,2,0)</f>
        <v>LONDRINA CENTRO</v>
      </c>
      <c r="S523" s="191" t="s">
        <v>5905</v>
      </c>
      <c r="U523" s="191"/>
      <c r="V523" s="191" t="s">
        <v>2956</v>
      </c>
      <c r="W523" s="191" t="s">
        <v>2957</v>
      </c>
      <c r="X523" s="195">
        <v>0.5625</v>
      </c>
      <c r="Y523" s="420">
        <v>0.64583333333333337</v>
      </c>
      <c r="Z523" s="191" t="s">
        <v>3315</v>
      </c>
      <c r="AB523" s="224">
        <v>202500520</v>
      </c>
      <c r="AC523" s="55" t="s">
        <v>37</v>
      </c>
    </row>
    <row r="524" spans="1:29">
      <c r="B524" s="13" t="str">
        <f t="shared" si="450"/>
        <v>Pendente</v>
      </c>
      <c r="C524" s="14" t="str">
        <f t="shared" si="448"/>
        <v/>
      </c>
      <c r="D524" s="13" t="s">
        <v>611</v>
      </c>
      <c r="E524" s="14" t="str">
        <f t="shared" si="449"/>
        <v/>
      </c>
      <c r="F524" s="13" t="s">
        <v>611</v>
      </c>
      <c r="G524" s="191">
        <v>202500520</v>
      </c>
      <c r="H524" s="191" t="s">
        <v>5906</v>
      </c>
      <c r="I524" s="193" t="s">
        <v>1176</v>
      </c>
      <c r="J524" s="194">
        <v>45880</v>
      </c>
      <c r="K524" s="194">
        <v>46239</v>
      </c>
      <c r="L524" s="193" t="s">
        <v>2618</v>
      </c>
      <c r="M524" s="193" t="s">
        <v>2619</v>
      </c>
      <c r="N524" s="13" t="s">
        <v>2620</v>
      </c>
      <c r="O524" s="13" t="s">
        <v>2621</v>
      </c>
      <c r="P524" s="314" t="s">
        <v>491</v>
      </c>
      <c r="Q524" s="13" t="s">
        <v>618</v>
      </c>
      <c r="R524" s="246" t="str">
        <f>VLOOKUP(P524,'Dados das Regiões '!A:B,2,0)</f>
        <v>UMUARAMA</v>
      </c>
      <c r="S524" s="191" t="s">
        <v>4259</v>
      </c>
      <c r="U524" s="191"/>
      <c r="V524" s="191" t="s">
        <v>4260</v>
      </c>
      <c r="W524" s="191" t="s">
        <v>5907</v>
      </c>
      <c r="X524" s="195">
        <v>0.58333333333333337</v>
      </c>
      <c r="Y524" s="420">
        <v>0.66666666666666663</v>
      </c>
      <c r="Z524" s="191" t="s">
        <v>3315</v>
      </c>
      <c r="AB524" s="225">
        <v>202500520</v>
      </c>
      <c r="AC524" s="55" t="s">
        <v>37</v>
      </c>
    </row>
    <row r="525" spans="1:29">
      <c r="B525" s="13" t="str">
        <f t="shared" si="450"/>
        <v>Pendente</v>
      </c>
      <c r="C525" s="14" t="str">
        <f t="shared" si="448"/>
        <v/>
      </c>
      <c r="D525" s="13" t="s">
        <v>611</v>
      </c>
      <c r="E525" s="14" t="str">
        <f t="shared" si="449"/>
        <v/>
      </c>
      <c r="F525" s="13" t="s">
        <v>611</v>
      </c>
      <c r="G525" s="191">
        <v>202500520</v>
      </c>
      <c r="H525" s="191" t="s">
        <v>5908</v>
      </c>
      <c r="I525" s="193" t="s">
        <v>1176</v>
      </c>
      <c r="J525" s="194">
        <v>45880</v>
      </c>
      <c r="K525" s="194">
        <v>46239</v>
      </c>
      <c r="L525" s="193" t="s">
        <v>1864</v>
      </c>
      <c r="M525" s="193" t="s">
        <v>2968</v>
      </c>
      <c r="N525" s="13" t="s">
        <v>2969</v>
      </c>
      <c r="O525" s="197" t="s">
        <v>2970</v>
      </c>
      <c r="P525" s="314" t="s">
        <v>146</v>
      </c>
      <c r="Q525" s="13" t="s">
        <v>618</v>
      </c>
      <c r="R525" s="246" t="str">
        <f>VLOOKUP(P525,'Dados das Regiões '!A:B,2,0)</f>
        <v>CAMPO MOURÃO</v>
      </c>
      <c r="S525" s="191" t="s">
        <v>5909</v>
      </c>
      <c r="U525" s="191"/>
      <c r="V525" s="191" t="s">
        <v>2972</v>
      </c>
      <c r="W525" s="191" t="s">
        <v>5910</v>
      </c>
      <c r="X525" s="195">
        <v>0.54166666666666663</v>
      </c>
      <c r="Y525" s="420">
        <v>0.625</v>
      </c>
      <c r="Z525" s="191" t="s">
        <v>3315</v>
      </c>
      <c r="AB525" s="224">
        <v>202500520</v>
      </c>
      <c r="AC525" s="55" t="s">
        <v>37</v>
      </c>
    </row>
    <row r="526" spans="1:29">
      <c r="B526" s="13" t="str">
        <f t="shared" si="450"/>
        <v>Pendente</v>
      </c>
      <c r="C526" s="14" t="str">
        <f t="shared" si="448"/>
        <v/>
      </c>
      <c r="D526" s="13" t="s">
        <v>611</v>
      </c>
      <c r="E526" s="14" t="str">
        <f t="shared" si="449"/>
        <v/>
      </c>
      <c r="F526" s="13" t="s">
        <v>611</v>
      </c>
      <c r="G526" s="191">
        <v>202500520</v>
      </c>
      <c r="H526" s="191" t="s">
        <v>5911</v>
      </c>
      <c r="I526" s="193" t="s">
        <v>1176</v>
      </c>
      <c r="J526" s="194">
        <v>45880</v>
      </c>
      <c r="K526" s="194">
        <v>46239</v>
      </c>
      <c r="L526" s="193" t="s">
        <v>1889</v>
      </c>
      <c r="M526" s="193" t="s">
        <v>5912</v>
      </c>
      <c r="N526" s="13" t="s">
        <v>5913</v>
      </c>
      <c r="O526" s="17" t="s">
        <v>5914</v>
      </c>
      <c r="P526" s="314" t="s">
        <v>294</v>
      </c>
      <c r="Q526" s="13" t="s">
        <v>618</v>
      </c>
      <c r="R526" s="246" t="str">
        <f>VLOOKUP(P526,'Dados das Regiões '!A:B,2,0)</f>
        <v>GUARAPUAVA</v>
      </c>
      <c r="S526" s="191" t="s">
        <v>5915</v>
      </c>
      <c r="U526" s="191"/>
      <c r="V526" s="191" t="s">
        <v>5916</v>
      </c>
      <c r="W526" s="191" t="s">
        <v>5917</v>
      </c>
      <c r="X526" s="195">
        <v>0.5625</v>
      </c>
      <c r="Y526" s="420">
        <v>0.64583333333333337</v>
      </c>
      <c r="Z526" s="191" t="s">
        <v>3315</v>
      </c>
      <c r="AB526" s="225">
        <v>202500520</v>
      </c>
      <c r="AC526" s="55" t="s">
        <v>37</v>
      </c>
    </row>
    <row r="527" spans="1:29">
      <c r="B527" s="13" t="str">
        <f t="shared" si="450"/>
        <v>Pendente</v>
      </c>
      <c r="C527" s="14" t="str">
        <f t="shared" si="448"/>
        <v/>
      </c>
      <c r="D527" s="13" t="s">
        <v>611</v>
      </c>
      <c r="E527" s="14" t="str">
        <f t="shared" si="449"/>
        <v/>
      </c>
      <c r="F527" s="13" t="s">
        <v>611</v>
      </c>
      <c r="G527" s="191">
        <v>202500520</v>
      </c>
      <c r="H527" s="191" t="s">
        <v>5918</v>
      </c>
      <c r="I527" s="193" t="s">
        <v>1176</v>
      </c>
      <c r="J527" s="194">
        <v>45880</v>
      </c>
      <c r="K527" s="194">
        <v>46239</v>
      </c>
      <c r="L527" s="193" t="s">
        <v>2618</v>
      </c>
      <c r="M527" s="193" t="s">
        <v>2619</v>
      </c>
      <c r="N527" s="13" t="s">
        <v>2620</v>
      </c>
      <c r="O527" s="13" t="s">
        <v>2621</v>
      </c>
      <c r="P527" s="314" t="s">
        <v>491</v>
      </c>
      <c r="Q527" s="13" t="s">
        <v>618</v>
      </c>
      <c r="R527" s="246" t="str">
        <f>VLOOKUP(P527,'Dados das Regiões '!A:B,2,0)</f>
        <v>UMUARAMA</v>
      </c>
      <c r="S527" s="191" t="s">
        <v>3765</v>
      </c>
      <c r="U527" s="191"/>
      <c r="V527" s="191" t="s">
        <v>3766</v>
      </c>
      <c r="W527" s="191" t="s">
        <v>3784</v>
      </c>
      <c r="X527" s="195">
        <v>0.33333333333333331</v>
      </c>
      <c r="Y527" s="420">
        <v>0.41666666666666669</v>
      </c>
      <c r="Z527" s="191" t="s">
        <v>3315</v>
      </c>
      <c r="AB527" s="224">
        <v>202500520</v>
      </c>
      <c r="AC527" s="55" t="s">
        <v>37</v>
      </c>
    </row>
    <row r="528" spans="1:29">
      <c r="B528" s="13" t="str">
        <f t="shared" si="450"/>
        <v>Pendente</v>
      </c>
      <c r="C528" s="14" t="str">
        <f t="shared" si="448"/>
        <v/>
      </c>
      <c r="D528" s="13" t="s">
        <v>611</v>
      </c>
      <c r="E528" s="14" t="str">
        <f t="shared" si="449"/>
        <v/>
      </c>
      <c r="F528" s="13" t="s">
        <v>611</v>
      </c>
      <c r="G528" s="191">
        <v>202500521</v>
      </c>
      <c r="H528" s="191" t="s">
        <v>5919</v>
      </c>
      <c r="I528" s="193" t="s">
        <v>1192</v>
      </c>
      <c r="J528" s="194">
        <v>45880</v>
      </c>
      <c r="K528" s="194">
        <v>46239</v>
      </c>
      <c r="L528" s="193" t="s">
        <v>3172</v>
      </c>
      <c r="M528" s="193" t="s">
        <v>5777</v>
      </c>
      <c r="N528" s="13" t="s">
        <v>5778</v>
      </c>
      <c r="O528" s="197" t="s">
        <v>5779</v>
      </c>
      <c r="P528" s="314" t="s">
        <v>511</v>
      </c>
      <c r="Q528" s="13" t="s">
        <v>618</v>
      </c>
      <c r="R528" s="246" t="str">
        <f>VLOOKUP(P528,'Dados das Regiões '!A:B,2,0)</f>
        <v>UNIÃO DA VITÓRIA</v>
      </c>
      <c r="S528" s="191" t="s">
        <v>5780</v>
      </c>
      <c r="U528" s="191" t="s">
        <v>5781</v>
      </c>
      <c r="V528" s="191" t="s">
        <v>5781</v>
      </c>
      <c r="W528" s="191" t="s">
        <v>5782</v>
      </c>
      <c r="X528" s="195">
        <v>0.5625</v>
      </c>
      <c r="Y528" s="420">
        <v>0.64583333333333337</v>
      </c>
      <c r="Z528" s="191" t="s">
        <v>3315</v>
      </c>
      <c r="AB528" s="225">
        <v>202500521</v>
      </c>
      <c r="AC528" s="55" t="s">
        <v>38</v>
      </c>
    </row>
    <row r="529" spans="1:29">
      <c r="B529" s="13" t="str">
        <f t="shared" si="450"/>
        <v>Pendente</v>
      </c>
      <c r="C529" s="14" t="str">
        <f t="shared" si="448"/>
        <v/>
      </c>
      <c r="D529" s="13" t="s">
        <v>611</v>
      </c>
      <c r="E529" s="14" t="str">
        <f t="shared" si="449"/>
        <v/>
      </c>
      <c r="F529" s="13" t="s">
        <v>611</v>
      </c>
      <c r="G529" s="191">
        <v>202500519</v>
      </c>
      <c r="H529" s="191" t="s">
        <v>5920</v>
      </c>
      <c r="I529" s="193" t="s">
        <v>613</v>
      </c>
      <c r="J529" s="194">
        <v>45880</v>
      </c>
      <c r="K529" s="194">
        <v>46239</v>
      </c>
      <c r="L529" s="193" t="s">
        <v>1801</v>
      </c>
      <c r="M529" s="193" t="s">
        <v>2133</v>
      </c>
      <c r="N529" s="13" t="s">
        <v>2134</v>
      </c>
      <c r="O529" s="197" t="s">
        <v>2135</v>
      </c>
      <c r="P529" s="314" t="s">
        <v>324</v>
      </c>
      <c r="Q529" s="13" t="s">
        <v>618</v>
      </c>
      <c r="R529" s="246" t="str">
        <f>VLOOKUP(P529,'Dados das Regiões '!A:B,2,0)</f>
        <v>JACAREZINHO</v>
      </c>
      <c r="S529" s="191" t="s">
        <v>5921</v>
      </c>
      <c r="U529" s="191"/>
      <c r="V529" s="191" t="s">
        <v>5922</v>
      </c>
      <c r="W529" s="191" t="s">
        <v>5923</v>
      </c>
      <c r="X529" s="195">
        <v>0.54166666666666663</v>
      </c>
      <c r="Y529" s="420">
        <v>0.625</v>
      </c>
      <c r="Z529" s="191" t="s">
        <v>3315</v>
      </c>
      <c r="AB529" s="224">
        <v>202500519</v>
      </c>
      <c r="AC529" s="55" t="s">
        <v>36</v>
      </c>
    </row>
    <row r="530" spans="1:29">
      <c r="B530" s="13" t="str">
        <f t="shared" si="450"/>
        <v>Pendente</v>
      </c>
      <c r="C530" s="14" t="str">
        <f t="shared" si="448"/>
        <v/>
      </c>
      <c r="D530" s="13" t="s">
        <v>611</v>
      </c>
      <c r="E530" s="14" t="str">
        <f t="shared" si="449"/>
        <v/>
      </c>
      <c r="F530" s="13" t="s">
        <v>611</v>
      </c>
      <c r="G530" s="191">
        <v>202500867</v>
      </c>
      <c r="H530" s="191" t="s">
        <v>5924</v>
      </c>
      <c r="I530" s="193" t="s">
        <v>1176</v>
      </c>
      <c r="J530" s="194">
        <v>45880</v>
      </c>
      <c r="K530" s="194">
        <v>46239</v>
      </c>
      <c r="L530" s="193" t="s">
        <v>1185</v>
      </c>
      <c r="M530" s="193" t="s">
        <v>2524</v>
      </c>
      <c r="N530" s="13" t="s">
        <v>2525</v>
      </c>
      <c r="O530" s="197" t="s">
        <v>2526</v>
      </c>
      <c r="P530" s="314" t="s">
        <v>317</v>
      </c>
      <c r="Q530" s="13" t="s">
        <v>618</v>
      </c>
      <c r="R530" s="246" t="str">
        <f>VLOOKUP(P530,'Dados das Regiões '!A:B,2,0)</f>
        <v>IVAIPORÃ</v>
      </c>
      <c r="S530" s="191" t="s">
        <v>5925</v>
      </c>
      <c r="U530" s="191"/>
      <c r="V530" s="191" t="s">
        <v>5926</v>
      </c>
      <c r="W530" s="191" t="s">
        <v>2529</v>
      </c>
      <c r="X530" s="195">
        <v>0.54166666666666663</v>
      </c>
      <c r="Y530" s="420">
        <v>0.625</v>
      </c>
      <c r="Z530" s="191" t="s">
        <v>3315</v>
      </c>
      <c r="AB530" s="225">
        <v>202500867</v>
      </c>
      <c r="AC530" s="55" t="s">
        <v>39</v>
      </c>
    </row>
    <row r="531" spans="1:29">
      <c r="B531" s="13" t="str">
        <f t="shared" si="450"/>
        <v>Pendente</v>
      </c>
      <c r="C531" s="14" t="str">
        <f t="shared" si="448"/>
        <v/>
      </c>
      <c r="D531" s="13" t="s">
        <v>611</v>
      </c>
      <c r="E531" s="14" t="str">
        <f t="shared" si="449"/>
        <v/>
      </c>
      <c r="F531" s="13" t="s">
        <v>611</v>
      </c>
      <c r="G531" s="191">
        <v>202500866</v>
      </c>
      <c r="H531" s="191" t="s">
        <v>5927</v>
      </c>
      <c r="I531" s="193" t="s">
        <v>613</v>
      </c>
      <c r="J531" s="194">
        <v>45880</v>
      </c>
      <c r="K531" s="194">
        <v>46239</v>
      </c>
      <c r="L531" s="193" t="s">
        <v>4435</v>
      </c>
      <c r="M531" s="193" t="s">
        <v>4436</v>
      </c>
      <c r="N531" s="13" t="s">
        <v>2620</v>
      </c>
      <c r="O531" s="13" t="s">
        <v>2621</v>
      </c>
      <c r="P531" s="314" t="s">
        <v>491</v>
      </c>
      <c r="Q531" s="13" t="s">
        <v>618</v>
      </c>
      <c r="R531" s="246" t="str">
        <f>VLOOKUP(P531,'Dados das Regiões '!A:B,2,0)</f>
        <v>UMUARAMA</v>
      </c>
      <c r="S531" s="191" t="s">
        <v>5928</v>
      </c>
      <c r="U531" s="191" t="s">
        <v>4271</v>
      </c>
      <c r="V531" s="191" t="s">
        <v>4271</v>
      </c>
      <c r="W531" s="191" t="s">
        <v>4272</v>
      </c>
      <c r="X531" s="195">
        <v>0.33333333333333331</v>
      </c>
      <c r="Y531" s="420">
        <v>0.41666666666666669</v>
      </c>
      <c r="Z531" s="191" t="s">
        <v>3315</v>
      </c>
      <c r="AB531" s="225">
        <v>202500866</v>
      </c>
      <c r="AC531" s="55" t="s">
        <v>40</v>
      </c>
    </row>
    <row r="532" spans="1:29">
      <c r="B532" s="13" t="str">
        <f t="shared" si="450"/>
        <v>Pendente</v>
      </c>
      <c r="C532" s="14" t="str">
        <f t="shared" si="448"/>
        <v/>
      </c>
      <c r="D532" s="13" t="s">
        <v>611</v>
      </c>
      <c r="E532" s="14" t="str">
        <f t="shared" si="449"/>
        <v/>
      </c>
      <c r="F532" s="13" t="s">
        <v>611</v>
      </c>
      <c r="G532" s="191">
        <v>202500866</v>
      </c>
      <c r="H532" s="191" t="s">
        <v>5929</v>
      </c>
      <c r="I532" s="193" t="s">
        <v>613</v>
      </c>
      <c r="J532" s="194">
        <v>45880</v>
      </c>
      <c r="K532" s="194">
        <v>46239</v>
      </c>
      <c r="L532" s="193" t="s">
        <v>5930</v>
      </c>
      <c r="M532" s="193" t="s">
        <v>5931</v>
      </c>
      <c r="N532" s="13" t="s">
        <v>5932</v>
      </c>
      <c r="O532" s="17" t="s">
        <v>5933</v>
      </c>
      <c r="P532" s="314" t="s">
        <v>406</v>
      </c>
      <c r="Q532" s="13" t="s">
        <v>618</v>
      </c>
      <c r="R532" s="246" t="str">
        <f>VLOOKUP(P532,'Dados das Regiões '!A:B,2,0)</f>
        <v>PALMAS</v>
      </c>
      <c r="S532" s="191" t="s">
        <v>5934</v>
      </c>
      <c r="U532" s="191"/>
      <c r="V532" s="191" t="s">
        <v>5935</v>
      </c>
      <c r="W532" s="191" t="s">
        <v>5936</v>
      </c>
      <c r="X532" s="195">
        <v>0.33333333333333331</v>
      </c>
      <c r="Y532" s="420">
        <v>0.41666666666666669</v>
      </c>
      <c r="Z532" s="191" t="s">
        <v>3315</v>
      </c>
      <c r="AB532" s="224">
        <v>202500866</v>
      </c>
      <c r="AC532" s="55" t="s">
        <v>40</v>
      </c>
    </row>
    <row r="533" spans="1:29">
      <c r="B533" s="13" t="str">
        <f t="shared" si="450"/>
        <v>Pendente</v>
      </c>
      <c r="C533" s="14" t="str">
        <f t="shared" si="448"/>
        <v/>
      </c>
      <c r="D533" s="13" t="s">
        <v>611</v>
      </c>
      <c r="E533" s="14" t="str">
        <f t="shared" si="449"/>
        <v/>
      </c>
      <c r="F533" s="13" t="s">
        <v>611</v>
      </c>
      <c r="G533" s="191">
        <v>202500866</v>
      </c>
      <c r="H533" s="191" t="s">
        <v>5937</v>
      </c>
      <c r="I533" s="193" t="s">
        <v>613</v>
      </c>
      <c r="J533" s="194">
        <v>45880</v>
      </c>
      <c r="K533" s="194">
        <v>46239</v>
      </c>
      <c r="L533" s="193" t="s">
        <v>2734</v>
      </c>
      <c r="M533" s="193" t="s">
        <v>5938</v>
      </c>
      <c r="N533" s="13" t="s">
        <v>5939</v>
      </c>
      <c r="O533" s="17" t="s">
        <v>5940</v>
      </c>
      <c r="P533" s="314" t="s">
        <v>166</v>
      </c>
      <c r="Q533" s="13" t="s">
        <v>618</v>
      </c>
      <c r="R533" s="246" t="str">
        <f>VLOOKUP(P533,'Dados das Regiões '!A:B,2,0)</f>
        <v>CAMPO MOURÃO</v>
      </c>
      <c r="S533" s="191" t="s">
        <v>5941</v>
      </c>
      <c r="U533" s="191"/>
      <c r="V533" s="191" t="s">
        <v>5942</v>
      </c>
      <c r="W533" s="191" t="s">
        <v>5943</v>
      </c>
      <c r="X533" s="195">
        <v>0.33333333333333331</v>
      </c>
      <c r="Y533" s="420">
        <v>0.41666666666666669</v>
      </c>
      <c r="Z533" s="191" t="s">
        <v>3315</v>
      </c>
      <c r="AB533" s="225">
        <v>202500866</v>
      </c>
      <c r="AC533" s="55" t="s">
        <v>40</v>
      </c>
    </row>
    <row r="534" spans="1:29">
      <c r="B534" s="13" t="str">
        <f t="shared" si="450"/>
        <v>Pendente</v>
      </c>
      <c r="C534" s="14" t="str">
        <f t="shared" si="448"/>
        <v/>
      </c>
      <c r="D534" s="13" t="s">
        <v>611</v>
      </c>
      <c r="E534" s="14" t="str">
        <f t="shared" si="449"/>
        <v/>
      </c>
      <c r="F534" s="13" t="s">
        <v>611</v>
      </c>
      <c r="G534" s="191">
        <v>202500866</v>
      </c>
      <c r="H534" s="191" t="s">
        <v>5944</v>
      </c>
      <c r="I534" s="193" t="s">
        <v>613</v>
      </c>
      <c r="J534" s="194">
        <v>45880</v>
      </c>
      <c r="K534" s="194">
        <v>46239</v>
      </c>
      <c r="L534" s="193" t="s">
        <v>5930</v>
      </c>
      <c r="M534" s="193" t="s">
        <v>5945</v>
      </c>
      <c r="N534" s="13" t="s">
        <v>5946</v>
      </c>
      <c r="O534" s="17" t="s">
        <v>5947</v>
      </c>
      <c r="P534" s="314" t="s">
        <v>272</v>
      </c>
      <c r="Q534" s="13" t="s">
        <v>618</v>
      </c>
      <c r="R534" s="246" t="str">
        <f>VLOOKUP(P534,'Dados das Regiões '!A:B,2,0)</f>
        <v>FRANCISCO BELTRÃO</v>
      </c>
      <c r="S534" s="191" t="s">
        <v>5948</v>
      </c>
      <c r="U534" s="191"/>
      <c r="V534" s="191" t="s">
        <v>5935</v>
      </c>
      <c r="W534" s="191" t="s">
        <v>5936</v>
      </c>
      <c r="X534" s="195">
        <v>0.54166666666666663</v>
      </c>
      <c r="Y534" s="420">
        <v>0.625</v>
      </c>
      <c r="Z534" s="191" t="s">
        <v>3315</v>
      </c>
      <c r="AB534" s="224">
        <v>202500866</v>
      </c>
      <c r="AC534" s="55" t="s">
        <v>40</v>
      </c>
    </row>
    <row r="535" spans="1:29">
      <c r="B535" s="13" t="str">
        <f t="shared" si="450"/>
        <v>Pendente</v>
      </c>
      <c r="C535" s="14" t="str">
        <f t="shared" si="448"/>
        <v/>
      </c>
      <c r="D535" s="13" t="s">
        <v>611</v>
      </c>
      <c r="E535" s="14" t="str">
        <f t="shared" si="449"/>
        <v/>
      </c>
      <c r="F535" s="13" t="s">
        <v>611</v>
      </c>
      <c r="G535" s="191">
        <v>202500867</v>
      </c>
      <c r="H535" s="191" t="s">
        <v>5949</v>
      </c>
      <c r="I535" s="193" t="s">
        <v>1176</v>
      </c>
      <c r="J535" s="194">
        <v>45880</v>
      </c>
      <c r="K535" s="194">
        <v>46239</v>
      </c>
      <c r="L535" s="193" t="s">
        <v>1185</v>
      </c>
      <c r="M535" s="193" t="s">
        <v>2494</v>
      </c>
      <c r="N535" s="13" t="s">
        <v>2495</v>
      </c>
      <c r="O535" s="197" t="s">
        <v>2496</v>
      </c>
      <c r="P535" s="314" t="s">
        <v>460</v>
      </c>
      <c r="Q535" s="13" t="s">
        <v>618</v>
      </c>
      <c r="R535" s="246" t="str">
        <f>VLOOKUP(P535,'Dados das Regiões '!A:B,2,0)</f>
        <v>SANTO ANTONIO DA PLATINA</v>
      </c>
      <c r="S535" s="191" t="s">
        <v>2497</v>
      </c>
      <c r="U535" s="191" t="s">
        <v>2498</v>
      </c>
      <c r="V535" s="191" t="s">
        <v>5950</v>
      </c>
      <c r="W535" s="191" t="s">
        <v>2500</v>
      </c>
      <c r="X535" s="195">
        <v>0.54166666666666663</v>
      </c>
      <c r="Y535" s="420">
        <v>0.625</v>
      </c>
      <c r="Z535" s="191" t="s">
        <v>3315</v>
      </c>
      <c r="AB535" s="225">
        <v>202500867</v>
      </c>
      <c r="AC535" s="55" t="s">
        <v>39</v>
      </c>
    </row>
    <row r="536" spans="1:29">
      <c r="B536" s="13" t="str">
        <f t="shared" si="450"/>
        <v>Pendente</v>
      </c>
      <c r="C536" s="14" t="str">
        <f t="shared" si="448"/>
        <v/>
      </c>
      <c r="D536" s="13" t="s">
        <v>611</v>
      </c>
      <c r="E536" s="14" t="str">
        <f t="shared" si="449"/>
        <v/>
      </c>
      <c r="F536" s="13" t="s">
        <v>611</v>
      </c>
      <c r="G536" s="191">
        <v>202500867</v>
      </c>
      <c r="H536" s="191" t="s">
        <v>5951</v>
      </c>
      <c r="I536" s="193" t="s">
        <v>1176</v>
      </c>
      <c r="J536" s="194">
        <v>45880</v>
      </c>
      <c r="K536" s="194">
        <v>46239</v>
      </c>
      <c r="L536" s="193" t="s">
        <v>1185</v>
      </c>
      <c r="M536" s="193" t="s">
        <v>2727</v>
      </c>
      <c r="N536" s="13" t="s">
        <v>2728</v>
      </c>
      <c r="O536" s="197" t="s">
        <v>2729</v>
      </c>
      <c r="P536" s="314" t="s">
        <v>281</v>
      </c>
      <c r="Q536" s="13" t="s">
        <v>618</v>
      </c>
      <c r="R536" s="246" t="str">
        <f>VLOOKUP(P536,'Dados das Regiões '!A:B,2,0)</f>
        <v>FRANCISCO BELTRÃO</v>
      </c>
      <c r="S536" s="191" t="s">
        <v>5952</v>
      </c>
      <c r="U536" s="191" t="s">
        <v>5953</v>
      </c>
      <c r="V536" s="191" t="s">
        <v>2731</v>
      </c>
      <c r="W536" s="191" t="s">
        <v>5954</v>
      </c>
      <c r="X536" s="195">
        <v>0.58333333333333337</v>
      </c>
      <c r="Y536" s="420">
        <v>0.66666666666666663</v>
      </c>
      <c r="Z536" s="191" t="s">
        <v>3315</v>
      </c>
      <c r="AB536" s="224">
        <v>202500867</v>
      </c>
      <c r="AC536" s="55" t="s">
        <v>39</v>
      </c>
    </row>
    <row r="537" spans="1:29">
      <c r="A537" s="14">
        <v>45937</v>
      </c>
      <c r="B537" s="13" t="str">
        <f t="shared" si="450"/>
        <v>Realizada</v>
      </c>
      <c r="C537" s="14">
        <f t="shared" si="448"/>
        <v>46029</v>
      </c>
      <c r="D537" s="13" t="s">
        <v>611</v>
      </c>
      <c r="E537" s="14">
        <f t="shared" si="449"/>
        <v>46119</v>
      </c>
      <c r="F537" s="13" t="s">
        <v>611</v>
      </c>
      <c r="G537" s="191">
        <v>202500867</v>
      </c>
      <c r="H537" s="191" t="s">
        <v>3166</v>
      </c>
      <c r="I537" s="193" t="s">
        <v>1176</v>
      </c>
      <c r="J537" s="194">
        <v>45880</v>
      </c>
      <c r="K537" s="194">
        <v>46239</v>
      </c>
      <c r="L537" s="193" t="s">
        <v>1185</v>
      </c>
      <c r="M537" s="193" t="s">
        <v>2798</v>
      </c>
      <c r="N537" s="13" t="s">
        <v>2799</v>
      </c>
      <c r="O537" s="197" t="s">
        <v>2800</v>
      </c>
      <c r="P537" s="318" t="s">
        <v>306</v>
      </c>
      <c r="Q537" s="13" t="s">
        <v>618</v>
      </c>
      <c r="R537" s="246" t="str">
        <f>VLOOKUP(P537,'Dados das Regiões '!A:B,2,0)</f>
        <v>IRATI</v>
      </c>
      <c r="S537" s="191" t="s">
        <v>3167</v>
      </c>
      <c r="U537" s="191" t="s">
        <v>5955</v>
      </c>
      <c r="V537" s="191" t="s">
        <v>3168</v>
      </c>
      <c r="W537" s="191" t="s">
        <v>3169</v>
      </c>
      <c r="X537" s="195">
        <v>0.54166666666666663</v>
      </c>
      <c r="Y537" s="420">
        <v>0.625</v>
      </c>
      <c r="Z537" s="191" t="s">
        <v>3315</v>
      </c>
      <c r="AB537" s="225">
        <v>202500867</v>
      </c>
      <c r="AC537" s="55" t="s">
        <v>39</v>
      </c>
    </row>
    <row r="538" spans="1:29">
      <c r="B538" s="13" t="str">
        <f t="shared" si="450"/>
        <v>Pendente</v>
      </c>
      <c r="C538" s="14" t="str">
        <f t="shared" si="448"/>
        <v/>
      </c>
      <c r="D538" s="13" t="s">
        <v>611</v>
      </c>
      <c r="E538" s="14" t="str">
        <f t="shared" si="449"/>
        <v/>
      </c>
      <c r="F538" s="13" t="s">
        <v>611</v>
      </c>
      <c r="G538" s="191">
        <v>202500867</v>
      </c>
      <c r="H538" s="191" t="s">
        <v>5956</v>
      </c>
      <c r="I538" s="193" t="s">
        <v>1176</v>
      </c>
      <c r="J538" s="194">
        <v>45880</v>
      </c>
      <c r="K538" s="194">
        <v>46239</v>
      </c>
      <c r="L538" s="193" t="s">
        <v>1185</v>
      </c>
      <c r="M538" s="193" t="s">
        <v>2690</v>
      </c>
      <c r="N538" s="18" t="s">
        <v>2691</v>
      </c>
      <c r="O538" s="198" t="s">
        <v>2692</v>
      </c>
      <c r="P538" s="314" t="s">
        <v>457</v>
      </c>
      <c r="Q538" s="13" t="s">
        <v>618</v>
      </c>
      <c r="R538" s="246" t="str">
        <f>VLOOKUP(P538,'Dados das Regiões '!A:B,2,0)</f>
        <v>RIO NEGRO</v>
      </c>
      <c r="S538" s="191" t="s">
        <v>5957</v>
      </c>
      <c r="U538" s="191"/>
      <c r="V538" s="191" t="s">
        <v>5958</v>
      </c>
      <c r="W538" s="191" t="s">
        <v>2694</v>
      </c>
      <c r="X538" s="195">
        <v>0.54166666666666663</v>
      </c>
      <c r="Y538" s="420">
        <v>0.625</v>
      </c>
      <c r="Z538" s="191" t="s">
        <v>3315</v>
      </c>
      <c r="AB538" s="224">
        <v>202500867</v>
      </c>
      <c r="AC538" s="55" t="s">
        <v>39</v>
      </c>
    </row>
    <row r="539" spans="1:29">
      <c r="A539" s="14">
        <v>45964</v>
      </c>
      <c r="B539" s="13" t="str">
        <f t="shared" si="450"/>
        <v>Realizada</v>
      </c>
      <c r="C539" s="14">
        <f t="shared" si="448"/>
        <v>46056</v>
      </c>
      <c r="D539" s="13" t="s">
        <v>611</v>
      </c>
      <c r="E539" s="14">
        <f t="shared" si="449"/>
        <v>46145</v>
      </c>
      <c r="F539" s="13" t="s">
        <v>611</v>
      </c>
      <c r="G539" s="191">
        <v>202500867</v>
      </c>
      <c r="H539" s="191" t="s">
        <v>3296</v>
      </c>
      <c r="I539" s="193" t="s">
        <v>1176</v>
      </c>
      <c r="J539" s="194">
        <v>45880</v>
      </c>
      <c r="K539" s="194">
        <v>46239</v>
      </c>
      <c r="L539" s="193" t="s">
        <v>1185</v>
      </c>
      <c r="M539" s="193" t="s">
        <v>2839</v>
      </c>
      <c r="N539" s="101" t="s">
        <v>2840</v>
      </c>
      <c r="O539" s="198" t="s">
        <v>2841</v>
      </c>
      <c r="P539" s="314" t="s">
        <v>449</v>
      </c>
      <c r="Q539" s="13" t="s">
        <v>618</v>
      </c>
      <c r="R539" s="246" t="str">
        <f>VLOOKUP(P539,'Dados das Regiões '!A:B,2,0)</f>
        <v>PONTA GROSSA</v>
      </c>
      <c r="S539" s="191" t="s">
        <v>3297</v>
      </c>
      <c r="U539" s="191"/>
      <c r="V539" s="191" t="s">
        <v>2844</v>
      </c>
      <c r="W539" s="191" t="s">
        <v>3299</v>
      </c>
      <c r="X539" s="195">
        <v>0.58333333333333337</v>
      </c>
      <c r="Y539" s="420">
        <v>0.66666666666666663</v>
      </c>
      <c r="Z539" s="191" t="s">
        <v>3315</v>
      </c>
      <c r="AB539" s="225">
        <v>202500867</v>
      </c>
      <c r="AC539" s="55" t="s">
        <v>39</v>
      </c>
    </row>
    <row r="540" spans="1:29">
      <c r="A540" s="14">
        <v>45938</v>
      </c>
      <c r="B540" s="13" t="str">
        <f t="shared" si="450"/>
        <v>Realizada</v>
      </c>
      <c r="C540" s="14">
        <f t="shared" si="448"/>
        <v>46030</v>
      </c>
      <c r="D540" s="13" t="s">
        <v>611</v>
      </c>
      <c r="E540" s="14">
        <f t="shared" si="449"/>
        <v>46120</v>
      </c>
      <c r="F540" s="13" t="s">
        <v>611</v>
      </c>
      <c r="G540" s="191">
        <v>202500867</v>
      </c>
      <c r="H540" s="191" t="s">
        <v>3206</v>
      </c>
      <c r="I540" s="193" t="s">
        <v>1176</v>
      </c>
      <c r="J540" s="194">
        <v>45880</v>
      </c>
      <c r="K540" s="194">
        <v>46239</v>
      </c>
      <c r="L540" s="193" t="s">
        <v>1185</v>
      </c>
      <c r="M540" s="193" t="s">
        <v>2540</v>
      </c>
      <c r="N540" s="13" t="s">
        <v>2541</v>
      </c>
      <c r="O540" s="197" t="s">
        <v>2542</v>
      </c>
      <c r="P540" s="318" t="s">
        <v>303</v>
      </c>
      <c r="Q540" s="13" t="s">
        <v>618</v>
      </c>
      <c r="R540" s="246" t="str">
        <f>VLOOKUP(P540,'Dados das Regiões '!A:B,2,0)</f>
        <v>IRATI</v>
      </c>
      <c r="S540" s="191" t="s">
        <v>2543</v>
      </c>
      <c r="U540" s="191"/>
      <c r="V540" s="191" t="s">
        <v>2544</v>
      </c>
      <c r="W540" s="191" t="s">
        <v>3207</v>
      </c>
      <c r="X540" s="195">
        <v>0.33333333333333331</v>
      </c>
      <c r="Y540" s="420">
        <v>0.41666666666666669</v>
      </c>
      <c r="Z540" s="191" t="s">
        <v>3315</v>
      </c>
      <c r="AA540" s="36" t="s">
        <v>5959</v>
      </c>
      <c r="AB540" s="224">
        <v>202500867</v>
      </c>
      <c r="AC540" s="55" t="s">
        <v>39</v>
      </c>
    </row>
    <row r="541" spans="1:29">
      <c r="B541" s="13" t="str">
        <f t="shared" si="450"/>
        <v>Pendente</v>
      </c>
      <c r="C541" s="14" t="str">
        <f t="shared" si="448"/>
        <v/>
      </c>
      <c r="D541" s="13" t="s">
        <v>611</v>
      </c>
      <c r="E541" s="14" t="str">
        <f t="shared" si="449"/>
        <v/>
      </c>
      <c r="F541" s="13" t="s">
        <v>611</v>
      </c>
      <c r="G541" s="191">
        <v>202500866</v>
      </c>
      <c r="H541" s="191" t="s">
        <v>5960</v>
      </c>
      <c r="I541" s="193" t="s">
        <v>613</v>
      </c>
      <c r="J541" s="194">
        <v>45880</v>
      </c>
      <c r="K541" s="194">
        <v>46239</v>
      </c>
      <c r="L541" s="193" t="s">
        <v>5930</v>
      </c>
      <c r="M541" s="193" t="s">
        <v>5961</v>
      </c>
      <c r="N541" s="13" t="s">
        <v>5962</v>
      </c>
      <c r="O541" s="17" t="s">
        <v>5963</v>
      </c>
      <c r="P541" s="314" t="s">
        <v>279</v>
      </c>
      <c r="Q541" s="13" t="s">
        <v>618</v>
      </c>
      <c r="R541" s="246" t="str">
        <f>VLOOKUP(P541,'Dados das Regiões '!A:B,2,0)</f>
        <v>FRANCISCO BELTRÃO</v>
      </c>
      <c r="S541" s="191" t="s">
        <v>5964</v>
      </c>
      <c r="U541" s="191"/>
      <c r="V541" s="191" t="s">
        <v>5935</v>
      </c>
      <c r="W541" s="191" t="s">
        <v>5936</v>
      </c>
      <c r="X541" s="195">
        <v>0.5625</v>
      </c>
      <c r="Y541" s="420">
        <v>0.64583333333333337</v>
      </c>
      <c r="Z541" s="191" t="s">
        <v>3315</v>
      </c>
      <c r="AB541" s="225">
        <v>202500866</v>
      </c>
      <c r="AC541" s="55" t="s">
        <v>40</v>
      </c>
    </row>
    <row r="542" spans="1:29">
      <c r="B542" s="13" t="str">
        <f t="shared" si="450"/>
        <v>Pendente</v>
      </c>
      <c r="C542" s="14" t="str">
        <f t="shared" si="448"/>
        <v/>
      </c>
      <c r="D542" s="13" t="s">
        <v>611</v>
      </c>
      <c r="E542" s="14" t="str">
        <f t="shared" si="449"/>
        <v/>
      </c>
      <c r="F542" s="13" t="s">
        <v>611</v>
      </c>
      <c r="G542" s="191">
        <v>202500867</v>
      </c>
      <c r="H542" s="191" t="s">
        <v>5965</v>
      </c>
      <c r="I542" s="193" t="s">
        <v>1176</v>
      </c>
      <c r="J542" s="194">
        <v>45880</v>
      </c>
      <c r="K542" s="194">
        <v>46239</v>
      </c>
      <c r="L542" s="193" t="s">
        <v>1185</v>
      </c>
      <c r="M542" s="193" t="s">
        <v>2509</v>
      </c>
      <c r="N542" s="13" t="s">
        <v>2510</v>
      </c>
      <c r="O542" s="197" t="s">
        <v>2511</v>
      </c>
      <c r="P542" s="314" t="s">
        <v>396</v>
      </c>
      <c r="Q542" s="13" t="s">
        <v>618</v>
      </c>
      <c r="R542" s="246" t="str">
        <f>VLOOKUP(P542,'Dados das Regiões '!A:B,2,0)</f>
        <v>NOVA LONDRINA</v>
      </c>
      <c r="S542" s="191" t="s">
        <v>5966</v>
      </c>
      <c r="U542" s="191" t="s">
        <v>5967</v>
      </c>
      <c r="V542" s="191" t="s">
        <v>5968</v>
      </c>
      <c r="W542" s="191" t="s">
        <v>5969</v>
      </c>
      <c r="X542" s="195">
        <v>0.58333333333333337</v>
      </c>
      <c r="Y542" s="420">
        <v>0.66666666666666663</v>
      </c>
      <c r="Z542" s="191" t="s">
        <v>3315</v>
      </c>
      <c r="AB542" s="224">
        <v>202500867</v>
      </c>
      <c r="AC542" s="55" t="s">
        <v>39</v>
      </c>
    </row>
    <row r="543" spans="1:29">
      <c r="B543" s="13" t="str">
        <f t="shared" si="450"/>
        <v>Pendente</v>
      </c>
      <c r="C543" s="14" t="str">
        <f t="shared" si="448"/>
        <v/>
      </c>
      <c r="D543" s="13" t="s">
        <v>611</v>
      </c>
      <c r="E543" s="14" t="str">
        <f t="shared" si="449"/>
        <v/>
      </c>
      <c r="F543" s="13" t="s">
        <v>611</v>
      </c>
      <c r="G543" s="191">
        <v>202500867</v>
      </c>
      <c r="H543" s="191" t="s">
        <v>5970</v>
      </c>
      <c r="I543" s="193" t="s">
        <v>1176</v>
      </c>
      <c r="J543" s="194">
        <v>45880</v>
      </c>
      <c r="K543" s="194">
        <v>46239</v>
      </c>
      <c r="L543" s="193" t="s">
        <v>1185</v>
      </c>
      <c r="M543" s="193" t="s">
        <v>2547</v>
      </c>
      <c r="N543" s="13" t="s">
        <v>2548</v>
      </c>
      <c r="O543" s="197" t="s">
        <v>2549</v>
      </c>
      <c r="P543" s="314" t="s">
        <v>406</v>
      </c>
      <c r="Q543" s="13" t="s">
        <v>618</v>
      </c>
      <c r="R543" s="246" t="str">
        <f>VLOOKUP(P543,'Dados das Regiões '!A:B,2,0)</f>
        <v>PALMAS</v>
      </c>
      <c r="S543" s="191" t="s">
        <v>2550</v>
      </c>
      <c r="U543" s="191" t="s">
        <v>2551</v>
      </c>
      <c r="V543" s="191" t="s">
        <v>2552</v>
      </c>
      <c r="W543" s="191" t="s">
        <v>2553</v>
      </c>
      <c r="X543" s="195">
        <v>0.5625</v>
      </c>
      <c r="Y543" s="420">
        <v>0.64583333333333337</v>
      </c>
      <c r="Z543" s="191" t="s">
        <v>3315</v>
      </c>
      <c r="AB543" s="225">
        <v>202500867</v>
      </c>
      <c r="AC543" s="55" t="s">
        <v>39</v>
      </c>
    </row>
    <row r="544" spans="1:29">
      <c r="A544" s="14">
        <v>45995</v>
      </c>
      <c r="B544" s="13" t="str">
        <f t="shared" si="450"/>
        <v>Realizada</v>
      </c>
      <c r="C544" s="14">
        <f t="shared" si="448"/>
        <v>46085</v>
      </c>
      <c r="D544" s="13" t="s">
        <v>611</v>
      </c>
      <c r="E544" s="14">
        <f t="shared" si="449"/>
        <v>46177</v>
      </c>
      <c r="F544" s="13" t="s">
        <v>611</v>
      </c>
      <c r="G544" s="191">
        <v>202500867</v>
      </c>
      <c r="H544" s="191" t="s">
        <v>5971</v>
      </c>
      <c r="I544" s="193" t="s">
        <v>1176</v>
      </c>
      <c r="J544" s="194">
        <v>45880</v>
      </c>
      <c r="K544" s="194">
        <v>46239</v>
      </c>
      <c r="L544" s="193" t="s">
        <v>1185</v>
      </c>
      <c r="M544" s="193" t="s">
        <v>5972</v>
      </c>
      <c r="N544" s="13" t="s">
        <v>5973</v>
      </c>
      <c r="O544" s="17" t="s">
        <v>5974</v>
      </c>
      <c r="P544" s="314" t="s">
        <v>300</v>
      </c>
      <c r="Q544" s="13" t="s">
        <v>618</v>
      </c>
      <c r="R544" s="246" t="str">
        <f>VLOOKUP(P544,'Dados das Regiões '!A:B,2,0)</f>
        <v>GUARAPUAVA</v>
      </c>
      <c r="S544" s="191" t="s">
        <v>5975</v>
      </c>
      <c r="U544" s="191"/>
      <c r="V544" s="191" t="s">
        <v>5976</v>
      </c>
      <c r="W544" s="191" t="s">
        <v>5977</v>
      </c>
      <c r="X544" s="195">
        <v>0.54166666666666663</v>
      </c>
      <c r="Y544" s="420">
        <v>0.625</v>
      </c>
      <c r="Z544" s="191" t="s">
        <v>3315</v>
      </c>
      <c r="AB544" s="224">
        <v>202500867</v>
      </c>
      <c r="AC544" s="55" t="s">
        <v>39</v>
      </c>
    </row>
    <row r="545" spans="1:29">
      <c r="B545" s="13" t="str">
        <f t="shared" si="450"/>
        <v>Pendente</v>
      </c>
      <c r="C545" s="14" t="str">
        <f t="shared" si="448"/>
        <v/>
      </c>
      <c r="D545" s="13" t="s">
        <v>611</v>
      </c>
      <c r="E545" s="14" t="str">
        <f t="shared" si="449"/>
        <v/>
      </c>
      <c r="F545" s="13" t="s">
        <v>611</v>
      </c>
      <c r="G545" s="191">
        <v>202500867</v>
      </c>
      <c r="H545" s="191" t="s">
        <v>5978</v>
      </c>
      <c r="I545" s="193" t="s">
        <v>1176</v>
      </c>
      <c r="J545" s="194">
        <v>45880</v>
      </c>
      <c r="K545" s="194">
        <v>46239</v>
      </c>
      <c r="L545" s="193" t="s">
        <v>1185</v>
      </c>
      <c r="M545" s="193" t="s">
        <v>2805</v>
      </c>
      <c r="N545" s="13" t="s">
        <v>2806</v>
      </c>
      <c r="O545" s="197" t="s">
        <v>2807</v>
      </c>
      <c r="P545" s="314" t="s">
        <v>203</v>
      </c>
      <c r="Q545" s="13" t="s">
        <v>618</v>
      </c>
      <c r="R545" s="246" t="str">
        <f>VLOOKUP(P545,'Dados das Regiões '!A:B,2,0)</f>
        <v>CASCAVEL</v>
      </c>
      <c r="S545" s="191" t="s">
        <v>5979</v>
      </c>
      <c r="U545" s="191" t="s">
        <v>2809</v>
      </c>
      <c r="V545" s="191" t="s">
        <v>5980</v>
      </c>
      <c r="W545" s="191" t="s">
        <v>2811</v>
      </c>
      <c r="X545" s="195">
        <v>0.58333333333333337</v>
      </c>
      <c r="Y545" s="420">
        <v>0.66666666666666663</v>
      </c>
      <c r="Z545" s="191" t="s">
        <v>3315</v>
      </c>
      <c r="AB545" s="225">
        <v>202500867</v>
      </c>
      <c r="AC545" s="55" t="s">
        <v>39</v>
      </c>
    </row>
    <row r="546" spans="1:29">
      <c r="B546" s="13" t="str">
        <f t="shared" si="450"/>
        <v>Pendente</v>
      </c>
      <c r="C546" s="14" t="str">
        <f t="shared" si="448"/>
        <v/>
      </c>
      <c r="D546" s="13" t="s">
        <v>611</v>
      </c>
      <c r="E546" s="14" t="str">
        <f t="shared" si="449"/>
        <v/>
      </c>
      <c r="F546" s="13" t="s">
        <v>611</v>
      </c>
      <c r="G546" s="191">
        <v>202500867</v>
      </c>
      <c r="H546" s="191" t="s">
        <v>5981</v>
      </c>
      <c r="I546" s="193" t="s">
        <v>1176</v>
      </c>
      <c r="J546" s="194">
        <v>45880</v>
      </c>
      <c r="K546" s="194">
        <v>46239</v>
      </c>
      <c r="L546" s="193" t="s">
        <v>1185</v>
      </c>
      <c r="M546" s="193" t="s">
        <v>5982</v>
      </c>
      <c r="N546" s="13" t="s">
        <v>5983</v>
      </c>
      <c r="O546" s="17" t="s">
        <v>5984</v>
      </c>
      <c r="P546" s="314" t="s">
        <v>166</v>
      </c>
      <c r="Q546" s="13" t="s">
        <v>618</v>
      </c>
      <c r="R546" s="246" t="str">
        <f>VLOOKUP(P546,'Dados das Regiões '!A:B,2,0)</f>
        <v>CAMPO MOURÃO</v>
      </c>
      <c r="S546" s="191" t="s">
        <v>5985</v>
      </c>
      <c r="U546" s="191"/>
      <c r="V546" s="191" t="s">
        <v>5986</v>
      </c>
      <c r="W546" s="191" t="s">
        <v>5987</v>
      </c>
      <c r="X546" s="195">
        <v>0.58333333333333337</v>
      </c>
      <c r="Y546" s="420">
        <v>0.66666666666666663</v>
      </c>
      <c r="Z546" s="191" t="s">
        <v>3315</v>
      </c>
      <c r="AB546" s="224">
        <v>202500867</v>
      </c>
      <c r="AC546" s="55" t="s">
        <v>39</v>
      </c>
    </row>
    <row r="547" spans="1:29">
      <c r="B547" s="13" t="str">
        <f t="shared" si="450"/>
        <v>Pendente</v>
      </c>
      <c r="C547" s="14" t="str">
        <f t="shared" si="448"/>
        <v/>
      </c>
      <c r="D547" s="13" t="s">
        <v>611</v>
      </c>
      <c r="E547" s="14" t="str">
        <f t="shared" si="449"/>
        <v/>
      </c>
      <c r="F547" s="13" t="s">
        <v>611</v>
      </c>
      <c r="G547" s="191">
        <v>202500867</v>
      </c>
      <c r="H547" s="191" t="s">
        <v>5988</v>
      </c>
      <c r="I547" s="193" t="s">
        <v>1176</v>
      </c>
      <c r="J547" s="194">
        <v>45880</v>
      </c>
      <c r="K547" s="194">
        <v>46239</v>
      </c>
      <c r="L547" s="193" t="s">
        <v>1185</v>
      </c>
      <c r="M547" s="193" t="s">
        <v>2463</v>
      </c>
      <c r="N547" s="13" t="s">
        <v>2464</v>
      </c>
      <c r="O547" s="197" t="s">
        <v>2465</v>
      </c>
      <c r="P547" s="314" t="s">
        <v>185</v>
      </c>
      <c r="Q547" s="13" t="s">
        <v>618</v>
      </c>
      <c r="R547" s="246" t="str">
        <f>VLOOKUP(P547,'Dados das Regiões '!A:B,2,0)</f>
        <v>CASCAVEL</v>
      </c>
      <c r="S547" s="191" t="s">
        <v>5989</v>
      </c>
      <c r="U547" s="191"/>
      <c r="V547" s="191" t="s">
        <v>5990</v>
      </c>
      <c r="W547" s="191" t="s">
        <v>5991</v>
      </c>
      <c r="X547" s="195">
        <v>0.54166666666666663</v>
      </c>
      <c r="Y547" s="420">
        <v>0.625</v>
      </c>
      <c r="Z547" s="191" t="s">
        <v>3315</v>
      </c>
      <c r="AB547" s="225">
        <v>202500867</v>
      </c>
      <c r="AC547" s="55" t="s">
        <v>39</v>
      </c>
    </row>
    <row r="548" spans="1:29">
      <c r="A548" s="14">
        <v>45937</v>
      </c>
      <c r="B548" s="13" t="str">
        <f t="shared" si="450"/>
        <v>Realizada</v>
      </c>
      <c r="C548" s="14">
        <f t="shared" si="448"/>
        <v>46029</v>
      </c>
      <c r="D548" s="13" t="s">
        <v>611</v>
      </c>
      <c r="E548" s="14">
        <f t="shared" si="449"/>
        <v>46119</v>
      </c>
      <c r="F548" s="13" t="s">
        <v>611</v>
      </c>
      <c r="G548" s="191">
        <v>202500521</v>
      </c>
      <c r="H548" s="191" t="s">
        <v>3204</v>
      </c>
      <c r="I548" s="193" t="s">
        <v>1192</v>
      </c>
      <c r="J548" s="194">
        <v>45880</v>
      </c>
      <c r="K548" s="194">
        <v>46239</v>
      </c>
      <c r="L548" s="193" t="s">
        <v>3172</v>
      </c>
      <c r="M548" s="193" t="s">
        <v>5867</v>
      </c>
      <c r="N548" s="13" t="s">
        <v>3198</v>
      </c>
      <c r="O548" s="197" t="s">
        <v>3199</v>
      </c>
      <c r="P548" s="318" t="s">
        <v>304</v>
      </c>
      <c r="Q548" s="13" t="s">
        <v>618</v>
      </c>
      <c r="R548" s="246" t="str">
        <f>VLOOKUP(P548,'Dados das Regiões '!A:B,2,0)</f>
        <v>IRATI</v>
      </c>
      <c r="S548" s="191" t="s">
        <v>3200</v>
      </c>
      <c r="U548" s="191" t="s">
        <v>3201</v>
      </c>
      <c r="V548" s="191" t="s">
        <v>3201</v>
      </c>
      <c r="W548" s="191" t="s">
        <v>3202</v>
      </c>
      <c r="X548" s="195">
        <v>0.5625</v>
      </c>
      <c r="Y548" s="420">
        <v>0.64583333333333337</v>
      </c>
      <c r="Z548" s="191" t="s">
        <v>3315</v>
      </c>
      <c r="AB548" s="224">
        <v>202500867</v>
      </c>
      <c r="AC548" s="55" t="s">
        <v>39</v>
      </c>
    </row>
    <row r="549" spans="1:29">
      <c r="B549" s="13" t="str">
        <f t="shared" si="450"/>
        <v>Pendente</v>
      </c>
      <c r="C549" s="14" t="str">
        <f t="shared" si="448"/>
        <v/>
      </c>
      <c r="D549" s="13" t="s">
        <v>611</v>
      </c>
      <c r="E549" s="14" t="str">
        <f t="shared" si="449"/>
        <v/>
      </c>
      <c r="F549" s="13" t="s">
        <v>611</v>
      </c>
      <c r="G549" s="191">
        <v>202500867</v>
      </c>
      <c r="H549" s="191" t="s">
        <v>5992</v>
      </c>
      <c r="I549" s="193" t="s">
        <v>1176</v>
      </c>
      <c r="J549" s="194">
        <v>45880</v>
      </c>
      <c r="K549" s="194">
        <v>46239</v>
      </c>
      <c r="L549" s="193" t="s">
        <v>1185</v>
      </c>
      <c r="M549" s="193" t="s">
        <v>2471</v>
      </c>
      <c r="N549" s="13" t="s">
        <v>2472</v>
      </c>
      <c r="O549" s="17" t="s">
        <v>2473</v>
      </c>
      <c r="P549" s="314" t="s">
        <v>111</v>
      </c>
      <c r="Q549" s="13" t="s">
        <v>618</v>
      </c>
      <c r="R549" s="246" t="str">
        <f>VLOOKUP(P549,'Dados das Regiões '!A:B,2,0)</f>
        <v>APUCARANA</v>
      </c>
      <c r="S549" s="191" t="s">
        <v>5993</v>
      </c>
      <c r="U549" s="191"/>
      <c r="V549" s="191" t="s">
        <v>5994</v>
      </c>
      <c r="W549" s="191" t="s">
        <v>5995</v>
      </c>
      <c r="X549" s="195">
        <v>0.58333333333333337</v>
      </c>
      <c r="Y549" s="420">
        <v>0.66666666666666663</v>
      </c>
      <c r="Z549" s="191" t="s">
        <v>3315</v>
      </c>
      <c r="AB549" s="225">
        <v>202500867</v>
      </c>
      <c r="AC549" s="55" t="s">
        <v>39</v>
      </c>
    </row>
    <row r="550" spans="1:29">
      <c r="B550" s="13" t="str">
        <f t="shared" si="450"/>
        <v>Pendente</v>
      </c>
      <c r="C550" s="14" t="str">
        <f t="shared" si="448"/>
        <v/>
      </c>
      <c r="D550" s="13" t="s">
        <v>611</v>
      </c>
      <c r="E550" s="14" t="str">
        <f t="shared" si="449"/>
        <v/>
      </c>
      <c r="F550" s="13" t="s">
        <v>611</v>
      </c>
      <c r="G550" s="191">
        <v>202500867</v>
      </c>
      <c r="H550" s="191" t="s">
        <v>5996</v>
      </c>
      <c r="I550" s="193" t="s">
        <v>1176</v>
      </c>
      <c r="J550" s="194">
        <v>45880</v>
      </c>
      <c r="K550" s="194">
        <v>46239</v>
      </c>
      <c r="L550" s="193" t="s">
        <v>1185</v>
      </c>
      <c r="M550" s="193" t="s">
        <v>2813</v>
      </c>
      <c r="N550" s="13" t="s">
        <v>2814</v>
      </c>
      <c r="O550" s="17" t="s">
        <v>2815</v>
      </c>
      <c r="P550" s="314" t="s">
        <v>405</v>
      </c>
      <c r="Q550" s="13" t="s">
        <v>618</v>
      </c>
      <c r="R550" s="246" t="str">
        <f>VLOOKUP(P550,'Dados das Regiões '!A:B,2,0)</f>
        <v>NOVA LONDRINA</v>
      </c>
      <c r="S550" s="191" t="s">
        <v>5997</v>
      </c>
      <c r="U550" s="191"/>
      <c r="V550" s="191" t="s">
        <v>5998</v>
      </c>
      <c r="W550" s="191" t="s">
        <v>5999</v>
      </c>
      <c r="X550" s="195">
        <v>0.54166666666666663</v>
      </c>
      <c r="Y550" s="420">
        <v>0.625</v>
      </c>
      <c r="Z550" s="191" t="s">
        <v>3315</v>
      </c>
      <c r="AB550" s="224">
        <v>202500867</v>
      </c>
      <c r="AC550" s="55" t="s">
        <v>39</v>
      </c>
    </row>
    <row r="551" spans="1:29">
      <c r="B551" s="13" t="str">
        <f t="shared" si="450"/>
        <v>Pendente</v>
      </c>
      <c r="C551" s="14" t="str">
        <f t="shared" si="448"/>
        <v/>
      </c>
      <c r="D551" s="13" t="s">
        <v>611</v>
      </c>
      <c r="E551" s="14" t="str">
        <f t="shared" si="449"/>
        <v/>
      </c>
      <c r="F551" s="13" t="s">
        <v>611</v>
      </c>
      <c r="G551" s="191">
        <v>202500866</v>
      </c>
      <c r="H551" s="191" t="s">
        <v>6000</v>
      </c>
      <c r="I551" s="193" t="s">
        <v>613</v>
      </c>
      <c r="J551" s="194">
        <v>45880</v>
      </c>
      <c r="K551" s="194">
        <v>46239</v>
      </c>
      <c r="L551" s="193" t="s">
        <v>2618</v>
      </c>
      <c r="M551" s="193" t="s">
        <v>2619</v>
      </c>
      <c r="N551" s="13" t="s">
        <v>2620</v>
      </c>
      <c r="O551" s="13" t="s">
        <v>2621</v>
      </c>
      <c r="P551" s="314" t="s">
        <v>491</v>
      </c>
      <c r="Q551" s="13" t="s">
        <v>618</v>
      </c>
      <c r="R551" s="246" t="str">
        <f>VLOOKUP(P551,'Dados das Regiões '!A:B,2,0)</f>
        <v>UMUARAMA</v>
      </c>
      <c r="S551" s="191" t="s">
        <v>6001</v>
      </c>
      <c r="U551" s="191" t="s">
        <v>4287</v>
      </c>
      <c r="V551" s="191" t="s">
        <v>4287</v>
      </c>
      <c r="W551" s="191" t="s">
        <v>6002</v>
      </c>
      <c r="X551" s="195">
        <v>0.58333333333333337</v>
      </c>
      <c r="Y551" s="420">
        <v>0.66666666666666663</v>
      </c>
      <c r="Z551" s="191" t="s">
        <v>3315</v>
      </c>
      <c r="AB551" s="225">
        <v>202500866</v>
      </c>
      <c r="AC551" s="55" t="s">
        <v>40</v>
      </c>
    </row>
    <row r="552" spans="1:29">
      <c r="B552" s="13" t="str">
        <f t="shared" si="450"/>
        <v>Pendente</v>
      </c>
      <c r="C552" s="14" t="str">
        <f t="shared" si="448"/>
        <v/>
      </c>
      <c r="D552" s="13" t="s">
        <v>611</v>
      </c>
      <c r="E552" s="14" t="str">
        <f t="shared" si="449"/>
        <v/>
      </c>
      <c r="F552" s="13" t="s">
        <v>611</v>
      </c>
      <c r="G552" s="191">
        <v>202500866</v>
      </c>
      <c r="H552" s="191" t="s">
        <v>6003</v>
      </c>
      <c r="I552" s="193" t="s">
        <v>613</v>
      </c>
      <c r="J552" s="194">
        <v>45880</v>
      </c>
      <c r="K552" s="194">
        <v>46239</v>
      </c>
      <c r="L552" s="193" t="s">
        <v>6004</v>
      </c>
      <c r="M552" s="193" t="s">
        <v>6005</v>
      </c>
      <c r="N552" s="13" t="s">
        <v>6006</v>
      </c>
      <c r="O552" s="17" t="s">
        <v>6007</v>
      </c>
      <c r="P552" s="314" t="s">
        <v>491</v>
      </c>
      <c r="Q552" s="13" t="s">
        <v>618</v>
      </c>
      <c r="R552" s="246" t="str">
        <f>VLOOKUP(P552,'Dados das Regiões '!A:B,2,0)</f>
        <v>UMUARAMA</v>
      </c>
      <c r="S552" s="191" t="s">
        <v>6008</v>
      </c>
      <c r="U552" s="191" t="s">
        <v>6009</v>
      </c>
      <c r="V552" s="191" t="s">
        <v>6009</v>
      </c>
      <c r="W552" s="191" t="s">
        <v>6010</v>
      </c>
      <c r="X552" s="195">
        <v>0.58333333333333337</v>
      </c>
      <c r="Y552" s="420">
        <v>0.66666666666666663</v>
      </c>
      <c r="Z552" s="191" t="s">
        <v>3315</v>
      </c>
      <c r="AB552" s="224">
        <v>202500866</v>
      </c>
      <c r="AC552" s="55" t="s">
        <v>40</v>
      </c>
    </row>
    <row r="553" spans="1:29">
      <c r="B553" s="13" t="str">
        <f t="shared" si="450"/>
        <v>Pendente</v>
      </c>
      <c r="C553" s="14" t="str">
        <f t="shared" ref="C553:C615" si="451">IF(A553="", "", EDATE(A553, 3))</f>
        <v/>
      </c>
      <c r="D553" s="13" t="s">
        <v>611</v>
      </c>
      <c r="E553" s="14" t="str">
        <f t="shared" si="449"/>
        <v/>
      </c>
      <c r="F553" s="13" t="s">
        <v>611</v>
      </c>
      <c r="G553" s="191">
        <v>202500866</v>
      </c>
      <c r="H553" s="191" t="s">
        <v>6011</v>
      </c>
      <c r="I553" s="193" t="s">
        <v>613</v>
      </c>
      <c r="J553" s="194">
        <v>45880</v>
      </c>
      <c r="K553" s="194">
        <v>46239</v>
      </c>
      <c r="L553" s="193" t="s">
        <v>6012</v>
      </c>
      <c r="M553" s="193" t="s">
        <v>6013</v>
      </c>
      <c r="N553" s="13" t="s">
        <v>6014</v>
      </c>
      <c r="O553" s="17" t="s">
        <v>6015</v>
      </c>
      <c r="P553" s="314" t="s">
        <v>491</v>
      </c>
      <c r="Q553" s="13" t="s">
        <v>618</v>
      </c>
      <c r="R553" s="246" t="str">
        <f>VLOOKUP(P553,'Dados das Regiões '!A:B,2,0)</f>
        <v>UMUARAMA</v>
      </c>
      <c r="S553" s="191" t="s">
        <v>3736</v>
      </c>
      <c r="U553" s="191" t="s">
        <v>3737</v>
      </c>
      <c r="V553" s="191" t="s">
        <v>3737</v>
      </c>
      <c r="W553" s="191" t="s">
        <v>3738</v>
      </c>
      <c r="X553" s="195">
        <v>0.58333333333333337</v>
      </c>
      <c r="Y553" s="420">
        <v>0.66666666666666663</v>
      </c>
      <c r="Z553" s="191" t="s">
        <v>3315</v>
      </c>
      <c r="AB553" s="225">
        <v>202500866</v>
      </c>
      <c r="AC553" s="55" t="s">
        <v>40</v>
      </c>
    </row>
    <row r="554" spans="1:29">
      <c r="B554" s="13" t="str">
        <f t="shared" si="450"/>
        <v>Pendente</v>
      </c>
      <c r="C554" s="14" t="str">
        <f t="shared" si="451"/>
        <v/>
      </c>
      <c r="D554" s="13" t="s">
        <v>611</v>
      </c>
      <c r="E554" s="14" t="str">
        <f t="shared" si="449"/>
        <v/>
      </c>
      <c r="F554" s="13" t="s">
        <v>611</v>
      </c>
      <c r="G554" s="191">
        <v>202500866</v>
      </c>
      <c r="H554" s="191" t="s">
        <v>6016</v>
      </c>
      <c r="I554" s="193" t="s">
        <v>613</v>
      </c>
      <c r="J554" s="194">
        <v>45880</v>
      </c>
      <c r="K554" s="194">
        <v>46239</v>
      </c>
      <c r="L554" s="193" t="s">
        <v>6017</v>
      </c>
      <c r="M554" s="193" t="s">
        <v>6018</v>
      </c>
      <c r="N554" s="13" t="s">
        <v>6019</v>
      </c>
      <c r="O554" s="17" t="s">
        <v>6020</v>
      </c>
      <c r="P554" s="314" t="s">
        <v>491</v>
      </c>
      <c r="Q554" s="13" t="s">
        <v>618</v>
      </c>
      <c r="R554" s="246" t="str">
        <f>VLOOKUP(P554,'Dados das Regiões '!A:B,2,0)</f>
        <v>UMUARAMA</v>
      </c>
      <c r="S554" s="191" t="s">
        <v>6021</v>
      </c>
      <c r="U554" s="191" t="s">
        <v>3762</v>
      </c>
      <c r="V554" s="191" t="s">
        <v>3762</v>
      </c>
      <c r="W554" s="191" t="s">
        <v>3763</v>
      </c>
      <c r="X554" s="195">
        <v>0.33333333333333331</v>
      </c>
      <c r="Y554" s="420">
        <v>0.41666666666666669</v>
      </c>
      <c r="Z554" s="191" t="s">
        <v>3315</v>
      </c>
      <c r="AB554" s="224">
        <v>202500866</v>
      </c>
      <c r="AC554" s="55" t="s">
        <v>40</v>
      </c>
    </row>
    <row r="555" spans="1:29">
      <c r="B555" s="13" t="str">
        <f t="shared" si="450"/>
        <v>Pendente</v>
      </c>
      <c r="C555" s="14" t="str">
        <f t="shared" si="451"/>
        <v/>
      </c>
      <c r="D555" s="13" t="s">
        <v>611</v>
      </c>
      <c r="E555" s="14" t="str">
        <f t="shared" ref="E555:E617" si="452">IF(C555="", "", EDATE(C555, 3))</f>
        <v/>
      </c>
      <c r="F555" s="13" t="s">
        <v>611</v>
      </c>
      <c r="G555" s="191">
        <v>202500866</v>
      </c>
      <c r="H555" s="191" t="s">
        <v>6022</v>
      </c>
      <c r="I555" s="193" t="s">
        <v>613</v>
      </c>
      <c r="J555" s="194">
        <v>45880</v>
      </c>
      <c r="K555" s="194">
        <v>46239</v>
      </c>
      <c r="L555" s="193" t="s">
        <v>6017</v>
      </c>
      <c r="M555" s="193" t="s">
        <v>6018</v>
      </c>
      <c r="N555" s="13" t="s">
        <v>6019</v>
      </c>
      <c r="O555" s="17" t="s">
        <v>6020</v>
      </c>
      <c r="P555" s="314" t="s">
        <v>491</v>
      </c>
      <c r="Q555" s="13" t="s">
        <v>618</v>
      </c>
      <c r="R555" s="246" t="str">
        <f>VLOOKUP(P555,'Dados das Regiões '!A:B,2,0)</f>
        <v>UMUARAMA</v>
      </c>
      <c r="S555" s="191" t="s">
        <v>3823</v>
      </c>
      <c r="U555" s="191" t="s">
        <v>3762</v>
      </c>
      <c r="V555" s="191" t="s">
        <v>3762</v>
      </c>
      <c r="W555" s="191" t="s">
        <v>3763</v>
      </c>
      <c r="X555" s="195">
        <v>0.58333333333333337</v>
      </c>
      <c r="Y555" s="420">
        <v>0.66666666666666663</v>
      </c>
      <c r="Z555" s="191" t="s">
        <v>3315</v>
      </c>
      <c r="AB555" s="225">
        <v>202500866</v>
      </c>
      <c r="AC555" s="55" t="s">
        <v>40</v>
      </c>
    </row>
    <row r="556" spans="1:29">
      <c r="B556" s="13" t="str">
        <f t="shared" si="450"/>
        <v>Pendente</v>
      </c>
      <c r="C556" s="14" t="str">
        <f t="shared" si="451"/>
        <v/>
      </c>
      <c r="D556" s="13" t="s">
        <v>611</v>
      </c>
      <c r="E556" s="14" t="str">
        <f t="shared" si="452"/>
        <v/>
      </c>
      <c r="F556" s="13" t="s">
        <v>611</v>
      </c>
      <c r="G556" s="191">
        <v>202500866</v>
      </c>
      <c r="H556" s="191" t="s">
        <v>6023</v>
      </c>
      <c r="I556" s="193" t="s">
        <v>613</v>
      </c>
      <c r="J556" s="194">
        <v>45880</v>
      </c>
      <c r="K556" s="194">
        <v>46239</v>
      </c>
      <c r="L556" s="193" t="s">
        <v>2618</v>
      </c>
      <c r="M556" s="193" t="s">
        <v>2619</v>
      </c>
      <c r="N556" s="13" t="s">
        <v>2620</v>
      </c>
      <c r="O556" s="13" t="s">
        <v>2621</v>
      </c>
      <c r="P556" s="314" t="s">
        <v>491</v>
      </c>
      <c r="Q556" s="13" t="s">
        <v>618</v>
      </c>
      <c r="R556" s="246" t="str">
        <f>VLOOKUP(P556,'Dados das Regiões '!A:B,2,0)</f>
        <v>UMUARAMA</v>
      </c>
      <c r="S556" s="191" t="s">
        <v>3814</v>
      </c>
      <c r="U556" s="191" t="s">
        <v>3815</v>
      </c>
      <c r="V556" s="191" t="s">
        <v>3815</v>
      </c>
      <c r="W556" s="191" t="s">
        <v>4233</v>
      </c>
      <c r="X556" s="195">
        <v>0.33333333333333331</v>
      </c>
      <c r="Y556" s="420">
        <v>0.41666666666666669</v>
      </c>
      <c r="Z556" s="191" t="s">
        <v>3315</v>
      </c>
      <c r="AB556" s="224">
        <v>202500866</v>
      </c>
      <c r="AC556" s="55" t="s">
        <v>40</v>
      </c>
    </row>
    <row r="557" spans="1:29">
      <c r="B557" s="13" t="str">
        <f t="shared" si="450"/>
        <v>Pendente</v>
      </c>
      <c r="C557" s="14" t="str">
        <f t="shared" si="451"/>
        <v/>
      </c>
      <c r="D557" s="13" t="s">
        <v>611</v>
      </c>
      <c r="E557" s="14" t="str">
        <f t="shared" si="452"/>
        <v/>
      </c>
      <c r="F557" s="13" t="s">
        <v>611</v>
      </c>
      <c r="G557" s="191">
        <v>202500866</v>
      </c>
      <c r="H557" s="191" t="s">
        <v>6024</v>
      </c>
      <c r="I557" s="193" t="s">
        <v>613</v>
      </c>
      <c r="J557" s="194">
        <v>45880</v>
      </c>
      <c r="K557" s="194">
        <v>46239</v>
      </c>
      <c r="L557" s="193" t="s">
        <v>2618</v>
      </c>
      <c r="M557" s="193" t="s">
        <v>2619</v>
      </c>
      <c r="N557" s="13" t="s">
        <v>2620</v>
      </c>
      <c r="O557" s="13" t="s">
        <v>2621</v>
      </c>
      <c r="P557" s="314" t="s">
        <v>491</v>
      </c>
      <c r="Q557" s="13" t="s">
        <v>618</v>
      </c>
      <c r="R557" s="246" t="str">
        <f>VLOOKUP(P557,'Dados das Regiões '!A:B,2,0)</f>
        <v>UMUARAMA</v>
      </c>
      <c r="S557" s="191" t="s">
        <v>6025</v>
      </c>
      <c r="U557" s="191" t="s">
        <v>6026</v>
      </c>
      <c r="V557" s="191" t="s">
        <v>6026</v>
      </c>
      <c r="W557" s="191" t="s">
        <v>6027</v>
      </c>
      <c r="X557" s="195">
        <v>0.33333333333333331</v>
      </c>
      <c r="Y557" s="420">
        <v>0.41666666666666669</v>
      </c>
      <c r="Z557" s="191" t="s">
        <v>3315</v>
      </c>
      <c r="AB557" s="225">
        <v>202500866</v>
      </c>
      <c r="AC557" s="55" t="s">
        <v>40</v>
      </c>
    </row>
    <row r="558" spans="1:29">
      <c r="B558" s="13" t="str">
        <f t="shared" si="450"/>
        <v>Pendente</v>
      </c>
      <c r="C558" s="14" t="str">
        <f t="shared" si="451"/>
        <v/>
      </c>
      <c r="D558" s="13" t="s">
        <v>611</v>
      </c>
      <c r="E558" s="14" t="str">
        <f t="shared" si="452"/>
        <v/>
      </c>
      <c r="F558" s="13" t="s">
        <v>611</v>
      </c>
      <c r="G558" s="191">
        <v>202500866</v>
      </c>
      <c r="H558" s="191" t="s">
        <v>6028</v>
      </c>
      <c r="I558" s="193" t="s">
        <v>613</v>
      </c>
      <c r="J558" s="194">
        <v>45880</v>
      </c>
      <c r="K558" s="194">
        <v>46239</v>
      </c>
      <c r="L558" s="193" t="s">
        <v>2618</v>
      </c>
      <c r="M558" s="193" t="s">
        <v>2619</v>
      </c>
      <c r="N558" s="13" t="s">
        <v>2620</v>
      </c>
      <c r="O558" s="13" t="s">
        <v>2621</v>
      </c>
      <c r="P558" s="314" t="s">
        <v>491</v>
      </c>
      <c r="Q558" s="13" t="s">
        <v>618</v>
      </c>
      <c r="R558" s="246" t="str">
        <f>VLOOKUP(P558,'Dados das Regiões '!A:B,2,0)</f>
        <v>UMUARAMA</v>
      </c>
      <c r="S558" s="191" t="s">
        <v>6029</v>
      </c>
      <c r="U558" s="191" t="s">
        <v>2902</v>
      </c>
      <c r="V558" s="191" t="s">
        <v>2902</v>
      </c>
      <c r="W558" s="191" t="s">
        <v>2903</v>
      </c>
      <c r="X558" s="195">
        <v>0.58333333333333337</v>
      </c>
      <c r="Y558" s="420">
        <v>0.66666666666666663</v>
      </c>
      <c r="Z558" s="191" t="s">
        <v>3315</v>
      </c>
      <c r="AB558" s="224">
        <v>202500866</v>
      </c>
      <c r="AC558" s="55" t="s">
        <v>40</v>
      </c>
    </row>
    <row r="559" spans="1:29">
      <c r="B559" s="13" t="str">
        <f t="shared" si="450"/>
        <v>Pendente</v>
      </c>
      <c r="C559" s="14" t="str">
        <f t="shared" si="451"/>
        <v/>
      </c>
      <c r="D559" s="13" t="s">
        <v>611</v>
      </c>
      <c r="E559" s="14" t="str">
        <f t="shared" si="452"/>
        <v/>
      </c>
      <c r="F559" s="13" t="s">
        <v>611</v>
      </c>
      <c r="G559" s="191">
        <v>202500866</v>
      </c>
      <c r="H559" s="191" t="s">
        <v>6030</v>
      </c>
      <c r="I559" s="193" t="s">
        <v>613</v>
      </c>
      <c r="J559" s="194">
        <v>45880</v>
      </c>
      <c r="K559" s="194">
        <v>46239</v>
      </c>
      <c r="L559" s="193" t="s">
        <v>2618</v>
      </c>
      <c r="M559" s="193" t="s">
        <v>2619</v>
      </c>
      <c r="N559" s="13" t="s">
        <v>2620</v>
      </c>
      <c r="O559" s="13" t="s">
        <v>2621</v>
      </c>
      <c r="P559" s="314" t="s">
        <v>491</v>
      </c>
      <c r="Q559" s="13" t="s">
        <v>618</v>
      </c>
      <c r="R559" s="246" t="str">
        <f>VLOOKUP(P559,'Dados das Regiões '!A:B,2,0)</f>
        <v>UMUARAMA</v>
      </c>
      <c r="S559" s="191" t="s">
        <v>6001</v>
      </c>
      <c r="U559" s="191" t="s">
        <v>4287</v>
      </c>
      <c r="V559" s="191" t="s">
        <v>4287</v>
      </c>
      <c r="W559" s="191" t="s">
        <v>6002</v>
      </c>
      <c r="X559" s="195">
        <v>0.58333333333333337</v>
      </c>
      <c r="Y559" s="420">
        <v>0.66666666666666663</v>
      </c>
      <c r="Z559" s="191" t="s">
        <v>3315</v>
      </c>
      <c r="AB559" s="225">
        <v>202500866</v>
      </c>
      <c r="AC559" s="55" t="s">
        <v>40</v>
      </c>
    </row>
    <row r="560" spans="1:29">
      <c r="B560" s="13" t="str">
        <f t="shared" si="450"/>
        <v>Pendente</v>
      </c>
      <c r="C560" s="14" t="str">
        <f t="shared" si="451"/>
        <v/>
      </c>
      <c r="D560" s="13" t="s">
        <v>611</v>
      </c>
      <c r="E560" s="14" t="str">
        <f t="shared" si="452"/>
        <v/>
      </c>
      <c r="F560" s="13" t="s">
        <v>611</v>
      </c>
      <c r="G560" s="191">
        <v>202500867</v>
      </c>
      <c r="H560" s="191" t="s">
        <v>6031</v>
      </c>
      <c r="I560" s="193" t="s">
        <v>1176</v>
      </c>
      <c r="J560" s="194">
        <v>45880</v>
      </c>
      <c r="K560" s="194">
        <v>46239</v>
      </c>
      <c r="L560" s="193" t="s">
        <v>1185</v>
      </c>
      <c r="M560" s="193" t="s">
        <v>2502</v>
      </c>
      <c r="N560" s="13" t="s">
        <v>2503</v>
      </c>
      <c r="O560" s="17" t="s">
        <v>2504</v>
      </c>
      <c r="P560" s="314" t="s">
        <v>509</v>
      </c>
      <c r="Q560" s="13" t="s">
        <v>618</v>
      </c>
      <c r="R560" s="246" t="str">
        <f>VLOOKUP(P560,'Dados das Regiões '!A:B,2,0)</f>
        <v>UNIÃO DA VITÓRIA</v>
      </c>
      <c r="S560" s="191" t="s">
        <v>6032</v>
      </c>
      <c r="U560" s="191" t="s">
        <v>6033</v>
      </c>
      <c r="V560" s="191" t="s">
        <v>6034</v>
      </c>
      <c r="W560" s="191" t="s">
        <v>6035</v>
      </c>
      <c r="X560" s="195">
        <v>0.33333333333333331</v>
      </c>
      <c r="Y560" s="420">
        <v>0.41666666666666669</v>
      </c>
      <c r="Z560" s="191" t="s">
        <v>3315</v>
      </c>
      <c r="AB560" s="224">
        <v>202500867</v>
      </c>
      <c r="AC560" s="55" t="s">
        <v>39</v>
      </c>
    </row>
    <row r="561" spans="1:29">
      <c r="A561" s="14">
        <v>45936</v>
      </c>
      <c r="B561" s="13" t="str">
        <f t="shared" si="450"/>
        <v>Realizada</v>
      </c>
      <c r="C561" s="14">
        <f t="shared" si="451"/>
        <v>46028</v>
      </c>
      <c r="D561" s="13" t="s">
        <v>611</v>
      </c>
      <c r="E561" s="14">
        <f t="shared" si="452"/>
        <v>46118</v>
      </c>
      <c r="F561" s="13" t="s">
        <v>611</v>
      </c>
      <c r="G561" s="191">
        <v>202500867</v>
      </c>
      <c r="H561" s="191" t="s">
        <v>3155</v>
      </c>
      <c r="I561" s="193" t="s">
        <v>1176</v>
      </c>
      <c r="J561" s="194">
        <v>45880</v>
      </c>
      <c r="K561" s="194">
        <v>46239</v>
      </c>
      <c r="L561" s="193" t="s">
        <v>2571</v>
      </c>
      <c r="M561" s="193" t="s">
        <v>2831</v>
      </c>
      <c r="N561" s="13" t="s">
        <v>2832</v>
      </c>
      <c r="O561" s="17" t="s">
        <v>2833</v>
      </c>
      <c r="P561" s="318" t="s">
        <v>305</v>
      </c>
      <c r="Q561" s="13" t="s">
        <v>618</v>
      </c>
      <c r="R561" s="246" t="str">
        <f>VLOOKUP(P561,'Dados das Regiões '!A:B,2,0)</f>
        <v>IRATI</v>
      </c>
      <c r="S561" s="191" t="s">
        <v>3156</v>
      </c>
      <c r="U561" s="191"/>
      <c r="V561" s="191" t="s">
        <v>3157</v>
      </c>
      <c r="W561" s="191" t="s">
        <v>3158</v>
      </c>
      <c r="X561" s="195">
        <v>0.58333333333333337</v>
      </c>
      <c r="Y561" s="420">
        <v>0.66666666666666663</v>
      </c>
      <c r="Z561" s="191" t="s">
        <v>3315</v>
      </c>
      <c r="AB561" s="225">
        <v>202500867</v>
      </c>
      <c r="AC561" s="55" t="s">
        <v>39</v>
      </c>
    </row>
    <row r="562" spans="1:29">
      <c r="B562" s="13" t="str">
        <f t="shared" si="450"/>
        <v>Pendente</v>
      </c>
      <c r="C562" s="14" t="str">
        <f t="shared" si="451"/>
        <v/>
      </c>
      <c r="D562" s="13" t="s">
        <v>611</v>
      </c>
      <c r="E562" s="14" t="str">
        <f t="shared" si="452"/>
        <v/>
      </c>
      <c r="F562" s="13" t="s">
        <v>611</v>
      </c>
      <c r="G562" s="191">
        <v>202500867</v>
      </c>
      <c r="H562" s="191" t="s">
        <v>6036</v>
      </c>
      <c r="I562" s="193" t="s">
        <v>1176</v>
      </c>
      <c r="J562" s="194">
        <v>45880</v>
      </c>
      <c r="K562" s="194">
        <v>46239</v>
      </c>
      <c r="L562" s="193" t="s">
        <v>1185</v>
      </c>
      <c r="M562" s="193" t="s">
        <v>6037</v>
      </c>
      <c r="N562" s="13" t="s">
        <v>6038</v>
      </c>
      <c r="O562" s="17" t="s">
        <v>6039</v>
      </c>
      <c r="P562" s="314" t="s">
        <v>192</v>
      </c>
      <c r="Q562" s="13" t="s">
        <v>618</v>
      </c>
      <c r="R562" s="246" t="str">
        <f>VLOOKUP(P562,'Dados das Regiões '!A:B,2,0)</f>
        <v>CASCAVEL</v>
      </c>
      <c r="S562" s="191" t="s">
        <v>6040</v>
      </c>
      <c r="U562" s="191"/>
      <c r="V562" s="191" t="s">
        <v>6041</v>
      </c>
      <c r="W562" s="191" t="s">
        <v>6042</v>
      </c>
      <c r="X562" s="195">
        <v>0.58333333333333337</v>
      </c>
      <c r="Y562" s="420">
        <v>0.66666666666666663</v>
      </c>
      <c r="Z562" s="191" t="s">
        <v>3315</v>
      </c>
      <c r="AB562" s="224">
        <v>202500867</v>
      </c>
      <c r="AC562" s="55" t="s">
        <v>39</v>
      </c>
    </row>
    <row r="563" spans="1:29">
      <c r="B563" s="13" t="str">
        <f t="shared" si="450"/>
        <v>Pendente</v>
      </c>
      <c r="C563" s="14" t="str">
        <f t="shared" si="451"/>
        <v/>
      </c>
      <c r="D563" s="13" t="s">
        <v>611</v>
      </c>
      <c r="E563" s="14" t="str">
        <f t="shared" si="452"/>
        <v/>
      </c>
      <c r="F563" s="13" t="s">
        <v>611</v>
      </c>
      <c r="G563" s="191">
        <v>202500867</v>
      </c>
      <c r="H563" s="191" t="s">
        <v>6043</v>
      </c>
      <c r="I563" s="193" t="s">
        <v>1176</v>
      </c>
      <c r="J563" s="194">
        <v>45880</v>
      </c>
      <c r="K563" s="194">
        <v>46239</v>
      </c>
      <c r="L563" s="193" t="s">
        <v>1185</v>
      </c>
      <c r="M563" s="193" t="s">
        <v>6044</v>
      </c>
      <c r="N563" s="13" t="s">
        <v>6045</v>
      </c>
      <c r="O563" s="17" t="s">
        <v>6046</v>
      </c>
      <c r="P563" s="314" t="s">
        <v>227</v>
      </c>
      <c r="Q563" s="13" t="s">
        <v>618</v>
      </c>
      <c r="R563" s="246" t="str">
        <f>VLOOKUP(P563,'Dados das Regiões '!A:B,2,0)</f>
        <v>CORNÉLIO PROCÓPIO</v>
      </c>
      <c r="S563" s="191" t="s">
        <v>6047</v>
      </c>
      <c r="U563" s="191"/>
      <c r="V563" s="191" t="s">
        <v>6048</v>
      </c>
      <c r="W563" s="191" t="s">
        <v>6049</v>
      </c>
      <c r="X563" s="195">
        <v>0.54166666666666663</v>
      </c>
      <c r="Y563" s="420">
        <v>0.625</v>
      </c>
      <c r="Z563" s="191" t="s">
        <v>3315</v>
      </c>
      <c r="AB563" s="225">
        <v>202500867</v>
      </c>
      <c r="AC563" s="55" t="s">
        <v>39</v>
      </c>
    </row>
    <row r="564" spans="1:29">
      <c r="B564" s="13" t="str">
        <f t="shared" ref="B564:B622" si="453">IF(ISBLANK(A564), "Pendente", "Realizada")</f>
        <v>Pendente</v>
      </c>
      <c r="C564" s="14" t="str">
        <f t="shared" si="451"/>
        <v/>
      </c>
      <c r="D564" s="13" t="s">
        <v>611</v>
      </c>
      <c r="E564" s="14" t="str">
        <f t="shared" si="452"/>
        <v/>
      </c>
      <c r="F564" s="13" t="s">
        <v>611</v>
      </c>
      <c r="G564" s="191">
        <v>202500866</v>
      </c>
      <c r="H564" s="191" t="s">
        <v>6050</v>
      </c>
      <c r="I564" s="193" t="s">
        <v>613</v>
      </c>
      <c r="J564" s="194">
        <v>45880</v>
      </c>
      <c r="K564" s="194">
        <v>46239</v>
      </c>
      <c r="L564" s="193" t="s">
        <v>2302</v>
      </c>
      <c r="M564" s="193" t="s">
        <v>2303</v>
      </c>
      <c r="N564" s="13" t="s">
        <v>2296</v>
      </c>
      <c r="O564" s="17" t="s">
        <v>2304</v>
      </c>
      <c r="P564" s="314" t="s">
        <v>337</v>
      </c>
      <c r="Q564" s="13" t="s">
        <v>618</v>
      </c>
      <c r="R564" s="246" t="str">
        <f>VLOOKUP(P564,'Dados das Regiões '!A:B,2,0)</f>
        <v>LONDRINA CENTRO</v>
      </c>
      <c r="S564" s="191" t="s">
        <v>2305</v>
      </c>
      <c r="U564" s="191" t="s">
        <v>6051</v>
      </c>
      <c r="V564" s="191" t="s">
        <v>6051</v>
      </c>
      <c r="W564" s="191" t="s">
        <v>6052</v>
      </c>
      <c r="X564" s="195">
        <v>0.5625</v>
      </c>
      <c r="Y564" s="420">
        <v>0.64583333333333337</v>
      </c>
      <c r="Z564" s="191" t="s">
        <v>3315</v>
      </c>
      <c r="AB564" s="224">
        <v>202500866</v>
      </c>
      <c r="AC564" s="55" t="s">
        <v>40</v>
      </c>
    </row>
    <row r="565" spans="1:29">
      <c r="B565" s="13" t="str">
        <f t="shared" si="453"/>
        <v>Pendente</v>
      </c>
      <c r="C565" s="14" t="str">
        <f t="shared" si="451"/>
        <v/>
      </c>
      <c r="D565" s="13" t="s">
        <v>611</v>
      </c>
      <c r="E565" s="14" t="str">
        <f t="shared" si="452"/>
        <v/>
      </c>
      <c r="F565" s="13" t="s">
        <v>611</v>
      </c>
      <c r="G565" s="191">
        <v>202500866</v>
      </c>
      <c r="H565" s="191" t="s">
        <v>6053</v>
      </c>
      <c r="I565" s="193" t="s">
        <v>613</v>
      </c>
      <c r="J565" s="194">
        <v>45880</v>
      </c>
      <c r="K565" s="194">
        <v>46239</v>
      </c>
      <c r="L565" s="193" t="s">
        <v>2294</v>
      </c>
      <c r="M565" s="193" t="s">
        <v>2295</v>
      </c>
      <c r="N565" s="13" t="s">
        <v>2296</v>
      </c>
      <c r="O565" s="17" t="s">
        <v>2297</v>
      </c>
      <c r="P565" s="314" t="s">
        <v>233</v>
      </c>
      <c r="Q565" s="13" t="s">
        <v>618</v>
      </c>
      <c r="R565" s="246" t="str">
        <f>VLOOKUP(P565,'Dados das Regiões '!A:B,2,0)</f>
        <v>CORNÉLIO PROCÓPIO</v>
      </c>
      <c r="S565" s="191" t="s">
        <v>2298</v>
      </c>
      <c r="U565" s="191" t="s">
        <v>6054</v>
      </c>
      <c r="V565" s="191" t="s">
        <v>6054</v>
      </c>
      <c r="W565" s="191" t="s">
        <v>6055</v>
      </c>
      <c r="X565" s="195">
        <v>0.54166666666666663</v>
      </c>
      <c r="Y565" s="420">
        <v>0.625</v>
      </c>
      <c r="Z565" s="191" t="s">
        <v>3315</v>
      </c>
      <c r="AB565" s="225">
        <v>202500866</v>
      </c>
      <c r="AC565" s="55" t="s">
        <v>40</v>
      </c>
    </row>
    <row r="566" spans="1:29">
      <c r="B566" s="13" t="str">
        <f t="shared" si="453"/>
        <v>Pendente</v>
      </c>
      <c r="C566" s="14" t="str">
        <f t="shared" si="451"/>
        <v/>
      </c>
      <c r="D566" s="13" t="s">
        <v>611</v>
      </c>
      <c r="E566" s="14" t="str">
        <f t="shared" si="452"/>
        <v/>
      </c>
      <c r="F566" s="13" t="s">
        <v>611</v>
      </c>
      <c r="G566" s="191">
        <v>202500866</v>
      </c>
      <c r="H566" s="191" t="s">
        <v>6056</v>
      </c>
      <c r="I566" s="193" t="s">
        <v>613</v>
      </c>
      <c r="J566" s="194">
        <v>45880</v>
      </c>
      <c r="K566" s="194">
        <v>46239</v>
      </c>
      <c r="L566" s="193" t="s">
        <v>2734</v>
      </c>
      <c r="M566" s="193" t="s">
        <v>2735</v>
      </c>
      <c r="N566" s="13" t="s">
        <v>2736</v>
      </c>
      <c r="O566" s="17" t="s">
        <v>2737</v>
      </c>
      <c r="P566" s="314" t="s">
        <v>185</v>
      </c>
      <c r="Q566" s="13" t="s">
        <v>618</v>
      </c>
      <c r="R566" s="246" t="str">
        <f>VLOOKUP(P566,'Dados das Regiões '!A:B,2,0)</f>
        <v>CASCAVEL</v>
      </c>
      <c r="S566" s="191" t="s">
        <v>2738</v>
      </c>
      <c r="U566" s="191" t="s">
        <v>2739</v>
      </c>
      <c r="V566" s="191" t="s">
        <v>6057</v>
      </c>
      <c r="W566" s="191" t="s">
        <v>6058</v>
      </c>
      <c r="X566" s="195">
        <v>0.33333333333333331</v>
      </c>
      <c r="Y566" s="420">
        <v>0.41666666666666669</v>
      </c>
      <c r="Z566" s="191" t="s">
        <v>3315</v>
      </c>
      <c r="AB566" s="224">
        <v>202500866</v>
      </c>
      <c r="AC566" s="55" t="s">
        <v>40</v>
      </c>
    </row>
    <row r="567" spans="1:29">
      <c r="B567" s="13" t="str">
        <f t="shared" si="453"/>
        <v>Pendente</v>
      </c>
      <c r="C567" s="14" t="str">
        <f t="shared" si="451"/>
        <v/>
      </c>
      <c r="D567" s="13" t="s">
        <v>611</v>
      </c>
      <c r="E567" s="14" t="str">
        <f t="shared" si="452"/>
        <v/>
      </c>
      <c r="F567" s="13" t="s">
        <v>611</v>
      </c>
      <c r="G567" s="191">
        <v>202500866</v>
      </c>
      <c r="H567" s="191" t="s">
        <v>6059</v>
      </c>
      <c r="I567" s="193" t="s">
        <v>613</v>
      </c>
      <c r="J567" s="194">
        <v>45880</v>
      </c>
      <c r="K567" s="194">
        <v>46239</v>
      </c>
      <c r="L567" s="193" t="s">
        <v>4208</v>
      </c>
      <c r="M567" s="193" t="s">
        <v>6060</v>
      </c>
      <c r="N567" s="13" t="s">
        <v>6061</v>
      </c>
      <c r="O567" s="17" t="s">
        <v>6062</v>
      </c>
      <c r="P567" s="314" t="s">
        <v>53</v>
      </c>
      <c r="Q567" s="13" t="s">
        <v>618</v>
      </c>
      <c r="R567" s="246" t="str">
        <f>VLOOKUP(P567,'Dados das Regiões '!A:B,2,0)</f>
        <v>GOIOERÊ</v>
      </c>
      <c r="S567" s="191" t="s">
        <v>6063</v>
      </c>
      <c r="U567" s="191" t="s">
        <v>6064</v>
      </c>
      <c r="V567" s="191" t="s">
        <v>6065</v>
      </c>
      <c r="W567" s="191" t="s">
        <v>6066</v>
      </c>
      <c r="X567" s="195">
        <v>0.33333333333333331</v>
      </c>
      <c r="Y567" s="420">
        <v>0.41666666666666669</v>
      </c>
      <c r="Z567" s="191" t="s">
        <v>3315</v>
      </c>
      <c r="AB567" s="225">
        <v>202500866</v>
      </c>
      <c r="AC567" s="55" t="s">
        <v>40</v>
      </c>
    </row>
    <row r="568" spans="1:29">
      <c r="B568" s="13" t="str">
        <f t="shared" si="453"/>
        <v>Pendente</v>
      </c>
      <c r="C568" s="14" t="str">
        <f t="shared" si="451"/>
        <v/>
      </c>
      <c r="D568" s="13" t="s">
        <v>611</v>
      </c>
      <c r="E568" s="14" t="str">
        <f t="shared" si="452"/>
        <v/>
      </c>
      <c r="F568" s="13" t="s">
        <v>611</v>
      </c>
      <c r="G568" s="191">
        <v>202500866</v>
      </c>
      <c r="H568" s="191" t="s">
        <v>6067</v>
      </c>
      <c r="I568" s="193" t="s">
        <v>613</v>
      </c>
      <c r="J568" s="194">
        <v>45880</v>
      </c>
      <c r="K568" s="194">
        <v>46239</v>
      </c>
      <c r="L568" s="193" t="s">
        <v>6068</v>
      </c>
      <c r="M568" s="193" t="s">
        <v>6069</v>
      </c>
      <c r="N568" s="13" t="s">
        <v>6070</v>
      </c>
      <c r="O568" s="17" t="s">
        <v>6071</v>
      </c>
      <c r="P568" s="314" t="s">
        <v>490</v>
      </c>
      <c r="Q568" s="13" t="s">
        <v>618</v>
      </c>
      <c r="R568" s="246" t="str">
        <f>VLOOKUP(P568,'Dados das Regiões '!A:B,2,0)</f>
        <v>UMUARAMA</v>
      </c>
      <c r="S568" s="191" t="s">
        <v>6072</v>
      </c>
      <c r="U568" s="191" t="s">
        <v>6073</v>
      </c>
      <c r="V568" s="191" t="s">
        <v>6073</v>
      </c>
      <c r="W568" s="191" t="s">
        <v>6074</v>
      </c>
      <c r="X568" s="195">
        <v>0.58333333333333337</v>
      </c>
      <c r="Y568" s="420">
        <v>0.66666666666666663</v>
      </c>
      <c r="Z568" s="191" t="s">
        <v>3315</v>
      </c>
      <c r="AB568" s="224">
        <v>202500866</v>
      </c>
      <c r="AC568" s="55" t="s">
        <v>40</v>
      </c>
    </row>
    <row r="569" spans="1:29">
      <c r="B569" s="13" t="str">
        <f t="shared" si="453"/>
        <v>Pendente</v>
      </c>
      <c r="C569" s="14" t="str">
        <f t="shared" si="451"/>
        <v/>
      </c>
      <c r="D569" s="13" t="s">
        <v>611</v>
      </c>
      <c r="E569" s="14" t="str">
        <f t="shared" si="452"/>
        <v/>
      </c>
      <c r="F569" s="13" t="s">
        <v>611</v>
      </c>
      <c r="G569" s="191">
        <v>202500866</v>
      </c>
      <c r="H569" s="191" t="s">
        <v>6075</v>
      </c>
      <c r="I569" s="193" t="s">
        <v>613</v>
      </c>
      <c r="J569" s="194">
        <v>45880</v>
      </c>
      <c r="K569" s="194">
        <v>46239</v>
      </c>
      <c r="L569" s="193" t="s">
        <v>6068</v>
      </c>
      <c r="M569" s="193" t="s">
        <v>6069</v>
      </c>
      <c r="N569" s="13" t="s">
        <v>6070</v>
      </c>
      <c r="O569" s="17" t="s">
        <v>6071</v>
      </c>
      <c r="P569" s="314" t="s">
        <v>490</v>
      </c>
      <c r="Q569" s="13" t="s">
        <v>618</v>
      </c>
      <c r="R569" s="246" t="str">
        <f>VLOOKUP(P569,'Dados das Regiões '!A:B,2,0)</f>
        <v>UMUARAMA</v>
      </c>
      <c r="S569" s="191" t="s">
        <v>6072</v>
      </c>
      <c r="U569" s="191" t="s">
        <v>6073</v>
      </c>
      <c r="V569" s="191" t="s">
        <v>6073</v>
      </c>
      <c r="W569" s="191" t="s">
        <v>6074</v>
      </c>
      <c r="X569" s="195">
        <v>0.58333333333333337</v>
      </c>
      <c r="Y569" s="420">
        <v>0.66666666666666663</v>
      </c>
      <c r="Z569" s="191" t="s">
        <v>3315</v>
      </c>
      <c r="AB569" s="225">
        <v>202500866</v>
      </c>
      <c r="AC569" s="55" t="s">
        <v>40</v>
      </c>
    </row>
    <row r="570" spans="1:29">
      <c r="B570" s="13" t="str">
        <f t="shared" si="453"/>
        <v>Pendente</v>
      </c>
      <c r="C570" s="14" t="str">
        <f t="shared" si="451"/>
        <v/>
      </c>
      <c r="D570" s="13" t="s">
        <v>611</v>
      </c>
      <c r="E570" s="14" t="str">
        <f t="shared" si="452"/>
        <v/>
      </c>
      <c r="F570" s="13" t="s">
        <v>611</v>
      </c>
      <c r="G570" s="191">
        <v>202500866</v>
      </c>
      <c r="H570" s="191" t="s">
        <v>6076</v>
      </c>
      <c r="I570" s="193" t="s">
        <v>613</v>
      </c>
      <c r="J570" s="194">
        <v>45880</v>
      </c>
      <c r="K570" s="194">
        <v>46239</v>
      </c>
      <c r="L570" s="193" t="s">
        <v>6068</v>
      </c>
      <c r="M570" s="193" t="s">
        <v>6069</v>
      </c>
      <c r="N570" s="13" t="s">
        <v>6070</v>
      </c>
      <c r="O570" s="17" t="s">
        <v>6071</v>
      </c>
      <c r="P570" s="314" t="s">
        <v>490</v>
      </c>
      <c r="Q570" s="13" t="s">
        <v>618</v>
      </c>
      <c r="R570" s="246" t="str">
        <f>VLOOKUP(P570,'Dados das Regiões '!A:B,2,0)</f>
        <v>UMUARAMA</v>
      </c>
      <c r="S570" s="191" t="s">
        <v>6077</v>
      </c>
      <c r="U570" s="191" t="s">
        <v>6073</v>
      </c>
      <c r="V570" s="191" t="s">
        <v>6073</v>
      </c>
      <c r="W570" s="191" t="s">
        <v>6074</v>
      </c>
      <c r="X570" s="195">
        <v>0.58333333333333337</v>
      </c>
      <c r="Y570" s="420">
        <v>0.66666666666666663</v>
      </c>
      <c r="Z570" s="191" t="s">
        <v>3315</v>
      </c>
      <c r="AB570" s="224">
        <v>202500866</v>
      </c>
      <c r="AC570" s="55" t="s">
        <v>40</v>
      </c>
    </row>
    <row r="571" spans="1:29">
      <c r="B571" s="13" t="str">
        <f t="shared" si="453"/>
        <v>Pendente</v>
      </c>
      <c r="C571" s="14" t="str">
        <f t="shared" si="451"/>
        <v/>
      </c>
      <c r="D571" s="13" t="s">
        <v>611</v>
      </c>
      <c r="E571" s="14" t="str">
        <f t="shared" si="452"/>
        <v/>
      </c>
      <c r="F571" s="13" t="s">
        <v>611</v>
      </c>
      <c r="G571" s="191">
        <v>202500866</v>
      </c>
      <c r="H571" s="191" t="s">
        <v>6078</v>
      </c>
      <c r="I571" s="193" t="s">
        <v>613</v>
      </c>
      <c r="J571" s="194">
        <v>45880</v>
      </c>
      <c r="K571" s="194">
        <v>46239</v>
      </c>
      <c r="L571" s="193" t="s">
        <v>2734</v>
      </c>
      <c r="M571" s="193" t="s">
        <v>2749</v>
      </c>
      <c r="N571" s="13" t="s">
        <v>2750</v>
      </c>
      <c r="O571" s="17" t="s">
        <v>2751</v>
      </c>
      <c r="P571" s="314" t="s">
        <v>201</v>
      </c>
      <c r="Q571" s="13" t="s">
        <v>618</v>
      </c>
      <c r="R571" s="246" t="str">
        <f>VLOOKUP(P571,'Dados das Regiões '!A:B,2,0)</f>
        <v>CASCAVEL</v>
      </c>
      <c r="S571" s="191" t="s">
        <v>6079</v>
      </c>
      <c r="U571" s="191" t="s">
        <v>6080</v>
      </c>
      <c r="V571" s="191" t="s">
        <v>2753</v>
      </c>
      <c r="W571" s="191" t="s">
        <v>2754</v>
      </c>
      <c r="X571" s="195">
        <v>0.5625</v>
      </c>
      <c r="Y571" s="420">
        <v>0.64583333333333337</v>
      </c>
      <c r="Z571" s="191" t="s">
        <v>3315</v>
      </c>
      <c r="AB571" s="225">
        <v>202500866</v>
      </c>
      <c r="AC571" s="55" t="s">
        <v>40</v>
      </c>
    </row>
    <row r="572" spans="1:29">
      <c r="B572" s="13" t="str">
        <f t="shared" si="453"/>
        <v>Pendente</v>
      </c>
      <c r="C572" s="14" t="str">
        <f t="shared" si="451"/>
        <v/>
      </c>
      <c r="D572" s="13" t="s">
        <v>611</v>
      </c>
      <c r="E572" s="14" t="str">
        <f t="shared" si="452"/>
        <v/>
      </c>
      <c r="F572" s="13" t="s">
        <v>611</v>
      </c>
      <c r="G572" s="191">
        <v>202500866</v>
      </c>
      <c r="H572" s="191" t="s">
        <v>6081</v>
      </c>
      <c r="I572" s="193" t="s">
        <v>613</v>
      </c>
      <c r="J572" s="194">
        <v>45880</v>
      </c>
      <c r="K572" s="194">
        <v>46239</v>
      </c>
      <c r="L572" s="193" t="s">
        <v>6068</v>
      </c>
      <c r="M572" s="193" t="s">
        <v>6069</v>
      </c>
      <c r="N572" s="13" t="s">
        <v>6070</v>
      </c>
      <c r="O572" s="17" t="s">
        <v>6071</v>
      </c>
      <c r="P572" s="314" t="s">
        <v>490</v>
      </c>
      <c r="Q572" s="13" t="s">
        <v>618</v>
      </c>
      <c r="R572" s="246" t="str">
        <f>VLOOKUP(P572,'Dados das Regiões '!A:B,2,0)</f>
        <v>UMUARAMA</v>
      </c>
      <c r="S572" s="191" t="s">
        <v>6072</v>
      </c>
      <c r="U572" s="191" t="s">
        <v>6073</v>
      </c>
      <c r="V572" s="191" t="s">
        <v>6073</v>
      </c>
      <c r="W572" s="191" t="s">
        <v>6074</v>
      </c>
      <c r="X572" s="195">
        <v>0.58333333333333337</v>
      </c>
      <c r="Y572" s="420">
        <v>0.66666666666666663</v>
      </c>
      <c r="Z572" s="191" t="s">
        <v>3315</v>
      </c>
      <c r="AB572" s="224">
        <v>202500866</v>
      </c>
      <c r="AC572" s="55" t="s">
        <v>40</v>
      </c>
    </row>
    <row r="573" spans="1:29">
      <c r="B573" s="13" t="str">
        <f t="shared" si="453"/>
        <v>Pendente</v>
      </c>
      <c r="C573" s="14" t="str">
        <f t="shared" si="451"/>
        <v/>
      </c>
      <c r="D573" s="13" t="s">
        <v>611</v>
      </c>
      <c r="E573" s="14" t="str">
        <f t="shared" si="452"/>
        <v/>
      </c>
      <c r="F573" s="13" t="s">
        <v>611</v>
      </c>
      <c r="G573" s="191">
        <v>202500866</v>
      </c>
      <c r="H573" s="191" t="s">
        <v>6082</v>
      </c>
      <c r="I573" s="193" t="s">
        <v>613</v>
      </c>
      <c r="J573" s="194">
        <v>45880</v>
      </c>
      <c r="K573" s="194">
        <v>46239</v>
      </c>
      <c r="L573" s="193" t="s">
        <v>6068</v>
      </c>
      <c r="M573" s="193" t="s">
        <v>6069</v>
      </c>
      <c r="N573" s="13" t="s">
        <v>6070</v>
      </c>
      <c r="O573" s="17" t="s">
        <v>6071</v>
      </c>
      <c r="P573" s="314" t="s">
        <v>490</v>
      </c>
      <c r="Q573" s="13" t="s">
        <v>618</v>
      </c>
      <c r="R573" s="246" t="str">
        <f>VLOOKUP(P573,'Dados das Regiões '!A:B,2,0)</f>
        <v>UMUARAMA</v>
      </c>
      <c r="S573" s="191" t="s">
        <v>6072</v>
      </c>
      <c r="U573" s="191" t="s">
        <v>6073</v>
      </c>
      <c r="V573" s="191" t="s">
        <v>6073</v>
      </c>
      <c r="W573" s="191" t="s">
        <v>6074</v>
      </c>
      <c r="X573" s="195">
        <v>0.58333333333333337</v>
      </c>
      <c r="Y573" s="420">
        <v>0.66666666666666663</v>
      </c>
      <c r="Z573" s="191" t="s">
        <v>3315</v>
      </c>
      <c r="AB573" s="225">
        <v>202500866</v>
      </c>
      <c r="AC573" s="55" t="s">
        <v>40</v>
      </c>
    </row>
    <row r="574" spans="1:29">
      <c r="B574" s="13" t="str">
        <f t="shared" si="453"/>
        <v>Pendente</v>
      </c>
      <c r="C574" s="14" t="str">
        <f t="shared" si="451"/>
        <v/>
      </c>
      <c r="D574" s="13" t="s">
        <v>611</v>
      </c>
      <c r="E574" s="14" t="str">
        <f t="shared" si="452"/>
        <v/>
      </c>
      <c r="F574" s="13" t="s">
        <v>611</v>
      </c>
      <c r="G574" s="191">
        <v>202500866</v>
      </c>
      <c r="H574" s="191" t="s">
        <v>6083</v>
      </c>
      <c r="I574" s="193" t="s">
        <v>613</v>
      </c>
      <c r="J574" s="194">
        <v>45880</v>
      </c>
      <c r="K574" s="194">
        <v>46239</v>
      </c>
      <c r="L574" s="193" t="s">
        <v>6068</v>
      </c>
      <c r="M574" s="193" t="s">
        <v>6069</v>
      </c>
      <c r="N574" s="13" t="s">
        <v>6070</v>
      </c>
      <c r="O574" s="17" t="s">
        <v>6071</v>
      </c>
      <c r="P574" s="314" t="s">
        <v>490</v>
      </c>
      <c r="Q574" s="13" t="s">
        <v>618</v>
      </c>
      <c r="R574" s="246" t="str">
        <f>VLOOKUP(P574,'Dados das Regiões '!A:B,2,0)</f>
        <v>UMUARAMA</v>
      </c>
      <c r="S574" s="191" t="s">
        <v>6072</v>
      </c>
      <c r="U574" s="191" t="s">
        <v>6073</v>
      </c>
      <c r="V574" s="191" t="s">
        <v>6073</v>
      </c>
      <c r="W574" s="191" t="s">
        <v>6074</v>
      </c>
      <c r="X574" s="195">
        <v>0.58333333333333337</v>
      </c>
      <c r="Y574" s="420">
        <v>0.66666666666666663</v>
      </c>
      <c r="Z574" s="191" t="s">
        <v>3315</v>
      </c>
      <c r="AB574" s="224">
        <v>202500866</v>
      </c>
      <c r="AC574" s="55" t="s">
        <v>40</v>
      </c>
    </row>
    <row r="575" spans="1:29">
      <c r="B575" s="13" t="str">
        <f t="shared" si="453"/>
        <v>Pendente</v>
      </c>
      <c r="C575" s="14" t="str">
        <f t="shared" si="451"/>
        <v/>
      </c>
      <c r="D575" s="13" t="s">
        <v>611</v>
      </c>
      <c r="E575" s="14" t="str">
        <f t="shared" si="452"/>
        <v/>
      </c>
      <c r="F575" s="13" t="s">
        <v>611</v>
      </c>
      <c r="G575" s="191">
        <v>202500866</v>
      </c>
      <c r="H575" s="191" t="s">
        <v>6084</v>
      </c>
      <c r="I575" s="193" t="s">
        <v>613</v>
      </c>
      <c r="J575" s="194">
        <v>45880</v>
      </c>
      <c r="K575" s="194">
        <v>46239</v>
      </c>
      <c r="L575" s="193" t="s">
        <v>6068</v>
      </c>
      <c r="M575" s="193" t="s">
        <v>6069</v>
      </c>
      <c r="N575" s="13" t="s">
        <v>6070</v>
      </c>
      <c r="O575" s="17" t="s">
        <v>6071</v>
      </c>
      <c r="P575" s="314" t="s">
        <v>490</v>
      </c>
      <c r="Q575" s="13" t="s">
        <v>618</v>
      </c>
      <c r="R575" s="246" t="str">
        <f>VLOOKUP(P575,'Dados das Regiões '!A:B,2,0)</f>
        <v>UMUARAMA</v>
      </c>
      <c r="S575" s="191" t="s">
        <v>6072</v>
      </c>
      <c r="U575" s="191" t="s">
        <v>6073</v>
      </c>
      <c r="V575" s="191" t="s">
        <v>6073</v>
      </c>
      <c r="W575" s="191" t="s">
        <v>6074</v>
      </c>
      <c r="X575" s="195">
        <v>0.58333333333333337</v>
      </c>
      <c r="Y575" s="420">
        <v>0.66666666666666663</v>
      </c>
      <c r="Z575" s="191" t="s">
        <v>3315</v>
      </c>
      <c r="AB575" s="225">
        <v>202500866</v>
      </c>
      <c r="AC575" s="55" t="s">
        <v>40</v>
      </c>
    </row>
    <row r="576" spans="1:29">
      <c r="B576" s="13" t="str">
        <f t="shared" si="453"/>
        <v>Pendente</v>
      </c>
      <c r="C576" s="14" t="str">
        <f t="shared" si="451"/>
        <v/>
      </c>
      <c r="D576" s="13" t="s">
        <v>611</v>
      </c>
      <c r="E576" s="14" t="str">
        <f t="shared" si="452"/>
        <v/>
      </c>
      <c r="F576" s="13" t="s">
        <v>611</v>
      </c>
      <c r="G576" s="191">
        <v>202500866</v>
      </c>
      <c r="H576" s="191" t="s">
        <v>6085</v>
      </c>
      <c r="I576" s="193" t="s">
        <v>613</v>
      </c>
      <c r="J576" s="194">
        <v>45880</v>
      </c>
      <c r="K576" s="194">
        <v>46239</v>
      </c>
      <c r="L576" s="193" t="s">
        <v>6068</v>
      </c>
      <c r="M576" s="193" t="s">
        <v>6069</v>
      </c>
      <c r="N576" s="13" t="s">
        <v>6070</v>
      </c>
      <c r="O576" s="17" t="s">
        <v>6071</v>
      </c>
      <c r="P576" s="314" t="s">
        <v>490</v>
      </c>
      <c r="Q576" s="13" t="s">
        <v>618</v>
      </c>
      <c r="R576" s="246" t="str">
        <f>VLOOKUP(P576,'Dados das Regiões '!A:B,2,0)</f>
        <v>UMUARAMA</v>
      </c>
      <c r="S576" s="191" t="s">
        <v>6072</v>
      </c>
      <c r="U576" s="191" t="s">
        <v>6073</v>
      </c>
      <c r="V576" s="191" t="s">
        <v>6073</v>
      </c>
      <c r="W576" s="191" t="s">
        <v>6074</v>
      </c>
      <c r="X576" s="195">
        <v>0.58333333333333337</v>
      </c>
      <c r="Y576" s="420">
        <v>0.66666666666666663</v>
      </c>
      <c r="Z576" s="191" t="s">
        <v>3315</v>
      </c>
      <c r="AB576" s="224">
        <v>202500866</v>
      </c>
      <c r="AC576" s="55" t="s">
        <v>40</v>
      </c>
    </row>
    <row r="577" spans="1:29">
      <c r="B577" s="13" t="str">
        <f t="shared" si="453"/>
        <v>Pendente</v>
      </c>
      <c r="C577" s="14" t="str">
        <f t="shared" si="451"/>
        <v/>
      </c>
      <c r="D577" s="13" t="s">
        <v>611</v>
      </c>
      <c r="E577" s="14" t="str">
        <f t="shared" si="452"/>
        <v/>
      </c>
      <c r="F577" s="13" t="s">
        <v>611</v>
      </c>
      <c r="G577" s="191">
        <v>202500866</v>
      </c>
      <c r="H577" s="191" t="s">
        <v>6086</v>
      </c>
      <c r="I577" s="193" t="s">
        <v>613</v>
      </c>
      <c r="J577" s="194">
        <v>45880</v>
      </c>
      <c r="K577" s="194">
        <v>46239</v>
      </c>
      <c r="L577" s="193" t="s">
        <v>6068</v>
      </c>
      <c r="M577" s="193" t="s">
        <v>6069</v>
      </c>
      <c r="N577" s="13" t="s">
        <v>6070</v>
      </c>
      <c r="O577" s="17" t="s">
        <v>6071</v>
      </c>
      <c r="P577" s="314" t="s">
        <v>490</v>
      </c>
      <c r="Q577" s="13" t="s">
        <v>618</v>
      </c>
      <c r="R577" s="246" t="str">
        <f>VLOOKUP(P577,'Dados das Regiões '!A:B,2,0)</f>
        <v>UMUARAMA</v>
      </c>
      <c r="S577" s="191" t="s">
        <v>6072</v>
      </c>
      <c r="U577" s="191" t="s">
        <v>6073</v>
      </c>
      <c r="V577" s="191" t="s">
        <v>6073</v>
      </c>
      <c r="W577" s="191" t="s">
        <v>6074</v>
      </c>
      <c r="X577" s="195">
        <v>0.58333333333333337</v>
      </c>
      <c r="Y577" s="420">
        <v>0.66666666666666663</v>
      </c>
      <c r="Z577" s="191" t="s">
        <v>3315</v>
      </c>
      <c r="AB577" s="225">
        <v>202500866</v>
      </c>
      <c r="AC577" s="55" t="s">
        <v>40</v>
      </c>
    </row>
    <row r="578" spans="1:29">
      <c r="B578" s="13" t="str">
        <f t="shared" si="453"/>
        <v>Pendente</v>
      </c>
      <c r="C578" s="14" t="str">
        <f t="shared" si="451"/>
        <v/>
      </c>
      <c r="D578" s="13" t="s">
        <v>611</v>
      </c>
      <c r="E578" s="14" t="str">
        <f t="shared" si="452"/>
        <v/>
      </c>
      <c r="F578" s="13" t="s">
        <v>611</v>
      </c>
      <c r="G578" s="191">
        <v>202500866</v>
      </c>
      <c r="H578" s="191" t="s">
        <v>6087</v>
      </c>
      <c r="I578" s="193" t="s">
        <v>613</v>
      </c>
      <c r="J578" s="194">
        <v>45880</v>
      </c>
      <c r="K578" s="194">
        <v>46239</v>
      </c>
      <c r="L578" s="193" t="s">
        <v>6068</v>
      </c>
      <c r="M578" s="193" t="s">
        <v>6069</v>
      </c>
      <c r="N578" s="13" t="s">
        <v>6070</v>
      </c>
      <c r="O578" s="17" t="s">
        <v>6071</v>
      </c>
      <c r="P578" s="314" t="s">
        <v>490</v>
      </c>
      <c r="Q578" s="13" t="s">
        <v>618</v>
      </c>
      <c r="R578" s="246" t="str">
        <f>VLOOKUP(P578,'Dados das Regiões '!A:B,2,0)</f>
        <v>UMUARAMA</v>
      </c>
      <c r="S578" s="191" t="s">
        <v>6072</v>
      </c>
      <c r="U578" s="191" t="s">
        <v>6073</v>
      </c>
      <c r="V578" s="191" t="s">
        <v>6073</v>
      </c>
      <c r="W578" s="191" t="s">
        <v>6074</v>
      </c>
      <c r="X578" s="195">
        <v>0.58333333333333337</v>
      </c>
      <c r="Y578" s="420">
        <v>0.66666666666666663</v>
      </c>
      <c r="Z578" s="191" t="s">
        <v>3315</v>
      </c>
      <c r="AB578" s="224">
        <v>202500866</v>
      </c>
      <c r="AC578" s="55" t="s">
        <v>40</v>
      </c>
    </row>
    <row r="579" spans="1:29">
      <c r="B579" s="13" t="str">
        <f t="shared" si="453"/>
        <v>Pendente</v>
      </c>
      <c r="C579" s="14" t="str">
        <f t="shared" si="451"/>
        <v/>
      </c>
      <c r="D579" s="13" t="s">
        <v>611</v>
      </c>
      <c r="E579" s="14" t="str">
        <f t="shared" si="452"/>
        <v/>
      </c>
      <c r="F579" s="13" t="s">
        <v>611</v>
      </c>
      <c r="G579" s="191">
        <v>202500866</v>
      </c>
      <c r="H579" s="191" t="s">
        <v>6088</v>
      </c>
      <c r="I579" s="193" t="s">
        <v>613</v>
      </c>
      <c r="J579" s="194">
        <v>45880</v>
      </c>
      <c r="K579" s="194">
        <v>46239</v>
      </c>
      <c r="L579" s="193" t="s">
        <v>6068</v>
      </c>
      <c r="M579" s="193" t="s">
        <v>6069</v>
      </c>
      <c r="N579" s="13" t="s">
        <v>6070</v>
      </c>
      <c r="O579" s="17" t="s">
        <v>6071</v>
      </c>
      <c r="P579" s="314" t="s">
        <v>490</v>
      </c>
      <c r="Q579" s="13" t="s">
        <v>618</v>
      </c>
      <c r="R579" s="246" t="str">
        <f>VLOOKUP(P579,'Dados das Regiões '!A:B,2,0)</f>
        <v>UMUARAMA</v>
      </c>
      <c r="S579" s="191" t="s">
        <v>6072</v>
      </c>
      <c r="U579" s="191" t="s">
        <v>6073</v>
      </c>
      <c r="V579" s="191" t="s">
        <v>6073</v>
      </c>
      <c r="W579" s="191" t="s">
        <v>6074</v>
      </c>
      <c r="X579" s="195">
        <v>0.58333333333333337</v>
      </c>
      <c r="Y579" s="420">
        <v>0.66666666666666663</v>
      </c>
      <c r="Z579" s="191" t="s">
        <v>3315</v>
      </c>
      <c r="AB579" s="225">
        <v>202500866</v>
      </c>
      <c r="AC579" s="55" t="s">
        <v>40</v>
      </c>
    </row>
    <row r="580" spans="1:29">
      <c r="B580" s="13" t="str">
        <f t="shared" si="453"/>
        <v>Pendente</v>
      </c>
      <c r="C580" s="14" t="str">
        <f t="shared" si="451"/>
        <v/>
      </c>
      <c r="D580" s="13" t="s">
        <v>611</v>
      </c>
      <c r="E580" s="14" t="str">
        <f t="shared" si="452"/>
        <v/>
      </c>
      <c r="F580" s="13" t="s">
        <v>611</v>
      </c>
      <c r="G580" s="191">
        <v>202500866</v>
      </c>
      <c r="H580" s="191" t="s">
        <v>6089</v>
      </c>
      <c r="I580" s="193" t="s">
        <v>613</v>
      </c>
      <c r="J580" s="194">
        <v>45880</v>
      </c>
      <c r="K580" s="194">
        <v>46239</v>
      </c>
      <c r="L580" s="193" t="s">
        <v>2618</v>
      </c>
      <c r="M580" s="193" t="s">
        <v>2619</v>
      </c>
      <c r="N580" s="13" t="s">
        <v>2620</v>
      </c>
      <c r="O580" s="13" t="s">
        <v>2621</v>
      </c>
      <c r="P580" s="314" t="s">
        <v>491</v>
      </c>
      <c r="Q580" s="13" t="s">
        <v>618</v>
      </c>
      <c r="R580" s="246" t="str">
        <f>VLOOKUP(P580,'Dados das Regiões '!A:B,2,0)</f>
        <v>UMUARAMA</v>
      </c>
      <c r="S580" s="191" t="s">
        <v>3769</v>
      </c>
      <c r="U580" s="191" t="s">
        <v>3770</v>
      </c>
      <c r="V580" s="191" t="s">
        <v>3770</v>
      </c>
      <c r="W580" s="191" t="s">
        <v>3771</v>
      </c>
      <c r="X580" s="195">
        <v>0.33333333333333331</v>
      </c>
      <c r="Y580" s="420">
        <v>0.41666666666666669</v>
      </c>
      <c r="Z580" s="191" t="s">
        <v>3315</v>
      </c>
      <c r="AB580" s="224">
        <v>202500866</v>
      </c>
      <c r="AC580" s="55" t="s">
        <v>40</v>
      </c>
    </row>
    <row r="581" spans="1:29">
      <c r="B581" s="13" t="str">
        <f t="shared" si="453"/>
        <v>Pendente</v>
      </c>
      <c r="C581" s="14" t="str">
        <f t="shared" si="451"/>
        <v/>
      </c>
      <c r="D581" s="13" t="s">
        <v>611</v>
      </c>
      <c r="E581" s="14" t="str">
        <f t="shared" si="452"/>
        <v/>
      </c>
      <c r="F581" s="13" t="s">
        <v>611</v>
      </c>
      <c r="G581" s="191">
        <v>202500866</v>
      </c>
      <c r="H581" s="191" t="s">
        <v>6090</v>
      </c>
      <c r="I581" s="193" t="s">
        <v>613</v>
      </c>
      <c r="J581" s="194">
        <v>45880</v>
      </c>
      <c r="K581" s="194">
        <v>46239</v>
      </c>
      <c r="L581" s="193" t="s">
        <v>2756</v>
      </c>
      <c r="M581" s="193" t="s">
        <v>2757</v>
      </c>
      <c r="N581" s="13" t="s">
        <v>2758</v>
      </c>
      <c r="O581" s="17" t="s">
        <v>2759</v>
      </c>
      <c r="P581" s="314" t="s">
        <v>175</v>
      </c>
      <c r="Q581" s="13" t="s">
        <v>618</v>
      </c>
      <c r="R581" s="246" t="str">
        <f>VLOOKUP(P581,'Dados das Regiões '!A:B,2,0)</f>
        <v>CAMPO MOURÃO</v>
      </c>
      <c r="S581" s="191" t="s">
        <v>6091</v>
      </c>
      <c r="U581" s="191" t="s">
        <v>6092</v>
      </c>
      <c r="V581" s="191" t="s">
        <v>6093</v>
      </c>
      <c r="W581" s="191" t="s">
        <v>2762</v>
      </c>
      <c r="X581" s="195">
        <v>0.54166666666666663</v>
      </c>
      <c r="Y581" s="420">
        <v>0.625</v>
      </c>
      <c r="Z581" s="191" t="s">
        <v>3315</v>
      </c>
      <c r="AB581" s="225">
        <v>202500866</v>
      </c>
      <c r="AC581" s="55" t="s">
        <v>40</v>
      </c>
    </row>
    <row r="582" spans="1:29">
      <c r="B582" s="13" t="str">
        <f t="shared" si="453"/>
        <v>Pendente</v>
      </c>
      <c r="C582" s="14" t="str">
        <f t="shared" si="451"/>
        <v/>
      </c>
      <c r="D582" s="13" t="s">
        <v>611</v>
      </c>
      <c r="E582" s="14" t="str">
        <f t="shared" si="452"/>
        <v/>
      </c>
      <c r="F582" s="13" t="s">
        <v>611</v>
      </c>
      <c r="G582" s="191">
        <v>202500866</v>
      </c>
      <c r="H582" s="191" t="s">
        <v>6094</v>
      </c>
      <c r="I582" s="193" t="s">
        <v>613</v>
      </c>
      <c r="J582" s="194">
        <v>45880</v>
      </c>
      <c r="K582" s="194">
        <v>46239</v>
      </c>
      <c r="L582" s="193" t="s">
        <v>2555</v>
      </c>
      <c r="M582" s="193" t="s">
        <v>2556</v>
      </c>
      <c r="N582" s="13" t="s">
        <v>2557</v>
      </c>
      <c r="O582" s="77" t="s">
        <v>2558</v>
      </c>
      <c r="P582" s="314" t="s">
        <v>274</v>
      </c>
      <c r="Q582" s="13" t="s">
        <v>618</v>
      </c>
      <c r="R582" s="246" t="str">
        <f>VLOOKUP(P582,'Dados das Regiões '!A:B,2,0)</f>
        <v>FRANCISCO BELTRÃO</v>
      </c>
      <c r="S582" s="191" t="s">
        <v>6095</v>
      </c>
      <c r="U582" s="191"/>
      <c r="V582" s="191" t="s">
        <v>6096</v>
      </c>
      <c r="W582" s="191" t="s">
        <v>6097</v>
      </c>
      <c r="X582" s="195">
        <v>0.5625</v>
      </c>
      <c r="Y582" s="420">
        <v>0.64583333333333337</v>
      </c>
      <c r="Z582" s="191" t="s">
        <v>3315</v>
      </c>
      <c r="AB582" s="224">
        <v>202500866</v>
      </c>
      <c r="AC582" s="55" t="s">
        <v>40</v>
      </c>
    </row>
    <row r="583" spans="1:29">
      <c r="B583" s="13" t="str">
        <f t="shared" si="453"/>
        <v>Pendente</v>
      </c>
      <c r="C583" s="14" t="str">
        <f t="shared" si="451"/>
        <v/>
      </c>
      <c r="D583" s="13" t="s">
        <v>611</v>
      </c>
      <c r="E583" s="14" t="str">
        <f t="shared" si="452"/>
        <v/>
      </c>
      <c r="F583" s="13" t="s">
        <v>611</v>
      </c>
      <c r="G583" s="191">
        <v>202500866</v>
      </c>
      <c r="H583" s="191" t="s">
        <v>6098</v>
      </c>
      <c r="I583" s="193" t="s">
        <v>613</v>
      </c>
      <c r="J583" s="194">
        <v>45880</v>
      </c>
      <c r="K583" s="194">
        <v>46239</v>
      </c>
      <c r="L583" s="193" t="s">
        <v>2555</v>
      </c>
      <c r="M583" s="193" t="s">
        <v>2556</v>
      </c>
      <c r="N583" s="13" t="s">
        <v>2557</v>
      </c>
      <c r="O583" s="77" t="s">
        <v>2558</v>
      </c>
      <c r="P583" s="314" t="s">
        <v>274</v>
      </c>
      <c r="Q583" s="13" t="s">
        <v>618</v>
      </c>
      <c r="R583" s="246" t="str">
        <f>VLOOKUP(P583,'Dados das Regiões '!A:B,2,0)</f>
        <v>FRANCISCO BELTRÃO</v>
      </c>
      <c r="S583" s="191" t="s">
        <v>6099</v>
      </c>
      <c r="U583" s="191"/>
      <c r="V583" s="191" t="s">
        <v>6096</v>
      </c>
      <c r="W583" s="191" t="s">
        <v>6097</v>
      </c>
      <c r="X583" s="195">
        <v>0.5625</v>
      </c>
      <c r="Y583" s="420">
        <v>0.64583333333333337</v>
      </c>
      <c r="Z583" s="191" t="s">
        <v>3315</v>
      </c>
      <c r="AB583" s="225">
        <v>202500866</v>
      </c>
      <c r="AC583" s="55" t="s">
        <v>40</v>
      </c>
    </row>
    <row r="584" spans="1:29">
      <c r="B584" s="13" t="str">
        <f t="shared" si="453"/>
        <v>Pendente</v>
      </c>
      <c r="C584" s="14" t="str">
        <f t="shared" si="451"/>
        <v/>
      </c>
      <c r="D584" s="13" t="s">
        <v>611</v>
      </c>
      <c r="E584" s="14" t="str">
        <f t="shared" si="452"/>
        <v/>
      </c>
      <c r="F584" s="13" t="s">
        <v>611</v>
      </c>
      <c r="G584" s="191">
        <v>202500866</v>
      </c>
      <c r="H584" s="191" t="s">
        <v>6100</v>
      </c>
      <c r="I584" s="193" t="s">
        <v>613</v>
      </c>
      <c r="J584" s="194">
        <v>45880</v>
      </c>
      <c r="K584" s="194">
        <v>46239</v>
      </c>
      <c r="L584" s="193" t="s">
        <v>2555</v>
      </c>
      <c r="M584" s="193" t="s">
        <v>2556</v>
      </c>
      <c r="N584" s="13" t="s">
        <v>2557</v>
      </c>
      <c r="O584" s="77" t="s">
        <v>2558</v>
      </c>
      <c r="P584" s="314" t="s">
        <v>274</v>
      </c>
      <c r="Q584" s="13" t="s">
        <v>618</v>
      </c>
      <c r="R584" s="246" t="str">
        <f>VLOOKUP(P584,'Dados das Regiões '!A:B,2,0)</f>
        <v>FRANCISCO BELTRÃO</v>
      </c>
      <c r="S584" s="191" t="s">
        <v>6099</v>
      </c>
      <c r="U584" s="191"/>
      <c r="V584" s="191" t="s">
        <v>6096</v>
      </c>
      <c r="W584" s="191" t="s">
        <v>6097</v>
      </c>
      <c r="X584" s="195">
        <v>0.5625</v>
      </c>
      <c r="Y584" s="420">
        <v>0.64583333333333337</v>
      </c>
      <c r="Z584" s="191" t="s">
        <v>3315</v>
      </c>
      <c r="AB584" s="224">
        <v>202500866</v>
      </c>
      <c r="AC584" s="55" t="s">
        <v>40</v>
      </c>
    </row>
    <row r="585" spans="1:29">
      <c r="B585" s="13" t="str">
        <f t="shared" si="453"/>
        <v>Pendente</v>
      </c>
      <c r="C585" s="14" t="str">
        <f t="shared" si="451"/>
        <v/>
      </c>
      <c r="D585" s="13" t="s">
        <v>611</v>
      </c>
      <c r="E585" s="14" t="str">
        <f t="shared" si="452"/>
        <v/>
      </c>
      <c r="F585" s="13" t="s">
        <v>611</v>
      </c>
      <c r="G585" s="191">
        <v>202500866</v>
      </c>
      <c r="H585" s="191" t="s">
        <v>6101</v>
      </c>
      <c r="I585" s="193" t="s">
        <v>613</v>
      </c>
      <c r="J585" s="194">
        <v>45880</v>
      </c>
      <c r="K585" s="194">
        <v>46239</v>
      </c>
      <c r="L585" s="193" t="s">
        <v>2555</v>
      </c>
      <c r="M585" s="193" t="s">
        <v>2556</v>
      </c>
      <c r="N585" s="13" t="s">
        <v>2557</v>
      </c>
      <c r="O585" s="77" t="s">
        <v>2558</v>
      </c>
      <c r="P585" s="314" t="s">
        <v>274</v>
      </c>
      <c r="Q585" s="13" t="s">
        <v>618</v>
      </c>
      <c r="R585" s="246" t="str">
        <f>VLOOKUP(P585,'Dados das Regiões '!A:B,2,0)</f>
        <v>FRANCISCO BELTRÃO</v>
      </c>
      <c r="S585" s="191" t="s">
        <v>6099</v>
      </c>
      <c r="U585" s="191"/>
      <c r="V585" s="191" t="s">
        <v>6096</v>
      </c>
      <c r="W585" s="191" t="s">
        <v>6097</v>
      </c>
      <c r="X585" s="195">
        <v>0.5625</v>
      </c>
      <c r="Y585" s="420">
        <v>0.64583333333333337</v>
      </c>
      <c r="Z585" s="191" t="s">
        <v>3315</v>
      </c>
      <c r="AB585" s="225">
        <v>202500866</v>
      </c>
      <c r="AC585" s="55" t="s">
        <v>40</v>
      </c>
    </row>
    <row r="586" spans="1:29">
      <c r="B586" s="13" t="str">
        <f t="shared" si="453"/>
        <v>Pendente</v>
      </c>
      <c r="C586" s="14" t="str">
        <f t="shared" si="451"/>
        <v/>
      </c>
      <c r="D586" s="13" t="s">
        <v>611</v>
      </c>
      <c r="E586" s="14" t="str">
        <f t="shared" si="452"/>
        <v/>
      </c>
      <c r="F586" s="13" t="s">
        <v>611</v>
      </c>
      <c r="G586" s="191">
        <v>202500866</v>
      </c>
      <c r="H586" s="191" t="s">
        <v>6102</v>
      </c>
      <c r="I586" s="193" t="s">
        <v>613</v>
      </c>
      <c r="J586" s="194">
        <v>45880</v>
      </c>
      <c r="K586" s="194">
        <v>46239</v>
      </c>
      <c r="L586" s="193" t="s">
        <v>2555</v>
      </c>
      <c r="M586" s="193" t="s">
        <v>2556</v>
      </c>
      <c r="N586" s="13" t="s">
        <v>2557</v>
      </c>
      <c r="O586" s="77" t="s">
        <v>2558</v>
      </c>
      <c r="P586" s="314" t="s">
        <v>274</v>
      </c>
      <c r="Q586" s="13" t="s">
        <v>618</v>
      </c>
      <c r="R586" s="246" t="str">
        <f>VLOOKUP(P586,'Dados das Regiões '!A:B,2,0)</f>
        <v>FRANCISCO BELTRÃO</v>
      </c>
      <c r="S586" s="191" t="s">
        <v>6099</v>
      </c>
      <c r="U586" s="191"/>
      <c r="V586" s="191" t="s">
        <v>6096</v>
      </c>
      <c r="W586" s="191" t="s">
        <v>6097</v>
      </c>
      <c r="X586" s="195">
        <v>0.5625</v>
      </c>
      <c r="Y586" s="420">
        <v>0.64583333333333337</v>
      </c>
      <c r="Z586" s="191" t="s">
        <v>3315</v>
      </c>
      <c r="AB586" s="224">
        <v>202500866</v>
      </c>
      <c r="AC586" s="55" t="s">
        <v>40</v>
      </c>
    </row>
    <row r="587" spans="1:29">
      <c r="B587" s="13" t="str">
        <f t="shared" si="453"/>
        <v>Pendente</v>
      </c>
      <c r="C587" s="14" t="str">
        <f t="shared" si="451"/>
        <v/>
      </c>
      <c r="D587" s="13" t="s">
        <v>611</v>
      </c>
      <c r="E587" s="14" t="str">
        <f t="shared" si="452"/>
        <v/>
      </c>
      <c r="F587" s="13" t="s">
        <v>611</v>
      </c>
      <c r="G587" s="191">
        <v>202500866</v>
      </c>
      <c r="H587" s="191" t="s">
        <v>6103</v>
      </c>
      <c r="I587" s="193" t="s">
        <v>613</v>
      </c>
      <c r="J587" s="194">
        <v>45880</v>
      </c>
      <c r="K587" s="194">
        <v>46239</v>
      </c>
      <c r="L587" s="193" t="s">
        <v>2555</v>
      </c>
      <c r="M587" s="193" t="s">
        <v>2556</v>
      </c>
      <c r="N587" s="13" t="s">
        <v>2557</v>
      </c>
      <c r="O587" s="77" t="s">
        <v>2558</v>
      </c>
      <c r="P587" s="314" t="s">
        <v>274</v>
      </c>
      <c r="Q587" s="13" t="s">
        <v>618</v>
      </c>
      <c r="R587" s="246" t="str">
        <f>VLOOKUP(P587,'Dados das Regiões '!A:B,2,0)</f>
        <v>FRANCISCO BELTRÃO</v>
      </c>
      <c r="S587" s="191" t="s">
        <v>6099</v>
      </c>
      <c r="U587" s="191"/>
      <c r="V587" s="191" t="s">
        <v>6096</v>
      </c>
      <c r="W587" s="191" t="s">
        <v>6097</v>
      </c>
      <c r="X587" s="195">
        <v>0.5625</v>
      </c>
      <c r="Y587" s="420">
        <v>0.64583333333333337</v>
      </c>
      <c r="Z587" s="191" t="s">
        <v>3315</v>
      </c>
      <c r="AB587" s="225">
        <v>202500866</v>
      </c>
      <c r="AC587" s="55" t="s">
        <v>40</v>
      </c>
    </row>
    <row r="588" spans="1:29">
      <c r="B588" s="13" t="str">
        <f t="shared" si="453"/>
        <v>Pendente</v>
      </c>
      <c r="C588" s="14" t="str">
        <f t="shared" si="451"/>
        <v/>
      </c>
      <c r="D588" s="13" t="s">
        <v>611</v>
      </c>
      <c r="E588" s="14" t="str">
        <f t="shared" si="452"/>
        <v/>
      </c>
      <c r="F588" s="13" t="s">
        <v>611</v>
      </c>
      <c r="G588" s="191">
        <v>202500866</v>
      </c>
      <c r="H588" s="191" t="s">
        <v>6104</v>
      </c>
      <c r="I588" s="193" t="s">
        <v>613</v>
      </c>
      <c r="J588" s="194">
        <v>45880</v>
      </c>
      <c r="K588" s="194">
        <v>46239</v>
      </c>
      <c r="L588" s="193" t="s">
        <v>2555</v>
      </c>
      <c r="M588" s="193" t="s">
        <v>2594</v>
      </c>
      <c r="N588" s="13" t="s">
        <v>2595</v>
      </c>
      <c r="O588" s="17" t="s">
        <v>2596</v>
      </c>
      <c r="P588" s="314" t="s">
        <v>274</v>
      </c>
      <c r="Q588" s="13" t="s">
        <v>618</v>
      </c>
      <c r="R588" s="246" t="str">
        <f>VLOOKUP(P588,'Dados das Regiões '!A:B,2,0)</f>
        <v>FRANCISCO BELTRÃO</v>
      </c>
      <c r="S588" s="191" t="s">
        <v>6105</v>
      </c>
      <c r="U588" s="191"/>
      <c r="V588" s="191" t="s">
        <v>6096</v>
      </c>
      <c r="W588" s="191" t="s">
        <v>6097</v>
      </c>
      <c r="X588" s="195">
        <v>0.5625</v>
      </c>
      <c r="Y588" s="420">
        <v>0.64583333333333337</v>
      </c>
      <c r="Z588" s="191" t="s">
        <v>3315</v>
      </c>
      <c r="AB588" s="224">
        <v>202500866</v>
      </c>
      <c r="AC588" s="55" t="s">
        <v>40</v>
      </c>
    </row>
    <row r="589" spans="1:29">
      <c r="B589" s="13" t="str">
        <f t="shared" si="453"/>
        <v>Pendente</v>
      </c>
      <c r="C589" s="14" t="str">
        <f t="shared" si="451"/>
        <v/>
      </c>
      <c r="D589" s="13" t="s">
        <v>611</v>
      </c>
      <c r="E589" s="14" t="str">
        <f t="shared" si="452"/>
        <v/>
      </c>
      <c r="F589" s="13" t="s">
        <v>611</v>
      </c>
      <c r="G589" s="191">
        <v>202500866</v>
      </c>
      <c r="H589" s="191" t="s">
        <v>6106</v>
      </c>
      <c r="I589" s="193" t="s">
        <v>613</v>
      </c>
      <c r="J589" s="194">
        <v>45880</v>
      </c>
      <c r="K589" s="194">
        <v>46239</v>
      </c>
      <c r="L589" s="193" t="s">
        <v>2618</v>
      </c>
      <c r="M589" s="193" t="s">
        <v>2619</v>
      </c>
      <c r="N589" s="13" t="s">
        <v>2620</v>
      </c>
      <c r="O589" s="13" t="s">
        <v>2621</v>
      </c>
      <c r="P589" s="314" t="s">
        <v>491</v>
      </c>
      <c r="Q589" s="13" t="s">
        <v>618</v>
      </c>
      <c r="R589" s="246" t="str">
        <f>VLOOKUP(P589,'Dados das Regiões '!A:B,2,0)</f>
        <v>UMUARAMA</v>
      </c>
      <c r="S589" s="191" t="s">
        <v>3769</v>
      </c>
      <c r="U589" s="191" t="s">
        <v>3770</v>
      </c>
      <c r="V589" s="191" t="s">
        <v>3770</v>
      </c>
      <c r="W589" s="191" t="s">
        <v>3771</v>
      </c>
      <c r="X589" s="195">
        <v>0.58333333333333337</v>
      </c>
      <c r="Y589" s="420">
        <v>0.66666666666666663</v>
      </c>
      <c r="Z589" s="191" t="s">
        <v>3315</v>
      </c>
      <c r="AB589" s="225">
        <v>202500866</v>
      </c>
      <c r="AC589" s="55" t="s">
        <v>40</v>
      </c>
    </row>
    <row r="590" spans="1:29">
      <c r="A590" s="14">
        <v>45967</v>
      </c>
      <c r="B590" s="13" t="str">
        <f t="shared" si="453"/>
        <v>Realizada</v>
      </c>
      <c r="C590" s="14">
        <f t="shared" si="451"/>
        <v>46059</v>
      </c>
      <c r="D590" s="13" t="s">
        <v>611</v>
      </c>
      <c r="E590" s="14">
        <f t="shared" si="452"/>
        <v>46148</v>
      </c>
      <c r="F590" s="13" t="s">
        <v>611</v>
      </c>
      <c r="G590" s="191">
        <v>202500869</v>
      </c>
      <c r="H590" s="191" t="s">
        <v>6107</v>
      </c>
      <c r="I590" s="193" t="s">
        <v>1192</v>
      </c>
      <c r="J590" s="194">
        <v>45880</v>
      </c>
      <c r="K590" s="194">
        <v>46239</v>
      </c>
      <c r="L590" s="193" t="s">
        <v>2374</v>
      </c>
      <c r="M590" s="193" t="s">
        <v>2389</v>
      </c>
      <c r="N590" s="13" t="s">
        <v>2390</v>
      </c>
      <c r="O590" s="17" t="s">
        <v>6108</v>
      </c>
      <c r="P590" s="314" t="s">
        <v>169</v>
      </c>
      <c r="Q590" s="13" t="s">
        <v>618</v>
      </c>
      <c r="R590" s="246" t="str">
        <f>VLOOKUP(P590,'Dados das Regiões '!A:B,2,0)</f>
        <v>CAMPO MOURÃO</v>
      </c>
      <c r="S590" s="191" t="s">
        <v>2378</v>
      </c>
      <c r="U590" s="191" t="s">
        <v>4509</v>
      </c>
      <c r="V590" s="191" t="s">
        <v>2379</v>
      </c>
      <c r="W590" s="191" t="s">
        <v>2380</v>
      </c>
      <c r="X590" s="195">
        <v>0.33333333333333331</v>
      </c>
      <c r="Y590" s="420">
        <v>0.41666666666666669</v>
      </c>
      <c r="Z590" s="191" t="s">
        <v>3315</v>
      </c>
      <c r="AB590" s="224">
        <v>202500869</v>
      </c>
      <c r="AC590" s="55" t="s">
        <v>41</v>
      </c>
    </row>
    <row r="591" spans="1:29">
      <c r="A591" s="14">
        <v>45932</v>
      </c>
      <c r="B591" s="13" t="str">
        <f t="shared" si="453"/>
        <v>Realizada</v>
      </c>
      <c r="C591" s="14">
        <f t="shared" si="451"/>
        <v>46024</v>
      </c>
      <c r="D591" s="13" t="s">
        <v>611</v>
      </c>
      <c r="E591" s="14">
        <f t="shared" si="452"/>
        <v>46114</v>
      </c>
      <c r="F591" s="13" t="s">
        <v>611</v>
      </c>
      <c r="G591" s="191">
        <v>202500869</v>
      </c>
      <c r="H591" s="191" t="s">
        <v>6109</v>
      </c>
      <c r="I591" s="193" t="s">
        <v>1192</v>
      </c>
      <c r="J591" s="194">
        <v>45880</v>
      </c>
      <c r="K591" s="194">
        <v>46239</v>
      </c>
      <c r="L591" s="193" t="s">
        <v>2374</v>
      </c>
      <c r="M591" s="193" t="s">
        <v>2375</v>
      </c>
      <c r="N591" s="13" t="s">
        <v>2376</v>
      </c>
      <c r="O591" s="13" t="s">
        <v>4508</v>
      </c>
      <c r="P591" s="314" t="s">
        <v>154</v>
      </c>
      <c r="Q591" s="13" t="s">
        <v>618</v>
      </c>
      <c r="R591" s="246" t="str">
        <f>VLOOKUP(P591,'Dados das Regiões '!A:B,2,0)</f>
        <v>CAMPO MOURÃO</v>
      </c>
      <c r="S591" s="191" t="s">
        <v>2378</v>
      </c>
      <c r="U591" s="191" t="s">
        <v>4509</v>
      </c>
      <c r="V591" s="191" t="s">
        <v>2379</v>
      </c>
      <c r="W591" s="191" t="s">
        <v>2380</v>
      </c>
      <c r="X591" s="195">
        <v>0.33333333333333331</v>
      </c>
      <c r="Y591" s="420">
        <v>0.41666666666666669</v>
      </c>
      <c r="Z591" s="191" t="s">
        <v>3315</v>
      </c>
      <c r="AB591" s="225">
        <v>202500869</v>
      </c>
      <c r="AC591" s="55" t="s">
        <v>41</v>
      </c>
    </row>
    <row r="592" spans="1:29">
      <c r="A592" s="14">
        <v>45986</v>
      </c>
      <c r="B592" s="13" t="str">
        <f t="shared" si="453"/>
        <v>Realizada</v>
      </c>
      <c r="C592" s="14">
        <f t="shared" si="451"/>
        <v>46078</v>
      </c>
      <c r="D592" s="13" t="s">
        <v>611</v>
      </c>
      <c r="E592" s="14">
        <f t="shared" si="452"/>
        <v>46167</v>
      </c>
      <c r="F592" s="13" t="s">
        <v>611</v>
      </c>
      <c r="G592" s="191">
        <v>202500868</v>
      </c>
      <c r="H592" s="191" t="s">
        <v>6110</v>
      </c>
      <c r="I592" s="193" t="s">
        <v>1192</v>
      </c>
      <c r="J592" s="194">
        <v>45880</v>
      </c>
      <c r="K592" s="194">
        <v>46239</v>
      </c>
      <c r="L592" s="193" t="s">
        <v>6111</v>
      </c>
      <c r="M592" s="193" t="s">
        <v>6112</v>
      </c>
      <c r="N592" s="13" t="s">
        <v>6113</v>
      </c>
      <c r="O592" s="17" t="s">
        <v>6114</v>
      </c>
      <c r="P592" s="314" t="s">
        <v>251</v>
      </c>
      <c r="Q592" s="13" t="s">
        <v>618</v>
      </c>
      <c r="R592" s="246" t="str">
        <f>VLOOKUP(P592,'Dados das Regiões '!A:B,2,0)</f>
        <v>CURITIBA PORTÃO</v>
      </c>
      <c r="S592" s="191" t="s">
        <v>6115</v>
      </c>
      <c r="U592" s="191" t="s">
        <v>6116</v>
      </c>
      <c r="V592" s="191" t="s">
        <v>6116</v>
      </c>
      <c r="W592" s="191" t="s">
        <v>6117</v>
      </c>
      <c r="X592" s="195">
        <v>0.33333333333333331</v>
      </c>
      <c r="Y592" s="420">
        <v>0.41666666666666669</v>
      </c>
      <c r="Z592" s="191" t="s">
        <v>3315</v>
      </c>
      <c r="AB592" s="224">
        <v>202500868</v>
      </c>
      <c r="AC592" s="55" t="s">
        <v>42</v>
      </c>
    </row>
    <row r="593" spans="1:29">
      <c r="B593" s="13" t="str">
        <f t="shared" si="453"/>
        <v>Pendente</v>
      </c>
      <c r="C593" s="14" t="str">
        <f t="shared" si="451"/>
        <v/>
      </c>
      <c r="D593" s="13" t="s">
        <v>611</v>
      </c>
      <c r="E593" s="14" t="str">
        <f t="shared" si="452"/>
        <v/>
      </c>
      <c r="F593" s="13" t="s">
        <v>611</v>
      </c>
      <c r="G593" s="191">
        <v>202500868</v>
      </c>
      <c r="H593" s="191" t="s">
        <v>6118</v>
      </c>
      <c r="I593" s="193" t="s">
        <v>1192</v>
      </c>
      <c r="J593" s="194">
        <v>45880</v>
      </c>
      <c r="K593" s="194">
        <v>46239</v>
      </c>
      <c r="L593" s="193" t="s">
        <v>1969</v>
      </c>
      <c r="M593" s="193" t="s">
        <v>1994</v>
      </c>
      <c r="N593" s="13" t="s">
        <v>1995</v>
      </c>
      <c r="O593" s="17" t="s">
        <v>1996</v>
      </c>
      <c r="P593" s="314" t="s">
        <v>136</v>
      </c>
      <c r="Q593" s="13" t="s">
        <v>618</v>
      </c>
      <c r="R593" s="246" t="str">
        <f>VLOOKUP(P593,'Dados das Regiões '!A:B,2,0)</f>
        <v>ARAPONGAS</v>
      </c>
      <c r="S593" s="191" t="s">
        <v>6119</v>
      </c>
      <c r="U593" s="191" t="s">
        <v>6120</v>
      </c>
      <c r="V593" s="191" t="s">
        <v>6120</v>
      </c>
      <c r="W593" s="191" t="s">
        <v>6121</v>
      </c>
      <c r="X593" s="195">
        <v>0.58333333333333337</v>
      </c>
      <c r="Y593" s="420">
        <v>0.66666666666666663</v>
      </c>
      <c r="Z593" s="191" t="s">
        <v>3315</v>
      </c>
      <c r="AB593" s="225">
        <v>202500868</v>
      </c>
      <c r="AC593" s="55" t="s">
        <v>42</v>
      </c>
    </row>
    <row r="594" spans="1:29">
      <c r="B594" s="13" t="str">
        <f t="shared" si="453"/>
        <v>Pendente</v>
      </c>
      <c r="C594" s="14" t="str">
        <f t="shared" si="451"/>
        <v/>
      </c>
      <c r="D594" s="13" t="s">
        <v>611</v>
      </c>
      <c r="E594" s="14" t="str">
        <f t="shared" si="452"/>
        <v/>
      </c>
      <c r="F594" s="13" t="s">
        <v>611</v>
      </c>
      <c r="G594" s="191">
        <v>202500868</v>
      </c>
      <c r="H594" s="191" t="s">
        <v>6122</v>
      </c>
      <c r="I594" s="193" t="s">
        <v>1192</v>
      </c>
      <c r="J594" s="194">
        <v>45880</v>
      </c>
      <c r="K594" s="194">
        <v>46239</v>
      </c>
      <c r="L594" s="193" t="s">
        <v>565</v>
      </c>
      <c r="M594" s="193" t="s">
        <v>4026</v>
      </c>
      <c r="N594" s="13" t="s">
        <v>566</v>
      </c>
      <c r="O594" s="13" t="s">
        <v>4021</v>
      </c>
      <c r="P594" s="314" t="s">
        <v>457</v>
      </c>
      <c r="Q594" s="13" t="s">
        <v>618</v>
      </c>
      <c r="R594" s="246" t="str">
        <f>VLOOKUP(P594,'Dados das Regiões '!A:B,2,0)</f>
        <v>RIO NEGRO</v>
      </c>
      <c r="S594" s="191" t="s">
        <v>4048</v>
      </c>
      <c r="U594" s="191" t="s">
        <v>6123</v>
      </c>
      <c r="V594" s="191" t="s">
        <v>6124</v>
      </c>
      <c r="W594" s="191" t="s">
        <v>6125</v>
      </c>
      <c r="X594" s="195">
        <v>0.54166666666666663</v>
      </c>
      <c r="Y594" s="420">
        <v>0.625</v>
      </c>
      <c r="Z594" s="191" t="s">
        <v>3315</v>
      </c>
      <c r="AB594" s="224">
        <v>202500868</v>
      </c>
      <c r="AC594" s="55" t="s">
        <v>42</v>
      </c>
    </row>
    <row r="595" spans="1:29">
      <c r="A595" s="14">
        <v>45974</v>
      </c>
      <c r="B595" s="13" t="str">
        <f t="shared" si="453"/>
        <v>Realizada</v>
      </c>
      <c r="C595" s="14">
        <f t="shared" si="451"/>
        <v>46066</v>
      </c>
      <c r="D595" s="13" t="s">
        <v>611</v>
      </c>
      <c r="E595" s="14">
        <f t="shared" si="452"/>
        <v>46155</v>
      </c>
      <c r="F595" s="13" t="s">
        <v>611</v>
      </c>
      <c r="G595" s="191">
        <v>202500868</v>
      </c>
      <c r="H595" s="191" t="s">
        <v>6126</v>
      </c>
      <c r="I595" s="193" t="s">
        <v>1192</v>
      </c>
      <c r="J595" s="194">
        <v>45880</v>
      </c>
      <c r="K595" s="194">
        <v>46239</v>
      </c>
      <c r="L595" s="193" t="s">
        <v>565</v>
      </c>
      <c r="M595" s="193" t="s">
        <v>1912</v>
      </c>
      <c r="N595" s="13" t="s">
        <v>6127</v>
      </c>
      <c r="O595" s="13" t="s">
        <v>1914</v>
      </c>
      <c r="P595" s="314" t="s">
        <v>254</v>
      </c>
      <c r="Q595" s="13" t="s">
        <v>618</v>
      </c>
      <c r="R595" s="246" t="str">
        <f>VLOOKUP(P595,'Dados das Regiões '!A:B,2,0)</f>
        <v>CURITIBA PORTÃO</v>
      </c>
      <c r="S595" s="191" t="s">
        <v>6128</v>
      </c>
      <c r="U595" s="191" t="s">
        <v>6129</v>
      </c>
      <c r="V595" s="191" t="s">
        <v>6130</v>
      </c>
      <c r="W595" s="191" t="s">
        <v>6131</v>
      </c>
      <c r="X595" s="195">
        <v>0.33333333333333331</v>
      </c>
      <c r="Y595" s="420">
        <v>0.41666666666666669</v>
      </c>
      <c r="Z595" s="191" t="s">
        <v>3315</v>
      </c>
      <c r="AB595" s="225">
        <v>202500868</v>
      </c>
      <c r="AC595" s="55" t="s">
        <v>42</v>
      </c>
    </row>
    <row r="596" spans="1:29">
      <c r="A596" s="14">
        <v>45964</v>
      </c>
      <c r="B596" s="13" t="str">
        <f t="shared" si="453"/>
        <v>Realizada</v>
      </c>
      <c r="C596" s="14">
        <f t="shared" si="451"/>
        <v>46056</v>
      </c>
      <c r="D596" s="13" t="s">
        <v>611</v>
      </c>
      <c r="E596" s="14">
        <f t="shared" si="452"/>
        <v>46145</v>
      </c>
      <c r="F596" s="13" t="s">
        <v>611</v>
      </c>
      <c r="G596" s="191">
        <v>202500868</v>
      </c>
      <c r="H596" s="191" t="s">
        <v>3259</v>
      </c>
      <c r="I596" s="193" t="s">
        <v>1192</v>
      </c>
      <c r="J596" s="194">
        <v>45880</v>
      </c>
      <c r="K596" s="194">
        <v>46239</v>
      </c>
      <c r="L596" s="193" t="s">
        <v>1932</v>
      </c>
      <c r="M596" s="193" t="s">
        <v>1933</v>
      </c>
      <c r="N596" s="13" t="s">
        <v>1934</v>
      </c>
      <c r="O596" s="13" t="s">
        <v>1935</v>
      </c>
      <c r="P596" s="314" t="s">
        <v>446</v>
      </c>
      <c r="Q596" s="13" t="s">
        <v>618</v>
      </c>
      <c r="R596" s="246" t="str">
        <f>VLOOKUP(P596,'Dados das Regiões '!A:B,2,0)</f>
        <v>PONTA GROSSA</v>
      </c>
      <c r="S596" s="191" t="s">
        <v>1936</v>
      </c>
      <c r="U596" s="191" t="s">
        <v>6132</v>
      </c>
      <c r="V596" s="191" t="s">
        <v>1937</v>
      </c>
      <c r="W596" s="191" t="s">
        <v>1938</v>
      </c>
      <c r="X596" s="195">
        <v>0.5625</v>
      </c>
      <c r="Y596" s="420">
        <v>0.64583333333333337</v>
      </c>
      <c r="Z596" s="191" t="s">
        <v>3315</v>
      </c>
      <c r="AB596" s="224">
        <v>202500868</v>
      </c>
      <c r="AC596" s="55" t="s">
        <v>42</v>
      </c>
    </row>
    <row r="597" spans="1:29">
      <c r="A597" s="14">
        <v>45964</v>
      </c>
      <c r="B597" s="13" t="str">
        <f t="shared" si="453"/>
        <v>Realizada</v>
      </c>
      <c r="C597" s="14">
        <f t="shared" si="451"/>
        <v>46056</v>
      </c>
      <c r="D597" s="13" t="s">
        <v>611</v>
      </c>
      <c r="E597" s="14">
        <f t="shared" si="452"/>
        <v>46145</v>
      </c>
      <c r="F597" s="13" t="s">
        <v>611</v>
      </c>
      <c r="G597" s="191">
        <v>202500868</v>
      </c>
      <c r="H597" s="191" t="s">
        <v>3260</v>
      </c>
      <c r="I597" s="193" t="s">
        <v>1192</v>
      </c>
      <c r="J597" s="194">
        <v>45880</v>
      </c>
      <c r="K597" s="194">
        <v>46239</v>
      </c>
      <c r="L597" s="193" t="s">
        <v>1932</v>
      </c>
      <c r="M597" s="193" t="s">
        <v>1933</v>
      </c>
      <c r="N597" s="13" t="s">
        <v>1934</v>
      </c>
      <c r="O597" s="13" t="s">
        <v>1935</v>
      </c>
      <c r="P597" s="314" t="s">
        <v>446</v>
      </c>
      <c r="Q597" s="13" t="s">
        <v>618</v>
      </c>
      <c r="R597" s="246" t="str">
        <f>VLOOKUP(P597,'Dados das Regiões '!A:B,2,0)</f>
        <v>PONTA GROSSA</v>
      </c>
      <c r="S597" s="191" t="s">
        <v>6133</v>
      </c>
      <c r="U597" s="191" t="s">
        <v>6132</v>
      </c>
      <c r="V597" s="191" t="s">
        <v>1937</v>
      </c>
      <c r="W597" s="191" t="s">
        <v>1938</v>
      </c>
      <c r="X597" s="195">
        <v>0.58333333333333337</v>
      </c>
      <c r="Y597" s="420">
        <v>0.66666666666666663</v>
      </c>
      <c r="Z597" s="191" t="s">
        <v>3315</v>
      </c>
      <c r="AB597" s="225">
        <v>202500868</v>
      </c>
      <c r="AC597" s="55" t="s">
        <v>42</v>
      </c>
    </row>
    <row r="598" spans="1:29">
      <c r="A598" s="14">
        <v>45964</v>
      </c>
      <c r="B598" s="13" t="str">
        <f t="shared" si="453"/>
        <v>Realizada</v>
      </c>
      <c r="C598" s="14">
        <f t="shared" si="451"/>
        <v>46056</v>
      </c>
      <c r="D598" s="13" t="s">
        <v>611</v>
      </c>
      <c r="E598" s="14">
        <f t="shared" si="452"/>
        <v>46145</v>
      </c>
      <c r="F598" s="13" t="s">
        <v>611</v>
      </c>
      <c r="G598" s="191">
        <v>202500868</v>
      </c>
      <c r="H598" s="191" t="s">
        <v>3257</v>
      </c>
      <c r="I598" s="193" t="s">
        <v>1192</v>
      </c>
      <c r="J598" s="194">
        <v>45880</v>
      </c>
      <c r="K598" s="194">
        <v>46239</v>
      </c>
      <c r="L598" s="193" t="s">
        <v>1932</v>
      </c>
      <c r="M598" s="193" t="s">
        <v>1933</v>
      </c>
      <c r="N598" s="13" t="s">
        <v>1934</v>
      </c>
      <c r="O598" s="13" t="s">
        <v>1935</v>
      </c>
      <c r="P598" s="314" t="s">
        <v>446</v>
      </c>
      <c r="Q598" s="13" t="s">
        <v>618</v>
      </c>
      <c r="R598" s="246" t="str">
        <f>VLOOKUP(P598,'Dados das Regiões '!A:B,2,0)</f>
        <v>PONTA GROSSA</v>
      </c>
      <c r="S598" s="191" t="s">
        <v>6133</v>
      </c>
      <c r="U598" s="191" t="s">
        <v>6132</v>
      </c>
      <c r="V598" s="191" t="s">
        <v>1937</v>
      </c>
      <c r="W598" s="191" t="s">
        <v>1938</v>
      </c>
      <c r="X598" s="195">
        <v>0.54166666666666663</v>
      </c>
      <c r="Y598" s="420">
        <v>0.625</v>
      </c>
      <c r="Z598" s="191" t="s">
        <v>3315</v>
      </c>
      <c r="AB598" s="224">
        <v>202500868</v>
      </c>
      <c r="AC598" s="55" t="s">
        <v>42</v>
      </c>
    </row>
    <row r="599" spans="1:29">
      <c r="A599" s="14">
        <v>45964</v>
      </c>
      <c r="B599" s="13" t="str">
        <f t="shared" si="453"/>
        <v>Realizada</v>
      </c>
      <c r="C599" s="14">
        <f t="shared" si="451"/>
        <v>46056</v>
      </c>
      <c r="D599" s="13" t="s">
        <v>611</v>
      </c>
      <c r="E599" s="14">
        <f t="shared" si="452"/>
        <v>46145</v>
      </c>
      <c r="F599" s="13" t="s">
        <v>611</v>
      </c>
      <c r="G599" s="191">
        <v>202500868</v>
      </c>
      <c r="H599" s="191" t="s">
        <v>3267</v>
      </c>
      <c r="I599" s="193" t="s">
        <v>1192</v>
      </c>
      <c r="J599" s="194">
        <v>45880</v>
      </c>
      <c r="K599" s="194">
        <v>46239</v>
      </c>
      <c r="L599" s="193" t="s">
        <v>1932</v>
      </c>
      <c r="M599" s="193" t="s">
        <v>1933</v>
      </c>
      <c r="N599" s="13" t="s">
        <v>1934</v>
      </c>
      <c r="O599" s="13" t="s">
        <v>1935</v>
      </c>
      <c r="P599" s="314" t="s">
        <v>446</v>
      </c>
      <c r="Q599" s="13" t="s">
        <v>618</v>
      </c>
      <c r="R599" s="246" t="str">
        <f>VLOOKUP(P599,'Dados das Regiões '!A:B,2,0)</f>
        <v>PONTA GROSSA</v>
      </c>
      <c r="S599" s="191" t="s">
        <v>6133</v>
      </c>
      <c r="U599" s="191" t="s">
        <v>6132</v>
      </c>
      <c r="V599" s="191" t="s">
        <v>1937</v>
      </c>
      <c r="W599" s="191" t="s">
        <v>1938</v>
      </c>
      <c r="X599" s="195">
        <v>0.625</v>
      </c>
      <c r="Y599" s="420">
        <v>0.70833333333333337</v>
      </c>
      <c r="Z599" s="191" t="s">
        <v>3315</v>
      </c>
      <c r="AB599" s="225">
        <v>202500868</v>
      </c>
      <c r="AC599" s="55" t="s">
        <v>42</v>
      </c>
    </row>
    <row r="600" spans="1:29">
      <c r="B600" s="13" t="str">
        <f t="shared" si="453"/>
        <v>Pendente</v>
      </c>
      <c r="C600" s="14" t="str">
        <f t="shared" si="451"/>
        <v/>
      </c>
      <c r="D600" s="13" t="s">
        <v>611</v>
      </c>
      <c r="E600" s="14" t="str">
        <f t="shared" si="452"/>
        <v/>
      </c>
      <c r="F600" s="13" t="s">
        <v>611</v>
      </c>
      <c r="G600" s="191">
        <v>202500868</v>
      </c>
      <c r="H600" s="191" t="s">
        <v>3304</v>
      </c>
      <c r="I600" s="193" t="s">
        <v>1192</v>
      </c>
      <c r="J600" s="194">
        <v>45880</v>
      </c>
      <c r="K600" s="194">
        <v>46239</v>
      </c>
      <c r="L600" s="193" t="s">
        <v>1923</v>
      </c>
      <c r="M600" s="193" t="s">
        <v>1924</v>
      </c>
      <c r="N600" s="101" t="s">
        <v>1925</v>
      </c>
      <c r="O600" s="102" t="s">
        <v>1926</v>
      </c>
      <c r="P600" s="314" t="s">
        <v>456</v>
      </c>
      <c r="Q600" s="13" t="s">
        <v>618</v>
      </c>
      <c r="R600" s="246" t="str">
        <f>VLOOKUP(P600,'Dados das Regiões '!A:B,2,0)</f>
        <v>RIO NEGRO</v>
      </c>
      <c r="S600" s="191" t="s">
        <v>6134</v>
      </c>
      <c r="U600" s="191" t="s">
        <v>6135</v>
      </c>
      <c r="V600" s="191" t="s">
        <v>1928</v>
      </c>
      <c r="W600" s="191" t="s">
        <v>3303</v>
      </c>
      <c r="X600" s="195">
        <v>0.54166666666666663</v>
      </c>
      <c r="Y600" s="420">
        <v>0.625</v>
      </c>
      <c r="Z600" s="191" t="s">
        <v>3315</v>
      </c>
      <c r="AB600" s="225">
        <v>202500868</v>
      </c>
      <c r="AC600" s="55" t="s">
        <v>42</v>
      </c>
    </row>
    <row r="601" spans="1:29">
      <c r="A601" s="14">
        <v>45974</v>
      </c>
      <c r="B601" s="13" t="str">
        <f t="shared" si="453"/>
        <v>Realizada</v>
      </c>
      <c r="C601" s="14">
        <f t="shared" si="451"/>
        <v>46066</v>
      </c>
      <c r="D601" s="13" t="s">
        <v>611</v>
      </c>
      <c r="E601" s="14">
        <f t="shared" si="452"/>
        <v>46155</v>
      </c>
      <c r="F601" s="13" t="s">
        <v>611</v>
      </c>
      <c r="G601" s="191">
        <v>202500868</v>
      </c>
      <c r="H601" s="191" t="s">
        <v>6136</v>
      </c>
      <c r="I601" s="193" t="s">
        <v>1192</v>
      </c>
      <c r="J601" s="194">
        <v>45880</v>
      </c>
      <c r="K601" s="194">
        <v>46239</v>
      </c>
      <c r="L601" s="193" t="s">
        <v>565</v>
      </c>
      <c r="M601" s="193" t="s">
        <v>1912</v>
      </c>
      <c r="N601" s="13" t="s">
        <v>6127</v>
      </c>
      <c r="O601" s="13" t="s">
        <v>1914</v>
      </c>
      <c r="P601" s="314" t="s">
        <v>254</v>
      </c>
      <c r="Q601" s="13" t="s">
        <v>618</v>
      </c>
      <c r="R601" s="246" t="str">
        <f>VLOOKUP(P601,'Dados das Regiões '!A:B,2,0)</f>
        <v>CURITIBA PORTÃO</v>
      </c>
      <c r="S601" s="191" t="s">
        <v>6128</v>
      </c>
      <c r="U601" s="191" t="s">
        <v>6129</v>
      </c>
      <c r="V601" s="191" t="s">
        <v>6130</v>
      </c>
      <c r="W601" s="191" t="s">
        <v>6131</v>
      </c>
      <c r="X601" s="195">
        <v>0.625</v>
      </c>
      <c r="Y601" s="420">
        <v>0.70833333333333337</v>
      </c>
      <c r="Z601" s="191" t="s">
        <v>3315</v>
      </c>
      <c r="AB601" s="224">
        <v>202500868</v>
      </c>
      <c r="AC601" s="55" t="s">
        <v>42</v>
      </c>
    </row>
    <row r="602" spans="1:29">
      <c r="B602" s="13" t="str">
        <f t="shared" si="453"/>
        <v>Pendente</v>
      </c>
      <c r="C602" s="14" t="str">
        <f t="shared" si="451"/>
        <v/>
      </c>
      <c r="D602" s="13" t="s">
        <v>611</v>
      </c>
      <c r="E602" s="14" t="str">
        <f t="shared" si="452"/>
        <v/>
      </c>
      <c r="F602" s="13" t="s">
        <v>611</v>
      </c>
      <c r="G602" s="191">
        <v>202500868</v>
      </c>
      <c r="H602" s="191" t="s">
        <v>3302</v>
      </c>
      <c r="I602" s="193" t="s">
        <v>1192</v>
      </c>
      <c r="J602" s="194">
        <v>45880</v>
      </c>
      <c r="K602" s="194">
        <v>46239</v>
      </c>
      <c r="L602" s="193" t="s">
        <v>1923</v>
      </c>
      <c r="M602" s="193" t="s">
        <v>1924</v>
      </c>
      <c r="N602" s="101" t="s">
        <v>1925</v>
      </c>
      <c r="O602" s="102" t="s">
        <v>1926</v>
      </c>
      <c r="P602" s="314" t="s">
        <v>456</v>
      </c>
      <c r="Q602" s="13" t="s">
        <v>618</v>
      </c>
      <c r="R602" s="246" t="str">
        <f>VLOOKUP(P602,'Dados das Regiões '!A:B,2,0)</f>
        <v>RIO NEGRO</v>
      </c>
      <c r="S602" s="191" t="s">
        <v>1927</v>
      </c>
      <c r="U602" s="191" t="s">
        <v>6135</v>
      </c>
      <c r="V602" s="191" t="s">
        <v>1928</v>
      </c>
      <c r="W602" s="191" t="s">
        <v>3303</v>
      </c>
      <c r="X602" s="195">
        <v>0.33333333333333331</v>
      </c>
      <c r="Y602" s="420">
        <v>0.41666666666666669</v>
      </c>
      <c r="Z602" s="191" t="s">
        <v>3315</v>
      </c>
      <c r="AB602" s="225">
        <v>202500868</v>
      </c>
      <c r="AC602" s="55" t="s">
        <v>42</v>
      </c>
    </row>
    <row r="603" spans="1:29">
      <c r="B603" s="13" t="str">
        <f t="shared" si="453"/>
        <v>Pendente</v>
      </c>
      <c r="C603" s="14" t="str">
        <f t="shared" si="451"/>
        <v/>
      </c>
      <c r="D603" s="13" t="s">
        <v>611</v>
      </c>
      <c r="E603" s="14" t="str">
        <f t="shared" si="452"/>
        <v/>
      </c>
      <c r="F603" s="13" t="s">
        <v>611</v>
      </c>
      <c r="G603" s="191">
        <v>202500868</v>
      </c>
      <c r="H603" s="191" t="s">
        <v>3305</v>
      </c>
      <c r="I603" s="193" t="s">
        <v>1192</v>
      </c>
      <c r="J603" s="194">
        <v>45880</v>
      </c>
      <c r="K603" s="194">
        <v>46239</v>
      </c>
      <c r="L603" s="193" t="s">
        <v>1923</v>
      </c>
      <c r="M603" s="193" t="s">
        <v>1924</v>
      </c>
      <c r="N603" s="101" t="s">
        <v>1925</v>
      </c>
      <c r="O603" s="102" t="s">
        <v>1926</v>
      </c>
      <c r="P603" s="314" t="s">
        <v>456</v>
      </c>
      <c r="Q603" s="13" t="s">
        <v>618</v>
      </c>
      <c r="R603" s="246" t="str">
        <f>VLOOKUP(P603,'Dados das Regiões '!A:B,2,0)</f>
        <v>RIO NEGRO</v>
      </c>
      <c r="S603" s="191" t="s">
        <v>6134</v>
      </c>
      <c r="U603" s="191" t="s">
        <v>6135</v>
      </c>
      <c r="V603" s="191" t="s">
        <v>1928</v>
      </c>
      <c r="W603" s="191" t="s">
        <v>3303</v>
      </c>
      <c r="X603" s="195">
        <v>0.625</v>
      </c>
      <c r="Y603" s="420">
        <v>0.70833333333333337</v>
      </c>
      <c r="Z603" s="191" t="s">
        <v>3315</v>
      </c>
      <c r="AB603" s="224">
        <v>202500868</v>
      </c>
      <c r="AC603" s="55" t="s">
        <v>42</v>
      </c>
    </row>
    <row r="604" spans="1:29">
      <c r="A604" s="14">
        <v>45964</v>
      </c>
      <c r="B604" s="13" t="str">
        <f t="shared" si="453"/>
        <v>Realizada</v>
      </c>
      <c r="C604" s="14">
        <f t="shared" si="451"/>
        <v>46056</v>
      </c>
      <c r="D604" s="13" t="s">
        <v>611</v>
      </c>
      <c r="E604" s="14">
        <f t="shared" si="452"/>
        <v>46145</v>
      </c>
      <c r="F604" s="13" t="s">
        <v>611</v>
      </c>
      <c r="G604" s="191">
        <v>202500868</v>
      </c>
      <c r="H604" s="191" t="s">
        <v>3263</v>
      </c>
      <c r="I604" s="193" t="s">
        <v>1192</v>
      </c>
      <c r="J604" s="194">
        <v>45880</v>
      </c>
      <c r="K604" s="194">
        <v>46239</v>
      </c>
      <c r="L604" s="193" t="s">
        <v>1932</v>
      </c>
      <c r="M604" s="193" t="s">
        <v>1933</v>
      </c>
      <c r="N604" s="13" t="s">
        <v>1934</v>
      </c>
      <c r="O604" s="13" t="s">
        <v>1935</v>
      </c>
      <c r="P604" s="314" t="s">
        <v>446</v>
      </c>
      <c r="Q604" s="13" t="s">
        <v>618</v>
      </c>
      <c r="R604" s="246" t="str">
        <f>VLOOKUP(P604,'Dados das Regiões '!A:B,2,0)</f>
        <v>PONTA GROSSA</v>
      </c>
      <c r="S604" s="191" t="s">
        <v>6133</v>
      </c>
      <c r="U604" s="191" t="s">
        <v>6132</v>
      </c>
      <c r="V604" s="191" t="s">
        <v>1937</v>
      </c>
      <c r="W604" s="191" t="s">
        <v>1938</v>
      </c>
      <c r="X604" s="195">
        <v>0.58333333333333337</v>
      </c>
      <c r="Y604" s="420">
        <v>0.66666666666666663</v>
      </c>
      <c r="Z604" s="191" t="s">
        <v>3315</v>
      </c>
      <c r="AB604" s="225">
        <v>202500868</v>
      </c>
      <c r="AC604" s="55" t="s">
        <v>42</v>
      </c>
    </row>
    <row r="605" spans="1:29">
      <c r="A605" s="14">
        <v>45974</v>
      </c>
      <c r="B605" s="13" t="str">
        <f t="shared" si="453"/>
        <v>Realizada</v>
      </c>
      <c r="C605" s="14">
        <f t="shared" si="451"/>
        <v>46066</v>
      </c>
      <c r="D605" s="13" t="s">
        <v>611</v>
      </c>
      <c r="E605" s="14">
        <f t="shared" si="452"/>
        <v>46155</v>
      </c>
      <c r="F605" s="13" t="s">
        <v>611</v>
      </c>
      <c r="G605" s="191">
        <v>202500868</v>
      </c>
      <c r="H605" s="191" t="s">
        <v>6137</v>
      </c>
      <c r="I605" s="193" t="s">
        <v>1192</v>
      </c>
      <c r="J605" s="194">
        <v>45880</v>
      </c>
      <c r="K605" s="194">
        <v>46239</v>
      </c>
      <c r="L605" s="193" t="s">
        <v>565</v>
      </c>
      <c r="M605" s="193" t="s">
        <v>1912</v>
      </c>
      <c r="N605" s="13" t="s">
        <v>6127</v>
      </c>
      <c r="O605" s="13" t="s">
        <v>1914</v>
      </c>
      <c r="P605" s="314" t="s">
        <v>254</v>
      </c>
      <c r="Q605" s="13" t="s">
        <v>618</v>
      </c>
      <c r="R605" s="246" t="str">
        <f>VLOOKUP(P605,'Dados das Regiões '!A:B,2,0)</f>
        <v>CURITIBA PORTÃO</v>
      </c>
      <c r="S605" s="191" t="s">
        <v>6138</v>
      </c>
      <c r="U605" s="191" t="s">
        <v>6129</v>
      </c>
      <c r="V605" s="191" t="s">
        <v>6130</v>
      </c>
      <c r="W605" s="191" t="s">
        <v>6131</v>
      </c>
      <c r="X605" s="195">
        <v>0.54166666666666663</v>
      </c>
      <c r="Y605" s="420">
        <v>0.625</v>
      </c>
      <c r="Z605" s="191" t="s">
        <v>3315</v>
      </c>
      <c r="AB605" s="224">
        <v>202500868</v>
      </c>
      <c r="AC605" s="55" t="s">
        <v>42</v>
      </c>
    </row>
    <row r="606" spans="1:29">
      <c r="A606" s="14">
        <v>45964</v>
      </c>
      <c r="B606" s="13" t="str">
        <f t="shared" si="453"/>
        <v>Realizada</v>
      </c>
      <c r="C606" s="14">
        <f t="shared" si="451"/>
        <v>46056</v>
      </c>
      <c r="D606" s="13" t="s">
        <v>611</v>
      </c>
      <c r="E606" s="14">
        <f t="shared" si="452"/>
        <v>46145</v>
      </c>
      <c r="F606" s="13" t="s">
        <v>611</v>
      </c>
      <c r="G606" s="191">
        <v>202500868</v>
      </c>
      <c r="H606" s="191" t="s">
        <v>3268</v>
      </c>
      <c r="I606" s="193" t="s">
        <v>1192</v>
      </c>
      <c r="J606" s="194">
        <v>45880</v>
      </c>
      <c r="K606" s="194">
        <v>46239</v>
      </c>
      <c r="L606" s="193" t="s">
        <v>1932</v>
      </c>
      <c r="M606" s="193" t="s">
        <v>1933</v>
      </c>
      <c r="N606" s="13" t="s">
        <v>1934</v>
      </c>
      <c r="O606" s="13" t="s">
        <v>1935</v>
      </c>
      <c r="P606" s="314" t="s">
        <v>446</v>
      </c>
      <c r="Q606" s="13" t="s">
        <v>618</v>
      </c>
      <c r="R606" s="246" t="str">
        <f>VLOOKUP(P606,'Dados das Regiões '!A:B,2,0)</f>
        <v>PONTA GROSSA</v>
      </c>
      <c r="S606" s="191" t="s">
        <v>6133</v>
      </c>
      <c r="U606" s="191" t="s">
        <v>6132</v>
      </c>
      <c r="V606" s="191" t="s">
        <v>1937</v>
      </c>
      <c r="W606" s="191" t="s">
        <v>1938</v>
      </c>
      <c r="X606" s="195">
        <v>0.625</v>
      </c>
      <c r="Y606" s="420">
        <v>0.70833333333333337</v>
      </c>
      <c r="Z606" s="191" t="s">
        <v>3315</v>
      </c>
      <c r="AB606" s="225">
        <v>202500868</v>
      </c>
      <c r="AC606" s="55" t="s">
        <v>42</v>
      </c>
    </row>
    <row r="607" spans="1:29">
      <c r="A607" s="14">
        <v>45964</v>
      </c>
      <c r="B607" s="13" t="str">
        <f t="shared" si="453"/>
        <v>Realizada</v>
      </c>
      <c r="C607" s="14">
        <f t="shared" si="451"/>
        <v>46056</v>
      </c>
      <c r="D607" s="13" t="s">
        <v>611</v>
      </c>
      <c r="E607" s="14">
        <f t="shared" si="452"/>
        <v>46145</v>
      </c>
      <c r="F607" s="13" t="s">
        <v>611</v>
      </c>
      <c r="G607" s="191">
        <v>202500868</v>
      </c>
      <c r="H607" s="191" t="s">
        <v>3258</v>
      </c>
      <c r="I607" s="193" t="s">
        <v>1192</v>
      </c>
      <c r="J607" s="194">
        <v>45880</v>
      </c>
      <c r="K607" s="194">
        <v>46239</v>
      </c>
      <c r="L607" s="193" t="s">
        <v>1932</v>
      </c>
      <c r="M607" s="193" t="s">
        <v>1933</v>
      </c>
      <c r="N607" s="13" t="s">
        <v>1934</v>
      </c>
      <c r="O607" s="13" t="s">
        <v>1935</v>
      </c>
      <c r="P607" s="314" t="s">
        <v>446</v>
      </c>
      <c r="Q607" s="13" t="s">
        <v>618</v>
      </c>
      <c r="R607" s="246" t="str">
        <f>VLOOKUP(P607,'Dados das Regiões '!A:B,2,0)</f>
        <v>PONTA GROSSA</v>
      </c>
      <c r="S607" s="191" t="s">
        <v>6133</v>
      </c>
      <c r="U607" s="191" t="s">
        <v>6132</v>
      </c>
      <c r="V607" s="191" t="s">
        <v>1937</v>
      </c>
      <c r="W607" s="191" t="s">
        <v>1938</v>
      </c>
      <c r="X607" s="195">
        <v>0.54166666666666663</v>
      </c>
      <c r="Y607" s="420">
        <v>0.625</v>
      </c>
      <c r="Z607" s="191" t="s">
        <v>3315</v>
      </c>
      <c r="AB607" s="224">
        <v>202500868</v>
      </c>
      <c r="AC607" s="55" t="s">
        <v>42</v>
      </c>
    </row>
    <row r="608" spans="1:29">
      <c r="A608" s="14">
        <v>45964</v>
      </c>
      <c r="B608" s="13" t="str">
        <f t="shared" si="453"/>
        <v>Realizada</v>
      </c>
      <c r="C608" s="14">
        <f t="shared" si="451"/>
        <v>46056</v>
      </c>
      <c r="D608" s="13" t="s">
        <v>611</v>
      </c>
      <c r="E608" s="14">
        <f t="shared" si="452"/>
        <v>46145</v>
      </c>
      <c r="F608" s="13" t="s">
        <v>611</v>
      </c>
      <c r="G608" s="191">
        <v>202500868</v>
      </c>
      <c r="H608" s="191" t="s">
        <v>3269</v>
      </c>
      <c r="I608" s="193" t="s">
        <v>1192</v>
      </c>
      <c r="J608" s="194">
        <v>45880</v>
      </c>
      <c r="K608" s="194">
        <v>46239</v>
      </c>
      <c r="L608" s="193" t="s">
        <v>1932</v>
      </c>
      <c r="M608" s="193" t="s">
        <v>1933</v>
      </c>
      <c r="N608" s="13" t="s">
        <v>1934</v>
      </c>
      <c r="O608" s="13" t="s">
        <v>1935</v>
      </c>
      <c r="P608" s="314" t="s">
        <v>446</v>
      </c>
      <c r="Q608" s="13" t="s">
        <v>618</v>
      </c>
      <c r="R608" s="246" t="str">
        <f>VLOOKUP(P608,'Dados das Regiões '!A:B,2,0)</f>
        <v>PONTA GROSSA</v>
      </c>
      <c r="S608" s="191" t="s">
        <v>6133</v>
      </c>
      <c r="U608" s="191" t="s">
        <v>6132</v>
      </c>
      <c r="V608" s="191" t="s">
        <v>1937</v>
      </c>
      <c r="W608" s="191" t="s">
        <v>1938</v>
      </c>
      <c r="X608" s="195">
        <v>0.625</v>
      </c>
      <c r="Y608" s="420">
        <v>0.70833333333333337</v>
      </c>
      <c r="Z608" s="191" t="s">
        <v>3315</v>
      </c>
      <c r="AB608" s="225">
        <v>202500868</v>
      </c>
      <c r="AC608" s="55" t="s">
        <v>42</v>
      </c>
    </row>
    <row r="609" spans="1:29">
      <c r="A609" s="14">
        <v>45924</v>
      </c>
      <c r="B609" s="13" t="str">
        <f t="shared" si="453"/>
        <v>Realizada</v>
      </c>
      <c r="C609" s="14">
        <f t="shared" si="451"/>
        <v>46015</v>
      </c>
      <c r="D609" s="13" t="s">
        <v>611</v>
      </c>
      <c r="E609" s="14">
        <f t="shared" si="452"/>
        <v>46105</v>
      </c>
      <c r="F609" s="13" t="s">
        <v>611</v>
      </c>
      <c r="G609" s="191">
        <v>202500868</v>
      </c>
      <c r="H609" s="191" t="s">
        <v>3116</v>
      </c>
      <c r="I609" s="193" t="s">
        <v>1192</v>
      </c>
      <c r="J609" s="194">
        <v>45880</v>
      </c>
      <c r="K609" s="194">
        <v>46239</v>
      </c>
      <c r="L609" s="193" t="s">
        <v>1387</v>
      </c>
      <c r="M609" s="193" t="s">
        <v>1388</v>
      </c>
      <c r="N609" s="13" t="s">
        <v>1389</v>
      </c>
      <c r="O609" s="17" t="s">
        <v>1390</v>
      </c>
      <c r="P609" s="314" t="s">
        <v>453</v>
      </c>
      <c r="Q609" s="13" t="s">
        <v>618</v>
      </c>
      <c r="R609" s="510" t="str">
        <f>VLOOKUP(P609,'Dados das Regiões '!A:B,2,0)</f>
        <v>PRUDENTÓPOLIS</v>
      </c>
      <c r="S609" s="13" t="s">
        <v>1391</v>
      </c>
      <c r="T609" s="40"/>
      <c r="U609" s="191" t="s">
        <v>1392</v>
      </c>
      <c r="V609" s="191" t="s">
        <v>1393</v>
      </c>
      <c r="W609" s="35" t="s">
        <v>3115</v>
      </c>
      <c r="X609" s="195">
        <v>0.625</v>
      </c>
      <c r="Y609" s="420">
        <v>0.70833333333333337</v>
      </c>
      <c r="Z609" s="191" t="s">
        <v>3315</v>
      </c>
      <c r="AB609" s="224">
        <v>202500868</v>
      </c>
      <c r="AC609" s="55" t="s">
        <v>42</v>
      </c>
    </row>
    <row r="610" spans="1:29">
      <c r="B610" s="13" t="str">
        <f t="shared" si="453"/>
        <v>Pendente</v>
      </c>
      <c r="C610" s="14" t="str">
        <f t="shared" si="451"/>
        <v/>
      </c>
      <c r="D610" s="13" t="s">
        <v>611</v>
      </c>
      <c r="E610" s="14" t="str">
        <f t="shared" si="452"/>
        <v/>
      </c>
      <c r="F610" s="13" t="s">
        <v>611</v>
      </c>
      <c r="G610" s="191">
        <v>202500868</v>
      </c>
      <c r="H610" s="191" t="s">
        <v>6139</v>
      </c>
      <c r="I610" s="193" t="s">
        <v>1192</v>
      </c>
      <c r="J610" s="194">
        <v>45880</v>
      </c>
      <c r="K610" s="194">
        <v>46239</v>
      </c>
      <c r="L610" s="193" t="s">
        <v>1969</v>
      </c>
      <c r="M610" s="193" t="s">
        <v>1994</v>
      </c>
      <c r="N610" s="13" t="s">
        <v>1995</v>
      </c>
      <c r="O610" s="17" t="s">
        <v>1996</v>
      </c>
      <c r="P610" s="314" t="s">
        <v>136</v>
      </c>
      <c r="Q610" s="13" t="s">
        <v>618</v>
      </c>
      <c r="R610" s="246" t="str">
        <f>VLOOKUP(P610,'Dados das Regiões '!A:B,2,0)</f>
        <v>ARAPONGAS</v>
      </c>
      <c r="S610" s="191" t="s">
        <v>6119</v>
      </c>
      <c r="U610" s="191" t="s">
        <v>6120</v>
      </c>
      <c r="V610" s="191" t="s">
        <v>6120</v>
      </c>
      <c r="W610" s="191" t="s">
        <v>6121</v>
      </c>
      <c r="X610" s="195">
        <v>0.58333333333333337</v>
      </c>
      <c r="Y610" s="420">
        <v>0.66666666666666663</v>
      </c>
      <c r="Z610" s="191" t="s">
        <v>3315</v>
      </c>
      <c r="AB610" s="225">
        <v>202500868</v>
      </c>
      <c r="AC610" s="55" t="s">
        <v>42</v>
      </c>
    </row>
    <row r="611" spans="1:29">
      <c r="A611" s="14">
        <v>45946</v>
      </c>
      <c r="B611" s="13" t="str">
        <f t="shared" si="453"/>
        <v>Realizada</v>
      </c>
      <c r="C611" s="14">
        <f t="shared" si="451"/>
        <v>46038</v>
      </c>
      <c r="D611" s="13" t="s">
        <v>611</v>
      </c>
      <c r="E611" s="14">
        <f t="shared" si="452"/>
        <v>46128</v>
      </c>
      <c r="F611" s="13" t="s">
        <v>611</v>
      </c>
      <c r="G611" s="191">
        <v>202500868</v>
      </c>
      <c r="H611" s="191" t="s">
        <v>6140</v>
      </c>
      <c r="I611" s="193" t="s">
        <v>1192</v>
      </c>
      <c r="J611" s="194">
        <v>45880</v>
      </c>
      <c r="K611" s="194">
        <v>46239</v>
      </c>
      <c r="L611" s="193" t="s">
        <v>2031</v>
      </c>
      <c r="M611" s="193" t="s">
        <v>2032</v>
      </c>
      <c r="N611" s="13" t="s">
        <v>2033</v>
      </c>
      <c r="O611" s="17" t="s">
        <v>2034</v>
      </c>
      <c r="P611" s="314" t="s">
        <v>294</v>
      </c>
      <c r="Q611" s="13" t="s">
        <v>618</v>
      </c>
      <c r="R611" s="246" t="str">
        <f>VLOOKUP(P611,'Dados das Regiões '!A:B,2,0)</f>
        <v>GUARAPUAVA</v>
      </c>
      <c r="S611" s="191" t="s">
        <v>6141</v>
      </c>
      <c r="U611" s="191" t="s">
        <v>2036</v>
      </c>
      <c r="V611" s="191" t="s">
        <v>2036</v>
      </c>
      <c r="W611" s="191" t="s">
        <v>2038</v>
      </c>
      <c r="X611" s="195">
        <v>0.625</v>
      </c>
      <c r="Y611" s="420">
        <v>0.70833333333333337</v>
      </c>
      <c r="Z611" s="191" t="s">
        <v>3315</v>
      </c>
      <c r="AB611" s="224">
        <v>202500868</v>
      </c>
      <c r="AC611" s="55" t="s">
        <v>42</v>
      </c>
    </row>
    <row r="612" spans="1:29">
      <c r="B612" s="13" t="str">
        <f t="shared" si="453"/>
        <v>Pendente</v>
      </c>
      <c r="C612" s="14" t="str">
        <f t="shared" si="451"/>
        <v/>
      </c>
      <c r="D612" s="13" t="s">
        <v>611</v>
      </c>
      <c r="E612" s="14" t="str">
        <f t="shared" si="452"/>
        <v/>
      </c>
      <c r="F612" s="13" t="s">
        <v>611</v>
      </c>
      <c r="G612" s="191">
        <v>202500868</v>
      </c>
      <c r="H612" s="191" t="s">
        <v>6142</v>
      </c>
      <c r="I612" s="193" t="s">
        <v>1192</v>
      </c>
      <c r="J612" s="194">
        <v>45880</v>
      </c>
      <c r="K612" s="194">
        <v>46239</v>
      </c>
      <c r="L612" s="193" t="s">
        <v>1969</v>
      </c>
      <c r="M612" s="193" t="s">
        <v>1978</v>
      </c>
      <c r="N612" s="13" t="s">
        <v>1979</v>
      </c>
      <c r="O612" s="17" t="s">
        <v>1980</v>
      </c>
      <c r="P612" s="314" t="s">
        <v>136</v>
      </c>
      <c r="Q612" s="13" t="s">
        <v>618</v>
      </c>
      <c r="R612" s="246" t="str">
        <f>VLOOKUP(P612,'Dados das Regiões '!A:B,2,0)</f>
        <v>ARAPONGAS</v>
      </c>
      <c r="S612" s="191" t="s">
        <v>6143</v>
      </c>
      <c r="U612" s="191" t="s">
        <v>1982</v>
      </c>
      <c r="V612" s="191" t="s">
        <v>6144</v>
      </c>
      <c r="W612" s="191" t="s">
        <v>6145</v>
      </c>
      <c r="X612" s="195">
        <v>0.58333333333333337</v>
      </c>
      <c r="Y612" s="420">
        <v>0.66666666666666663</v>
      </c>
      <c r="Z612" s="191" t="s">
        <v>3315</v>
      </c>
      <c r="AB612" s="225">
        <v>202500868</v>
      </c>
      <c r="AC612" s="55" t="s">
        <v>42</v>
      </c>
    </row>
    <row r="613" spans="1:29">
      <c r="A613" s="14">
        <v>45940</v>
      </c>
      <c r="B613" s="13" t="str">
        <f t="shared" si="453"/>
        <v>Realizada</v>
      </c>
      <c r="C613" s="14">
        <f t="shared" si="451"/>
        <v>46032</v>
      </c>
      <c r="D613" s="13" t="s">
        <v>611</v>
      </c>
      <c r="E613" s="14">
        <f t="shared" si="452"/>
        <v>46122</v>
      </c>
      <c r="F613" s="13" t="s">
        <v>611</v>
      </c>
      <c r="G613" s="191">
        <v>202500868</v>
      </c>
      <c r="H613" s="191" t="s">
        <v>6146</v>
      </c>
      <c r="I613" s="193" t="s">
        <v>1192</v>
      </c>
      <c r="J613" s="194">
        <v>45880</v>
      </c>
      <c r="K613" s="194">
        <v>46239</v>
      </c>
      <c r="L613" s="193" t="s">
        <v>2031</v>
      </c>
      <c r="M613" s="193" t="s">
        <v>2032</v>
      </c>
      <c r="N613" s="13" t="s">
        <v>2033</v>
      </c>
      <c r="O613" s="17" t="s">
        <v>2034</v>
      </c>
      <c r="P613" s="314" t="s">
        <v>294</v>
      </c>
      <c r="Q613" s="13" t="s">
        <v>618</v>
      </c>
      <c r="R613" s="246" t="str">
        <f>VLOOKUP(P613,'Dados das Regiões '!A:B,2,0)</f>
        <v>GUARAPUAVA</v>
      </c>
      <c r="S613" s="191" t="s">
        <v>6147</v>
      </c>
      <c r="U613" s="191" t="s">
        <v>2036</v>
      </c>
      <c r="V613" s="191" t="s">
        <v>2036</v>
      </c>
      <c r="W613" s="191" t="s">
        <v>2038</v>
      </c>
      <c r="X613" s="195">
        <v>0.375</v>
      </c>
      <c r="Y613" s="420">
        <v>0.45833333333333331</v>
      </c>
      <c r="Z613" s="191" t="s">
        <v>3315</v>
      </c>
      <c r="AB613" s="224">
        <v>202500868</v>
      </c>
      <c r="AC613" s="55" t="s">
        <v>42</v>
      </c>
    </row>
    <row r="614" spans="1:29">
      <c r="B614" s="13" t="str">
        <f t="shared" si="453"/>
        <v>Pendente</v>
      </c>
      <c r="C614" s="14" t="str">
        <f t="shared" si="451"/>
        <v/>
      </c>
      <c r="D614" s="13" t="s">
        <v>611</v>
      </c>
      <c r="E614" s="14" t="str">
        <f t="shared" si="452"/>
        <v/>
      </c>
      <c r="F614" s="13" t="s">
        <v>611</v>
      </c>
      <c r="G614" s="191">
        <v>202500868</v>
      </c>
      <c r="H614" s="191" t="s">
        <v>6148</v>
      </c>
      <c r="I614" s="193" t="s">
        <v>1192</v>
      </c>
      <c r="J614" s="194">
        <v>45880</v>
      </c>
      <c r="K614" s="194">
        <v>46239</v>
      </c>
      <c r="L614" s="193" t="s">
        <v>1969</v>
      </c>
      <c r="M614" s="193" t="s">
        <v>1978</v>
      </c>
      <c r="N614" s="13" t="s">
        <v>1979</v>
      </c>
      <c r="O614" s="17" t="s">
        <v>1980</v>
      </c>
      <c r="P614" s="314" t="s">
        <v>136</v>
      </c>
      <c r="Q614" s="13" t="s">
        <v>618</v>
      </c>
      <c r="R614" s="246" t="str">
        <f>VLOOKUP(P614,'Dados das Regiões '!A:B,2,0)</f>
        <v>ARAPONGAS</v>
      </c>
      <c r="S614" s="191" t="s">
        <v>6143</v>
      </c>
      <c r="U614" s="191" t="s">
        <v>1982</v>
      </c>
      <c r="V614" s="191" t="s">
        <v>6144</v>
      </c>
      <c r="W614" s="191" t="s">
        <v>6145</v>
      </c>
      <c r="X614" s="195">
        <v>0.66666666666666663</v>
      </c>
      <c r="Y614" s="420">
        <v>0.75</v>
      </c>
      <c r="Z614" s="191" t="s">
        <v>3315</v>
      </c>
      <c r="AB614" s="225">
        <v>202500868</v>
      </c>
      <c r="AC614" s="55" t="s">
        <v>42</v>
      </c>
    </row>
    <row r="615" spans="1:29">
      <c r="B615" s="13" t="str">
        <f t="shared" si="453"/>
        <v>Pendente</v>
      </c>
      <c r="C615" s="14" t="str">
        <f t="shared" si="451"/>
        <v/>
      </c>
      <c r="D615" s="13" t="s">
        <v>611</v>
      </c>
      <c r="E615" s="14" t="str">
        <f t="shared" si="452"/>
        <v/>
      </c>
      <c r="F615" s="13" t="s">
        <v>611</v>
      </c>
      <c r="G615" s="191">
        <v>202500868</v>
      </c>
      <c r="H615" s="191" t="s">
        <v>6149</v>
      </c>
      <c r="I615" s="193" t="s">
        <v>1192</v>
      </c>
      <c r="J615" s="194">
        <v>45880</v>
      </c>
      <c r="K615" s="194">
        <v>46239</v>
      </c>
      <c r="L615" s="193" t="s">
        <v>1969</v>
      </c>
      <c r="M615" s="193" t="s">
        <v>1994</v>
      </c>
      <c r="N615" s="13" t="s">
        <v>1995</v>
      </c>
      <c r="O615" s="17" t="s">
        <v>1996</v>
      </c>
      <c r="P615" s="314" t="s">
        <v>136</v>
      </c>
      <c r="Q615" s="13" t="s">
        <v>618</v>
      </c>
      <c r="R615" s="246" t="str">
        <f>VLOOKUP(P615,'Dados das Regiões '!A:B,2,0)</f>
        <v>ARAPONGAS</v>
      </c>
      <c r="S615" s="191" t="s">
        <v>6150</v>
      </c>
      <c r="U615" s="191" t="s">
        <v>6120</v>
      </c>
      <c r="V615" s="191" t="s">
        <v>6120</v>
      </c>
      <c r="W615" s="191" t="s">
        <v>6121</v>
      </c>
      <c r="X615" s="195">
        <v>0.58333333333333337</v>
      </c>
      <c r="Y615" s="420">
        <v>0.66666666666666663</v>
      </c>
      <c r="Z615" s="191" t="s">
        <v>3315</v>
      </c>
      <c r="AB615" s="224">
        <v>202500868</v>
      </c>
      <c r="AC615" s="55" t="s">
        <v>42</v>
      </c>
    </row>
    <row r="616" spans="1:29">
      <c r="B616" s="13" t="str">
        <f t="shared" si="453"/>
        <v>Pendente</v>
      </c>
      <c r="C616" s="14" t="str">
        <f t="shared" ref="C616:C670" si="454">IF(A616="", "", EDATE(A616, 3))</f>
        <v/>
      </c>
      <c r="D616" s="13" t="s">
        <v>611</v>
      </c>
      <c r="E616" s="14" t="str">
        <f t="shared" si="452"/>
        <v/>
      </c>
      <c r="F616" s="13" t="s">
        <v>611</v>
      </c>
      <c r="G616" s="191">
        <v>202500868</v>
      </c>
      <c r="H616" s="191" t="s">
        <v>6151</v>
      </c>
      <c r="I616" s="193" t="s">
        <v>1192</v>
      </c>
      <c r="J616" s="194">
        <v>45880</v>
      </c>
      <c r="K616" s="194">
        <v>46239</v>
      </c>
      <c r="L616" s="193" t="s">
        <v>1969</v>
      </c>
      <c r="M616" s="193" t="s">
        <v>1970</v>
      </c>
      <c r="N616" s="13" t="s">
        <v>1971</v>
      </c>
      <c r="O616" s="17" t="s">
        <v>1972</v>
      </c>
      <c r="P616" s="314" t="s">
        <v>136</v>
      </c>
      <c r="Q616" s="13" t="s">
        <v>618</v>
      </c>
      <c r="R616" s="246" t="str">
        <f>VLOOKUP(P616,'Dados das Regiões '!A:B,2,0)</f>
        <v>ARAPONGAS</v>
      </c>
      <c r="S616" s="191" t="s">
        <v>6152</v>
      </c>
      <c r="U616" s="191" t="s">
        <v>1974</v>
      </c>
      <c r="V616" s="191" t="s">
        <v>1975</v>
      </c>
      <c r="W616" s="191" t="s">
        <v>6153</v>
      </c>
      <c r="X616" s="195">
        <v>0.66666666666666663</v>
      </c>
      <c r="Y616" s="420">
        <v>0.75</v>
      </c>
      <c r="Z616" s="191" t="s">
        <v>3315</v>
      </c>
      <c r="AB616" s="225">
        <v>202500868</v>
      </c>
      <c r="AC616" s="55" t="s">
        <v>42</v>
      </c>
    </row>
    <row r="617" spans="1:29">
      <c r="B617" s="13" t="str">
        <f t="shared" si="453"/>
        <v>Pendente</v>
      </c>
      <c r="C617" s="14" t="str">
        <f t="shared" si="454"/>
        <v/>
      </c>
      <c r="D617" s="13" t="s">
        <v>611</v>
      </c>
      <c r="E617" s="14" t="str">
        <f t="shared" si="452"/>
        <v/>
      </c>
      <c r="F617" s="13" t="s">
        <v>611</v>
      </c>
      <c r="G617" s="191">
        <v>202500868</v>
      </c>
      <c r="H617" s="191" t="s">
        <v>6154</v>
      </c>
      <c r="I617" s="193" t="s">
        <v>1192</v>
      </c>
      <c r="J617" s="194">
        <v>45880</v>
      </c>
      <c r="K617" s="194">
        <v>46239</v>
      </c>
      <c r="L617" s="193" t="s">
        <v>1969</v>
      </c>
      <c r="M617" s="193" t="s">
        <v>1970</v>
      </c>
      <c r="N617" s="13" t="s">
        <v>1971</v>
      </c>
      <c r="O617" s="17" t="s">
        <v>1972</v>
      </c>
      <c r="P617" s="314" t="s">
        <v>136</v>
      </c>
      <c r="Q617" s="13" t="s">
        <v>618</v>
      </c>
      <c r="R617" s="246" t="str">
        <f>VLOOKUP(P617,'Dados das Regiões '!A:B,2,0)</f>
        <v>ARAPONGAS</v>
      </c>
      <c r="S617" s="191" t="s">
        <v>1973</v>
      </c>
      <c r="U617" s="191" t="s">
        <v>1974</v>
      </c>
      <c r="V617" s="191" t="s">
        <v>1975</v>
      </c>
      <c r="W617" s="191" t="s">
        <v>6153</v>
      </c>
      <c r="X617" s="195">
        <v>0.58333333333333337</v>
      </c>
      <c r="Y617" s="420">
        <v>0.66666666666666663</v>
      </c>
      <c r="Z617" s="191" t="s">
        <v>3315</v>
      </c>
      <c r="AB617" s="224">
        <v>202500868</v>
      </c>
      <c r="AC617" s="55" t="s">
        <v>42</v>
      </c>
    </row>
    <row r="618" spans="1:29">
      <c r="B618" s="13" t="str">
        <f t="shared" si="453"/>
        <v>Pendente</v>
      </c>
      <c r="C618" s="14" t="str">
        <f t="shared" si="454"/>
        <v/>
      </c>
      <c r="D618" s="13" t="s">
        <v>611</v>
      </c>
      <c r="E618" s="14" t="str">
        <f t="shared" ref="E618:E681" si="455">IF(C618="", "", EDATE(C618, 3))</f>
        <v/>
      </c>
      <c r="F618" s="13" t="s">
        <v>611</v>
      </c>
      <c r="G618" s="191">
        <v>202500868</v>
      </c>
      <c r="H618" s="191" t="s">
        <v>6155</v>
      </c>
      <c r="I618" s="193" t="s">
        <v>1192</v>
      </c>
      <c r="J618" s="194">
        <v>45880</v>
      </c>
      <c r="K618" s="194">
        <v>46239</v>
      </c>
      <c r="L618" s="193" t="s">
        <v>2347</v>
      </c>
      <c r="M618" s="193" t="s">
        <v>2348</v>
      </c>
      <c r="N618" s="13" t="s">
        <v>2349</v>
      </c>
      <c r="O618" s="13" t="s">
        <v>2350</v>
      </c>
      <c r="P618" s="314" t="s">
        <v>378</v>
      </c>
      <c r="Q618" s="13" t="s">
        <v>618</v>
      </c>
      <c r="R618" s="246" t="str">
        <f>VLOOKUP(P618,'Dados das Regiões '!A:B,2,0)</f>
        <v>MARINGÁ</v>
      </c>
      <c r="S618" s="191" t="s">
        <v>2351</v>
      </c>
      <c r="U618" s="191" t="s">
        <v>6156</v>
      </c>
      <c r="V618" s="191" t="s">
        <v>6156</v>
      </c>
      <c r="W618" s="191" t="s">
        <v>2354</v>
      </c>
      <c r="X618" s="195">
        <v>0.58333333333333337</v>
      </c>
      <c r="Y618" s="420">
        <v>0.66666666666666663</v>
      </c>
      <c r="Z618" s="191" t="s">
        <v>3315</v>
      </c>
      <c r="AB618" s="225">
        <v>202500868</v>
      </c>
      <c r="AC618" s="55" t="s">
        <v>42</v>
      </c>
    </row>
    <row r="619" spans="1:29">
      <c r="A619" s="14">
        <v>45924</v>
      </c>
      <c r="B619" s="13" t="str">
        <f t="shared" si="453"/>
        <v>Realizada</v>
      </c>
      <c r="C619" s="14">
        <f>IF(A619="", "", EDATE(A619, 3))</f>
        <v>46015</v>
      </c>
      <c r="D619" s="13" t="s">
        <v>611</v>
      </c>
      <c r="E619" s="14">
        <f t="shared" si="455"/>
        <v>46105</v>
      </c>
      <c r="F619" s="13" t="s">
        <v>611</v>
      </c>
      <c r="G619" s="191">
        <v>202500868</v>
      </c>
      <c r="H619" s="191" t="s">
        <v>3117</v>
      </c>
      <c r="I619" s="193" t="s">
        <v>1192</v>
      </c>
      <c r="J619" s="194">
        <v>45880</v>
      </c>
      <c r="K619" s="194">
        <v>46239</v>
      </c>
      <c r="L619" s="193" t="s">
        <v>1387</v>
      </c>
      <c r="M619" s="193" t="s">
        <v>1388</v>
      </c>
      <c r="N619" s="13" t="s">
        <v>1389</v>
      </c>
      <c r="O619" s="17" t="s">
        <v>1390</v>
      </c>
      <c r="P619" s="314" t="s">
        <v>453</v>
      </c>
      <c r="Q619" s="13" t="s">
        <v>618</v>
      </c>
      <c r="R619" s="510" t="str">
        <f>VLOOKUP(P619,'Dados das Regiões '!A:B,2,0)</f>
        <v>PRUDENTÓPOLIS</v>
      </c>
      <c r="S619" s="13" t="s">
        <v>1391</v>
      </c>
      <c r="T619" s="40"/>
      <c r="U619" s="191" t="s">
        <v>1392</v>
      </c>
      <c r="V619" s="191" t="s">
        <v>1393</v>
      </c>
      <c r="W619" s="191" t="s">
        <v>3115</v>
      </c>
      <c r="X619" s="195">
        <v>0.625</v>
      </c>
      <c r="Y619" s="420">
        <v>0.70833333333333337</v>
      </c>
      <c r="Z619" s="191" t="s">
        <v>3315</v>
      </c>
      <c r="AB619" s="225">
        <v>202500868</v>
      </c>
      <c r="AC619" s="55" t="s">
        <v>42</v>
      </c>
    </row>
    <row r="620" spans="1:29">
      <c r="A620" s="14">
        <v>45932</v>
      </c>
      <c r="B620" s="13" t="str">
        <f t="shared" si="453"/>
        <v>Realizada</v>
      </c>
      <c r="C620" s="14">
        <f t="shared" si="454"/>
        <v>46024</v>
      </c>
      <c r="D620" s="13" t="s">
        <v>611</v>
      </c>
      <c r="E620" s="14">
        <f t="shared" si="455"/>
        <v>46114</v>
      </c>
      <c r="F620" s="13" t="s">
        <v>611</v>
      </c>
      <c r="G620" s="191">
        <v>202500869</v>
      </c>
      <c r="H620" s="191" t="s">
        <v>6157</v>
      </c>
      <c r="I620" s="193" t="s">
        <v>1192</v>
      </c>
      <c r="J620" s="194">
        <v>45880</v>
      </c>
      <c r="K620" s="194">
        <v>46239</v>
      </c>
      <c r="L620" s="193" t="s">
        <v>2374</v>
      </c>
      <c r="M620" s="193" t="s">
        <v>2402</v>
      </c>
      <c r="N620" s="13" t="s">
        <v>2403</v>
      </c>
      <c r="O620" s="13" t="s">
        <v>2404</v>
      </c>
      <c r="P620" s="314" t="s">
        <v>145</v>
      </c>
      <c r="Q620" s="13" t="s">
        <v>618</v>
      </c>
      <c r="R620" s="246" t="str">
        <f>VLOOKUP(P620,'Dados das Regiões '!A:B,2,0)</f>
        <v>CAMPO MOURÃO</v>
      </c>
      <c r="S620" s="191" t="s">
        <v>2378</v>
      </c>
      <c r="U620" s="191" t="s">
        <v>4509</v>
      </c>
      <c r="V620" s="191" t="s">
        <v>2379</v>
      </c>
      <c r="W620" s="191" t="s">
        <v>2380</v>
      </c>
      <c r="X620" s="195">
        <v>0.64583333333333337</v>
      </c>
      <c r="Y620" s="420">
        <v>0.72916666666666663</v>
      </c>
      <c r="Z620" s="191" t="s">
        <v>3315</v>
      </c>
      <c r="AB620" s="225">
        <v>202500869</v>
      </c>
      <c r="AC620" s="55" t="s">
        <v>41</v>
      </c>
    </row>
    <row r="621" spans="1:29">
      <c r="B621" s="13" t="str">
        <f t="shared" si="453"/>
        <v>Pendente</v>
      </c>
      <c r="C621" s="14" t="str">
        <f t="shared" si="454"/>
        <v/>
      </c>
      <c r="D621" s="13" t="s">
        <v>611</v>
      </c>
      <c r="E621" s="14" t="str">
        <f t="shared" si="455"/>
        <v/>
      </c>
      <c r="F621" s="13" t="s">
        <v>611</v>
      </c>
      <c r="G621" s="191">
        <v>202500868</v>
      </c>
      <c r="H621" s="191" t="s">
        <v>6158</v>
      </c>
      <c r="I621" s="193" t="s">
        <v>1192</v>
      </c>
      <c r="J621" s="194">
        <v>45880</v>
      </c>
      <c r="K621" s="194">
        <v>46239</v>
      </c>
      <c r="L621" s="193" t="s">
        <v>2374</v>
      </c>
      <c r="M621" s="193" t="s">
        <v>2383</v>
      </c>
      <c r="N621" s="13" t="s">
        <v>2384</v>
      </c>
      <c r="O621" s="17" t="s">
        <v>2385</v>
      </c>
      <c r="P621" s="314" t="s">
        <v>322</v>
      </c>
      <c r="Q621" s="13" t="s">
        <v>618</v>
      </c>
      <c r="R621" s="246" t="str">
        <f>VLOOKUP(P621,'Dados das Regiões '!A:B,2,0)</f>
        <v>IVAIPORÃ</v>
      </c>
      <c r="S621" s="191" t="s">
        <v>2378</v>
      </c>
      <c r="U621" s="191" t="s">
        <v>4509</v>
      </c>
      <c r="V621" s="191" t="s">
        <v>2379</v>
      </c>
      <c r="W621" s="191" t="s">
        <v>2380</v>
      </c>
      <c r="X621" s="195">
        <v>0.5625</v>
      </c>
      <c r="Y621" s="420">
        <v>0.64583333333333337</v>
      </c>
      <c r="Z621" s="191" t="s">
        <v>3315</v>
      </c>
      <c r="AB621" s="224">
        <v>202500868</v>
      </c>
      <c r="AC621" s="55" t="s">
        <v>42</v>
      </c>
    </row>
    <row r="622" spans="1:29">
      <c r="B622" s="13" t="str">
        <f t="shared" si="453"/>
        <v>Pendente</v>
      </c>
      <c r="C622" s="14" t="str">
        <f t="shared" si="454"/>
        <v/>
      </c>
      <c r="D622" s="13" t="s">
        <v>611</v>
      </c>
      <c r="E622" s="14" t="str">
        <f t="shared" si="455"/>
        <v/>
      </c>
      <c r="F622" s="13" t="s">
        <v>611</v>
      </c>
      <c r="G622" s="191">
        <v>202500868</v>
      </c>
      <c r="H622" s="191" t="s">
        <v>6159</v>
      </c>
      <c r="I622" s="193" t="s">
        <v>1192</v>
      </c>
      <c r="J622" s="194">
        <v>45880</v>
      </c>
      <c r="K622" s="194">
        <v>46239</v>
      </c>
      <c r="L622" s="193" t="s">
        <v>2374</v>
      </c>
      <c r="M622" s="193" t="s">
        <v>2383</v>
      </c>
      <c r="N622" s="13" t="s">
        <v>2384</v>
      </c>
      <c r="O622" s="17" t="s">
        <v>2385</v>
      </c>
      <c r="P622" s="314" t="s">
        <v>322</v>
      </c>
      <c r="Q622" s="13" t="s">
        <v>618</v>
      </c>
      <c r="R622" s="246" t="str">
        <f>VLOOKUP(P622,'Dados das Regiões '!A:B,2,0)</f>
        <v>IVAIPORÃ</v>
      </c>
      <c r="S622" s="191" t="s">
        <v>2386</v>
      </c>
      <c r="U622" s="191" t="s">
        <v>4509</v>
      </c>
      <c r="V622" s="191" t="s">
        <v>2379</v>
      </c>
      <c r="W622" s="191" t="s">
        <v>2380</v>
      </c>
      <c r="X622" s="195">
        <v>0.33333333333333331</v>
      </c>
      <c r="Y622" s="420">
        <v>0.41666666666666669</v>
      </c>
      <c r="Z622" s="191" t="s">
        <v>3315</v>
      </c>
      <c r="AB622" s="225">
        <v>202500868</v>
      </c>
      <c r="AC622" s="55" t="s">
        <v>42</v>
      </c>
    </row>
    <row r="623" spans="1:29">
      <c r="A623" s="14">
        <v>45967</v>
      </c>
      <c r="B623" s="13" t="str">
        <f t="shared" ref="B623:B665" si="456">IF(ISBLANK(A623), "Pendente", "Realizada")</f>
        <v>Realizada</v>
      </c>
      <c r="C623" s="14">
        <f t="shared" si="454"/>
        <v>46059</v>
      </c>
      <c r="D623" s="13" t="s">
        <v>611</v>
      </c>
      <c r="E623" s="14">
        <f t="shared" si="455"/>
        <v>46148</v>
      </c>
      <c r="F623" s="13" t="s">
        <v>611</v>
      </c>
      <c r="G623" s="191">
        <v>202500869</v>
      </c>
      <c r="H623" s="191" t="s">
        <v>6160</v>
      </c>
      <c r="I623" s="193" t="s">
        <v>1192</v>
      </c>
      <c r="J623" s="194">
        <v>45880</v>
      </c>
      <c r="K623" s="194">
        <v>46239</v>
      </c>
      <c r="L623" s="193" t="s">
        <v>2374</v>
      </c>
      <c r="M623" s="193" t="s">
        <v>6161</v>
      </c>
      <c r="N623" s="13" t="s">
        <v>6162</v>
      </c>
      <c r="O623" s="17" t="s">
        <v>6163</v>
      </c>
      <c r="P623" s="314" t="s">
        <v>176</v>
      </c>
      <c r="Q623" s="13" t="s">
        <v>618</v>
      </c>
      <c r="R623" s="246" t="str">
        <f>VLOOKUP(P623,'Dados das Regiões '!A:B,2,0)</f>
        <v>CAMPO MOURÃO</v>
      </c>
      <c r="S623" s="191" t="s">
        <v>2378</v>
      </c>
      <c r="U623" s="191" t="s">
        <v>6164</v>
      </c>
      <c r="V623" s="191" t="s">
        <v>6164</v>
      </c>
      <c r="W623" s="191" t="s">
        <v>6165</v>
      </c>
      <c r="X623" s="195">
        <v>0.5625</v>
      </c>
      <c r="Y623" s="420">
        <v>0.64583333333333337</v>
      </c>
      <c r="Z623" s="191" t="s">
        <v>3315</v>
      </c>
      <c r="AB623" s="225">
        <v>202500869</v>
      </c>
      <c r="AC623" s="55" t="s">
        <v>41</v>
      </c>
    </row>
    <row r="624" spans="1:29">
      <c r="B624" s="13" t="str">
        <f t="shared" si="456"/>
        <v>Pendente</v>
      </c>
      <c r="C624" s="14" t="str">
        <f t="shared" si="454"/>
        <v/>
      </c>
      <c r="D624" s="13" t="s">
        <v>611</v>
      </c>
      <c r="E624" s="14" t="str">
        <f t="shared" si="455"/>
        <v/>
      </c>
      <c r="F624" s="13" t="s">
        <v>611</v>
      </c>
      <c r="G624" s="191">
        <v>202500867</v>
      </c>
      <c r="H624" s="191" t="s">
        <v>6166</v>
      </c>
      <c r="I624" s="193" t="s">
        <v>1176</v>
      </c>
      <c r="J624" s="194">
        <v>45880</v>
      </c>
      <c r="K624" s="194">
        <v>46239</v>
      </c>
      <c r="L624" s="193" t="s">
        <v>1185</v>
      </c>
      <c r="M624" s="193" t="s">
        <v>6167</v>
      </c>
      <c r="N624" s="13" t="s">
        <v>6168</v>
      </c>
      <c r="O624" s="17" t="s">
        <v>6169</v>
      </c>
      <c r="P624" s="314" t="s">
        <v>190</v>
      </c>
      <c r="Q624" s="13" t="s">
        <v>618</v>
      </c>
      <c r="R624" s="246" t="str">
        <f>VLOOKUP(P624,'Dados das Regiões '!A:B,2,0)</f>
        <v>CASCAVEL</v>
      </c>
      <c r="S624" s="191" t="s">
        <v>6170</v>
      </c>
      <c r="U624" s="191"/>
      <c r="V624" s="191" t="s">
        <v>6171</v>
      </c>
      <c r="W624" s="191" t="s">
        <v>6172</v>
      </c>
      <c r="X624" s="195">
        <v>0.33333333333333331</v>
      </c>
      <c r="Y624" s="420">
        <v>0.41666666666666669</v>
      </c>
      <c r="Z624" s="191" t="s">
        <v>3315</v>
      </c>
      <c r="AB624" s="225">
        <v>202500867</v>
      </c>
      <c r="AC624" s="55" t="s">
        <v>39</v>
      </c>
    </row>
    <row r="625" spans="1:29">
      <c r="B625" s="13" t="str">
        <f t="shared" si="456"/>
        <v>Pendente</v>
      </c>
      <c r="C625" s="14" t="str">
        <f t="shared" si="454"/>
        <v/>
      </c>
      <c r="D625" s="13" t="s">
        <v>611</v>
      </c>
      <c r="E625" s="14" t="str">
        <f t="shared" si="455"/>
        <v/>
      </c>
      <c r="F625" s="13" t="s">
        <v>611</v>
      </c>
      <c r="G625" s="191">
        <v>202500868</v>
      </c>
      <c r="H625" s="191" t="s">
        <v>6173</v>
      </c>
      <c r="I625" s="193" t="s">
        <v>1192</v>
      </c>
      <c r="J625" s="194">
        <v>45880</v>
      </c>
      <c r="K625" s="194">
        <v>46239</v>
      </c>
      <c r="L625" s="193" t="s">
        <v>6174</v>
      </c>
      <c r="M625" s="193" t="s">
        <v>6175</v>
      </c>
      <c r="N625" s="13" t="s">
        <v>6176</v>
      </c>
      <c r="O625" s="17" t="s">
        <v>6177</v>
      </c>
      <c r="P625" s="314" t="s">
        <v>274</v>
      </c>
      <c r="Q625" s="13" t="s">
        <v>618</v>
      </c>
      <c r="R625" s="246" t="str">
        <f>VLOOKUP(P625,'Dados das Regiões '!A:B,2,0)</f>
        <v>FRANCISCO BELTRÃO</v>
      </c>
      <c r="S625" s="191" t="s">
        <v>6178</v>
      </c>
      <c r="U625" s="191" t="s">
        <v>6179</v>
      </c>
      <c r="V625" s="191" t="s">
        <v>6180</v>
      </c>
      <c r="W625" s="191" t="s">
        <v>6181</v>
      </c>
      <c r="X625" s="195">
        <v>0.5625</v>
      </c>
      <c r="Y625" s="420">
        <v>0.64583333333333337</v>
      </c>
      <c r="Z625" s="191" t="s">
        <v>3315</v>
      </c>
      <c r="AB625" s="224">
        <v>202500868</v>
      </c>
      <c r="AC625" s="55" t="s">
        <v>42</v>
      </c>
    </row>
    <row r="626" spans="1:29">
      <c r="B626" s="13" t="str">
        <f t="shared" si="456"/>
        <v>Pendente</v>
      </c>
      <c r="C626" s="14" t="str">
        <f t="shared" si="454"/>
        <v/>
      </c>
      <c r="D626" s="13" t="s">
        <v>611</v>
      </c>
      <c r="E626" s="14" t="str">
        <f t="shared" si="455"/>
        <v/>
      </c>
      <c r="F626" s="13" t="s">
        <v>611</v>
      </c>
      <c r="G626" s="191">
        <v>202500867</v>
      </c>
      <c r="H626" s="191" t="s">
        <v>6182</v>
      </c>
      <c r="I626" s="193" t="s">
        <v>1176</v>
      </c>
      <c r="J626" s="194">
        <v>45880</v>
      </c>
      <c r="K626" s="194">
        <v>46239</v>
      </c>
      <c r="L626" s="193" t="s">
        <v>1185</v>
      </c>
      <c r="M626" s="193" t="s">
        <v>6183</v>
      </c>
      <c r="N626" s="13" t="s">
        <v>6184</v>
      </c>
      <c r="O626" s="17" t="s">
        <v>6185</v>
      </c>
      <c r="P626" s="314" t="s">
        <v>338</v>
      </c>
      <c r="Q626" s="13" t="s">
        <v>618</v>
      </c>
      <c r="R626" s="246" t="str">
        <f>VLOOKUP(P626,'Dados das Regiões '!A:B,2,0)</f>
        <v>LONDRINA CENTRO</v>
      </c>
      <c r="S626" s="191" t="s">
        <v>6186</v>
      </c>
      <c r="U626" s="191"/>
      <c r="V626" s="191" t="s">
        <v>6187</v>
      </c>
      <c r="W626" s="191" t="s">
        <v>6188</v>
      </c>
      <c r="X626" s="195">
        <v>0.54166666666666663</v>
      </c>
      <c r="Y626" s="420">
        <v>0.625</v>
      </c>
      <c r="Z626" s="191" t="s">
        <v>3315</v>
      </c>
      <c r="AB626" s="225">
        <v>202500867</v>
      </c>
      <c r="AC626" s="55" t="s">
        <v>39</v>
      </c>
    </row>
    <row r="627" spans="1:29">
      <c r="B627" s="13" t="str">
        <f t="shared" si="456"/>
        <v>Pendente</v>
      </c>
      <c r="C627" s="14" t="str">
        <f t="shared" si="454"/>
        <v/>
      </c>
      <c r="D627" s="13" t="s">
        <v>611</v>
      </c>
      <c r="E627" s="14" t="str">
        <f t="shared" si="455"/>
        <v/>
      </c>
      <c r="F627" s="13" t="s">
        <v>611</v>
      </c>
      <c r="G627" s="191">
        <v>202500867</v>
      </c>
      <c r="H627" s="191" t="s">
        <v>6189</v>
      </c>
      <c r="I627" s="193" t="s">
        <v>1176</v>
      </c>
      <c r="J627" s="194">
        <v>45880</v>
      </c>
      <c r="K627" s="194">
        <v>46239</v>
      </c>
      <c r="L627" s="193" t="s">
        <v>1185</v>
      </c>
      <c r="M627" s="193" t="s">
        <v>3843</v>
      </c>
      <c r="N627" s="13" t="s">
        <v>3844</v>
      </c>
      <c r="O627" s="13" t="s">
        <v>3845</v>
      </c>
      <c r="P627" s="314" t="s">
        <v>192</v>
      </c>
      <c r="Q627" s="13" t="s">
        <v>618</v>
      </c>
      <c r="R627" s="246" t="str">
        <f>VLOOKUP(P627,'Dados das Regiões '!A:B,2,0)</f>
        <v>CASCAVEL</v>
      </c>
      <c r="S627" s="191" t="s">
        <v>3937</v>
      </c>
      <c r="U627" s="191" t="s">
        <v>6190</v>
      </c>
      <c r="V627" s="191" t="s">
        <v>6191</v>
      </c>
      <c r="W627" s="191" t="s">
        <v>3848</v>
      </c>
      <c r="X627" s="195">
        <v>0.54166666666666663</v>
      </c>
      <c r="Y627" s="420">
        <v>0.625</v>
      </c>
      <c r="Z627" s="191" t="s">
        <v>3315</v>
      </c>
      <c r="AB627" s="224">
        <v>202500867</v>
      </c>
      <c r="AC627" s="55" t="s">
        <v>39</v>
      </c>
    </row>
    <row r="628" spans="1:29">
      <c r="A628" s="14">
        <v>45932</v>
      </c>
      <c r="B628" s="13" t="str">
        <f t="shared" si="456"/>
        <v>Realizada</v>
      </c>
      <c r="C628" s="14">
        <f t="shared" si="454"/>
        <v>46024</v>
      </c>
      <c r="D628" s="13" t="s">
        <v>611</v>
      </c>
      <c r="E628" s="14">
        <f t="shared" si="455"/>
        <v>46114</v>
      </c>
      <c r="F628" s="13" t="s">
        <v>611</v>
      </c>
      <c r="G628" s="191">
        <v>202500869</v>
      </c>
      <c r="H628" s="191" t="s">
        <v>6192</v>
      </c>
      <c r="I628" s="193" t="s">
        <v>1192</v>
      </c>
      <c r="J628" s="194">
        <v>45880</v>
      </c>
      <c r="K628" s="194">
        <v>46239</v>
      </c>
      <c r="L628" s="193" t="s">
        <v>2374</v>
      </c>
      <c r="M628" s="193" t="s">
        <v>2402</v>
      </c>
      <c r="N628" s="13" t="s">
        <v>2403</v>
      </c>
      <c r="O628" s="13" t="s">
        <v>2404</v>
      </c>
      <c r="P628" s="314" t="s">
        <v>145</v>
      </c>
      <c r="Q628" s="13" t="s">
        <v>618</v>
      </c>
      <c r="R628" s="246" t="str">
        <f>VLOOKUP(P628,'Dados das Regiões '!A:B,2,0)</f>
        <v>CAMPO MOURÃO</v>
      </c>
      <c r="S628" s="191" t="s">
        <v>2386</v>
      </c>
      <c r="U628" s="191" t="s">
        <v>4509</v>
      </c>
      <c r="V628" s="191" t="s">
        <v>2379</v>
      </c>
      <c r="W628" s="191" t="s">
        <v>2380</v>
      </c>
      <c r="X628" s="195">
        <v>0.5625</v>
      </c>
      <c r="Y628" s="420">
        <v>0.64583333333333337</v>
      </c>
      <c r="Z628" s="191" t="s">
        <v>3315</v>
      </c>
      <c r="AB628" s="225">
        <v>202500869</v>
      </c>
      <c r="AC628" s="55" t="s">
        <v>41</v>
      </c>
    </row>
    <row r="629" spans="1:29">
      <c r="B629" s="13" t="str">
        <f t="shared" si="456"/>
        <v>Pendente</v>
      </c>
      <c r="C629" s="14" t="str">
        <f t="shared" si="454"/>
        <v/>
      </c>
      <c r="D629" s="13" t="s">
        <v>611</v>
      </c>
      <c r="E629" s="14" t="str">
        <f t="shared" si="455"/>
        <v/>
      </c>
      <c r="F629" s="13" t="s">
        <v>611</v>
      </c>
      <c r="G629" s="191">
        <v>202500868</v>
      </c>
      <c r="H629" s="191" t="s">
        <v>6193</v>
      </c>
      <c r="I629" s="193" t="s">
        <v>1192</v>
      </c>
      <c r="J629" s="194">
        <v>45880</v>
      </c>
      <c r="K629" s="194">
        <v>46239</v>
      </c>
      <c r="L629" s="193" t="s">
        <v>1969</v>
      </c>
      <c r="M629" s="193" t="s">
        <v>1978</v>
      </c>
      <c r="N629" s="13" t="s">
        <v>1979</v>
      </c>
      <c r="O629" s="17" t="s">
        <v>1980</v>
      </c>
      <c r="P629" s="314" t="s">
        <v>136</v>
      </c>
      <c r="Q629" s="13" t="s">
        <v>618</v>
      </c>
      <c r="R629" s="246" t="str">
        <f>VLOOKUP(P629,'Dados das Regiões '!A:B,2,0)</f>
        <v>ARAPONGAS</v>
      </c>
      <c r="S629" s="191" t="s">
        <v>6194</v>
      </c>
      <c r="U629" s="191" t="s">
        <v>1982</v>
      </c>
      <c r="V629" s="191" t="s">
        <v>6144</v>
      </c>
      <c r="W629" s="191" t="s">
        <v>6145</v>
      </c>
      <c r="X629" s="195">
        <v>0.66666666666666663</v>
      </c>
      <c r="Y629" s="420">
        <v>0.75</v>
      </c>
      <c r="Z629" s="191" t="s">
        <v>3315</v>
      </c>
      <c r="AB629" s="224">
        <v>202500868</v>
      </c>
      <c r="AC629" s="55" t="s">
        <v>42</v>
      </c>
    </row>
    <row r="630" spans="1:29">
      <c r="A630" s="14">
        <v>45925</v>
      </c>
      <c r="B630" s="13" t="str">
        <f t="shared" si="456"/>
        <v>Realizada</v>
      </c>
      <c r="C630" s="14">
        <f>IF(A630="", "", EDATE(A630, 3))</f>
        <v>46016</v>
      </c>
      <c r="D630" s="13" t="s">
        <v>611</v>
      </c>
      <c r="E630" s="14">
        <f t="shared" si="455"/>
        <v>46106</v>
      </c>
      <c r="F630" s="13" t="s">
        <v>611</v>
      </c>
      <c r="G630">
        <v>202500030</v>
      </c>
      <c r="H630" t="s">
        <v>3119</v>
      </c>
      <c r="I630" t="s">
        <v>1176</v>
      </c>
      <c r="J630" s="323">
        <v>45705</v>
      </c>
      <c r="K630" s="323">
        <v>46064</v>
      </c>
      <c r="L630" t="s">
        <v>1185</v>
      </c>
      <c r="M630" t="s">
        <v>6195</v>
      </c>
      <c r="N630" s="13" t="s">
        <v>3120</v>
      </c>
      <c r="O630" s="17" t="s">
        <v>3121</v>
      </c>
      <c r="P630" s="57" t="s">
        <v>453</v>
      </c>
      <c r="Q630" s="13" t="s">
        <v>618</v>
      </c>
      <c r="R630" s="510" t="str">
        <f>VLOOKUP(P630,'Dados das Regiões '!A:B,2,0)</f>
        <v>PRUDENTÓPOLIS</v>
      </c>
      <c r="S630" s="97" t="s">
        <v>3122</v>
      </c>
      <c r="T630" s="339"/>
      <c r="U630" s="339" t="s">
        <v>3123</v>
      </c>
      <c r="V630" s="339" t="s">
        <v>3123</v>
      </c>
      <c r="W630" s="35" t="s">
        <v>3124</v>
      </c>
      <c r="X630" s="337">
        <v>0.35416666666666669</v>
      </c>
      <c r="Y630" s="518">
        <v>0.4375</v>
      </c>
      <c r="Z630" s="326" t="s">
        <v>622</v>
      </c>
      <c r="AB630" s="225">
        <v>202500868</v>
      </c>
      <c r="AC630" s="55" t="s">
        <v>42</v>
      </c>
    </row>
    <row r="631" spans="1:29">
      <c r="A631" s="14">
        <v>45932</v>
      </c>
      <c r="B631" s="13" t="str">
        <f t="shared" si="456"/>
        <v>Realizada</v>
      </c>
      <c r="C631" s="14">
        <f t="shared" si="454"/>
        <v>46024</v>
      </c>
      <c r="D631" s="13" t="s">
        <v>611</v>
      </c>
      <c r="E631" s="14">
        <f t="shared" si="455"/>
        <v>46114</v>
      </c>
      <c r="F631" s="13" t="s">
        <v>611</v>
      </c>
      <c r="G631" s="191">
        <v>202500869</v>
      </c>
      <c r="H631" s="191" t="s">
        <v>6196</v>
      </c>
      <c r="I631" s="193" t="s">
        <v>1192</v>
      </c>
      <c r="J631" s="194">
        <v>45880</v>
      </c>
      <c r="K631" s="194">
        <v>46239</v>
      </c>
      <c r="L631" s="193" t="s">
        <v>2374</v>
      </c>
      <c r="M631" s="193" t="s">
        <v>2375</v>
      </c>
      <c r="N631" s="13" t="s">
        <v>2376</v>
      </c>
      <c r="O631" s="13" t="s">
        <v>4508</v>
      </c>
      <c r="P631" s="314" t="s">
        <v>154</v>
      </c>
      <c r="Q631" s="13" t="s">
        <v>618</v>
      </c>
      <c r="R631" s="246" t="str">
        <f>VLOOKUP(P631,'Dados das Regiões '!A:B,2,0)</f>
        <v>CAMPO MOURÃO</v>
      </c>
      <c r="S631" s="191" t="s">
        <v>2378</v>
      </c>
      <c r="U631" s="191" t="s">
        <v>4509</v>
      </c>
      <c r="V631" s="191" t="s">
        <v>2379</v>
      </c>
      <c r="W631" s="191" t="s">
        <v>2380</v>
      </c>
      <c r="X631" s="195">
        <v>0.41666666666666669</v>
      </c>
      <c r="Y631" s="420">
        <v>0.5</v>
      </c>
      <c r="Z631" s="191" t="s">
        <v>3315</v>
      </c>
      <c r="AB631" s="224">
        <v>202500869</v>
      </c>
      <c r="AC631" s="55" t="s">
        <v>41</v>
      </c>
    </row>
    <row r="632" spans="1:29">
      <c r="B632" s="13" t="str">
        <f t="shared" si="456"/>
        <v>Pendente</v>
      </c>
      <c r="C632" s="14" t="str">
        <f t="shared" si="454"/>
        <v/>
      </c>
      <c r="D632" s="13" t="s">
        <v>611</v>
      </c>
      <c r="E632" s="14" t="str">
        <f t="shared" si="455"/>
        <v/>
      </c>
      <c r="F632" s="13" t="s">
        <v>611</v>
      </c>
      <c r="G632" s="191">
        <v>202500867</v>
      </c>
      <c r="H632" s="191" t="s">
        <v>6197</v>
      </c>
      <c r="I632" s="193" t="s">
        <v>1176</v>
      </c>
      <c r="J632" s="194">
        <v>45880</v>
      </c>
      <c r="K632" s="194">
        <v>46239</v>
      </c>
      <c r="L632" s="193" t="s">
        <v>1185</v>
      </c>
      <c r="M632" s="193" t="s">
        <v>2366</v>
      </c>
      <c r="N632" s="13" t="s">
        <v>2367</v>
      </c>
      <c r="O632" s="17" t="s">
        <v>2368</v>
      </c>
      <c r="P632" s="314" t="s">
        <v>276</v>
      </c>
      <c r="Q632" s="13" t="s">
        <v>618</v>
      </c>
      <c r="R632" s="246" t="str">
        <f>VLOOKUP(P632,'Dados das Regiões '!A:B,2,0)</f>
        <v>FRANCISCO BELTRÃO</v>
      </c>
      <c r="S632" s="191" t="s">
        <v>6198</v>
      </c>
      <c r="U632" s="191"/>
      <c r="V632" s="191" t="s">
        <v>6199</v>
      </c>
      <c r="W632" s="191" t="s">
        <v>6200</v>
      </c>
      <c r="X632" s="195">
        <v>0.5625</v>
      </c>
      <c r="Y632" s="420">
        <v>0.64583333333333337</v>
      </c>
      <c r="Z632" s="191" t="s">
        <v>3315</v>
      </c>
      <c r="AB632" s="224">
        <v>202500867</v>
      </c>
      <c r="AC632" s="55" t="s">
        <v>39</v>
      </c>
    </row>
    <row r="633" spans="1:29">
      <c r="A633" s="14">
        <v>45967</v>
      </c>
      <c r="B633" s="13" t="str">
        <f t="shared" si="456"/>
        <v>Realizada</v>
      </c>
      <c r="C633" s="14">
        <f t="shared" si="454"/>
        <v>46059</v>
      </c>
      <c r="D633" s="13" t="s">
        <v>611</v>
      </c>
      <c r="E633" s="14">
        <f t="shared" si="455"/>
        <v>46148</v>
      </c>
      <c r="F633" s="13" t="s">
        <v>611</v>
      </c>
      <c r="G633" s="191">
        <v>202500867</v>
      </c>
      <c r="H633" s="191" t="s">
        <v>6201</v>
      </c>
      <c r="I633" s="193" t="s">
        <v>1176</v>
      </c>
      <c r="J633" s="194">
        <v>45880</v>
      </c>
      <c r="K633" s="194">
        <v>46239</v>
      </c>
      <c r="L633" s="193" t="s">
        <v>1185</v>
      </c>
      <c r="M633" s="193" t="s">
        <v>2430</v>
      </c>
      <c r="N633" s="13" t="s">
        <v>2431</v>
      </c>
      <c r="O633" s="17" t="s">
        <v>2432</v>
      </c>
      <c r="P633" s="314" t="s">
        <v>286</v>
      </c>
      <c r="Q633" s="13" t="s">
        <v>618</v>
      </c>
      <c r="R633" s="246" t="str">
        <f>VLOOKUP(P633,'Dados das Regiões '!A:B,2,0)</f>
        <v>GUARAPUAVA</v>
      </c>
      <c r="S633" s="191" t="s">
        <v>6202</v>
      </c>
      <c r="U633" s="191" t="s">
        <v>6203</v>
      </c>
      <c r="V633" s="191" t="s">
        <v>6204</v>
      </c>
      <c r="W633" s="191" t="s">
        <v>6205</v>
      </c>
      <c r="X633" s="195">
        <v>0.54166666666666663</v>
      </c>
      <c r="Y633" s="420">
        <v>0.625</v>
      </c>
      <c r="Z633" s="191" t="s">
        <v>3315</v>
      </c>
      <c r="AB633" s="225">
        <v>202500867</v>
      </c>
      <c r="AC633" s="55" t="s">
        <v>39</v>
      </c>
    </row>
    <row r="634" spans="1:29">
      <c r="B634" s="13" t="str">
        <f t="shared" si="456"/>
        <v>Pendente</v>
      </c>
      <c r="C634" s="14" t="str">
        <f t="shared" si="454"/>
        <v/>
      </c>
      <c r="D634" s="13" t="s">
        <v>611</v>
      </c>
      <c r="E634" s="14" t="str">
        <f t="shared" si="455"/>
        <v/>
      </c>
      <c r="F634" s="13" t="s">
        <v>611</v>
      </c>
      <c r="G634" s="191">
        <v>202500867</v>
      </c>
      <c r="H634" s="191" t="s">
        <v>6206</v>
      </c>
      <c r="I634" s="193" t="s">
        <v>1176</v>
      </c>
      <c r="J634" s="194">
        <v>45880</v>
      </c>
      <c r="K634" s="194">
        <v>46239</v>
      </c>
      <c r="L634" s="193" t="s">
        <v>1185</v>
      </c>
      <c r="M634" s="193" t="s">
        <v>2847</v>
      </c>
      <c r="N634" s="13" t="s">
        <v>2848</v>
      </c>
      <c r="O634" s="17" t="s">
        <v>2849</v>
      </c>
      <c r="P634" s="314" t="s">
        <v>279</v>
      </c>
      <c r="Q634" s="13" t="s">
        <v>618</v>
      </c>
      <c r="R634" s="246" t="str">
        <f>VLOOKUP(P634,'Dados das Regiões '!A:B,2,0)</f>
        <v>FRANCISCO BELTRÃO</v>
      </c>
      <c r="S634" s="191" t="s">
        <v>2850</v>
      </c>
      <c r="U634" s="191" t="s">
        <v>6207</v>
      </c>
      <c r="V634" s="191" t="s">
        <v>2852</v>
      </c>
      <c r="W634" s="191" t="s">
        <v>6208</v>
      </c>
      <c r="X634" s="195">
        <v>0.5625</v>
      </c>
      <c r="Y634" s="420">
        <v>0.64583333333333337</v>
      </c>
      <c r="Z634" s="191" t="s">
        <v>3315</v>
      </c>
      <c r="AB634" s="224">
        <v>202500867</v>
      </c>
      <c r="AC634" s="55" t="s">
        <v>39</v>
      </c>
    </row>
    <row r="635" spans="1:29">
      <c r="B635" s="13" t="str">
        <f t="shared" si="456"/>
        <v>Pendente</v>
      </c>
      <c r="C635" s="14" t="str">
        <f t="shared" si="454"/>
        <v/>
      </c>
      <c r="D635" s="13" t="s">
        <v>611</v>
      </c>
      <c r="E635" s="14" t="str">
        <f t="shared" si="455"/>
        <v/>
      </c>
      <c r="F635" s="13" t="s">
        <v>611</v>
      </c>
      <c r="G635" s="191">
        <v>202500867</v>
      </c>
      <c r="H635" s="191" t="s">
        <v>6209</v>
      </c>
      <c r="I635" s="193" t="s">
        <v>1176</v>
      </c>
      <c r="J635" s="194">
        <v>45880</v>
      </c>
      <c r="K635" s="194">
        <v>46239</v>
      </c>
      <c r="L635" s="193" t="s">
        <v>1185</v>
      </c>
      <c r="M635" s="193" t="s">
        <v>2147</v>
      </c>
      <c r="N635" s="13" t="s">
        <v>2148</v>
      </c>
      <c r="O635" s="17" t="s">
        <v>2149</v>
      </c>
      <c r="P635" s="314" t="s">
        <v>408</v>
      </c>
      <c r="Q635" s="13" t="s">
        <v>618</v>
      </c>
      <c r="R635" s="246" t="str">
        <f>VLOOKUP(P635,'Dados das Regiões '!A:B,2,0)</f>
        <v>PALMAS</v>
      </c>
      <c r="S635" s="191" t="s">
        <v>2150</v>
      </c>
      <c r="U635" s="191" t="s">
        <v>2151</v>
      </c>
      <c r="V635" s="191" t="s">
        <v>2152</v>
      </c>
      <c r="W635" s="191" t="s">
        <v>6210</v>
      </c>
      <c r="X635" s="195">
        <v>0.54166666666666663</v>
      </c>
      <c r="Y635" s="420">
        <v>0.625</v>
      </c>
      <c r="Z635" s="191" t="s">
        <v>3315</v>
      </c>
      <c r="AB635" s="225">
        <v>202500867</v>
      </c>
      <c r="AC635" s="55" t="s">
        <v>39</v>
      </c>
    </row>
    <row r="636" spans="1:29">
      <c r="B636" s="13" t="str">
        <f t="shared" si="456"/>
        <v>Pendente</v>
      </c>
      <c r="C636" s="14" t="str">
        <f t="shared" si="454"/>
        <v/>
      </c>
      <c r="D636" s="13" t="s">
        <v>611</v>
      </c>
      <c r="E636" s="14" t="str">
        <f t="shared" si="455"/>
        <v/>
      </c>
      <c r="F636" s="13" t="s">
        <v>611</v>
      </c>
      <c r="G636" s="191">
        <v>202500867</v>
      </c>
      <c r="H636" s="191" t="s">
        <v>6211</v>
      </c>
      <c r="I636" s="193" t="s">
        <v>1176</v>
      </c>
      <c r="J636" s="194">
        <v>45880</v>
      </c>
      <c r="K636" s="194">
        <v>46239</v>
      </c>
      <c r="L636" s="193" t="s">
        <v>1185</v>
      </c>
      <c r="M636" s="193" t="s">
        <v>2531</v>
      </c>
      <c r="N636" s="13" t="s">
        <v>2532</v>
      </c>
      <c r="O636" s="17" t="s">
        <v>2533</v>
      </c>
      <c r="P636" s="314" t="s">
        <v>146</v>
      </c>
      <c r="Q636" s="13" t="s">
        <v>618</v>
      </c>
      <c r="R636" s="246" t="str">
        <f>VLOOKUP(P636,'Dados das Regiões '!A:B,2,0)</f>
        <v>CAMPO MOURÃO</v>
      </c>
      <c r="S636" s="191" t="s">
        <v>6212</v>
      </c>
      <c r="U636" s="191"/>
      <c r="V636" s="191" t="s">
        <v>6213</v>
      </c>
      <c r="W636" s="191" t="s">
        <v>6214</v>
      </c>
      <c r="X636" s="195">
        <v>0.64583333333333337</v>
      </c>
      <c r="Y636" s="420">
        <v>0.72916666666666663</v>
      </c>
      <c r="Z636" s="191" t="s">
        <v>3315</v>
      </c>
      <c r="AB636" s="224">
        <v>202500867</v>
      </c>
      <c r="AC636" s="55" t="s">
        <v>39</v>
      </c>
    </row>
    <row r="637" spans="1:29">
      <c r="A637" s="14">
        <v>45888</v>
      </c>
      <c r="B637" s="13" t="str">
        <f t="shared" si="456"/>
        <v>Realizada</v>
      </c>
      <c r="C637" s="14">
        <v>45965</v>
      </c>
      <c r="D637" s="13" t="s">
        <v>611</v>
      </c>
      <c r="E637" s="14">
        <f t="shared" si="455"/>
        <v>46057</v>
      </c>
      <c r="F637" s="13" t="s">
        <v>611</v>
      </c>
      <c r="G637" s="191">
        <v>202500867</v>
      </c>
      <c r="H637" s="191" t="s">
        <v>6215</v>
      </c>
      <c r="I637" s="193" t="s">
        <v>1176</v>
      </c>
      <c r="J637" s="194">
        <v>45880</v>
      </c>
      <c r="K637" s="194">
        <v>46239</v>
      </c>
      <c r="L637" s="193" t="s">
        <v>1185</v>
      </c>
      <c r="M637" s="193" t="s">
        <v>2447</v>
      </c>
      <c r="N637" s="13" t="s">
        <v>2448</v>
      </c>
      <c r="O637" s="17" t="s">
        <v>2449</v>
      </c>
      <c r="P637" s="314" t="s">
        <v>287</v>
      </c>
      <c r="Q637" s="13" t="s">
        <v>618</v>
      </c>
      <c r="R637" s="246" t="str">
        <f>VLOOKUP(P637,'Dados das Regiões '!A:B,2,0)</f>
        <v>GUARAPUAVA</v>
      </c>
      <c r="S637" s="191" t="s">
        <v>2450</v>
      </c>
      <c r="U637" s="191" t="s">
        <v>2451</v>
      </c>
      <c r="V637" s="191" t="s">
        <v>2452</v>
      </c>
      <c r="W637" s="191" t="s">
        <v>6216</v>
      </c>
      <c r="X637" s="195">
        <v>0.5625</v>
      </c>
      <c r="Y637" s="420">
        <v>0.64583333333333337</v>
      </c>
      <c r="Z637" s="191" t="s">
        <v>3315</v>
      </c>
      <c r="AB637" s="225">
        <v>202500867</v>
      </c>
      <c r="AC637" s="55" t="s">
        <v>39</v>
      </c>
    </row>
    <row r="638" spans="1:29">
      <c r="B638" s="13" t="str">
        <f t="shared" si="456"/>
        <v>Pendente</v>
      </c>
      <c r="C638" s="14" t="str">
        <f t="shared" si="454"/>
        <v/>
      </c>
      <c r="D638" s="13" t="s">
        <v>611</v>
      </c>
      <c r="E638" s="14" t="str">
        <f t="shared" si="455"/>
        <v/>
      </c>
      <c r="F638" s="13" t="s">
        <v>611</v>
      </c>
      <c r="G638" s="191">
        <v>202500867</v>
      </c>
      <c r="H638" s="191" t="s">
        <v>6217</v>
      </c>
      <c r="I638" s="193" t="s">
        <v>1176</v>
      </c>
      <c r="J638" s="194">
        <v>45880</v>
      </c>
      <c r="K638" s="194">
        <v>46239</v>
      </c>
      <c r="L638" s="193" t="s">
        <v>1185</v>
      </c>
      <c r="M638" s="193" t="s">
        <v>1818</v>
      </c>
      <c r="N638" s="13" t="s">
        <v>1819</v>
      </c>
      <c r="O638" s="17" t="s">
        <v>1820</v>
      </c>
      <c r="P638" s="314" t="s">
        <v>57</v>
      </c>
      <c r="Q638" s="13" t="s">
        <v>618</v>
      </c>
      <c r="R638" s="246" t="str">
        <f>VLOOKUP(P638,'Dados das Regiões '!A:B,2,0)</f>
        <v>BELA VISTA DO PARAÍSO</v>
      </c>
      <c r="S638" s="191" t="s">
        <v>1821</v>
      </c>
      <c r="U638" s="191"/>
      <c r="V638" s="191" t="s">
        <v>1822</v>
      </c>
      <c r="W638" s="191" t="s">
        <v>1823</v>
      </c>
      <c r="X638" s="195">
        <v>0.54166666666666663</v>
      </c>
      <c r="Y638" s="420">
        <v>0.625</v>
      </c>
      <c r="Z638" s="191" t="s">
        <v>3315</v>
      </c>
      <c r="AB638" s="224">
        <v>202500867</v>
      </c>
      <c r="AC638" s="55" t="s">
        <v>39</v>
      </c>
    </row>
    <row r="639" spans="1:29">
      <c r="B639" s="13" t="str">
        <f t="shared" si="456"/>
        <v>Pendente</v>
      </c>
      <c r="C639" s="14" t="str">
        <f t="shared" si="454"/>
        <v/>
      </c>
      <c r="D639" s="13" t="s">
        <v>611</v>
      </c>
      <c r="E639" s="14" t="str">
        <f t="shared" si="455"/>
        <v/>
      </c>
      <c r="F639" s="13" t="s">
        <v>611</v>
      </c>
      <c r="G639" s="191">
        <v>202500867</v>
      </c>
      <c r="H639" s="191" t="s">
        <v>6218</v>
      </c>
      <c r="I639" s="193" t="s">
        <v>1176</v>
      </c>
      <c r="J639" s="194">
        <v>45880</v>
      </c>
      <c r="K639" s="194">
        <v>46239</v>
      </c>
      <c r="L639" s="193" t="s">
        <v>1185</v>
      </c>
      <c r="M639" s="193" t="s">
        <v>2584</v>
      </c>
      <c r="N639" s="13" t="s">
        <v>2585</v>
      </c>
      <c r="O639" s="17" t="s">
        <v>2586</v>
      </c>
      <c r="P639" s="314" t="s">
        <v>200</v>
      </c>
      <c r="Q639" s="13" t="s">
        <v>618</v>
      </c>
      <c r="R639" s="246" t="str">
        <f>VLOOKUP(P639,'Dados das Regiões '!A:B,2,0)</f>
        <v>CASCAVEL</v>
      </c>
      <c r="S639" s="191" t="s">
        <v>6219</v>
      </c>
      <c r="U639" s="191" t="s">
        <v>2588</v>
      </c>
      <c r="V639" s="191" t="s">
        <v>6220</v>
      </c>
      <c r="W639" s="191" t="s">
        <v>6221</v>
      </c>
      <c r="X639" s="195">
        <v>0.33333333333333331</v>
      </c>
      <c r="Y639" s="420">
        <v>0.41666666666666669</v>
      </c>
      <c r="Z639" s="191" t="s">
        <v>3315</v>
      </c>
      <c r="AB639" s="225">
        <v>202500867</v>
      </c>
      <c r="AC639" s="55" t="s">
        <v>39</v>
      </c>
    </row>
    <row r="640" spans="1:29">
      <c r="B640" s="13" t="str">
        <f t="shared" si="456"/>
        <v>Pendente</v>
      </c>
      <c r="C640" s="14" t="str">
        <f t="shared" si="454"/>
        <v/>
      </c>
      <c r="D640" s="13" t="s">
        <v>611</v>
      </c>
      <c r="E640" s="14" t="str">
        <f t="shared" si="455"/>
        <v/>
      </c>
      <c r="F640" s="13" t="s">
        <v>611</v>
      </c>
      <c r="G640" s="191">
        <v>202500868</v>
      </c>
      <c r="H640" s="191" t="s">
        <v>6222</v>
      </c>
      <c r="I640" s="193" t="s">
        <v>1192</v>
      </c>
      <c r="J640" s="194">
        <v>45880</v>
      </c>
      <c r="K640" s="194">
        <v>46239</v>
      </c>
      <c r="L640" s="193" t="s">
        <v>1969</v>
      </c>
      <c r="M640" s="193" t="s">
        <v>1978</v>
      </c>
      <c r="N640" s="13" t="s">
        <v>1979</v>
      </c>
      <c r="O640" s="17" t="s">
        <v>1980</v>
      </c>
      <c r="P640" s="314" t="s">
        <v>136</v>
      </c>
      <c r="Q640" s="13" t="s">
        <v>618</v>
      </c>
      <c r="R640" s="246" t="str">
        <f>VLOOKUP(P640,'Dados das Regiões '!A:B,2,0)</f>
        <v>ARAPONGAS</v>
      </c>
      <c r="S640" s="191" t="s">
        <v>6143</v>
      </c>
      <c r="U640" s="191" t="s">
        <v>1982</v>
      </c>
      <c r="V640" s="191" t="s">
        <v>6144</v>
      </c>
      <c r="W640" s="191" t="s">
        <v>6145</v>
      </c>
      <c r="X640" s="195">
        <v>0.58333333333333337</v>
      </c>
      <c r="Y640" s="420">
        <v>0.66666666666666663</v>
      </c>
      <c r="Z640" s="191" t="s">
        <v>3315</v>
      </c>
      <c r="AB640" s="224">
        <v>202500868</v>
      </c>
      <c r="AC640" s="55" t="s">
        <v>42</v>
      </c>
    </row>
    <row r="641" spans="1:29">
      <c r="B641" s="13" t="str">
        <f t="shared" si="456"/>
        <v>Pendente</v>
      </c>
      <c r="C641" s="14" t="str">
        <f t="shared" si="454"/>
        <v/>
      </c>
      <c r="D641" s="13" t="s">
        <v>611</v>
      </c>
      <c r="E641" s="14" t="str">
        <f t="shared" si="455"/>
        <v/>
      </c>
      <c r="F641" s="13" t="s">
        <v>611</v>
      </c>
      <c r="G641" s="191">
        <v>202500867</v>
      </c>
      <c r="H641" s="191" t="s">
        <v>6223</v>
      </c>
      <c r="I641" s="193" t="s">
        <v>1176</v>
      </c>
      <c r="J641" s="194">
        <v>45880</v>
      </c>
      <c r="K641" s="194">
        <v>46239</v>
      </c>
      <c r="L641" s="193" t="s">
        <v>1185</v>
      </c>
      <c r="M641" s="193" t="s">
        <v>2682</v>
      </c>
      <c r="N641" s="13" t="s">
        <v>2683</v>
      </c>
      <c r="O641" s="17" t="s">
        <v>2684</v>
      </c>
      <c r="P641" s="314" t="s">
        <v>280</v>
      </c>
      <c r="Q641" s="13" t="s">
        <v>618</v>
      </c>
      <c r="R641" s="246" t="str">
        <f>VLOOKUP(P641,'Dados das Regiões '!A:B,2,0)</f>
        <v>FRANCISCO BELTRÃO</v>
      </c>
      <c r="S641" s="191" t="s">
        <v>6224</v>
      </c>
      <c r="U641" s="191" t="s">
        <v>2686</v>
      </c>
      <c r="V641" s="191" t="s">
        <v>2687</v>
      </c>
      <c r="W641" s="191" t="s">
        <v>6225</v>
      </c>
      <c r="X641" s="195">
        <v>0.5625</v>
      </c>
      <c r="Y641" s="420">
        <v>0.64583333333333337</v>
      </c>
      <c r="Z641" s="191" t="s">
        <v>3315</v>
      </c>
      <c r="AB641" s="228">
        <v>202500867</v>
      </c>
      <c r="AC641" s="229" t="s">
        <v>39</v>
      </c>
    </row>
    <row r="642" spans="1:29">
      <c r="A642" s="323">
        <v>45932</v>
      </c>
      <c r="B642" s="13" t="str">
        <f>IF(ISBLANK(#REF!), "Pendente", "Realizada")</f>
        <v>Realizada</v>
      </c>
      <c r="C642" s="14">
        <f t="shared" si="454"/>
        <v>46024</v>
      </c>
      <c r="D642" s="13" t="s">
        <v>611</v>
      </c>
      <c r="E642" s="14">
        <f t="shared" si="455"/>
        <v>46114</v>
      </c>
      <c r="F642" s="13" t="s">
        <v>611</v>
      </c>
      <c r="G642" s="191">
        <v>202500869</v>
      </c>
      <c r="H642" s="191" t="s">
        <v>6226</v>
      </c>
      <c r="I642" s="191" t="s">
        <v>1192</v>
      </c>
      <c r="J642" s="192">
        <v>45880</v>
      </c>
      <c r="K642" s="192">
        <v>46239</v>
      </c>
      <c r="L642" s="191" t="s">
        <v>6227</v>
      </c>
      <c r="M642" s="193" t="s">
        <v>6228</v>
      </c>
      <c r="N642" s="13" t="s">
        <v>6229</v>
      </c>
      <c r="O642" s="17" t="s">
        <v>6230</v>
      </c>
      <c r="P642" s="314" t="s">
        <v>154</v>
      </c>
      <c r="Q642" s="13" t="s">
        <v>618</v>
      </c>
      <c r="R642" s="246" t="str">
        <f>VLOOKUP(P642,'Dados das Regiões '!A:B,2,0)</f>
        <v>CAMPO MOURÃO</v>
      </c>
      <c r="S642" s="191" t="s">
        <v>6231</v>
      </c>
      <c r="U642" s="191" t="s">
        <v>6232</v>
      </c>
      <c r="V642" s="191" t="s">
        <v>6233</v>
      </c>
      <c r="W642" s="191" t="s">
        <v>6234</v>
      </c>
      <c r="X642" s="195">
        <v>0.33333333333333331</v>
      </c>
      <c r="Y642" s="420">
        <v>0.41666666666666669</v>
      </c>
      <c r="Z642" s="191" t="s">
        <v>3315</v>
      </c>
      <c r="AB642" s="22">
        <v>202500869</v>
      </c>
      <c r="AC642" s="55" t="s">
        <v>41</v>
      </c>
    </row>
    <row r="643" spans="1:29">
      <c r="A643" s="14">
        <v>45967</v>
      </c>
      <c r="B643" s="13" t="str">
        <f t="shared" si="456"/>
        <v>Realizada</v>
      </c>
      <c r="C643" s="14">
        <f t="shared" si="454"/>
        <v>46059</v>
      </c>
      <c r="D643" s="13" t="s">
        <v>611</v>
      </c>
      <c r="E643" s="14">
        <f t="shared" si="455"/>
        <v>46148</v>
      </c>
      <c r="F643" s="13" t="s">
        <v>611</v>
      </c>
      <c r="G643" s="191">
        <v>202500869</v>
      </c>
      <c r="H643" s="191" t="s">
        <v>6235</v>
      </c>
      <c r="I643" s="191" t="s">
        <v>1192</v>
      </c>
      <c r="J643" s="192">
        <v>45880</v>
      </c>
      <c r="K643" s="192">
        <v>46239</v>
      </c>
      <c r="L643" s="191" t="s">
        <v>2374</v>
      </c>
      <c r="M643" s="193" t="s">
        <v>2375</v>
      </c>
      <c r="N643" s="13" t="s">
        <v>2376</v>
      </c>
      <c r="O643" s="13" t="s">
        <v>4508</v>
      </c>
      <c r="P643" s="314" t="s">
        <v>154</v>
      </c>
      <c r="Q643" s="13" t="s">
        <v>618</v>
      </c>
      <c r="R643" s="246" t="str">
        <f>VLOOKUP(P643,'Dados das Regiões '!A:B,2,0)</f>
        <v>CAMPO MOURÃO</v>
      </c>
      <c r="S643" s="191" t="s">
        <v>2378</v>
      </c>
      <c r="U643" s="191" t="s">
        <v>4509</v>
      </c>
      <c r="V643" s="191" t="s">
        <v>2379</v>
      </c>
      <c r="W643" s="191" t="s">
        <v>2380</v>
      </c>
      <c r="X643" s="195">
        <v>0.5625</v>
      </c>
      <c r="Y643" s="420">
        <v>0.64583333333333337</v>
      </c>
      <c r="Z643" s="191" t="s">
        <v>3315</v>
      </c>
      <c r="AB643" s="22">
        <v>202500869</v>
      </c>
      <c r="AC643" s="55" t="s">
        <v>41</v>
      </c>
    </row>
    <row r="644" spans="1:29">
      <c r="B644" s="13" t="str">
        <f t="shared" si="456"/>
        <v>Pendente</v>
      </c>
      <c r="C644" s="14" t="str">
        <f t="shared" si="454"/>
        <v/>
      </c>
      <c r="D644" s="13" t="s">
        <v>611</v>
      </c>
      <c r="E644" s="14" t="str">
        <f t="shared" si="455"/>
        <v/>
      </c>
      <c r="F644" s="13" t="s">
        <v>611</v>
      </c>
      <c r="G644" s="191">
        <v>202500869</v>
      </c>
      <c r="H644" s="191" t="s">
        <v>6236</v>
      </c>
      <c r="I644" s="191" t="s">
        <v>1192</v>
      </c>
      <c r="J644" s="192">
        <v>45880</v>
      </c>
      <c r="K644" s="192">
        <v>46239</v>
      </c>
      <c r="L644" s="191" t="s">
        <v>1881</v>
      </c>
      <c r="M644" s="193" t="s">
        <v>4042</v>
      </c>
      <c r="N644" s="13" t="s">
        <v>4043</v>
      </c>
      <c r="O644" s="13" t="s">
        <v>4044</v>
      </c>
      <c r="P644" s="314" t="s">
        <v>130</v>
      </c>
      <c r="Q644" s="13" t="s">
        <v>618</v>
      </c>
      <c r="R644" s="246" t="str">
        <f>VLOOKUP(P644,'Dados das Regiões '!A:B,2,0)</f>
        <v>APUCARANA</v>
      </c>
      <c r="S644" s="191" t="s">
        <v>4045</v>
      </c>
      <c r="U644" s="191" t="s">
        <v>2164</v>
      </c>
      <c r="V644" s="191" t="s">
        <v>3229</v>
      </c>
      <c r="W644" s="191" t="s">
        <v>6237</v>
      </c>
      <c r="X644" s="195">
        <v>0.41666666666666669</v>
      </c>
      <c r="Y644" s="420">
        <v>0.33333333333333331</v>
      </c>
      <c r="Z644" s="191" t="s">
        <v>3315</v>
      </c>
      <c r="AB644" s="22">
        <v>202500869</v>
      </c>
      <c r="AC644" s="55" t="s">
        <v>41</v>
      </c>
    </row>
    <row r="645" spans="1:29">
      <c r="A645" s="14">
        <v>45944</v>
      </c>
      <c r="B645" s="13" t="str">
        <f t="shared" si="456"/>
        <v>Realizada</v>
      </c>
      <c r="C645" s="14">
        <f t="shared" si="454"/>
        <v>46036</v>
      </c>
      <c r="D645" s="13" t="s">
        <v>611</v>
      </c>
      <c r="E645" s="14">
        <f t="shared" si="455"/>
        <v>46126</v>
      </c>
      <c r="F645" s="13" t="s">
        <v>611</v>
      </c>
      <c r="G645" s="191">
        <v>202500869</v>
      </c>
      <c r="H645" s="191" t="s">
        <v>3232</v>
      </c>
      <c r="I645" s="191" t="s">
        <v>1192</v>
      </c>
      <c r="J645" s="192">
        <v>45880</v>
      </c>
      <c r="K645" s="192">
        <v>46239</v>
      </c>
      <c r="L645" s="191" t="s">
        <v>1881</v>
      </c>
      <c r="M645" s="193" t="s">
        <v>2160</v>
      </c>
      <c r="N645" s="13" t="s">
        <v>2161</v>
      </c>
      <c r="O645" s="13" t="s">
        <v>2162</v>
      </c>
      <c r="P645" s="314" t="s">
        <v>215</v>
      </c>
      <c r="Q645" s="13" t="s">
        <v>618</v>
      </c>
      <c r="R645" s="246" t="str">
        <f>VLOOKUP(P645,'Dados das Regiões '!A:B,2,0)</f>
        <v>CASTRO</v>
      </c>
      <c r="S645" s="191" t="s">
        <v>3233</v>
      </c>
      <c r="U645" s="191" t="s">
        <v>2164</v>
      </c>
      <c r="V645" s="191" t="s">
        <v>3229</v>
      </c>
      <c r="W645" s="191" t="s">
        <v>2165</v>
      </c>
      <c r="X645" s="195">
        <v>0.58333333333333337</v>
      </c>
      <c r="Y645" s="420">
        <v>0.66666666666666663</v>
      </c>
      <c r="Z645" s="191" t="s">
        <v>3315</v>
      </c>
      <c r="AB645" s="22">
        <v>202500869</v>
      </c>
      <c r="AC645" s="55" t="s">
        <v>41</v>
      </c>
    </row>
    <row r="646" spans="1:29">
      <c r="A646" s="14">
        <v>45967</v>
      </c>
      <c r="B646" s="13" t="str">
        <f t="shared" si="456"/>
        <v>Realizada</v>
      </c>
      <c r="C646" s="14">
        <f t="shared" si="454"/>
        <v>46059</v>
      </c>
      <c r="D646" s="13" t="s">
        <v>611</v>
      </c>
      <c r="E646" s="14">
        <f t="shared" si="455"/>
        <v>46148</v>
      </c>
      <c r="F646" s="13" t="s">
        <v>611</v>
      </c>
      <c r="G646" s="191">
        <v>202500869</v>
      </c>
      <c r="H646" s="191" t="s">
        <v>6238</v>
      </c>
      <c r="I646" s="191" t="s">
        <v>1192</v>
      </c>
      <c r="J646" s="192">
        <v>45880</v>
      </c>
      <c r="K646" s="192">
        <v>46239</v>
      </c>
      <c r="L646" s="191" t="s">
        <v>2374</v>
      </c>
      <c r="M646" s="193" t="s">
        <v>6161</v>
      </c>
      <c r="N646" s="13" t="s">
        <v>6162</v>
      </c>
      <c r="O646" s="17" t="s">
        <v>6163</v>
      </c>
      <c r="P646" s="314" t="s">
        <v>176</v>
      </c>
      <c r="Q646" s="13" t="s">
        <v>618</v>
      </c>
      <c r="R646" s="246" t="str">
        <f>VLOOKUP(P646,'Dados das Regiões '!A:B,2,0)</f>
        <v>CAMPO MOURÃO</v>
      </c>
      <c r="S646" s="191" t="s">
        <v>2378</v>
      </c>
      <c r="U646" s="191" t="s">
        <v>6164</v>
      </c>
      <c r="V646" s="191" t="s">
        <v>6164</v>
      </c>
      <c r="W646" s="191" t="s">
        <v>6165</v>
      </c>
      <c r="X646" s="195">
        <v>0.64583333333333337</v>
      </c>
      <c r="Y646" s="420">
        <v>0.5625</v>
      </c>
      <c r="Z646" s="191" t="s">
        <v>3315</v>
      </c>
      <c r="AB646" s="22">
        <v>202500869</v>
      </c>
      <c r="AC646" s="55" t="s">
        <v>41</v>
      </c>
    </row>
    <row r="647" spans="1:29">
      <c r="B647" s="13" t="str">
        <f t="shared" si="456"/>
        <v>Pendente</v>
      </c>
      <c r="C647" s="14" t="str">
        <f t="shared" si="454"/>
        <v/>
      </c>
      <c r="D647" s="13" t="s">
        <v>611</v>
      </c>
      <c r="E647" s="14" t="str">
        <f t="shared" si="455"/>
        <v/>
      </c>
      <c r="F647" s="13" t="s">
        <v>611</v>
      </c>
      <c r="G647" s="191">
        <v>202500869</v>
      </c>
      <c r="H647" s="191" t="s">
        <v>6239</v>
      </c>
      <c r="I647" s="191" t="s">
        <v>1192</v>
      </c>
      <c r="J647" s="192">
        <v>45880</v>
      </c>
      <c r="K647" s="192">
        <v>46239</v>
      </c>
      <c r="L647" s="191" t="s">
        <v>2374</v>
      </c>
      <c r="M647" s="193" t="s">
        <v>6161</v>
      </c>
      <c r="N647" s="13" t="s">
        <v>6162</v>
      </c>
      <c r="O647" s="17" t="s">
        <v>6163</v>
      </c>
      <c r="P647" s="314" t="s">
        <v>176</v>
      </c>
      <c r="Q647" s="13" t="s">
        <v>618</v>
      </c>
      <c r="R647" s="246" t="str">
        <f>VLOOKUP(P647,'Dados das Regiões '!A:B,2,0)</f>
        <v>CAMPO MOURÃO</v>
      </c>
      <c r="S647" s="191" t="s">
        <v>2378</v>
      </c>
      <c r="U647" s="191" t="s">
        <v>6164</v>
      </c>
      <c r="V647" s="191" t="s">
        <v>6164</v>
      </c>
      <c r="W647" s="191" t="s">
        <v>6165</v>
      </c>
      <c r="X647" s="195">
        <v>0.33333333333333331</v>
      </c>
      <c r="Y647" s="420">
        <v>0.41666666666666669</v>
      </c>
      <c r="Z647" s="191" t="s">
        <v>3315</v>
      </c>
      <c r="AB647" s="22">
        <v>202500869</v>
      </c>
      <c r="AC647" s="55" t="s">
        <v>41</v>
      </c>
    </row>
    <row r="648" spans="1:29">
      <c r="B648" s="13" t="str">
        <f t="shared" si="456"/>
        <v>Pendente</v>
      </c>
      <c r="C648" s="14" t="str">
        <f t="shared" si="454"/>
        <v/>
      </c>
      <c r="D648" s="13" t="s">
        <v>611</v>
      </c>
      <c r="E648" s="14" t="str">
        <f t="shared" si="455"/>
        <v/>
      </c>
      <c r="F648" s="13" t="s">
        <v>611</v>
      </c>
      <c r="G648" s="191">
        <v>202500869</v>
      </c>
      <c r="H648" s="191" t="s">
        <v>6240</v>
      </c>
      <c r="I648" s="191" t="s">
        <v>1192</v>
      </c>
      <c r="J648" s="192">
        <v>45880</v>
      </c>
      <c r="K648" s="192">
        <v>46239</v>
      </c>
      <c r="L648" s="191" t="s">
        <v>2374</v>
      </c>
      <c r="M648" s="193" t="s">
        <v>6161</v>
      </c>
      <c r="N648" s="13" t="s">
        <v>6162</v>
      </c>
      <c r="O648" s="17" t="s">
        <v>6163</v>
      </c>
      <c r="P648" s="314" t="s">
        <v>176</v>
      </c>
      <c r="Q648" s="13" t="s">
        <v>618</v>
      </c>
      <c r="R648" s="246" t="str">
        <f>VLOOKUP(P648,'Dados das Regiões '!A:B,2,0)</f>
        <v>CAMPO MOURÃO</v>
      </c>
      <c r="S648" s="191" t="s">
        <v>2386</v>
      </c>
      <c r="U648" s="191" t="s">
        <v>6164</v>
      </c>
      <c r="V648" s="191" t="s">
        <v>6164</v>
      </c>
      <c r="W648" s="191" t="s">
        <v>6165</v>
      </c>
      <c r="X648" s="195">
        <v>0.5625</v>
      </c>
      <c r="Y648" s="420">
        <v>0.64583333333333337</v>
      </c>
      <c r="Z648" s="191" t="s">
        <v>3315</v>
      </c>
      <c r="AB648" s="22">
        <v>202500869</v>
      </c>
      <c r="AC648" s="55" t="s">
        <v>41</v>
      </c>
    </row>
    <row r="649" spans="1:29">
      <c r="A649" s="14">
        <v>45967</v>
      </c>
      <c r="B649" s="13" t="str">
        <f t="shared" si="456"/>
        <v>Realizada</v>
      </c>
      <c r="C649" s="14">
        <f t="shared" si="454"/>
        <v>46059</v>
      </c>
      <c r="D649" s="13" t="s">
        <v>611</v>
      </c>
      <c r="E649" s="14">
        <f t="shared" si="455"/>
        <v>46148</v>
      </c>
      <c r="F649" s="13" t="s">
        <v>611</v>
      </c>
      <c r="G649" s="191">
        <v>202500869</v>
      </c>
      <c r="H649" s="191" t="s">
        <v>6241</v>
      </c>
      <c r="I649" s="191" t="s">
        <v>1192</v>
      </c>
      <c r="J649" s="192">
        <v>45880</v>
      </c>
      <c r="K649" s="192">
        <v>46239</v>
      </c>
      <c r="L649" s="191" t="s">
        <v>2374</v>
      </c>
      <c r="M649" s="193" t="s">
        <v>6161</v>
      </c>
      <c r="N649" s="13" t="s">
        <v>6162</v>
      </c>
      <c r="O649" s="17" t="s">
        <v>6163</v>
      </c>
      <c r="P649" s="314" t="s">
        <v>176</v>
      </c>
      <c r="Q649" s="13" t="s">
        <v>618</v>
      </c>
      <c r="R649" s="246" t="str">
        <f>VLOOKUP(P649,'Dados das Regiões '!A:B,2,0)</f>
        <v>CAMPO MOURÃO</v>
      </c>
      <c r="S649" s="191" t="s">
        <v>2378</v>
      </c>
      <c r="U649" s="191" t="s">
        <v>6164</v>
      </c>
      <c r="V649" s="191" t="s">
        <v>6164</v>
      </c>
      <c r="W649" s="191" t="s">
        <v>6165</v>
      </c>
      <c r="X649" s="195">
        <v>0.5625</v>
      </c>
      <c r="Y649" s="420">
        <v>0.64583333333333337</v>
      </c>
      <c r="Z649" s="191" t="s">
        <v>3315</v>
      </c>
      <c r="AB649" s="22">
        <v>202500869</v>
      </c>
      <c r="AC649" s="55" t="s">
        <v>41</v>
      </c>
    </row>
    <row r="650" spans="1:29">
      <c r="A650" s="14">
        <v>45979</v>
      </c>
      <c r="B650" s="13" t="str">
        <f t="shared" si="456"/>
        <v>Realizada</v>
      </c>
      <c r="C650" s="14">
        <f t="shared" si="454"/>
        <v>46071</v>
      </c>
      <c r="D650" s="13" t="s">
        <v>611</v>
      </c>
      <c r="E650" s="14">
        <f t="shared" si="455"/>
        <v>46160</v>
      </c>
      <c r="F650" s="13" t="s">
        <v>611</v>
      </c>
      <c r="G650" s="191">
        <v>202500869</v>
      </c>
      <c r="H650" s="191" t="s">
        <v>6242</v>
      </c>
      <c r="I650" s="191" t="s">
        <v>1192</v>
      </c>
      <c r="J650" s="192">
        <v>45880</v>
      </c>
      <c r="K650" s="192">
        <v>46239</v>
      </c>
      <c r="L650" s="191" t="s">
        <v>1288</v>
      </c>
      <c r="M650" s="193" t="s">
        <v>1289</v>
      </c>
      <c r="N650" s="13" t="s">
        <v>1290</v>
      </c>
      <c r="O650" s="13" t="s">
        <v>1291</v>
      </c>
      <c r="P650" s="314" t="s">
        <v>385</v>
      </c>
      <c r="Q650" s="13" t="s">
        <v>618</v>
      </c>
      <c r="R650" s="246" t="str">
        <f>VLOOKUP(P650,'Dados das Regiões '!A:B,2,0)</f>
        <v>MATINHOS CAIOBÁ</v>
      </c>
      <c r="S650" s="191" t="s">
        <v>6243</v>
      </c>
      <c r="U650" s="191" t="s">
        <v>6244</v>
      </c>
      <c r="V650" s="191" t="s">
        <v>1293</v>
      </c>
      <c r="W650" s="191" t="s">
        <v>1294</v>
      </c>
      <c r="X650" s="195">
        <v>0.33333333333333331</v>
      </c>
      <c r="Y650" s="420">
        <v>0.41666666666666669</v>
      </c>
      <c r="Z650" s="191" t="s">
        <v>3315</v>
      </c>
      <c r="AB650" s="22">
        <v>202500869</v>
      </c>
      <c r="AC650" s="55" t="s">
        <v>41</v>
      </c>
    </row>
    <row r="651" spans="1:29">
      <c r="A651" s="14">
        <v>45979</v>
      </c>
      <c r="B651" s="13" t="str">
        <f t="shared" si="456"/>
        <v>Realizada</v>
      </c>
      <c r="C651" s="14">
        <f t="shared" si="454"/>
        <v>46071</v>
      </c>
      <c r="D651" s="13" t="s">
        <v>611</v>
      </c>
      <c r="E651" s="14">
        <f t="shared" si="455"/>
        <v>46160</v>
      </c>
      <c r="F651" s="13" t="s">
        <v>611</v>
      </c>
      <c r="G651" s="191">
        <v>202500869</v>
      </c>
      <c r="H651" s="191" t="s">
        <v>6245</v>
      </c>
      <c r="I651" s="191" t="s">
        <v>1192</v>
      </c>
      <c r="J651" s="192">
        <v>45880</v>
      </c>
      <c r="K651" s="192">
        <v>46239</v>
      </c>
      <c r="L651" s="191" t="s">
        <v>1288</v>
      </c>
      <c r="M651" s="193" t="s">
        <v>1289</v>
      </c>
      <c r="N651" s="13" t="s">
        <v>1290</v>
      </c>
      <c r="O651" s="13" t="s">
        <v>1291</v>
      </c>
      <c r="P651" s="314" t="s">
        <v>385</v>
      </c>
      <c r="Q651" s="13" t="s">
        <v>618</v>
      </c>
      <c r="R651" s="246" t="str">
        <f>VLOOKUP(P651,'Dados das Regiões '!A:B,2,0)</f>
        <v>MATINHOS CAIOBÁ</v>
      </c>
      <c r="S651" s="191" t="s">
        <v>6246</v>
      </c>
      <c r="U651" s="191" t="s">
        <v>6244</v>
      </c>
      <c r="V651" s="191" t="s">
        <v>1293</v>
      </c>
      <c r="W651" s="191" t="s">
        <v>1294</v>
      </c>
      <c r="X651" s="195">
        <v>0.58333333333333337</v>
      </c>
      <c r="Y651" s="420">
        <v>0.66666666666666663</v>
      </c>
      <c r="Z651" s="191" t="s">
        <v>3315</v>
      </c>
      <c r="AB651" s="22">
        <v>202500869</v>
      </c>
      <c r="AC651" s="55" t="s">
        <v>41</v>
      </c>
    </row>
    <row r="652" spans="1:29">
      <c r="A652" s="14">
        <v>45979</v>
      </c>
      <c r="B652" s="13" t="str">
        <f t="shared" si="456"/>
        <v>Realizada</v>
      </c>
      <c r="C652" s="14">
        <f t="shared" si="454"/>
        <v>46071</v>
      </c>
      <c r="D652" s="13" t="s">
        <v>611</v>
      </c>
      <c r="E652" s="14">
        <f t="shared" si="455"/>
        <v>46160</v>
      </c>
      <c r="F652" s="13" t="s">
        <v>611</v>
      </c>
      <c r="G652" s="191">
        <v>202500869</v>
      </c>
      <c r="H652" s="191" t="s">
        <v>6247</v>
      </c>
      <c r="I652" s="191" t="s">
        <v>1192</v>
      </c>
      <c r="J652" s="192">
        <v>45880</v>
      </c>
      <c r="K652" s="192">
        <v>46239</v>
      </c>
      <c r="L652" s="191" t="s">
        <v>1288</v>
      </c>
      <c r="M652" s="193" t="s">
        <v>1289</v>
      </c>
      <c r="N652" s="13" t="s">
        <v>1290</v>
      </c>
      <c r="O652" s="13" t="s">
        <v>1291</v>
      </c>
      <c r="P652" s="314" t="s">
        <v>385</v>
      </c>
      <c r="Q652" s="13" t="s">
        <v>618</v>
      </c>
      <c r="R652" s="246" t="str">
        <f>VLOOKUP(P652,'Dados das Regiões '!A:B,2,0)</f>
        <v>MATINHOS CAIOBÁ</v>
      </c>
      <c r="S652" s="191" t="s">
        <v>6246</v>
      </c>
      <c r="U652" s="191" t="s">
        <v>6244</v>
      </c>
      <c r="V652" s="191" t="s">
        <v>1293</v>
      </c>
      <c r="W652" s="191" t="s">
        <v>1294</v>
      </c>
      <c r="X652" s="195">
        <v>0.41666666666666669</v>
      </c>
      <c r="Y652" s="420">
        <v>0.33333333333333331</v>
      </c>
      <c r="Z652" s="191" t="s">
        <v>3315</v>
      </c>
      <c r="AB652" s="22">
        <v>202500869</v>
      </c>
      <c r="AC652" s="55" t="s">
        <v>41</v>
      </c>
    </row>
    <row r="653" spans="1:29">
      <c r="B653" s="13" t="str">
        <f t="shared" si="456"/>
        <v>Pendente</v>
      </c>
      <c r="C653" s="14" t="str">
        <f t="shared" si="454"/>
        <v/>
      </c>
      <c r="D653" s="13" t="s">
        <v>611</v>
      </c>
      <c r="E653" s="14" t="str">
        <f t="shared" si="455"/>
        <v/>
      </c>
      <c r="F653" s="13" t="s">
        <v>611</v>
      </c>
      <c r="G653" s="191">
        <v>202500869</v>
      </c>
      <c r="H653" s="191" t="s">
        <v>6248</v>
      </c>
      <c r="I653" s="191" t="s">
        <v>1192</v>
      </c>
      <c r="J653" s="192">
        <v>45880</v>
      </c>
      <c r="K653" s="192">
        <v>46239</v>
      </c>
      <c r="L653" s="191" t="s">
        <v>6249</v>
      </c>
      <c r="M653" s="193" t="s">
        <v>6250</v>
      </c>
      <c r="N653" s="13" t="s">
        <v>6251</v>
      </c>
      <c r="O653" s="17" t="s">
        <v>6252</v>
      </c>
      <c r="P653" s="314" t="s">
        <v>443</v>
      </c>
      <c r="Q653" s="13" t="s">
        <v>618</v>
      </c>
      <c r="R653" s="246" t="str">
        <f>VLOOKUP(P653,'Dados das Regiões '!A:B,2,0)</f>
        <v>PATO BRANCO</v>
      </c>
      <c r="S653" s="191" t="s">
        <v>6253</v>
      </c>
      <c r="U653" s="191" t="s">
        <v>6254</v>
      </c>
      <c r="V653" s="191" t="s">
        <v>6255</v>
      </c>
      <c r="W653" s="191" t="s">
        <v>6256</v>
      </c>
      <c r="X653" s="195">
        <v>0.58333333333333337</v>
      </c>
      <c r="Y653" s="420">
        <v>0.66666666666666663</v>
      </c>
      <c r="Z653" s="191" t="s">
        <v>3315</v>
      </c>
      <c r="AB653" s="22">
        <v>202500869</v>
      </c>
      <c r="AC653" s="55" t="s">
        <v>41</v>
      </c>
    </row>
    <row r="654" spans="1:29">
      <c r="B654" s="13" t="str">
        <f t="shared" si="456"/>
        <v>Pendente</v>
      </c>
      <c r="C654" s="14" t="str">
        <f t="shared" si="454"/>
        <v/>
      </c>
      <c r="D654" s="13" t="s">
        <v>611</v>
      </c>
      <c r="E654" s="14" t="str">
        <f t="shared" si="455"/>
        <v/>
      </c>
      <c r="F654" s="13" t="s">
        <v>611</v>
      </c>
      <c r="G654" s="191">
        <v>202500869</v>
      </c>
      <c r="H654" s="191" t="s">
        <v>6257</v>
      </c>
      <c r="I654" s="191" t="s">
        <v>1192</v>
      </c>
      <c r="J654" s="192">
        <v>45880</v>
      </c>
      <c r="K654" s="192">
        <v>46239</v>
      </c>
      <c r="L654" s="191" t="s">
        <v>2374</v>
      </c>
      <c r="M654" s="193" t="s">
        <v>2383</v>
      </c>
      <c r="N654" s="13" t="s">
        <v>2384</v>
      </c>
      <c r="O654" s="17" t="s">
        <v>2385</v>
      </c>
      <c r="P654" s="314" t="s">
        <v>322</v>
      </c>
      <c r="Q654" s="13" t="s">
        <v>618</v>
      </c>
      <c r="R654" s="246" t="str">
        <f>VLOOKUP(P654,'Dados das Regiões '!A:B,2,0)</f>
        <v>IVAIPORÃ</v>
      </c>
      <c r="S654" s="191" t="s">
        <v>2386</v>
      </c>
      <c r="U654" s="191" t="s">
        <v>4509</v>
      </c>
      <c r="V654" s="191" t="s">
        <v>2379</v>
      </c>
      <c r="W654" s="191" t="s">
        <v>2380</v>
      </c>
      <c r="X654" s="195">
        <v>0.64583333333333337</v>
      </c>
      <c r="Y654" s="420">
        <v>0.5625</v>
      </c>
      <c r="Z654" s="191" t="s">
        <v>3315</v>
      </c>
      <c r="AB654" s="22">
        <v>202500869</v>
      </c>
      <c r="AC654" s="55" t="s">
        <v>41</v>
      </c>
    </row>
    <row r="655" spans="1:29">
      <c r="A655" s="14">
        <v>45978</v>
      </c>
      <c r="B655" s="13" t="str">
        <f t="shared" si="456"/>
        <v>Realizada</v>
      </c>
      <c r="C655" s="14">
        <f t="shared" si="454"/>
        <v>46070</v>
      </c>
      <c r="D655" s="13" t="s">
        <v>611</v>
      </c>
      <c r="E655" s="14">
        <f t="shared" si="455"/>
        <v>46159</v>
      </c>
      <c r="F655" s="13" t="s">
        <v>611</v>
      </c>
      <c r="G655" s="191">
        <v>202500869</v>
      </c>
      <c r="H655" s="191" t="s">
        <v>6258</v>
      </c>
      <c r="I655" s="191" t="s">
        <v>1192</v>
      </c>
      <c r="J655" s="192">
        <v>45880</v>
      </c>
      <c r="K655" s="192">
        <v>46239</v>
      </c>
      <c r="L655" s="191" t="s">
        <v>1278</v>
      </c>
      <c r="M655" s="193" t="s">
        <v>1279</v>
      </c>
      <c r="N655" s="13" t="s">
        <v>1280</v>
      </c>
      <c r="O655" s="13" t="s">
        <v>1281</v>
      </c>
      <c r="P655" s="314" t="s">
        <v>411</v>
      </c>
      <c r="Q655" s="13" t="s">
        <v>618</v>
      </c>
      <c r="R655" s="246" t="str">
        <f>VLOOKUP(P655,'Dados das Regiões '!A:B,2,0)</f>
        <v>PARANAGUÁ</v>
      </c>
      <c r="S655" s="13" t="s">
        <v>1282</v>
      </c>
      <c r="U655" s="191" t="s">
        <v>6259</v>
      </c>
      <c r="V655" s="191" t="s">
        <v>3095</v>
      </c>
      <c r="W655" s="191" t="s">
        <v>1284</v>
      </c>
      <c r="X655" s="195">
        <v>0.58333333333333337</v>
      </c>
      <c r="Y655" s="420">
        <v>0.66666666666666663</v>
      </c>
      <c r="Z655" s="191" t="s">
        <v>3315</v>
      </c>
      <c r="AB655" s="22">
        <v>202500869</v>
      </c>
      <c r="AC655" s="55" t="s">
        <v>41</v>
      </c>
    </row>
    <row r="656" spans="1:29">
      <c r="A656" s="14">
        <v>45979</v>
      </c>
      <c r="B656" s="13" t="str">
        <f t="shared" si="456"/>
        <v>Realizada</v>
      </c>
      <c r="C656" s="14">
        <f t="shared" si="454"/>
        <v>46071</v>
      </c>
      <c r="D656" s="13" t="s">
        <v>611</v>
      </c>
      <c r="E656" s="14">
        <f t="shared" si="455"/>
        <v>46160</v>
      </c>
      <c r="F656" s="13" t="s">
        <v>611</v>
      </c>
      <c r="G656" s="191">
        <v>202500869</v>
      </c>
      <c r="H656" s="191" t="s">
        <v>6260</v>
      </c>
      <c r="I656" s="191" t="s">
        <v>1192</v>
      </c>
      <c r="J656" s="192">
        <v>45880</v>
      </c>
      <c r="K656" s="192">
        <v>46239</v>
      </c>
      <c r="L656" s="191" t="s">
        <v>1278</v>
      </c>
      <c r="M656" s="193" t="s">
        <v>6261</v>
      </c>
      <c r="N656" s="13" t="s">
        <v>6262</v>
      </c>
      <c r="O656" s="17" t="s">
        <v>6263</v>
      </c>
      <c r="P656" s="314" t="s">
        <v>385</v>
      </c>
      <c r="Q656" s="13" t="s">
        <v>618</v>
      </c>
      <c r="R656" s="246" t="str">
        <f>VLOOKUP(P656,'Dados das Regiões '!A:B,2,0)</f>
        <v>MATINHOS CAIOBÁ</v>
      </c>
      <c r="S656" s="191" t="s">
        <v>6264</v>
      </c>
      <c r="U656" s="191" t="s">
        <v>6265</v>
      </c>
      <c r="V656" s="13" t="s">
        <v>6265</v>
      </c>
      <c r="W656" s="191" t="s">
        <v>6266</v>
      </c>
      <c r="X656" s="195">
        <v>0.58333333333333337</v>
      </c>
      <c r="Y656" s="420">
        <v>0.66666666666666663</v>
      </c>
      <c r="Z656" s="191" t="s">
        <v>3315</v>
      </c>
      <c r="AB656" s="22">
        <v>202500869</v>
      </c>
      <c r="AC656" s="55" t="s">
        <v>41</v>
      </c>
    </row>
    <row r="657" spans="1:44">
      <c r="A657" s="14">
        <v>45979</v>
      </c>
      <c r="B657" s="13" t="str">
        <f t="shared" si="456"/>
        <v>Realizada</v>
      </c>
      <c r="C657" s="14">
        <f t="shared" si="454"/>
        <v>46071</v>
      </c>
      <c r="D657" s="13" t="s">
        <v>611</v>
      </c>
      <c r="E657" s="14">
        <f t="shared" si="455"/>
        <v>46160</v>
      </c>
      <c r="F657" s="13" t="s">
        <v>611</v>
      </c>
      <c r="G657" s="191">
        <v>202500869</v>
      </c>
      <c r="H657" s="191" t="s">
        <v>6267</v>
      </c>
      <c r="I657" s="191" t="s">
        <v>1192</v>
      </c>
      <c r="J657" s="192">
        <v>45880</v>
      </c>
      <c r="K657" s="192">
        <v>46239</v>
      </c>
      <c r="L657" s="191" t="s">
        <v>1278</v>
      </c>
      <c r="M657" s="193" t="s">
        <v>6261</v>
      </c>
      <c r="N657" s="13" t="s">
        <v>6262</v>
      </c>
      <c r="O657" s="17" t="s">
        <v>6263</v>
      </c>
      <c r="P657" s="314" t="s">
        <v>385</v>
      </c>
      <c r="Q657" s="13" t="s">
        <v>618</v>
      </c>
      <c r="R657" s="246" t="str">
        <f>VLOOKUP(P657,'Dados das Regiões '!A:B,2,0)</f>
        <v>MATINHOS CAIOBÁ</v>
      </c>
      <c r="S657" s="191" t="s">
        <v>6268</v>
      </c>
      <c r="U657" s="191" t="s">
        <v>6265</v>
      </c>
      <c r="V657" s="13" t="s">
        <v>6265</v>
      </c>
      <c r="W657" s="191" t="s">
        <v>6266</v>
      </c>
      <c r="X657" s="195">
        <v>0.58333333333333337</v>
      </c>
      <c r="Y657" s="420">
        <v>0.66666666666666663</v>
      </c>
      <c r="Z657" s="191" t="s">
        <v>3315</v>
      </c>
      <c r="AB657" s="22">
        <v>202500869</v>
      </c>
      <c r="AC657" s="55" t="s">
        <v>41</v>
      </c>
    </row>
    <row r="658" spans="1:44">
      <c r="A658" s="14">
        <v>45944</v>
      </c>
      <c r="B658" s="13" t="str">
        <f t="shared" si="456"/>
        <v>Realizada</v>
      </c>
      <c r="C658" s="14">
        <f t="shared" si="454"/>
        <v>46036</v>
      </c>
      <c r="D658" s="13" t="s">
        <v>611</v>
      </c>
      <c r="E658" s="14">
        <f t="shared" si="455"/>
        <v>46126</v>
      </c>
      <c r="F658" s="13" t="s">
        <v>611</v>
      </c>
      <c r="G658" s="191">
        <v>202500869</v>
      </c>
      <c r="H658" s="191" t="s">
        <v>3234</v>
      </c>
      <c r="I658" s="191" t="s">
        <v>1192</v>
      </c>
      <c r="J658" s="192">
        <v>45880</v>
      </c>
      <c r="K658" s="192">
        <v>46239</v>
      </c>
      <c r="L658" s="191" t="s">
        <v>1881</v>
      </c>
      <c r="M658" s="193" t="s">
        <v>2160</v>
      </c>
      <c r="N658" s="13" t="s">
        <v>2161</v>
      </c>
      <c r="O658" s="13" t="s">
        <v>2162</v>
      </c>
      <c r="P658" s="314" t="s">
        <v>215</v>
      </c>
      <c r="Q658" s="13" t="s">
        <v>618</v>
      </c>
      <c r="R658" s="246" t="str">
        <f>VLOOKUP(P658,'Dados das Regiões '!A:B,2,0)</f>
        <v>CASTRO</v>
      </c>
      <c r="S658" s="191" t="s">
        <v>2163</v>
      </c>
      <c r="U658" s="191" t="s">
        <v>2164</v>
      </c>
      <c r="V658" s="191" t="s">
        <v>3229</v>
      </c>
      <c r="W658" s="191" t="s">
        <v>2165</v>
      </c>
      <c r="X658" s="195">
        <v>0.58333333333333337</v>
      </c>
      <c r="Y658" s="420">
        <v>0.66666666666666663</v>
      </c>
      <c r="Z658" s="191" t="s">
        <v>3315</v>
      </c>
      <c r="AB658" s="22">
        <v>202500869</v>
      </c>
      <c r="AC658" s="55" t="s">
        <v>41</v>
      </c>
    </row>
    <row r="659" spans="1:44">
      <c r="A659" s="14">
        <v>45979</v>
      </c>
      <c r="B659" s="13" t="str">
        <f t="shared" si="456"/>
        <v>Realizada</v>
      </c>
      <c r="C659" s="14">
        <f t="shared" si="454"/>
        <v>46071</v>
      </c>
      <c r="D659" s="13" t="s">
        <v>611</v>
      </c>
      <c r="E659" s="14">
        <f t="shared" si="455"/>
        <v>46160</v>
      </c>
      <c r="F659" s="13" t="s">
        <v>611</v>
      </c>
      <c r="G659" s="191">
        <v>202500869</v>
      </c>
      <c r="H659" s="191" t="s">
        <v>6269</v>
      </c>
      <c r="I659" s="191" t="s">
        <v>1192</v>
      </c>
      <c r="J659" s="192">
        <v>45880</v>
      </c>
      <c r="K659" s="192">
        <v>46239</v>
      </c>
      <c r="L659" s="191" t="s">
        <v>1278</v>
      </c>
      <c r="M659" s="193" t="s">
        <v>1279</v>
      </c>
      <c r="N659" s="13" t="s">
        <v>1280</v>
      </c>
      <c r="O659" s="13" t="s">
        <v>1281</v>
      </c>
      <c r="P659" s="314" t="s">
        <v>411</v>
      </c>
      <c r="Q659" s="13" t="s">
        <v>618</v>
      </c>
      <c r="R659" s="246" t="str">
        <f>VLOOKUP(P659,'Dados das Regiões '!A:B,2,0)</f>
        <v>PARANAGUÁ</v>
      </c>
      <c r="S659" s="191" t="s">
        <v>1282</v>
      </c>
      <c r="U659" s="191" t="s">
        <v>6259</v>
      </c>
      <c r="V659" s="191" t="s">
        <v>3095</v>
      </c>
      <c r="W659" s="191" t="s">
        <v>1284</v>
      </c>
      <c r="X659" s="195">
        <v>0.58333333333333337</v>
      </c>
      <c r="Y659" s="420">
        <v>0.66666666666666663</v>
      </c>
      <c r="Z659" s="191" t="s">
        <v>3315</v>
      </c>
      <c r="AB659" s="22">
        <v>202500869</v>
      </c>
      <c r="AC659" s="55" t="s">
        <v>41</v>
      </c>
    </row>
    <row r="660" spans="1:44">
      <c r="B660" s="13" t="str">
        <f t="shared" si="456"/>
        <v>Pendente</v>
      </c>
      <c r="C660" s="14" t="str">
        <f t="shared" si="454"/>
        <v/>
      </c>
      <c r="D660" s="13" t="s">
        <v>611</v>
      </c>
      <c r="E660" s="14" t="str">
        <f t="shared" si="455"/>
        <v/>
      </c>
      <c r="F660" s="13" t="s">
        <v>611</v>
      </c>
      <c r="G660" s="191">
        <v>202500869</v>
      </c>
      <c r="H660" s="191" t="s">
        <v>6270</v>
      </c>
      <c r="I660" s="191" t="s">
        <v>1192</v>
      </c>
      <c r="J660" s="192">
        <v>45880</v>
      </c>
      <c r="K660" s="192">
        <v>46239</v>
      </c>
      <c r="L660" s="191" t="s">
        <v>2374</v>
      </c>
      <c r="M660" s="193" t="s">
        <v>2389</v>
      </c>
      <c r="N660" s="13" t="s">
        <v>2390</v>
      </c>
      <c r="O660" s="17" t="s">
        <v>6108</v>
      </c>
      <c r="P660" s="314" t="s">
        <v>169</v>
      </c>
      <c r="Q660" s="13" t="s">
        <v>618</v>
      </c>
      <c r="R660" s="246" t="str">
        <f>VLOOKUP(P660,'Dados das Regiões '!A:B,2,0)</f>
        <v>CAMPO MOURÃO</v>
      </c>
      <c r="S660" s="191" t="s">
        <v>2386</v>
      </c>
      <c r="U660" s="191" t="s">
        <v>4509</v>
      </c>
      <c r="V660" s="191" t="s">
        <v>2379</v>
      </c>
      <c r="W660" s="191" t="s">
        <v>2380</v>
      </c>
      <c r="X660" s="195">
        <v>0.64583333333333337</v>
      </c>
      <c r="Y660" s="420">
        <v>0.5625</v>
      </c>
      <c r="Z660" s="191" t="s">
        <v>3315</v>
      </c>
      <c r="AB660" s="22">
        <v>202500869</v>
      </c>
      <c r="AC660" s="55" t="s">
        <v>41</v>
      </c>
    </row>
    <row r="661" spans="1:44">
      <c r="A661" s="14">
        <v>45979</v>
      </c>
      <c r="B661" s="13" t="str">
        <f t="shared" si="456"/>
        <v>Realizada</v>
      </c>
      <c r="C661" s="14">
        <f t="shared" si="454"/>
        <v>46071</v>
      </c>
      <c r="D661" s="13" t="s">
        <v>611</v>
      </c>
      <c r="E661" s="14">
        <f t="shared" si="455"/>
        <v>46160</v>
      </c>
      <c r="F661" s="13" t="s">
        <v>611</v>
      </c>
      <c r="G661" s="191">
        <v>202500869</v>
      </c>
      <c r="H661" s="191" t="s">
        <v>6271</v>
      </c>
      <c r="I661" s="191" t="s">
        <v>1192</v>
      </c>
      <c r="J661" s="192">
        <v>45880</v>
      </c>
      <c r="K661" s="192">
        <v>46239</v>
      </c>
      <c r="L661" s="191" t="s">
        <v>1288</v>
      </c>
      <c r="M661" s="193" t="s">
        <v>1289</v>
      </c>
      <c r="N661" s="13" t="s">
        <v>1290</v>
      </c>
      <c r="O661" s="13" t="s">
        <v>1291</v>
      </c>
      <c r="P661" s="314" t="s">
        <v>385</v>
      </c>
      <c r="Q661" s="13" t="s">
        <v>618</v>
      </c>
      <c r="R661" s="246" t="str">
        <f>VLOOKUP(P661,'Dados das Regiões '!A:B,2,0)</f>
        <v>MATINHOS CAIOBÁ</v>
      </c>
      <c r="S661" s="191" t="s">
        <v>6246</v>
      </c>
      <c r="U661" s="191" t="s">
        <v>6244</v>
      </c>
      <c r="V661" s="191" t="s">
        <v>1293</v>
      </c>
      <c r="W661" s="191" t="s">
        <v>1294</v>
      </c>
      <c r="X661" s="195">
        <v>0.66666666666666663</v>
      </c>
      <c r="Y661" s="420">
        <v>0.58333333333333337</v>
      </c>
      <c r="Z661" s="191" t="s">
        <v>3315</v>
      </c>
      <c r="AB661" s="22">
        <v>202500869</v>
      </c>
      <c r="AC661" s="55" t="s">
        <v>41</v>
      </c>
    </row>
    <row r="662" spans="1:44">
      <c r="A662" s="14">
        <v>45979</v>
      </c>
      <c r="B662" s="13" t="str">
        <f t="shared" si="456"/>
        <v>Realizada</v>
      </c>
      <c r="C662" s="14">
        <f t="shared" si="454"/>
        <v>46071</v>
      </c>
      <c r="D662" s="13" t="s">
        <v>611</v>
      </c>
      <c r="E662" s="14">
        <f t="shared" si="455"/>
        <v>46160</v>
      </c>
      <c r="F662" s="13" t="s">
        <v>611</v>
      </c>
      <c r="G662" s="191">
        <v>202500869</v>
      </c>
      <c r="H662" s="191" t="s">
        <v>6272</v>
      </c>
      <c r="I662" s="191" t="s">
        <v>1192</v>
      </c>
      <c r="J662" s="192">
        <v>45880</v>
      </c>
      <c r="K662" s="192">
        <v>46239</v>
      </c>
      <c r="L662" s="191" t="s">
        <v>1278</v>
      </c>
      <c r="M662" s="193" t="s">
        <v>6261</v>
      </c>
      <c r="N662" s="13" t="s">
        <v>6262</v>
      </c>
      <c r="O662" s="17" t="s">
        <v>6263</v>
      </c>
      <c r="P662" s="314" t="s">
        <v>385</v>
      </c>
      <c r="Q662" s="13" t="s">
        <v>618</v>
      </c>
      <c r="R662" s="246" t="str">
        <f>VLOOKUP(P662,'Dados das Regiões '!A:B,2,0)</f>
        <v>MATINHOS CAIOBÁ</v>
      </c>
      <c r="S662" s="191" t="s">
        <v>6268</v>
      </c>
      <c r="U662" s="191" t="s">
        <v>6265</v>
      </c>
      <c r="V662" s="13" t="s">
        <v>6265</v>
      </c>
      <c r="W662" s="191" t="s">
        <v>6266</v>
      </c>
      <c r="X662" s="195">
        <v>0.33333333333333331</v>
      </c>
      <c r="Y662" s="420">
        <v>0.41666666666666669</v>
      </c>
      <c r="Z662" s="191" t="s">
        <v>3315</v>
      </c>
      <c r="AB662" s="22">
        <v>202500869</v>
      </c>
      <c r="AC662" s="55" t="s">
        <v>41</v>
      </c>
    </row>
    <row r="663" spans="1:44">
      <c r="A663" s="14">
        <v>45979</v>
      </c>
      <c r="B663" s="13" t="str">
        <f t="shared" si="456"/>
        <v>Realizada</v>
      </c>
      <c r="C663" s="14">
        <f t="shared" si="454"/>
        <v>46071</v>
      </c>
      <c r="D663" s="13" t="s">
        <v>611</v>
      </c>
      <c r="E663" s="14">
        <f t="shared" si="455"/>
        <v>46160</v>
      </c>
      <c r="F663" s="13" t="s">
        <v>611</v>
      </c>
      <c r="G663" s="191">
        <v>202500869</v>
      </c>
      <c r="H663" s="191" t="s">
        <v>6273</v>
      </c>
      <c r="I663" s="191" t="s">
        <v>1192</v>
      </c>
      <c r="J663" s="192">
        <v>45880</v>
      </c>
      <c r="K663" s="192">
        <v>46239</v>
      </c>
      <c r="L663" s="191" t="s">
        <v>1278</v>
      </c>
      <c r="M663" s="193" t="s">
        <v>6261</v>
      </c>
      <c r="N663" s="13" t="s">
        <v>6262</v>
      </c>
      <c r="O663" s="17" t="s">
        <v>6263</v>
      </c>
      <c r="P663" s="314" t="s">
        <v>385</v>
      </c>
      <c r="Q663" s="13" t="s">
        <v>618</v>
      </c>
      <c r="R663" s="246" t="str">
        <f>VLOOKUP(P663,'Dados das Regiões '!A:B,2,0)</f>
        <v>MATINHOS CAIOBÁ</v>
      </c>
      <c r="S663" s="191" t="s">
        <v>6268</v>
      </c>
      <c r="U663" s="191" t="s">
        <v>6265</v>
      </c>
      <c r="V663" s="13" t="s">
        <v>6265</v>
      </c>
      <c r="W663" s="191" t="s">
        <v>6266</v>
      </c>
      <c r="X663" s="195">
        <v>0.58333333333333337</v>
      </c>
      <c r="Y663" s="420">
        <v>0.66666666666666663</v>
      </c>
      <c r="Z663" s="191" t="s">
        <v>3315</v>
      </c>
      <c r="AB663" s="22">
        <v>202500869</v>
      </c>
      <c r="AC663" s="55" t="s">
        <v>41</v>
      </c>
    </row>
    <row r="664" spans="1:44" s="41" customFormat="1">
      <c r="A664" s="91">
        <v>45979</v>
      </c>
      <c r="B664" s="41" t="str">
        <f t="shared" si="456"/>
        <v>Realizada</v>
      </c>
      <c r="C664" s="14">
        <f t="shared" si="454"/>
        <v>46071</v>
      </c>
      <c r="D664" s="41" t="s">
        <v>611</v>
      </c>
      <c r="E664" s="14">
        <f t="shared" si="455"/>
        <v>46160</v>
      </c>
      <c r="F664" s="41" t="s">
        <v>611</v>
      </c>
      <c r="G664" s="191">
        <v>202500869</v>
      </c>
      <c r="H664" s="191" t="s">
        <v>6274</v>
      </c>
      <c r="I664" s="191" t="s">
        <v>1192</v>
      </c>
      <c r="J664" s="192">
        <v>45880</v>
      </c>
      <c r="K664" s="192">
        <v>46239</v>
      </c>
      <c r="L664" s="191" t="s">
        <v>1278</v>
      </c>
      <c r="M664" s="193" t="s">
        <v>6261</v>
      </c>
      <c r="N664" s="41" t="s">
        <v>6262</v>
      </c>
      <c r="O664" s="75" t="s">
        <v>6263</v>
      </c>
      <c r="P664" s="314" t="s">
        <v>385</v>
      </c>
      <c r="Q664" s="41" t="s">
        <v>618</v>
      </c>
      <c r="R664" s="512" t="str">
        <f>VLOOKUP(P664,'Dados das Regiões '!A:B,2,0)</f>
        <v>MATINHOS CAIOBÁ</v>
      </c>
      <c r="S664" s="191" t="s">
        <v>6268</v>
      </c>
      <c r="U664" s="191" t="s">
        <v>6265</v>
      </c>
      <c r="V664" s="13" t="s">
        <v>6265</v>
      </c>
      <c r="W664" s="191" t="s">
        <v>6266</v>
      </c>
      <c r="X664" s="195">
        <v>0.58333333333333337</v>
      </c>
      <c r="Y664" s="420">
        <v>0.66666666666666663</v>
      </c>
      <c r="Z664" s="191" t="s">
        <v>3315</v>
      </c>
      <c r="AA664" s="49"/>
      <c r="AB664" s="92">
        <v>202500869</v>
      </c>
      <c r="AC664" s="229" t="s">
        <v>41</v>
      </c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</row>
    <row r="665" spans="1:44">
      <c r="A665" s="14">
        <v>45979</v>
      </c>
      <c r="B665" s="13" t="str">
        <f t="shared" si="456"/>
        <v>Realizada</v>
      </c>
      <c r="C665" s="14">
        <f t="shared" si="454"/>
        <v>46071</v>
      </c>
      <c r="D665" s="13" t="s">
        <v>611</v>
      </c>
      <c r="E665" s="14">
        <f t="shared" si="455"/>
        <v>46160</v>
      </c>
      <c r="F665" s="13" t="s">
        <v>611</v>
      </c>
      <c r="G665" s="22">
        <v>202500869</v>
      </c>
      <c r="H665" s="22" t="s">
        <v>6275</v>
      </c>
      <c r="I665" s="22" t="s">
        <v>1192</v>
      </c>
      <c r="J665" s="87">
        <v>45880</v>
      </c>
      <c r="K665" s="87">
        <v>46239</v>
      </c>
      <c r="L665" s="22" t="s">
        <v>1278</v>
      </c>
      <c r="M665" s="190" t="s">
        <v>6261</v>
      </c>
      <c r="N665" s="13" t="s">
        <v>6262</v>
      </c>
      <c r="O665" s="17" t="s">
        <v>6263</v>
      </c>
      <c r="P665" s="189" t="s">
        <v>385</v>
      </c>
      <c r="Q665" s="13" t="s">
        <v>618</v>
      </c>
      <c r="R665" s="246" t="str">
        <f>VLOOKUP(P665,'Dados das Regiões '!A:B,2,0)</f>
        <v>MATINHOS CAIOBÁ</v>
      </c>
      <c r="S665" s="22" t="s">
        <v>6268</v>
      </c>
      <c r="U665" s="191" t="s">
        <v>6265</v>
      </c>
      <c r="V665" s="13" t="s">
        <v>6265</v>
      </c>
      <c r="W665" s="22" t="s">
        <v>6266</v>
      </c>
      <c r="X665" s="90">
        <v>0.33333333333333331</v>
      </c>
      <c r="Y665" s="515">
        <v>0.41666666666666669</v>
      </c>
      <c r="Z665" s="22" t="s">
        <v>3315</v>
      </c>
      <c r="AA665" s="13"/>
      <c r="AB665" s="22">
        <v>202500869</v>
      </c>
      <c r="AC665" s="55" t="s">
        <v>41</v>
      </c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</row>
    <row r="666" spans="1:44">
      <c r="B666" s="13" t="str">
        <f t="shared" ref="B666" si="457">IF(ISBLANK(A666), "Pendente", "Realizada")</f>
        <v>Pendente</v>
      </c>
      <c r="C666" s="14" t="str">
        <f t="shared" si="454"/>
        <v/>
      </c>
      <c r="D666" s="13" t="s">
        <v>611</v>
      </c>
      <c r="E666" s="14" t="str">
        <f t="shared" si="455"/>
        <v/>
      </c>
      <c r="F666" s="13" t="s">
        <v>611</v>
      </c>
      <c r="G666" s="22">
        <v>202500118</v>
      </c>
      <c r="H666" s="22" t="s">
        <v>6276</v>
      </c>
      <c r="I666" s="22" t="s">
        <v>613</v>
      </c>
      <c r="J666" s="87">
        <v>45705</v>
      </c>
      <c r="K666" s="87">
        <v>46064</v>
      </c>
      <c r="L666" s="22" t="s">
        <v>4231</v>
      </c>
      <c r="M666" s="22" t="s">
        <v>4232</v>
      </c>
      <c r="N666" s="13" t="s">
        <v>2620</v>
      </c>
      <c r="O666" s="13" t="s">
        <v>2621</v>
      </c>
      <c r="P666" s="88" t="s">
        <v>491</v>
      </c>
      <c r="Q666" s="13" t="s">
        <v>618</v>
      </c>
      <c r="R666" s="246" t="str">
        <f>VLOOKUP(P666,'Dados das Regiões '!A:B,2,0)</f>
        <v>UMUARAMA</v>
      </c>
      <c r="S666" s="22" t="s">
        <v>4286</v>
      </c>
      <c r="V666" s="22" t="s">
        <v>4287</v>
      </c>
      <c r="W666" s="22" t="s">
        <v>4288</v>
      </c>
      <c r="X666" s="90">
        <v>0.58333333333333337</v>
      </c>
      <c r="Y666" s="515">
        <v>0.66666666666666663</v>
      </c>
      <c r="Z666" s="233" t="s">
        <v>622</v>
      </c>
      <c r="AA666" s="13"/>
      <c r="AB666" s="234">
        <v>202500118</v>
      </c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</row>
    <row r="667" spans="1:44">
      <c r="B667" s="13" t="str">
        <f t="shared" ref="B667:B730" si="458">IF(ISBLANK(A667), "Pendente", "Realizada")</f>
        <v>Pendente</v>
      </c>
      <c r="C667" s="14" t="str">
        <f t="shared" si="454"/>
        <v/>
      </c>
      <c r="D667" s="13" t="s">
        <v>611</v>
      </c>
      <c r="E667" s="14" t="str">
        <f t="shared" si="455"/>
        <v/>
      </c>
      <c r="F667" s="13" t="s">
        <v>611</v>
      </c>
      <c r="G667" s="22">
        <v>202500518</v>
      </c>
      <c r="H667" s="22" t="s">
        <v>6277</v>
      </c>
      <c r="I667" s="22" t="s">
        <v>613</v>
      </c>
      <c r="J667" s="87">
        <v>45817</v>
      </c>
      <c r="K667" s="87">
        <v>46176</v>
      </c>
      <c r="L667" s="22" t="s">
        <v>6278</v>
      </c>
      <c r="M667" s="22" t="s">
        <v>6279</v>
      </c>
      <c r="N667" s="13" t="s">
        <v>6280</v>
      </c>
      <c r="O667" s="17" t="s">
        <v>6281</v>
      </c>
      <c r="P667" s="88" t="s">
        <v>266</v>
      </c>
      <c r="Q667" s="13" t="s">
        <v>618</v>
      </c>
      <c r="R667" s="246" t="str">
        <f>VLOOKUP(P667,'Dados das Regiões '!A:B,2,0)</f>
        <v>FRANCISCO BELTRÃO</v>
      </c>
      <c r="S667" s="22" t="s">
        <v>6282</v>
      </c>
      <c r="U667" s="22" t="s">
        <v>6283</v>
      </c>
      <c r="V667" s="22" t="s">
        <v>6283</v>
      </c>
      <c r="W667" s="22" t="s">
        <v>6284</v>
      </c>
      <c r="X667" s="90">
        <v>0.5625</v>
      </c>
      <c r="Y667" s="515">
        <v>0.64583333333333337</v>
      </c>
      <c r="Z667" s="233" t="s">
        <v>622</v>
      </c>
      <c r="AA667" s="13"/>
      <c r="AB667" s="224">
        <v>202500748</v>
      </c>
      <c r="AC667" s="79"/>
      <c r="AD667" s="55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</row>
    <row r="668" spans="1:44">
      <c r="B668" s="13" t="str">
        <f t="shared" si="458"/>
        <v>Pendente</v>
      </c>
      <c r="C668" s="14" t="str">
        <f t="shared" si="454"/>
        <v/>
      </c>
      <c r="D668" s="13" t="s">
        <v>611</v>
      </c>
      <c r="E668" s="14" t="str">
        <f t="shared" si="455"/>
        <v/>
      </c>
      <c r="F668" s="13" t="s">
        <v>611</v>
      </c>
      <c r="G668" s="191">
        <v>202500748</v>
      </c>
      <c r="H668" s="191" t="s">
        <v>6285</v>
      </c>
      <c r="I668" s="191" t="s">
        <v>613</v>
      </c>
      <c r="J668" s="192">
        <v>45915</v>
      </c>
      <c r="K668" s="192">
        <v>46275</v>
      </c>
      <c r="L668" s="191" t="s">
        <v>672</v>
      </c>
      <c r="M668" s="193" t="s">
        <v>1512</v>
      </c>
      <c r="N668" s="13" t="s">
        <v>1513</v>
      </c>
      <c r="O668" s="197" t="s">
        <v>1514</v>
      </c>
      <c r="P668" s="314" t="s">
        <v>407</v>
      </c>
      <c r="Q668" s="13" t="s">
        <v>618</v>
      </c>
      <c r="R668" s="246" t="str">
        <f>VLOOKUP(P668,'Dados das Regiões '!A:B,2,0)</f>
        <v>PALMAS</v>
      </c>
      <c r="S668" s="191" t="s">
        <v>1515</v>
      </c>
      <c r="U668" s="191" t="s">
        <v>1516</v>
      </c>
      <c r="V668" s="191" t="s">
        <v>6286</v>
      </c>
      <c r="W668" s="191" t="s">
        <v>1518</v>
      </c>
      <c r="X668" s="195">
        <v>0.5625</v>
      </c>
      <c r="Y668" s="420">
        <v>0.64583333333333337</v>
      </c>
      <c r="Z668" s="233" t="s">
        <v>622</v>
      </c>
      <c r="AB668" s="225">
        <v>202500748</v>
      </c>
    </row>
    <row r="669" spans="1:44">
      <c r="B669" s="13" t="str">
        <f t="shared" si="458"/>
        <v>Pendente</v>
      </c>
      <c r="C669" s="14" t="str">
        <f t="shared" si="454"/>
        <v/>
      </c>
      <c r="D669" s="13" t="s">
        <v>611</v>
      </c>
      <c r="E669" s="14" t="str">
        <f t="shared" si="455"/>
        <v/>
      </c>
      <c r="F669" s="13" t="s">
        <v>611</v>
      </c>
      <c r="G669" s="191">
        <v>202500748</v>
      </c>
      <c r="H669" s="191" t="s">
        <v>6287</v>
      </c>
      <c r="I669" s="191" t="s">
        <v>613</v>
      </c>
      <c r="J669" s="192">
        <v>45915</v>
      </c>
      <c r="K669" s="192">
        <v>46275</v>
      </c>
      <c r="L669" s="191" t="s">
        <v>672</v>
      </c>
      <c r="M669" s="193" t="s">
        <v>1492</v>
      </c>
      <c r="N669" s="49" t="s">
        <v>1493</v>
      </c>
      <c r="O669" s="394" t="s">
        <v>1494</v>
      </c>
      <c r="P669" s="314" t="s">
        <v>145</v>
      </c>
      <c r="Q669" s="13" t="s">
        <v>618</v>
      </c>
      <c r="R669" s="246" t="str">
        <f>VLOOKUP(P669,'Dados das Regiões '!A:B,2,0)</f>
        <v>CAMPO MOURÃO</v>
      </c>
      <c r="S669" s="191" t="s">
        <v>1495</v>
      </c>
      <c r="U669" s="191" t="s">
        <v>1496</v>
      </c>
      <c r="V669" s="191" t="s">
        <v>1497</v>
      </c>
      <c r="W669" s="191" t="s">
        <v>4742</v>
      </c>
      <c r="X669" s="195">
        <v>0.3125</v>
      </c>
      <c r="Y669" s="420">
        <v>0.39583333333333331</v>
      </c>
      <c r="Z669" s="233" t="s">
        <v>622</v>
      </c>
      <c r="AB669" s="224">
        <v>202500748</v>
      </c>
    </row>
    <row r="670" spans="1:44">
      <c r="B670" s="13" t="str">
        <f t="shared" si="458"/>
        <v>Pendente</v>
      </c>
      <c r="C670" s="14" t="str">
        <f t="shared" si="454"/>
        <v/>
      </c>
      <c r="D670" s="13" t="s">
        <v>611</v>
      </c>
      <c r="E670" s="14" t="str">
        <f t="shared" si="455"/>
        <v/>
      </c>
      <c r="F670" s="13" t="s">
        <v>611</v>
      </c>
      <c r="G670" s="191">
        <v>202500748</v>
      </c>
      <c r="H670" s="191" t="s">
        <v>6288</v>
      </c>
      <c r="I670" s="191" t="s">
        <v>613</v>
      </c>
      <c r="J670" s="192">
        <v>45915</v>
      </c>
      <c r="K670" s="192">
        <v>46275</v>
      </c>
      <c r="L670" s="191" t="s">
        <v>672</v>
      </c>
      <c r="M670" s="193" t="s">
        <v>764</v>
      </c>
      <c r="N670" s="395" t="s">
        <v>765</v>
      </c>
      <c r="O670" s="396" t="s">
        <v>1502</v>
      </c>
      <c r="P670" s="314" t="s">
        <v>158</v>
      </c>
      <c r="Q670" s="13" t="s">
        <v>618</v>
      </c>
      <c r="R670" s="246" t="str">
        <f>VLOOKUP(P670,'Dados das Regiões '!A:B,2,0)</f>
        <v>CAMPO MOURÃO</v>
      </c>
      <c r="S670" s="191" t="s">
        <v>767</v>
      </c>
      <c r="U670" s="191" t="s">
        <v>768</v>
      </c>
      <c r="V670" s="191" t="s">
        <v>769</v>
      </c>
      <c r="W670" s="191" t="s">
        <v>770</v>
      </c>
      <c r="X670" s="195">
        <v>0.3125</v>
      </c>
      <c r="Y670" s="420">
        <v>0.39583333333333331</v>
      </c>
      <c r="Z670" s="233" t="s">
        <v>622</v>
      </c>
      <c r="AB670" s="225">
        <v>202500748</v>
      </c>
    </row>
    <row r="671" spans="1:44">
      <c r="B671" s="13" t="str">
        <f t="shared" si="458"/>
        <v>Pendente</v>
      </c>
      <c r="C671" s="14" t="str">
        <f t="shared" ref="C671:C734" si="459">IF(A671="", "", EDATE(A671, 3))</f>
        <v/>
      </c>
      <c r="D671" s="13" t="s">
        <v>611</v>
      </c>
      <c r="E671" s="14" t="str">
        <f t="shared" si="455"/>
        <v/>
      </c>
      <c r="F671" s="13" t="s">
        <v>611</v>
      </c>
      <c r="G671" s="191">
        <v>202500748</v>
      </c>
      <c r="H671" s="191" t="s">
        <v>6289</v>
      </c>
      <c r="I671" s="191" t="s">
        <v>613</v>
      </c>
      <c r="J671" s="192">
        <v>45915</v>
      </c>
      <c r="K671" s="192">
        <v>46275</v>
      </c>
      <c r="L671" s="191" t="s">
        <v>672</v>
      </c>
      <c r="M671" s="193" t="s">
        <v>1454</v>
      </c>
      <c r="N671" s="13" t="s">
        <v>1455</v>
      </c>
      <c r="O671" s="13" t="s">
        <v>1456</v>
      </c>
      <c r="P671" s="314" t="s">
        <v>437</v>
      </c>
      <c r="Q671" s="13" t="s">
        <v>618</v>
      </c>
      <c r="R671" s="246" t="str">
        <f>VLOOKUP(P671,'Dados das Regiões '!A:B,2,0)</f>
        <v>PATO BRANCO</v>
      </c>
      <c r="S671" s="191" t="s">
        <v>1457</v>
      </c>
      <c r="U671" s="191" t="s">
        <v>1458</v>
      </c>
      <c r="V671" s="191" t="s">
        <v>1459</v>
      </c>
      <c r="W671" s="191" t="s">
        <v>1460</v>
      </c>
      <c r="X671" s="195">
        <v>0.3125</v>
      </c>
      <c r="Y671" s="420">
        <v>0.39583333333333331</v>
      </c>
      <c r="Z671" s="233" t="s">
        <v>622</v>
      </c>
      <c r="AB671" s="224">
        <v>202500748</v>
      </c>
    </row>
    <row r="672" spans="1:44">
      <c r="B672" s="13" t="str">
        <f t="shared" si="458"/>
        <v>Pendente</v>
      </c>
      <c r="C672" s="14" t="str">
        <f t="shared" si="459"/>
        <v/>
      </c>
      <c r="D672" s="13" t="s">
        <v>611</v>
      </c>
      <c r="E672" s="14" t="str">
        <f t="shared" si="455"/>
        <v/>
      </c>
      <c r="F672" s="13" t="s">
        <v>611</v>
      </c>
      <c r="G672" s="191">
        <v>202500748</v>
      </c>
      <c r="H672" s="191" t="s">
        <v>6290</v>
      </c>
      <c r="I672" s="191" t="s">
        <v>613</v>
      </c>
      <c r="J672" s="192">
        <v>45915</v>
      </c>
      <c r="K672" s="192">
        <v>46275</v>
      </c>
      <c r="L672" s="191" t="s">
        <v>672</v>
      </c>
      <c r="M672" s="193" t="s">
        <v>4656</v>
      </c>
      <c r="N672" s="13" t="s">
        <v>4657</v>
      </c>
      <c r="O672" s="13" t="s">
        <v>4658</v>
      </c>
      <c r="P672" s="314" t="s">
        <v>487</v>
      </c>
      <c r="Q672" s="13" t="s">
        <v>618</v>
      </c>
      <c r="R672" s="246" t="str">
        <f>VLOOKUP(P672,'Dados das Regiões '!A:B,2,0)</f>
        <v>UMUARAMA</v>
      </c>
      <c r="S672" s="191" t="s">
        <v>4659</v>
      </c>
      <c r="U672" s="191" t="s">
        <v>4660</v>
      </c>
      <c r="V672" s="191" t="s">
        <v>6291</v>
      </c>
      <c r="W672" s="191" t="s">
        <v>6292</v>
      </c>
      <c r="X672" s="195">
        <v>0.3125</v>
      </c>
      <c r="Y672" s="420">
        <v>0.39583333333333331</v>
      </c>
      <c r="Z672" s="233" t="s">
        <v>622</v>
      </c>
      <c r="AB672" s="225">
        <v>202500748</v>
      </c>
    </row>
    <row r="673" spans="1:28">
      <c r="B673" s="13" t="str">
        <f t="shared" si="458"/>
        <v>Pendente</v>
      </c>
      <c r="C673" s="14" t="str">
        <f t="shared" si="459"/>
        <v/>
      </c>
      <c r="D673" s="13" t="s">
        <v>611</v>
      </c>
      <c r="E673" s="14" t="str">
        <f t="shared" si="455"/>
        <v/>
      </c>
      <c r="F673" s="13" t="s">
        <v>611</v>
      </c>
      <c r="G673" s="191">
        <v>202500748</v>
      </c>
      <c r="H673" s="191" t="s">
        <v>6293</v>
      </c>
      <c r="I673" s="191" t="s">
        <v>613</v>
      </c>
      <c r="J673" s="192">
        <v>45915</v>
      </c>
      <c r="K673" s="192">
        <v>46275</v>
      </c>
      <c r="L673" s="191" t="s">
        <v>672</v>
      </c>
      <c r="M673" s="193" t="s">
        <v>4656</v>
      </c>
      <c r="N673" s="13" t="s">
        <v>4657</v>
      </c>
      <c r="O673" s="13" t="s">
        <v>4658</v>
      </c>
      <c r="P673" s="314" t="s">
        <v>487</v>
      </c>
      <c r="Q673" s="13" t="s">
        <v>618</v>
      </c>
      <c r="R673" s="246" t="str">
        <f>VLOOKUP(P673,'Dados das Regiões '!A:B,2,0)</f>
        <v>UMUARAMA</v>
      </c>
      <c r="S673" s="191" t="s">
        <v>4659</v>
      </c>
      <c r="U673" s="191" t="s">
        <v>4660</v>
      </c>
      <c r="V673" s="191" t="s">
        <v>6291</v>
      </c>
      <c r="W673" s="191" t="s">
        <v>6292</v>
      </c>
      <c r="X673" s="195">
        <v>0.5625</v>
      </c>
      <c r="Y673" s="420">
        <v>0.64583333333333337</v>
      </c>
      <c r="Z673" s="233" t="s">
        <v>622</v>
      </c>
      <c r="AB673" s="224">
        <v>202500748</v>
      </c>
    </row>
    <row r="674" spans="1:28">
      <c r="B674" s="13" t="str">
        <f t="shared" si="458"/>
        <v>Pendente</v>
      </c>
      <c r="C674" s="14" t="str">
        <f t="shared" si="459"/>
        <v/>
      </c>
      <c r="D674" s="13" t="s">
        <v>611</v>
      </c>
      <c r="E674" s="14" t="str">
        <f t="shared" si="455"/>
        <v/>
      </c>
      <c r="F674" s="13" t="s">
        <v>611</v>
      </c>
      <c r="G674" s="191">
        <v>202500748</v>
      </c>
      <c r="H674" s="191" t="s">
        <v>6294</v>
      </c>
      <c r="I674" s="191" t="s">
        <v>613</v>
      </c>
      <c r="J674" s="192">
        <v>45915</v>
      </c>
      <c r="K674" s="192">
        <v>46275</v>
      </c>
      <c r="L674" s="191" t="s">
        <v>682</v>
      </c>
      <c r="M674" s="193" t="s">
        <v>1625</v>
      </c>
      <c r="N674" s="13" t="s">
        <v>6295</v>
      </c>
      <c r="O674" s="17" t="s">
        <v>6296</v>
      </c>
      <c r="P674" s="314" t="s">
        <v>341</v>
      </c>
      <c r="Q674" s="13" t="s">
        <v>618</v>
      </c>
      <c r="R674" s="246" t="str">
        <f>VLOOKUP(P674,'Dados das Regiões '!A:B,2,0)</f>
        <v>LONDRINA CENTRO</v>
      </c>
      <c r="S674" s="191" t="s">
        <v>1628</v>
      </c>
      <c r="U674" s="191" t="s">
        <v>1629</v>
      </c>
      <c r="V674" s="191" t="s">
        <v>1630</v>
      </c>
      <c r="W674" s="191" t="s">
        <v>1631</v>
      </c>
      <c r="X674" s="195">
        <v>0.5625</v>
      </c>
      <c r="Y674" s="420">
        <v>0.64583333333333337</v>
      </c>
      <c r="Z674" s="233" t="s">
        <v>622</v>
      </c>
      <c r="AB674" s="225">
        <v>202500748</v>
      </c>
    </row>
    <row r="675" spans="1:28">
      <c r="B675" s="13" t="str">
        <f t="shared" si="458"/>
        <v>Pendente</v>
      </c>
      <c r="C675" s="14" t="str">
        <f t="shared" si="459"/>
        <v/>
      </c>
      <c r="D675" s="13" t="s">
        <v>611</v>
      </c>
      <c r="E675" s="14" t="str">
        <f t="shared" si="455"/>
        <v/>
      </c>
      <c r="F675" s="13" t="s">
        <v>611</v>
      </c>
      <c r="G675" s="191">
        <v>202500748</v>
      </c>
      <c r="H675" s="191" t="s">
        <v>6297</v>
      </c>
      <c r="I675" s="191" t="s">
        <v>613</v>
      </c>
      <c r="J675" s="192">
        <v>45915</v>
      </c>
      <c r="K675" s="192">
        <v>46275</v>
      </c>
      <c r="L675" s="191" t="s">
        <v>672</v>
      </c>
      <c r="M675" s="193" t="s">
        <v>777</v>
      </c>
      <c r="N675" s="97" t="s">
        <v>778</v>
      </c>
      <c r="O675" s="186" t="s">
        <v>779</v>
      </c>
      <c r="P675" s="314" t="s">
        <v>161</v>
      </c>
      <c r="Q675" s="13" t="s">
        <v>618</v>
      </c>
      <c r="R675" s="246" t="str">
        <f>VLOOKUP(P675,'Dados das Regiões '!A:B,2,0)</f>
        <v>CAMPO MOURÃO</v>
      </c>
      <c r="S675" s="191" t="s">
        <v>780</v>
      </c>
      <c r="U675" s="191" t="s">
        <v>781</v>
      </c>
      <c r="V675" s="191" t="s">
        <v>782</v>
      </c>
      <c r="W675" s="191" t="s">
        <v>6298</v>
      </c>
      <c r="X675" s="195">
        <v>0.5625</v>
      </c>
      <c r="Y675" s="420">
        <v>0.64583333333333337</v>
      </c>
      <c r="Z675" s="233" t="s">
        <v>622</v>
      </c>
      <c r="AB675" s="224">
        <v>202500748</v>
      </c>
    </row>
    <row r="676" spans="1:28">
      <c r="B676" s="13" t="str">
        <f t="shared" si="458"/>
        <v>Pendente</v>
      </c>
      <c r="C676" s="14" t="str">
        <f t="shared" si="459"/>
        <v/>
      </c>
      <c r="D676" s="13" t="s">
        <v>611</v>
      </c>
      <c r="E676" s="14" t="str">
        <f t="shared" si="455"/>
        <v/>
      </c>
      <c r="F676" s="13" t="s">
        <v>611</v>
      </c>
      <c r="G676" s="191">
        <v>202500748</v>
      </c>
      <c r="H676" s="191" t="s">
        <v>6299</v>
      </c>
      <c r="I676" s="191" t="s">
        <v>613</v>
      </c>
      <c r="J676" s="192">
        <v>45915</v>
      </c>
      <c r="K676" s="192">
        <v>46275</v>
      </c>
      <c r="L676" s="191" t="s">
        <v>672</v>
      </c>
      <c r="M676" s="193" t="s">
        <v>1442</v>
      </c>
      <c r="N676" s="395" t="s">
        <v>4882</v>
      </c>
      <c r="O676" s="396" t="s">
        <v>4883</v>
      </c>
      <c r="P676" s="314" t="s">
        <v>157</v>
      </c>
      <c r="Q676" s="13" t="s">
        <v>618</v>
      </c>
      <c r="R676" s="246" t="str">
        <f>VLOOKUP(P676,'Dados das Regiões '!A:B,2,0)</f>
        <v>CAMPO MOURÃO</v>
      </c>
      <c r="S676" s="191" t="s">
        <v>6300</v>
      </c>
      <c r="U676" s="191" t="s">
        <v>1446</v>
      </c>
      <c r="V676" s="191" t="s">
        <v>6301</v>
      </c>
      <c r="W676" s="191" t="s">
        <v>6302</v>
      </c>
      <c r="X676" s="195">
        <v>0.3125</v>
      </c>
      <c r="Y676" s="420">
        <v>0.39583333333333331</v>
      </c>
      <c r="Z676" s="233" t="s">
        <v>622</v>
      </c>
      <c r="AB676" s="225">
        <v>202500748</v>
      </c>
    </row>
    <row r="677" spans="1:28">
      <c r="B677" s="13" t="str">
        <f t="shared" si="458"/>
        <v>Pendente</v>
      </c>
      <c r="C677" s="14" t="str">
        <f t="shared" si="459"/>
        <v/>
      </c>
      <c r="D677" s="13" t="s">
        <v>611</v>
      </c>
      <c r="E677" s="14" t="str">
        <f t="shared" si="455"/>
        <v/>
      </c>
      <c r="F677" s="13" t="s">
        <v>611</v>
      </c>
      <c r="G677" s="191">
        <v>202500748</v>
      </c>
      <c r="H677" s="191" t="s">
        <v>6303</v>
      </c>
      <c r="I677" s="191" t="s">
        <v>613</v>
      </c>
      <c r="J677" s="192">
        <v>45915</v>
      </c>
      <c r="K677" s="192">
        <v>46275</v>
      </c>
      <c r="L677" s="191" t="s">
        <v>672</v>
      </c>
      <c r="M677" s="193" t="s">
        <v>724</v>
      </c>
      <c r="N677" s="49" t="s">
        <v>725</v>
      </c>
      <c r="O677" s="394" t="s">
        <v>726</v>
      </c>
      <c r="P677" s="314" t="s">
        <v>166</v>
      </c>
      <c r="Q677" s="13" t="s">
        <v>618</v>
      </c>
      <c r="R677" s="246" t="str">
        <f>VLOOKUP(P677,'Dados das Regiões '!A:B,2,0)</f>
        <v>CAMPO MOURÃO</v>
      </c>
      <c r="S677" s="191" t="s">
        <v>727</v>
      </c>
      <c r="U677" s="191" t="s">
        <v>728</v>
      </c>
      <c r="V677" s="191" t="s">
        <v>729</v>
      </c>
      <c r="W677" s="191" t="s">
        <v>730</v>
      </c>
      <c r="X677" s="195">
        <v>0.3125</v>
      </c>
      <c r="Y677" s="420">
        <v>0.39583333333333331</v>
      </c>
      <c r="Z677" s="233" t="s">
        <v>622</v>
      </c>
      <c r="AB677" s="224">
        <v>202500748</v>
      </c>
    </row>
    <row r="678" spans="1:28">
      <c r="B678" s="13" t="str">
        <f t="shared" si="458"/>
        <v>Pendente</v>
      </c>
      <c r="C678" s="14" t="str">
        <f t="shared" si="459"/>
        <v/>
      </c>
      <c r="D678" s="13" t="s">
        <v>611</v>
      </c>
      <c r="E678" s="14" t="str">
        <f t="shared" si="455"/>
        <v/>
      </c>
      <c r="F678" s="13" t="s">
        <v>611</v>
      </c>
      <c r="G678" s="191">
        <v>202500748</v>
      </c>
      <c r="H678" s="191" t="s">
        <v>6304</v>
      </c>
      <c r="I678" s="191" t="s">
        <v>613</v>
      </c>
      <c r="J678" s="192">
        <v>45915</v>
      </c>
      <c r="K678" s="192">
        <v>46275</v>
      </c>
      <c r="L678" s="191" t="s">
        <v>672</v>
      </c>
      <c r="M678" s="193" t="s">
        <v>760</v>
      </c>
      <c r="N678" s="395" t="s">
        <v>761</v>
      </c>
      <c r="O678" s="395" t="s">
        <v>762</v>
      </c>
      <c r="P678" s="314" t="s">
        <v>166</v>
      </c>
      <c r="Q678" s="13" t="s">
        <v>618</v>
      </c>
      <c r="R678" s="246" t="str">
        <f>VLOOKUP(P678,'Dados das Regiões '!A:B,2,0)</f>
        <v>CAMPO MOURÃO</v>
      </c>
      <c r="S678" s="191" t="s">
        <v>4612</v>
      </c>
      <c r="U678" s="191" t="s">
        <v>728</v>
      </c>
      <c r="V678" s="191" t="s">
        <v>729</v>
      </c>
      <c r="W678" s="191" t="s">
        <v>730</v>
      </c>
      <c r="X678" s="195">
        <v>0.3125</v>
      </c>
      <c r="Y678" s="420">
        <v>0.39583333333333331</v>
      </c>
      <c r="Z678" s="233" t="s">
        <v>622</v>
      </c>
      <c r="AB678" s="225">
        <v>202500748</v>
      </c>
    </row>
    <row r="679" spans="1:28">
      <c r="B679" s="13" t="str">
        <f t="shared" si="458"/>
        <v>Pendente</v>
      </c>
      <c r="C679" s="14" t="str">
        <f t="shared" si="459"/>
        <v/>
      </c>
      <c r="D679" s="13" t="s">
        <v>611</v>
      </c>
      <c r="E679" s="14" t="str">
        <f t="shared" si="455"/>
        <v/>
      </c>
      <c r="F679" s="13" t="s">
        <v>611</v>
      </c>
      <c r="G679" s="191">
        <v>202500748</v>
      </c>
      <c r="H679" s="191" t="s">
        <v>6305</v>
      </c>
      <c r="I679" s="191" t="s">
        <v>613</v>
      </c>
      <c r="J679" s="192">
        <v>45915</v>
      </c>
      <c r="K679" s="192">
        <v>46275</v>
      </c>
      <c r="L679" s="191" t="s">
        <v>672</v>
      </c>
      <c r="M679" s="193" t="s">
        <v>4147</v>
      </c>
      <c r="N679" s="395" t="s">
        <v>4148</v>
      </c>
      <c r="O679" s="395" t="s">
        <v>4149</v>
      </c>
      <c r="P679" s="314" t="s">
        <v>160</v>
      </c>
      <c r="Q679" s="13" t="s">
        <v>618</v>
      </c>
      <c r="R679" s="246" t="str">
        <f>VLOOKUP(P679,'Dados das Regiões '!A:B,2,0)</f>
        <v>CAMPO MOURÃO</v>
      </c>
      <c r="S679" s="191" t="s">
        <v>4089</v>
      </c>
      <c r="U679" s="191" t="s">
        <v>4090</v>
      </c>
      <c r="V679" s="191" t="s">
        <v>4091</v>
      </c>
      <c r="W679" s="191" t="s">
        <v>4092</v>
      </c>
      <c r="X679" s="195">
        <v>0.3125</v>
      </c>
      <c r="Y679" s="420">
        <v>0.39583333333333331</v>
      </c>
      <c r="Z679" s="233" t="s">
        <v>622</v>
      </c>
      <c r="AB679" s="224">
        <v>202500748</v>
      </c>
    </row>
    <row r="680" spans="1:28">
      <c r="B680" s="13" t="str">
        <f t="shared" si="458"/>
        <v>Pendente</v>
      </c>
      <c r="C680" s="14" t="str">
        <f t="shared" si="459"/>
        <v/>
      </c>
      <c r="D680" s="13" t="s">
        <v>611</v>
      </c>
      <c r="E680" s="14" t="str">
        <f t="shared" si="455"/>
        <v/>
      </c>
      <c r="F680" s="13" t="s">
        <v>611</v>
      </c>
      <c r="G680" s="191">
        <v>202500748</v>
      </c>
      <c r="H680" s="191" t="s">
        <v>6306</v>
      </c>
      <c r="I680" s="191" t="s">
        <v>613</v>
      </c>
      <c r="J680" s="192">
        <v>45915</v>
      </c>
      <c r="K680" s="192">
        <v>46275</v>
      </c>
      <c r="L680" s="191" t="s">
        <v>672</v>
      </c>
      <c r="M680" s="193" t="s">
        <v>1504</v>
      </c>
      <c r="N680" s="13" t="s">
        <v>1505</v>
      </c>
      <c r="O680" s="17" t="s">
        <v>6307</v>
      </c>
      <c r="P680" s="314" t="s">
        <v>482</v>
      </c>
      <c r="Q680" s="13" t="s">
        <v>618</v>
      </c>
      <c r="R680" s="246" t="str">
        <f>VLOOKUP(P680,'Dados das Regiões '!A:B,2,0)</f>
        <v>TOLEDO</v>
      </c>
      <c r="S680" s="191" t="s">
        <v>1507</v>
      </c>
      <c r="U680" s="191" t="s">
        <v>1508</v>
      </c>
      <c r="V680" s="191" t="s">
        <v>6308</v>
      </c>
      <c r="W680" s="191" t="s">
        <v>5488</v>
      </c>
      <c r="X680" s="195">
        <v>0.3125</v>
      </c>
      <c r="Y680" s="420">
        <v>0.39583333333333331</v>
      </c>
      <c r="Z680" s="233" t="s">
        <v>622</v>
      </c>
      <c r="AB680" s="225">
        <v>202500748</v>
      </c>
    </row>
    <row r="681" spans="1:28">
      <c r="A681" s="14">
        <v>45965</v>
      </c>
      <c r="B681" s="13" t="str">
        <f t="shared" si="458"/>
        <v>Realizada</v>
      </c>
      <c r="C681" s="14">
        <f t="shared" si="459"/>
        <v>46057</v>
      </c>
      <c r="D681" s="13" t="s">
        <v>611</v>
      </c>
      <c r="E681" s="14">
        <f t="shared" si="455"/>
        <v>46146</v>
      </c>
      <c r="F681" s="13" t="s">
        <v>611</v>
      </c>
      <c r="G681" s="191">
        <v>202500748</v>
      </c>
      <c r="H681" s="191" t="s">
        <v>6309</v>
      </c>
      <c r="I681" s="191" t="s">
        <v>613</v>
      </c>
      <c r="J681" s="192">
        <v>45915</v>
      </c>
      <c r="K681" s="192">
        <v>46275</v>
      </c>
      <c r="L681" s="191" t="s">
        <v>672</v>
      </c>
      <c r="M681" s="193" t="s">
        <v>1529</v>
      </c>
      <c r="N681" s="17" t="s">
        <v>1530</v>
      </c>
      <c r="O681" s="17" t="s">
        <v>1531</v>
      </c>
      <c r="P681" s="314" t="s">
        <v>287</v>
      </c>
      <c r="Q681" s="13" t="s">
        <v>618</v>
      </c>
      <c r="R681" s="246" t="str">
        <f>VLOOKUP(P681,'Dados das Regiões '!A:B,2,0)</f>
        <v>GUARAPUAVA</v>
      </c>
      <c r="S681" s="191" t="s">
        <v>1532</v>
      </c>
      <c r="U681" s="191" t="s">
        <v>1533</v>
      </c>
      <c r="V681" s="191" t="s">
        <v>1533</v>
      </c>
      <c r="W681" s="191" t="s">
        <v>1534</v>
      </c>
      <c r="X681" s="195">
        <v>0.5625</v>
      </c>
      <c r="Y681" s="420">
        <v>0.64583333333333337</v>
      </c>
      <c r="Z681" s="233" t="s">
        <v>622</v>
      </c>
      <c r="AB681" s="224">
        <v>202500748</v>
      </c>
    </row>
    <row r="682" spans="1:28">
      <c r="B682" s="13" t="str">
        <f t="shared" si="458"/>
        <v>Pendente</v>
      </c>
      <c r="C682" s="14" t="str">
        <f t="shared" si="459"/>
        <v/>
      </c>
      <c r="D682" s="13" t="s">
        <v>611</v>
      </c>
      <c r="E682" s="14" t="str">
        <f t="shared" ref="E682:E745" si="460">IF(C682="", "", EDATE(C682, 3))</f>
        <v/>
      </c>
      <c r="F682" s="13" t="s">
        <v>611</v>
      </c>
      <c r="G682" s="191">
        <v>202500748</v>
      </c>
      <c r="H682" s="191" t="s">
        <v>6310</v>
      </c>
      <c r="I682" s="191" t="s">
        <v>613</v>
      </c>
      <c r="J682" s="192">
        <v>45915</v>
      </c>
      <c r="K682" s="192">
        <v>46275</v>
      </c>
      <c r="L682" s="191" t="s">
        <v>672</v>
      </c>
      <c r="M682" s="193" t="s">
        <v>1492</v>
      </c>
      <c r="N682" s="49" t="s">
        <v>1493</v>
      </c>
      <c r="O682" s="394" t="s">
        <v>1494</v>
      </c>
      <c r="P682" s="314" t="s">
        <v>145</v>
      </c>
      <c r="Q682" s="13" t="s">
        <v>618</v>
      </c>
      <c r="R682" s="246" t="str">
        <f>VLOOKUP(P682,'Dados das Regiões '!A:B,2,0)</f>
        <v>CAMPO MOURÃO</v>
      </c>
      <c r="S682" s="191" t="s">
        <v>1495</v>
      </c>
      <c r="U682" s="191" t="s">
        <v>1497</v>
      </c>
      <c r="V682" s="191" t="s">
        <v>1497</v>
      </c>
      <c r="W682" s="191" t="s">
        <v>4742</v>
      </c>
      <c r="X682" s="195">
        <v>0.3125</v>
      </c>
      <c r="Y682" s="420">
        <v>0.39583333333333331</v>
      </c>
      <c r="Z682" s="233" t="s">
        <v>622</v>
      </c>
      <c r="AB682" s="225">
        <v>202500748</v>
      </c>
    </row>
    <row r="683" spans="1:28">
      <c r="B683" s="13" t="str">
        <f t="shared" si="458"/>
        <v>Pendente</v>
      </c>
      <c r="C683" s="14" t="str">
        <f t="shared" si="459"/>
        <v/>
      </c>
      <c r="D683" s="13" t="s">
        <v>611</v>
      </c>
      <c r="E683" s="14" t="str">
        <f t="shared" si="460"/>
        <v/>
      </c>
      <c r="F683" s="13" t="s">
        <v>611</v>
      </c>
      <c r="G683" s="191">
        <v>202500748</v>
      </c>
      <c r="H683" s="191" t="s">
        <v>6311</v>
      </c>
      <c r="I683" s="191" t="s">
        <v>613</v>
      </c>
      <c r="J683" s="192">
        <v>45915</v>
      </c>
      <c r="K683" s="192">
        <v>46275</v>
      </c>
      <c r="L683" s="191" t="s">
        <v>672</v>
      </c>
      <c r="M683" s="193" t="s">
        <v>1011</v>
      </c>
      <c r="N683" s="13" t="s">
        <v>1012</v>
      </c>
      <c r="O683" s="197" t="s">
        <v>1013</v>
      </c>
      <c r="P683" s="314" t="s">
        <v>408</v>
      </c>
      <c r="Q683" s="13" t="s">
        <v>618</v>
      </c>
      <c r="R683" s="246" t="str">
        <f>VLOOKUP(P683,'Dados das Regiões '!A:B,2,0)</f>
        <v>PALMAS</v>
      </c>
      <c r="S683" s="191" t="s">
        <v>1481</v>
      </c>
      <c r="U683" s="191" t="s">
        <v>999</v>
      </c>
      <c r="V683" s="191" t="s">
        <v>999</v>
      </c>
      <c r="W683" s="191" t="s">
        <v>1482</v>
      </c>
      <c r="X683" s="195">
        <v>0.5625</v>
      </c>
      <c r="Y683" s="420">
        <v>0.64583333333333337</v>
      </c>
      <c r="Z683" s="233" t="s">
        <v>622</v>
      </c>
      <c r="AB683" s="224">
        <v>202500748</v>
      </c>
    </row>
    <row r="684" spans="1:28">
      <c r="B684" s="13" t="str">
        <f t="shared" si="458"/>
        <v>Pendente</v>
      </c>
      <c r="C684" s="14" t="str">
        <f t="shared" si="459"/>
        <v/>
      </c>
      <c r="D684" s="13" t="s">
        <v>611</v>
      </c>
      <c r="E684" s="14" t="str">
        <f t="shared" si="460"/>
        <v/>
      </c>
      <c r="F684" s="13" t="s">
        <v>611</v>
      </c>
      <c r="G684" s="191">
        <v>202500748</v>
      </c>
      <c r="H684" s="191" t="s">
        <v>6312</v>
      </c>
      <c r="I684" s="191" t="s">
        <v>613</v>
      </c>
      <c r="J684" s="192">
        <v>45915</v>
      </c>
      <c r="K684" s="192">
        <v>46275</v>
      </c>
      <c r="L684" s="191" t="s">
        <v>682</v>
      </c>
      <c r="M684" s="193" t="s">
        <v>6313</v>
      </c>
      <c r="N684" s="13" t="s">
        <v>6314</v>
      </c>
      <c r="O684" s="17" t="s">
        <v>6315</v>
      </c>
      <c r="P684" s="314" t="s">
        <v>216</v>
      </c>
      <c r="Q684" s="13" t="s">
        <v>618</v>
      </c>
      <c r="R684" s="246" t="str">
        <f>VLOOKUP(P684,'Dados das Regiões '!A:B,2,0)</f>
        <v>CASTRO</v>
      </c>
      <c r="S684" s="191" t="s">
        <v>6316</v>
      </c>
      <c r="U684" s="191" t="s">
        <v>6317</v>
      </c>
      <c r="V684" s="191" t="s">
        <v>6318</v>
      </c>
      <c r="W684" s="191" t="s">
        <v>6319</v>
      </c>
      <c r="X684" s="195">
        <v>0.5625</v>
      </c>
      <c r="Y684" s="420">
        <v>0.64583333333333337</v>
      </c>
      <c r="Z684" s="233" t="s">
        <v>622</v>
      </c>
      <c r="AB684" s="225">
        <v>202500748</v>
      </c>
    </row>
    <row r="685" spans="1:28">
      <c r="B685" s="13" t="str">
        <f t="shared" si="458"/>
        <v>Pendente</v>
      </c>
      <c r="C685" s="14" t="str">
        <f t="shared" si="459"/>
        <v/>
      </c>
      <c r="D685" s="13" t="s">
        <v>611</v>
      </c>
      <c r="E685" s="14" t="str">
        <f t="shared" si="460"/>
        <v/>
      </c>
      <c r="F685" s="13" t="s">
        <v>611</v>
      </c>
      <c r="G685" s="191">
        <v>202500748</v>
      </c>
      <c r="H685" s="191" t="s">
        <v>6320</v>
      </c>
      <c r="I685" s="191" t="s">
        <v>613</v>
      </c>
      <c r="J685" s="192">
        <v>45915</v>
      </c>
      <c r="K685" s="192">
        <v>46275</v>
      </c>
      <c r="L685" s="191" t="s">
        <v>5103</v>
      </c>
      <c r="M685" s="193" t="s">
        <v>6321</v>
      </c>
      <c r="N685" s="397" t="s">
        <v>6322</v>
      </c>
      <c r="O685" s="398" t="s">
        <v>6323</v>
      </c>
      <c r="P685" s="314" t="s">
        <v>176</v>
      </c>
      <c r="Q685" s="13" t="s">
        <v>618</v>
      </c>
      <c r="R685" s="246" t="str">
        <f>VLOOKUP(P685,'Dados das Regiões '!A:B,2,0)</f>
        <v>CAMPO MOURÃO</v>
      </c>
      <c r="S685" s="191" t="s">
        <v>6324</v>
      </c>
      <c r="U685" s="191"/>
      <c r="V685" s="191" t="s">
        <v>6325</v>
      </c>
      <c r="W685" s="191" t="s">
        <v>6326</v>
      </c>
      <c r="X685" s="195">
        <v>0.3125</v>
      </c>
      <c r="Y685" s="420">
        <v>0.39583333333333331</v>
      </c>
      <c r="Z685" s="233" t="s">
        <v>622</v>
      </c>
      <c r="AB685" s="224">
        <v>202500748</v>
      </c>
    </row>
    <row r="686" spans="1:28">
      <c r="B686" s="13" t="str">
        <f t="shared" si="458"/>
        <v>Pendente</v>
      </c>
      <c r="C686" s="14" t="str">
        <f t="shared" si="459"/>
        <v/>
      </c>
      <c r="D686" s="13" t="s">
        <v>611</v>
      </c>
      <c r="E686" s="14" t="str">
        <f t="shared" si="460"/>
        <v/>
      </c>
      <c r="F686" s="13" t="s">
        <v>611</v>
      </c>
      <c r="G686" s="191">
        <v>202500748</v>
      </c>
      <c r="H686" s="191" t="s">
        <v>6327</v>
      </c>
      <c r="I686" s="191" t="s">
        <v>613</v>
      </c>
      <c r="J686" s="192">
        <v>45915</v>
      </c>
      <c r="K686" s="192">
        <v>46275</v>
      </c>
      <c r="L686" s="191" t="s">
        <v>5103</v>
      </c>
      <c r="M686" s="193" t="s">
        <v>6328</v>
      </c>
      <c r="N686" s="13" t="s">
        <v>6329</v>
      </c>
      <c r="O686" s="17" t="s">
        <v>6330</v>
      </c>
      <c r="P686" s="314" t="s">
        <v>53</v>
      </c>
      <c r="Q686" s="13" t="s">
        <v>618</v>
      </c>
      <c r="R686" s="246" t="str">
        <f>VLOOKUP(P686,'Dados das Regiões '!A:B,2,0)</f>
        <v>GOIOERÊ</v>
      </c>
      <c r="S686" s="191" t="s">
        <v>6331</v>
      </c>
      <c r="U686" s="191" t="s">
        <v>6332</v>
      </c>
      <c r="V686" s="191" t="s">
        <v>6332</v>
      </c>
      <c r="W686" s="191" t="s">
        <v>6333</v>
      </c>
      <c r="X686" s="195">
        <v>0.3125</v>
      </c>
      <c r="Y686" s="420">
        <v>0.39583333333333331</v>
      </c>
      <c r="Z686" s="233" t="s">
        <v>622</v>
      </c>
      <c r="AB686" s="225">
        <v>202500748</v>
      </c>
    </row>
    <row r="687" spans="1:28">
      <c r="A687" s="14">
        <v>45988</v>
      </c>
      <c r="B687" s="13" t="str">
        <f t="shared" si="458"/>
        <v>Realizada</v>
      </c>
      <c r="C687" s="14">
        <f t="shared" si="459"/>
        <v>46080</v>
      </c>
      <c r="D687" s="13" t="s">
        <v>611</v>
      </c>
      <c r="E687" s="14">
        <f t="shared" si="460"/>
        <v>46169</v>
      </c>
      <c r="F687" s="13" t="s">
        <v>611</v>
      </c>
      <c r="G687" s="191">
        <v>202500748</v>
      </c>
      <c r="H687" s="191" t="s">
        <v>6334</v>
      </c>
      <c r="I687" s="191" t="s">
        <v>613</v>
      </c>
      <c r="J687" s="192">
        <v>45915</v>
      </c>
      <c r="K687" s="192">
        <v>46275</v>
      </c>
      <c r="L687" s="191" t="s">
        <v>1399</v>
      </c>
      <c r="M687" s="193" t="s">
        <v>6335</v>
      </c>
      <c r="N687" s="13" t="s">
        <v>6336</v>
      </c>
      <c r="O687" s="17" t="s">
        <v>6337</v>
      </c>
      <c r="P687" s="314" t="s">
        <v>295</v>
      </c>
      <c r="Q687" s="13" t="s">
        <v>618</v>
      </c>
      <c r="R687" s="246" t="str">
        <f>VLOOKUP(P687,'Dados das Regiões '!A:B,2,0)</f>
        <v>GUARAPUAVA</v>
      </c>
      <c r="S687" s="191" t="s">
        <v>6338</v>
      </c>
      <c r="U687" s="191" t="s">
        <v>6339</v>
      </c>
      <c r="V687" s="191" t="s">
        <v>6339</v>
      </c>
      <c r="W687" s="191" t="s">
        <v>6340</v>
      </c>
      <c r="X687" s="195">
        <v>0.5625</v>
      </c>
      <c r="Y687" s="420">
        <v>0.64583333333333337</v>
      </c>
      <c r="Z687" s="233" t="s">
        <v>622</v>
      </c>
      <c r="AB687" s="224">
        <v>202500748</v>
      </c>
    </row>
    <row r="688" spans="1:28">
      <c r="B688" s="13" t="str">
        <f t="shared" si="458"/>
        <v>Pendente</v>
      </c>
      <c r="C688" s="14" t="str">
        <f t="shared" si="459"/>
        <v/>
      </c>
      <c r="D688" s="13" t="s">
        <v>611</v>
      </c>
      <c r="E688" s="14" t="str">
        <f t="shared" si="460"/>
        <v/>
      </c>
      <c r="F688" s="13" t="s">
        <v>611</v>
      </c>
      <c r="G688" s="191">
        <v>202500748</v>
      </c>
      <c r="H688" s="191" t="s">
        <v>6341</v>
      </c>
      <c r="I688" s="191" t="s">
        <v>613</v>
      </c>
      <c r="J688" s="192">
        <v>45915</v>
      </c>
      <c r="K688" s="192">
        <v>46275</v>
      </c>
      <c r="L688" s="191" t="s">
        <v>682</v>
      </c>
      <c r="M688" s="193" t="s">
        <v>6342</v>
      </c>
      <c r="N688" s="13" t="s">
        <v>5316</v>
      </c>
      <c r="O688" s="17" t="s">
        <v>6343</v>
      </c>
      <c r="P688" s="314" t="s">
        <v>218</v>
      </c>
      <c r="Q688" s="13" t="s">
        <v>618</v>
      </c>
      <c r="R688" s="246" t="str">
        <f>VLOOKUP(P688,'Dados das Regiões '!A:B,2,0)</f>
        <v>CORNÉLIO PROCÓPIO</v>
      </c>
      <c r="S688" s="191" t="s">
        <v>5318</v>
      </c>
      <c r="U688" s="191" t="s">
        <v>5319</v>
      </c>
      <c r="V688" s="191" t="s">
        <v>5320</v>
      </c>
      <c r="W688" s="191" t="s">
        <v>5321</v>
      </c>
      <c r="X688" s="195">
        <v>0.5625</v>
      </c>
      <c r="Y688" s="420">
        <v>0.64583333333333337</v>
      </c>
      <c r="Z688" s="233" t="s">
        <v>622</v>
      </c>
      <c r="AB688" s="225">
        <v>202500748</v>
      </c>
    </row>
    <row r="689" spans="1:28">
      <c r="B689" s="13" t="str">
        <f t="shared" si="458"/>
        <v>Pendente</v>
      </c>
      <c r="C689" s="14" t="str">
        <f t="shared" si="459"/>
        <v/>
      </c>
      <c r="D689" s="13" t="s">
        <v>611</v>
      </c>
      <c r="E689" s="14" t="str">
        <f t="shared" si="460"/>
        <v/>
      </c>
      <c r="F689" s="13" t="s">
        <v>611</v>
      </c>
      <c r="G689" s="191">
        <v>202500748</v>
      </c>
      <c r="H689" s="191" t="s">
        <v>6344</v>
      </c>
      <c r="I689" s="191" t="s">
        <v>613</v>
      </c>
      <c r="J689" s="192">
        <v>45915</v>
      </c>
      <c r="K689" s="192">
        <v>46275</v>
      </c>
      <c r="L689" s="191" t="s">
        <v>672</v>
      </c>
      <c r="M689" s="193" t="s">
        <v>5526</v>
      </c>
      <c r="N689" s="13" t="s">
        <v>5187</v>
      </c>
      <c r="O689" s="197" t="s">
        <v>5527</v>
      </c>
      <c r="P689" s="314" t="s">
        <v>185</v>
      </c>
      <c r="Q689" s="13" t="s">
        <v>618</v>
      </c>
      <c r="R689" s="246" t="str">
        <f>VLOOKUP(P689,'Dados das Regiões '!A:B,2,0)</f>
        <v>CASCAVEL</v>
      </c>
      <c r="S689" s="191" t="s">
        <v>1523</v>
      </c>
      <c r="U689" s="191" t="s">
        <v>1524</v>
      </c>
      <c r="V689" s="191" t="s">
        <v>5528</v>
      </c>
      <c r="W689" s="191" t="s">
        <v>1526</v>
      </c>
      <c r="X689" s="195">
        <v>0.39583333333333331</v>
      </c>
      <c r="Y689" s="420">
        <v>0.3125</v>
      </c>
      <c r="Z689" s="233" t="s">
        <v>622</v>
      </c>
      <c r="AB689" s="224">
        <v>202500748</v>
      </c>
    </row>
    <row r="690" spans="1:28">
      <c r="A690" s="14">
        <v>45995</v>
      </c>
      <c r="B690" s="13" t="str">
        <f t="shared" si="458"/>
        <v>Realizada</v>
      </c>
      <c r="C690" s="14">
        <f t="shared" si="459"/>
        <v>46085</v>
      </c>
      <c r="D690" s="13" t="s">
        <v>611</v>
      </c>
      <c r="E690" s="14">
        <f t="shared" si="460"/>
        <v>46177</v>
      </c>
      <c r="F690" s="13" t="s">
        <v>611</v>
      </c>
      <c r="G690" s="191">
        <v>202500748</v>
      </c>
      <c r="H690" s="191" t="s">
        <v>6345</v>
      </c>
      <c r="I690" s="191" t="s">
        <v>613</v>
      </c>
      <c r="J690" s="192">
        <v>45915</v>
      </c>
      <c r="K690" s="192">
        <v>46275</v>
      </c>
      <c r="L690" s="191" t="s">
        <v>672</v>
      </c>
      <c r="M690" s="193" t="s">
        <v>1537</v>
      </c>
      <c r="N690" s="13" t="s">
        <v>1538</v>
      </c>
      <c r="O690" s="13" t="s">
        <v>1539</v>
      </c>
      <c r="P690" s="314" t="s">
        <v>284</v>
      </c>
      <c r="Q690" s="13" t="s">
        <v>618</v>
      </c>
      <c r="R690" s="246" t="str">
        <f>VLOOKUP(P690,'Dados das Regiões '!A:B,2,0)</f>
        <v>GUARAPUAVA</v>
      </c>
      <c r="S690" s="191" t="s">
        <v>1540</v>
      </c>
      <c r="U690" s="191" t="s">
        <v>1541</v>
      </c>
      <c r="V690" s="191" t="s">
        <v>6346</v>
      </c>
      <c r="W690" s="191" t="s">
        <v>1543</v>
      </c>
      <c r="X690" s="195">
        <v>0.5625</v>
      </c>
      <c r="Y690" s="420">
        <v>0.64583333333333337</v>
      </c>
      <c r="Z690" s="233" t="s">
        <v>622</v>
      </c>
      <c r="AB690" s="225">
        <v>202500748</v>
      </c>
    </row>
    <row r="691" spans="1:28">
      <c r="B691" s="13" t="str">
        <f t="shared" si="458"/>
        <v>Pendente</v>
      </c>
      <c r="C691" s="14" t="str">
        <f t="shared" si="459"/>
        <v/>
      </c>
      <c r="D691" s="13" t="s">
        <v>611</v>
      </c>
      <c r="E691" s="14" t="str">
        <f t="shared" si="460"/>
        <v/>
      </c>
      <c r="F691" s="13" t="s">
        <v>611</v>
      </c>
      <c r="G691" s="191">
        <v>202500748</v>
      </c>
      <c r="H691" s="191" t="s">
        <v>6347</v>
      </c>
      <c r="I691" s="191" t="s">
        <v>613</v>
      </c>
      <c r="J691" s="192">
        <v>45915</v>
      </c>
      <c r="K691" s="192">
        <v>46275</v>
      </c>
      <c r="L691" s="191" t="s">
        <v>682</v>
      </c>
      <c r="M691" s="193" t="s">
        <v>6348</v>
      </c>
      <c r="N691" s="13" t="s">
        <v>6314</v>
      </c>
      <c r="O691" s="17" t="s">
        <v>6349</v>
      </c>
      <c r="P691" s="314" t="s">
        <v>216</v>
      </c>
      <c r="Q691" s="13" t="s">
        <v>618</v>
      </c>
      <c r="R691" s="246" t="str">
        <f>VLOOKUP(P691,'Dados das Regiões '!A:B,2,0)</f>
        <v>CASTRO</v>
      </c>
      <c r="S691" s="191" t="s">
        <v>6316</v>
      </c>
      <c r="U691" s="191" t="s">
        <v>6318</v>
      </c>
      <c r="V691" s="191" t="s">
        <v>6318</v>
      </c>
      <c r="W691" s="191" t="s">
        <v>6319</v>
      </c>
      <c r="X691" s="195">
        <v>0.5625</v>
      </c>
      <c r="Y691" s="420">
        <v>0.64583333333333337</v>
      </c>
      <c r="Z691" s="233" t="s">
        <v>622</v>
      </c>
      <c r="AB691" s="224">
        <v>202500748</v>
      </c>
    </row>
    <row r="692" spans="1:28">
      <c r="B692" s="13" t="str">
        <f t="shared" si="458"/>
        <v>Pendente</v>
      </c>
      <c r="C692" s="14" t="str">
        <f t="shared" si="459"/>
        <v/>
      </c>
      <c r="D692" s="13" t="s">
        <v>611</v>
      </c>
      <c r="E692" s="14" t="str">
        <f t="shared" si="460"/>
        <v/>
      </c>
      <c r="F692" s="13" t="s">
        <v>611</v>
      </c>
      <c r="G692" s="191">
        <v>202500748</v>
      </c>
      <c r="H692" s="191" t="s">
        <v>6350</v>
      </c>
      <c r="I692" s="191" t="s">
        <v>613</v>
      </c>
      <c r="J692" s="192">
        <v>45915</v>
      </c>
      <c r="K692" s="192">
        <v>46275</v>
      </c>
      <c r="L692" s="191" t="s">
        <v>672</v>
      </c>
      <c r="M692" s="193" t="s">
        <v>938</v>
      </c>
      <c r="N692" s="13" t="s">
        <v>939</v>
      </c>
      <c r="O692" s="197" t="s">
        <v>940</v>
      </c>
      <c r="P692" s="314" t="s">
        <v>311</v>
      </c>
      <c r="Q692" s="13" t="s">
        <v>618</v>
      </c>
      <c r="R692" s="246" t="str">
        <f>VLOOKUP(P692,'Dados das Regiões '!A:B,2,0)</f>
        <v>IVAIPORÃ</v>
      </c>
      <c r="S692" s="191" t="s">
        <v>941</v>
      </c>
      <c r="U692" s="191" t="s">
        <v>6351</v>
      </c>
      <c r="V692" s="191" t="s">
        <v>6351</v>
      </c>
      <c r="W692" s="191" t="s">
        <v>944</v>
      </c>
      <c r="X692" s="195">
        <v>0.3125</v>
      </c>
      <c r="Y692" s="420">
        <v>0.39583333333333331</v>
      </c>
      <c r="Z692" s="233" t="s">
        <v>622</v>
      </c>
      <c r="AB692" s="225">
        <v>202500748</v>
      </c>
    </row>
    <row r="693" spans="1:28">
      <c r="B693" s="13" t="str">
        <f t="shared" si="458"/>
        <v>Pendente</v>
      </c>
      <c r="C693" s="14" t="str">
        <f t="shared" si="459"/>
        <v/>
      </c>
      <c r="D693" s="13" t="s">
        <v>611</v>
      </c>
      <c r="E693" s="14" t="str">
        <f t="shared" si="460"/>
        <v/>
      </c>
      <c r="F693" s="13" t="s">
        <v>611</v>
      </c>
      <c r="G693" s="191">
        <v>202500748</v>
      </c>
      <c r="H693" s="191" t="s">
        <v>6352</v>
      </c>
      <c r="I693" s="191" t="s">
        <v>613</v>
      </c>
      <c r="J693" s="192">
        <v>45915</v>
      </c>
      <c r="K693" s="192">
        <v>46275</v>
      </c>
      <c r="L693" s="191" t="s">
        <v>672</v>
      </c>
      <c r="M693" s="193" t="s">
        <v>1520</v>
      </c>
      <c r="N693" s="13" t="s">
        <v>1521</v>
      </c>
      <c r="O693" s="197" t="s">
        <v>1522</v>
      </c>
      <c r="P693" s="314" t="s">
        <v>178</v>
      </c>
      <c r="Q693" s="13" t="s">
        <v>618</v>
      </c>
      <c r="R693" s="246" t="str">
        <f>VLOOKUP(P693,'Dados das Regiões '!A:B,2,0)</f>
        <v>CASCAVEL</v>
      </c>
      <c r="S693" s="191" t="s">
        <v>1523</v>
      </c>
      <c r="U693" s="191" t="s">
        <v>1524</v>
      </c>
      <c r="V693" s="191" t="s">
        <v>5528</v>
      </c>
      <c r="W693" s="191" t="s">
        <v>1526</v>
      </c>
      <c r="X693" s="195">
        <v>0.3125</v>
      </c>
      <c r="Y693" s="420">
        <v>0.39583333333333331</v>
      </c>
      <c r="Z693" s="233" t="s">
        <v>622</v>
      </c>
      <c r="AB693" s="224">
        <v>202500748</v>
      </c>
    </row>
    <row r="694" spans="1:28">
      <c r="B694" s="13" t="str">
        <f t="shared" si="458"/>
        <v>Pendente</v>
      </c>
      <c r="C694" s="14" t="str">
        <f t="shared" si="459"/>
        <v/>
      </c>
      <c r="D694" s="13" t="s">
        <v>611</v>
      </c>
      <c r="E694" s="14" t="str">
        <f t="shared" si="460"/>
        <v/>
      </c>
      <c r="F694" s="13" t="s">
        <v>611</v>
      </c>
      <c r="G694" s="191">
        <v>202500748</v>
      </c>
      <c r="H694" s="191" t="s">
        <v>6353</v>
      </c>
      <c r="I694" s="191" t="s">
        <v>613</v>
      </c>
      <c r="J694" s="192">
        <v>45915</v>
      </c>
      <c r="K694" s="192">
        <v>46275</v>
      </c>
      <c r="L694" s="191" t="s">
        <v>672</v>
      </c>
      <c r="M694" s="193" t="s">
        <v>1471</v>
      </c>
      <c r="N694" s="13" t="s">
        <v>1472</v>
      </c>
      <c r="O694" s="197" t="s">
        <v>1473</v>
      </c>
      <c r="P694" s="314" t="s">
        <v>354</v>
      </c>
      <c r="Q694" s="13" t="s">
        <v>618</v>
      </c>
      <c r="R694" s="246" t="str">
        <f>VLOOKUP(P694,'Dados das Regiões '!A:B,2,0)</f>
        <v>MARECHAL CÂNDIDO RONDON</v>
      </c>
      <c r="S694" s="191" t="s">
        <v>1474</v>
      </c>
      <c r="U694" s="191" t="s">
        <v>1475</v>
      </c>
      <c r="V694" s="191" t="s">
        <v>1476</v>
      </c>
      <c r="W694" s="191" t="s">
        <v>1477</v>
      </c>
      <c r="X694" s="195">
        <v>0.3125</v>
      </c>
      <c r="Y694" s="420">
        <v>0.39583333333333331</v>
      </c>
      <c r="Z694" s="233" t="s">
        <v>622</v>
      </c>
      <c r="AB694" s="225">
        <v>202500748</v>
      </c>
    </row>
    <row r="695" spans="1:28">
      <c r="B695" s="13" t="str">
        <f t="shared" si="458"/>
        <v>Pendente</v>
      </c>
      <c r="C695" s="14" t="str">
        <f t="shared" si="459"/>
        <v/>
      </c>
      <c r="D695" s="13" t="s">
        <v>611</v>
      </c>
      <c r="E695" s="14" t="str">
        <f t="shared" si="460"/>
        <v/>
      </c>
      <c r="F695" s="13" t="s">
        <v>611</v>
      </c>
      <c r="G695" s="191">
        <v>202500748</v>
      </c>
      <c r="H695" s="191" t="s">
        <v>6354</v>
      </c>
      <c r="I695" s="191" t="s">
        <v>613</v>
      </c>
      <c r="J695" s="192">
        <v>45915</v>
      </c>
      <c r="K695" s="192">
        <v>46275</v>
      </c>
      <c r="L695" s="191" t="s">
        <v>672</v>
      </c>
      <c r="M695" s="193" t="s">
        <v>1471</v>
      </c>
      <c r="N695" s="13" t="s">
        <v>1472</v>
      </c>
      <c r="O695" s="197" t="s">
        <v>1473</v>
      </c>
      <c r="P695" s="314" t="s">
        <v>354</v>
      </c>
      <c r="Q695" s="13" t="s">
        <v>618</v>
      </c>
      <c r="R695" s="246" t="str">
        <f>VLOOKUP(P695,'Dados das Regiões '!A:B,2,0)</f>
        <v>MARECHAL CÂNDIDO RONDON</v>
      </c>
      <c r="S695" s="191" t="s">
        <v>1474</v>
      </c>
      <c r="U695" s="191" t="s">
        <v>1475</v>
      </c>
      <c r="V695" s="191" t="s">
        <v>1476</v>
      </c>
      <c r="W695" s="191" t="s">
        <v>1477</v>
      </c>
      <c r="X695" s="195">
        <v>0.3125</v>
      </c>
      <c r="Y695" s="420">
        <v>0.39583333333333331</v>
      </c>
      <c r="Z695" s="233" t="s">
        <v>622</v>
      </c>
      <c r="AB695" s="224">
        <v>202500748</v>
      </c>
    </row>
    <row r="696" spans="1:28">
      <c r="B696" s="13" t="str">
        <f t="shared" si="458"/>
        <v>Pendente</v>
      </c>
      <c r="C696" s="14" t="str">
        <f t="shared" si="459"/>
        <v/>
      </c>
      <c r="D696" s="13" t="s">
        <v>611</v>
      </c>
      <c r="E696" s="14" t="str">
        <f t="shared" si="460"/>
        <v/>
      </c>
      <c r="F696" s="13" t="s">
        <v>611</v>
      </c>
      <c r="G696" s="191">
        <v>202500748</v>
      </c>
      <c r="H696" s="191" t="s">
        <v>6355</v>
      </c>
      <c r="I696" s="191" t="s">
        <v>613</v>
      </c>
      <c r="J696" s="192">
        <v>45915</v>
      </c>
      <c r="K696" s="192">
        <v>46275</v>
      </c>
      <c r="L696" s="191" t="s">
        <v>672</v>
      </c>
      <c r="M696" s="193" t="s">
        <v>1484</v>
      </c>
      <c r="N696" s="49" t="s">
        <v>1485</v>
      </c>
      <c r="O696" s="49" t="s">
        <v>1486</v>
      </c>
      <c r="P696" s="314" t="s">
        <v>169</v>
      </c>
      <c r="Q696" s="13" t="s">
        <v>618</v>
      </c>
      <c r="R696" s="246" t="str">
        <f>VLOOKUP(P696,'Dados das Regiões '!A:B,2,0)</f>
        <v>CAMPO MOURÃO</v>
      </c>
      <c r="S696" s="191" t="s">
        <v>4164</v>
      </c>
      <c r="U696" s="191" t="s">
        <v>1488</v>
      </c>
      <c r="V696" s="191" t="s">
        <v>4825</v>
      </c>
      <c r="W696" s="191" t="s">
        <v>4166</v>
      </c>
      <c r="X696" s="195">
        <v>0.5625</v>
      </c>
      <c r="Y696" s="420">
        <v>0.64583333333333337</v>
      </c>
      <c r="Z696" s="233" t="s">
        <v>622</v>
      </c>
      <c r="AB696" s="225">
        <v>202500999</v>
      </c>
    </row>
    <row r="697" spans="1:28">
      <c r="B697" s="13" t="str">
        <f t="shared" si="458"/>
        <v>Pendente</v>
      </c>
      <c r="C697" s="14" t="str">
        <f t="shared" si="459"/>
        <v/>
      </c>
      <c r="D697" s="13" t="s">
        <v>611</v>
      </c>
      <c r="E697" s="14" t="str">
        <f t="shared" si="460"/>
        <v/>
      </c>
      <c r="F697" s="13" t="s">
        <v>611</v>
      </c>
      <c r="G697" s="191">
        <v>202500999</v>
      </c>
      <c r="H697" s="191" t="s">
        <v>6356</v>
      </c>
      <c r="I697" s="191" t="s">
        <v>613</v>
      </c>
      <c r="J697" s="192">
        <v>45915</v>
      </c>
      <c r="K697" s="192">
        <v>46275</v>
      </c>
      <c r="L697" s="191" t="s">
        <v>632</v>
      </c>
      <c r="M697" s="193" t="s">
        <v>1722</v>
      </c>
      <c r="N697" s="13" t="s">
        <v>1723</v>
      </c>
      <c r="O697" s="17" t="s">
        <v>6357</v>
      </c>
      <c r="P697" s="314" t="s">
        <v>405</v>
      </c>
      <c r="Q697" s="13" t="s">
        <v>618</v>
      </c>
      <c r="R697" s="246" t="str">
        <f>VLOOKUP(P697,'Dados das Regiões '!A:B,2,0)</f>
        <v>NOVA LONDRINA</v>
      </c>
      <c r="S697" s="191" t="s">
        <v>6358</v>
      </c>
      <c r="U697" s="191" t="s">
        <v>6359</v>
      </c>
      <c r="V697" s="191" t="s">
        <v>6359</v>
      </c>
      <c r="W697" s="191" t="s">
        <v>6360</v>
      </c>
      <c r="X697" s="195">
        <v>0.41666666666666669</v>
      </c>
      <c r="Y697" s="420">
        <v>0.33333333333333331</v>
      </c>
      <c r="Z697" s="233" t="s">
        <v>622</v>
      </c>
      <c r="AB697" s="224">
        <v>202500999</v>
      </c>
    </row>
    <row r="698" spans="1:28">
      <c r="B698" s="13" t="str">
        <f t="shared" si="458"/>
        <v>Pendente</v>
      </c>
      <c r="C698" s="14" t="str">
        <f t="shared" si="459"/>
        <v/>
      </c>
      <c r="D698" s="13" t="s">
        <v>611</v>
      </c>
      <c r="E698" s="14" t="str">
        <f t="shared" si="460"/>
        <v/>
      </c>
      <c r="F698" s="13" t="s">
        <v>611</v>
      </c>
      <c r="G698" s="191">
        <v>202500999</v>
      </c>
      <c r="H698" s="191" t="s">
        <v>6361</v>
      </c>
      <c r="I698" s="191" t="s">
        <v>613</v>
      </c>
      <c r="J698" s="192">
        <v>45915</v>
      </c>
      <c r="K698" s="192">
        <v>46275</v>
      </c>
      <c r="L698" s="191" t="s">
        <v>6362</v>
      </c>
      <c r="M698" s="193" t="s">
        <v>6363</v>
      </c>
      <c r="N698" s="13" t="s">
        <v>6364</v>
      </c>
      <c r="O698" s="17" t="s">
        <v>6365</v>
      </c>
      <c r="P698" s="314" t="s">
        <v>449</v>
      </c>
      <c r="Q698" s="13" t="s">
        <v>618</v>
      </c>
      <c r="R698" s="246" t="str">
        <f>VLOOKUP(P698,'Dados das Regiões '!A:B,2,0)</f>
        <v>PONTA GROSSA</v>
      </c>
      <c r="S698" s="191" t="s">
        <v>6366</v>
      </c>
      <c r="U698" s="191" t="s">
        <v>6367</v>
      </c>
      <c r="V698" s="191" t="s">
        <v>6367</v>
      </c>
      <c r="W698" s="191" t="s">
        <v>6368</v>
      </c>
      <c r="X698" s="195">
        <v>0.54166666666666663</v>
      </c>
      <c r="Y698" s="420">
        <v>0.625</v>
      </c>
      <c r="Z698" s="233" t="s">
        <v>622</v>
      </c>
      <c r="AB698" s="225">
        <v>202500999</v>
      </c>
    </row>
    <row r="699" spans="1:28">
      <c r="B699" s="13" t="str">
        <f t="shared" si="458"/>
        <v>Pendente</v>
      </c>
      <c r="C699" s="14" t="str">
        <f t="shared" si="459"/>
        <v/>
      </c>
      <c r="D699" s="13" t="s">
        <v>611</v>
      </c>
      <c r="E699" s="14" t="str">
        <f t="shared" si="460"/>
        <v/>
      </c>
      <c r="F699" s="13" t="s">
        <v>611</v>
      </c>
      <c r="G699" s="191">
        <v>202500999</v>
      </c>
      <c r="H699" s="191" t="s">
        <v>6369</v>
      </c>
      <c r="I699" s="191" t="s">
        <v>613</v>
      </c>
      <c r="J699" s="192">
        <v>45915</v>
      </c>
      <c r="K699" s="192">
        <v>46275</v>
      </c>
      <c r="L699" s="191" t="s">
        <v>657</v>
      </c>
      <c r="M699" s="193" t="s">
        <v>5597</v>
      </c>
      <c r="N699" s="13" t="s">
        <v>5598</v>
      </c>
      <c r="O699" s="17" t="s">
        <v>5599</v>
      </c>
      <c r="P699" s="314" t="s">
        <v>277</v>
      </c>
      <c r="Q699" s="13" t="s">
        <v>618</v>
      </c>
      <c r="R699" s="246" t="str">
        <f>VLOOKUP(P699,'Dados das Regiões '!A:B,2,0)</f>
        <v>FRANCISCO BELTRÃO</v>
      </c>
      <c r="S699" s="191" t="s">
        <v>6370</v>
      </c>
      <c r="U699" s="191" t="s">
        <v>6371</v>
      </c>
      <c r="V699" s="191" t="s">
        <v>6372</v>
      </c>
      <c r="W699" s="191" t="s">
        <v>5603</v>
      </c>
      <c r="X699" s="195">
        <v>0.5625</v>
      </c>
      <c r="Y699" s="420">
        <v>0.64583333333333337</v>
      </c>
      <c r="Z699" s="233" t="s">
        <v>622</v>
      </c>
      <c r="AB699" s="224">
        <v>202500999</v>
      </c>
    </row>
    <row r="700" spans="1:28">
      <c r="B700" s="13" t="str">
        <f t="shared" si="458"/>
        <v>Pendente</v>
      </c>
      <c r="C700" s="14" t="str">
        <f t="shared" si="459"/>
        <v/>
      </c>
      <c r="D700" s="13" t="s">
        <v>611</v>
      </c>
      <c r="E700" s="14" t="str">
        <f t="shared" si="460"/>
        <v/>
      </c>
      <c r="F700" s="13" t="s">
        <v>611</v>
      </c>
      <c r="G700" s="191">
        <v>202500999</v>
      </c>
      <c r="H700" s="191" t="s">
        <v>6373</v>
      </c>
      <c r="I700" s="191" t="s">
        <v>613</v>
      </c>
      <c r="J700" s="192">
        <v>45915</v>
      </c>
      <c r="K700" s="192">
        <v>46275</v>
      </c>
      <c r="L700" s="191" t="s">
        <v>657</v>
      </c>
      <c r="M700" s="193" t="s">
        <v>751</v>
      </c>
      <c r="N700" s="13" t="s">
        <v>752</v>
      </c>
      <c r="O700" s="17" t="s">
        <v>753</v>
      </c>
      <c r="P700" s="314" t="s">
        <v>282</v>
      </c>
      <c r="Q700" s="13" t="s">
        <v>618</v>
      </c>
      <c r="R700" s="246" t="str">
        <f>VLOOKUP(P700,'Dados das Regiões '!A:B,2,0)</f>
        <v>FRANCISCO BELTRÃO</v>
      </c>
      <c r="S700" s="191" t="s">
        <v>6374</v>
      </c>
      <c r="U700" s="191" t="s">
        <v>755</v>
      </c>
      <c r="V700" s="191" t="s">
        <v>755</v>
      </c>
      <c r="W700" s="191" t="s">
        <v>6375</v>
      </c>
      <c r="X700" s="195">
        <v>0.5625</v>
      </c>
      <c r="Y700" s="420">
        <v>0.64583333333333337</v>
      </c>
      <c r="Z700" s="233" t="s">
        <v>622</v>
      </c>
      <c r="AB700" s="225">
        <v>202500999</v>
      </c>
    </row>
    <row r="701" spans="1:28">
      <c r="B701" s="13" t="str">
        <f t="shared" si="458"/>
        <v>Pendente</v>
      </c>
      <c r="C701" s="14" t="str">
        <f t="shared" si="459"/>
        <v/>
      </c>
      <c r="D701" s="13" t="s">
        <v>611</v>
      </c>
      <c r="E701" s="14" t="str">
        <f t="shared" si="460"/>
        <v/>
      </c>
      <c r="F701" s="13" t="s">
        <v>611</v>
      </c>
      <c r="G701" s="191">
        <v>202500999</v>
      </c>
      <c r="H701" s="191" t="s">
        <v>6376</v>
      </c>
      <c r="I701" s="191" t="s">
        <v>613</v>
      </c>
      <c r="J701" s="192">
        <v>45915</v>
      </c>
      <c r="K701" s="192">
        <v>46275</v>
      </c>
      <c r="L701" s="191" t="s">
        <v>632</v>
      </c>
      <c r="M701" s="193" t="s">
        <v>1707</v>
      </c>
      <c r="N701" s="13" t="s">
        <v>1708</v>
      </c>
      <c r="O701" s="17" t="s">
        <v>6377</v>
      </c>
      <c r="P701" s="314" t="s">
        <v>233</v>
      </c>
      <c r="Q701" s="13" t="s">
        <v>618</v>
      </c>
      <c r="R701" s="246" t="str">
        <f>VLOOKUP(P701,'Dados das Regiões '!A:B,2,0)</f>
        <v>CORNÉLIO PROCÓPIO</v>
      </c>
      <c r="S701" s="191" t="s">
        <v>1710</v>
      </c>
      <c r="U701" s="191" t="s">
        <v>1712</v>
      </c>
      <c r="V701" s="191" t="s">
        <v>1711</v>
      </c>
      <c r="W701" s="191" t="s">
        <v>1713</v>
      </c>
      <c r="X701" s="195">
        <v>0.33333333333333331</v>
      </c>
      <c r="Y701" s="420">
        <v>0.41666666666666669</v>
      </c>
      <c r="Z701" s="233" t="s">
        <v>622</v>
      </c>
      <c r="AB701" s="224">
        <v>202500999</v>
      </c>
    </row>
    <row r="702" spans="1:28">
      <c r="B702" s="13" t="str">
        <f t="shared" si="458"/>
        <v>Pendente</v>
      </c>
      <c r="C702" s="14" t="str">
        <f t="shared" si="459"/>
        <v/>
      </c>
      <c r="D702" s="13" t="s">
        <v>611</v>
      </c>
      <c r="E702" s="14" t="str">
        <f t="shared" si="460"/>
        <v/>
      </c>
      <c r="F702" s="13" t="s">
        <v>611</v>
      </c>
      <c r="G702" s="191">
        <v>202500999</v>
      </c>
      <c r="H702" s="191" t="s">
        <v>6378</v>
      </c>
      <c r="I702" s="191" t="s">
        <v>613</v>
      </c>
      <c r="J702" s="192">
        <v>45915</v>
      </c>
      <c r="K702" s="192">
        <v>46275</v>
      </c>
      <c r="L702" s="191" t="s">
        <v>632</v>
      </c>
      <c r="M702" s="193" t="s">
        <v>1648</v>
      </c>
      <c r="N702" s="13" t="s">
        <v>1649</v>
      </c>
      <c r="O702" s="17" t="s">
        <v>6379</v>
      </c>
      <c r="P702" s="314" t="s">
        <v>340</v>
      </c>
      <c r="Q702" s="13" t="s">
        <v>618</v>
      </c>
      <c r="R702" s="246" t="str">
        <f>VLOOKUP(P702,'Dados das Regiões '!A:B,2,0)</f>
        <v>LONDRINA CENTRO</v>
      </c>
      <c r="S702" s="191" t="s">
        <v>1651</v>
      </c>
      <c r="U702" s="191" t="s">
        <v>1652</v>
      </c>
      <c r="V702" s="191" t="s">
        <v>6380</v>
      </c>
      <c r="W702" s="191" t="s">
        <v>6381</v>
      </c>
      <c r="X702" s="195">
        <v>0.5625</v>
      </c>
      <c r="Y702" s="420">
        <v>0.64583333333333337</v>
      </c>
      <c r="Z702" s="233" t="s">
        <v>622</v>
      </c>
      <c r="AB702" s="225">
        <v>202500999</v>
      </c>
    </row>
    <row r="703" spans="1:28">
      <c r="B703" s="13" t="str">
        <f t="shared" si="458"/>
        <v>Pendente</v>
      </c>
      <c r="C703" s="14" t="str">
        <f t="shared" si="459"/>
        <v/>
      </c>
      <c r="D703" s="13" t="s">
        <v>611</v>
      </c>
      <c r="E703" s="14" t="str">
        <f t="shared" si="460"/>
        <v/>
      </c>
      <c r="F703" s="13" t="s">
        <v>611</v>
      </c>
      <c r="G703" s="191">
        <v>202500999</v>
      </c>
      <c r="H703" s="191" t="s">
        <v>6382</v>
      </c>
      <c r="I703" s="191" t="s">
        <v>613</v>
      </c>
      <c r="J703" s="192">
        <v>45915</v>
      </c>
      <c r="K703" s="192">
        <v>46275</v>
      </c>
      <c r="L703" s="191" t="s">
        <v>632</v>
      </c>
      <c r="M703" s="193" t="s">
        <v>1672</v>
      </c>
      <c r="N703" s="13" t="s">
        <v>1673</v>
      </c>
      <c r="O703" s="197" t="s">
        <v>1674</v>
      </c>
      <c r="P703" s="314" t="s">
        <v>360</v>
      </c>
      <c r="Q703" s="13" t="s">
        <v>618</v>
      </c>
      <c r="R703" s="246" t="str">
        <f>VLOOKUP(P703,'Dados das Regiões '!A:B,2,0)</f>
        <v>MARINGÁ</v>
      </c>
      <c r="S703" s="191" t="s">
        <v>4857</v>
      </c>
      <c r="U703" s="191" t="s">
        <v>1676</v>
      </c>
      <c r="V703" s="191" t="s">
        <v>1677</v>
      </c>
      <c r="W703" s="191" t="s">
        <v>1678</v>
      </c>
      <c r="X703" s="195">
        <v>0.33333333333333331</v>
      </c>
      <c r="Y703" s="420">
        <v>0.41666666666666669</v>
      </c>
      <c r="Z703" s="233" t="s">
        <v>622</v>
      </c>
      <c r="AB703" s="224">
        <v>202500999</v>
      </c>
    </row>
    <row r="704" spans="1:28">
      <c r="B704" s="13" t="str">
        <f t="shared" si="458"/>
        <v>Pendente</v>
      </c>
      <c r="C704" s="14" t="str">
        <f t="shared" si="459"/>
        <v/>
      </c>
      <c r="D704" s="13" t="s">
        <v>611</v>
      </c>
      <c r="E704" s="14" t="str">
        <f t="shared" si="460"/>
        <v/>
      </c>
      <c r="F704" s="13" t="s">
        <v>611</v>
      </c>
      <c r="G704" s="191">
        <v>202500999</v>
      </c>
      <c r="H704" s="191" t="s">
        <v>6383</v>
      </c>
      <c r="I704" s="191" t="s">
        <v>613</v>
      </c>
      <c r="J704" s="192">
        <v>45915</v>
      </c>
      <c r="K704" s="192">
        <v>46275</v>
      </c>
      <c r="L704" s="191" t="s">
        <v>632</v>
      </c>
      <c r="M704" s="193" t="s">
        <v>1735</v>
      </c>
      <c r="N704" s="13" t="s">
        <v>1736</v>
      </c>
      <c r="O704" s="17" t="s">
        <v>6384</v>
      </c>
      <c r="P704" s="314" t="s">
        <v>334</v>
      </c>
      <c r="Q704" s="13" t="s">
        <v>618</v>
      </c>
      <c r="R704" s="246" t="str">
        <f>VLOOKUP(P704,'Dados das Regiões '!A:B,2,0)</f>
        <v>LONDRINA CENTRO</v>
      </c>
      <c r="S704" s="191" t="s">
        <v>6385</v>
      </c>
      <c r="U704" s="191" t="s">
        <v>6386</v>
      </c>
      <c r="V704" s="191" t="s">
        <v>6386</v>
      </c>
      <c r="W704" s="191" t="s">
        <v>6387</v>
      </c>
      <c r="X704" s="195">
        <v>0.33333333333333331</v>
      </c>
      <c r="Y704" s="420">
        <v>0.41666666666666669</v>
      </c>
      <c r="Z704" s="233" t="s">
        <v>622</v>
      </c>
      <c r="AB704" s="225">
        <v>202500999</v>
      </c>
    </row>
    <row r="705" spans="2:28">
      <c r="B705" s="13" t="str">
        <f t="shared" si="458"/>
        <v>Pendente</v>
      </c>
      <c r="C705" s="14" t="str">
        <f t="shared" si="459"/>
        <v/>
      </c>
      <c r="D705" s="13" t="s">
        <v>611</v>
      </c>
      <c r="E705" s="14" t="str">
        <f t="shared" si="460"/>
        <v/>
      </c>
      <c r="F705" s="13" t="s">
        <v>611</v>
      </c>
      <c r="G705" s="191">
        <v>202500999</v>
      </c>
      <c r="H705" s="191" t="s">
        <v>6388</v>
      </c>
      <c r="I705" s="191" t="s">
        <v>613</v>
      </c>
      <c r="J705" s="192">
        <v>45915</v>
      </c>
      <c r="K705" s="192">
        <v>46275</v>
      </c>
      <c r="L705" s="191" t="s">
        <v>632</v>
      </c>
      <c r="M705" s="193" t="s">
        <v>1681</v>
      </c>
      <c r="N705" s="13" t="s">
        <v>1682</v>
      </c>
      <c r="O705" s="17" t="s">
        <v>6389</v>
      </c>
      <c r="P705" s="314" t="s">
        <v>224</v>
      </c>
      <c r="Q705" s="13" t="s">
        <v>618</v>
      </c>
      <c r="R705" s="246" t="str">
        <f>VLOOKUP(P705,'Dados das Regiões '!A:B,2,0)</f>
        <v>CORNÉLIO PROCÓPIO</v>
      </c>
      <c r="S705" s="191" t="s">
        <v>6390</v>
      </c>
      <c r="U705" s="191" t="s">
        <v>6391</v>
      </c>
      <c r="V705" s="191" t="s">
        <v>6391</v>
      </c>
      <c r="W705" s="191" t="s">
        <v>6392</v>
      </c>
      <c r="X705" s="195">
        <v>0.33333333333333331</v>
      </c>
      <c r="Y705" s="420">
        <v>0.41666666666666669</v>
      </c>
      <c r="Z705" s="233" t="s">
        <v>622</v>
      </c>
      <c r="AB705" s="224">
        <v>202500999</v>
      </c>
    </row>
    <row r="706" spans="2:28">
      <c r="B706" s="13" t="str">
        <f t="shared" si="458"/>
        <v>Pendente</v>
      </c>
      <c r="C706" s="14" t="str">
        <f t="shared" si="459"/>
        <v/>
      </c>
      <c r="D706" s="13" t="s">
        <v>611</v>
      </c>
      <c r="E706" s="14" t="str">
        <f t="shared" si="460"/>
        <v/>
      </c>
      <c r="F706" s="13" t="s">
        <v>611</v>
      </c>
      <c r="G706" s="191">
        <v>202500999</v>
      </c>
      <c r="H706" s="191" t="s">
        <v>6393</v>
      </c>
      <c r="I706" s="191" t="s">
        <v>613</v>
      </c>
      <c r="J706" s="192">
        <v>45915</v>
      </c>
      <c r="K706" s="192">
        <v>46275</v>
      </c>
      <c r="L706" s="191" t="s">
        <v>657</v>
      </c>
      <c r="M706" s="193" t="s">
        <v>5327</v>
      </c>
      <c r="N706" s="13" t="s">
        <v>5328</v>
      </c>
      <c r="O706" s="197" t="s">
        <v>5329</v>
      </c>
      <c r="P706" s="314" t="s">
        <v>190</v>
      </c>
      <c r="Q706" s="13" t="s">
        <v>618</v>
      </c>
      <c r="R706" s="246" t="str">
        <f>VLOOKUP(P706,'Dados das Regiões '!A:B,2,0)</f>
        <v>CASCAVEL</v>
      </c>
      <c r="S706" s="191" t="s">
        <v>5330</v>
      </c>
      <c r="U706" s="191" t="s">
        <v>5331</v>
      </c>
      <c r="V706" s="191" t="s">
        <v>5331</v>
      </c>
      <c r="W706" s="191" t="s">
        <v>5332</v>
      </c>
      <c r="X706" s="195">
        <v>0.5625</v>
      </c>
      <c r="Y706" s="420">
        <v>0.64583333333333337</v>
      </c>
      <c r="Z706" s="233" t="s">
        <v>622</v>
      </c>
      <c r="AB706" s="225">
        <v>202500999</v>
      </c>
    </row>
    <row r="707" spans="2:28">
      <c r="B707" s="13" t="str">
        <f t="shared" si="458"/>
        <v>Pendente</v>
      </c>
      <c r="C707" s="14" t="str">
        <f t="shared" si="459"/>
        <v/>
      </c>
      <c r="D707" s="13" t="s">
        <v>611</v>
      </c>
      <c r="E707" s="14" t="str">
        <f t="shared" si="460"/>
        <v/>
      </c>
      <c r="F707" s="13" t="s">
        <v>611</v>
      </c>
      <c r="G707" s="191">
        <v>202500999</v>
      </c>
      <c r="H707" s="191" t="s">
        <v>6394</v>
      </c>
      <c r="I707" s="191" t="s">
        <v>613</v>
      </c>
      <c r="J707" s="192">
        <v>45915</v>
      </c>
      <c r="K707" s="192">
        <v>46275</v>
      </c>
      <c r="L707" s="191" t="s">
        <v>657</v>
      </c>
      <c r="M707" s="193" t="s">
        <v>6395</v>
      </c>
      <c r="N707" s="13" t="s">
        <v>6396</v>
      </c>
      <c r="O707" s="17" t="s">
        <v>6397</v>
      </c>
      <c r="P707" s="314" t="s">
        <v>195</v>
      </c>
      <c r="Q707" s="13" t="s">
        <v>618</v>
      </c>
      <c r="R707" s="246" t="str">
        <f>VLOOKUP(P707,'Dados das Regiões '!A:B,2,0)</f>
        <v>CASCAVEL</v>
      </c>
      <c r="S707" s="191" t="s">
        <v>6398</v>
      </c>
      <c r="U707" s="191" t="s">
        <v>6399</v>
      </c>
      <c r="V707" s="191" t="s">
        <v>6399</v>
      </c>
      <c r="W707" s="191" t="s">
        <v>6400</v>
      </c>
      <c r="X707" s="195">
        <v>0.64583333333333337</v>
      </c>
      <c r="Y707" s="420">
        <v>0.5625</v>
      </c>
      <c r="Z707" s="233" t="s">
        <v>622</v>
      </c>
      <c r="AB707" s="224">
        <v>202500999</v>
      </c>
    </row>
    <row r="708" spans="2:28">
      <c r="B708" s="13" t="str">
        <f t="shared" si="458"/>
        <v>Pendente</v>
      </c>
      <c r="C708" s="14" t="str">
        <f t="shared" si="459"/>
        <v/>
      </c>
      <c r="D708" s="13" t="s">
        <v>611</v>
      </c>
      <c r="E708" s="14" t="str">
        <f t="shared" si="460"/>
        <v/>
      </c>
      <c r="F708" s="13" t="s">
        <v>611</v>
      </c>
      <c r="G708" s="191">
        <v>202500999</v>
      </c>
      <c r="H708" s="191" t="s">
        <v>6401</v>
      </c>
      <c r="I708" s="191" t="s">
        <v>613</v>
      </c>
      <c r="J708" s="192">
        <v>45915</v>
      </c>
      <c r="K708" s="192">
        <v>46275</v>
      </c>
      <c r="L708" s="191" t="s">
        <v>632</v>
      </c>
      <c r="M708" s="193" t="s">
        <v>6402</v>
      </c>
      <c r="N708" s="13" t="s">
        <v>6403</v>
      </c>
      <c r="O708" s="17" t="s">
        <v>6404</v>
      </c>
      <c r="P708" s="314" t="s">
        <v>361</v>
      </c>
      <c r="Q708" s="13" t="s">
        <v>618</v>
      </c>
      <c r="R708" s="246" t="str">
        <f>VLOOKUP(P708,'Dados das Regiões '!A:B,2,0)</f>
        <v>MARINGÁ</v>
      </c>
      <c r="S708" s="191" t="s">
        <v>6405</v>
      </c>
      <c r="U708" s="191" t="s">
        <v>6406</v>
      </c>
      <c r="V708" s="191" t="s">
        <v>6407</v>
      </c>
      <c r="W708" s="191" t="s">
        <v>6408</v>
      </c>
      <c r="X708" s="195">
        <v>0.33333333333333331</v>
      </c>
      <c r="Y708" s="420">
        <v>0.41666666666666669</v>
      </c>
      <c r="Z708" s="233" t="s">
        <v>622</v>
      </c>
      <c r="AB708" s="225">
        <v>202500999</v>
      </c>
    </row>
    <row r="709" spans="2:28">
      <c r="B709" s="13" t="str">
        <f t="shared" si="458"/>
        <v>Pendente</v>
      </c>
      <c r="C709" s="14" t="str">
        <f t="shared" si="459"/>
        <v/>
      </c>
      <c r="D709" s="13" t="s">
        <v>611</v>
      </c>
      <c r="E709" s="14" t="str">
        <f t="shared" si="460"/>
        <v/>
      </c>
      <c r="F709" s="13" t="s">
        <v>611</v>
      </c>
      <c r="G709" s="191">
        <v>202500999</v>
      </c>
      <c r="H709" s="191" t="s">
        <v>6409</v>
      </c>
      <c r="I709" s="191" t="s">
        <v>613</v>
      </c>
      <c r="J709" s="192">
        <v>45915</v>
      </c>
      <c r="K709" s="192">
        <v>46275</v>
      </c>
      <c r="L709" s="191" t="s">
        <v>657</v>
      </c>
      <c r="M709" s="193" t="s">
        <v>5571</v>
      </c>
      <c r="N709" s="13" t="s">
        <v>5572</v>
      </c>
      <c r="O709" s="197" t="s">
        <v>5573</v>
      </c>
      <c r="P709" s="314" t="s">
        <v>434</v>
      </c>
      <c r="Q709" s="13" t="s">
        <v>618</v>
      </c>
      <c r="R709" s="246" t="str">
        <f>VLOOKUP(P709,'Dados das Regiões '!A:B,2,0)</f>
        <v>PATO BRANCO</v>
      </c>
      <c r="S709" s="191" t="s">
        <v>6410</v>
      </c>
      <c r="U709" s="191" t="s">
        <v>5575</v>
      </c>
      <c r="V709" s="191" t="s">
        <v>5575</v>
      </c>
      <c r="W709" s="191" t="s">
        <v>6411</v>
      </c>
      <c r="X709" s="195">
        <v>0.64583333333333337</v>
      </c>
      <c r="Y709" s="420">
        <v>0.5625</v>
      </c>
      <c r="Z709" s="233" t="s">
        <v>622</v>
      </c>
      <c r="AB709" s="224">
        <v>202500999</v>
      </c>
    </row>
    <row r="710" spans="2:28">
      <c r="B710" s="13" t="str">
        <f t="shared" si="458"/>
        <v>Pendente</v>
      </c>
      <c r="C710" s="14" t="str">
        <f t="shared" si="459"/>
        <v/>
      </c>
      <c r="D710" s="13" t="s">
        <v>611</v>
      </c>
      <c r="E710" s="14" t="str">
        <f t="shared" si="460"/>
        <v/>
      </c>
      <c r="F710" s="13" t="s">
        <v>611</v>
      </c>
      <c r="G710" s="191">
        <v>202500999</v>
      </c>
      <c r="H710" s="191" t="s">
        <v>6412</v>
      </c>
      <c r="I710" s="191" t="s">
        <v>613</v>
      </c>
      <c r="J710" s="192">
        <v>45915</v>
      </c>
      <c r="K710" s="192">
        <v>46275</v>
      </c>
      <c r="L710" s="191" t="s">
        <v>632</v>
      </c>
      <c r="M710" s="193" t="s">
        <v>1699</v>
      </c>
      <c r="N710" s="13" t="s">
        <v>6413</v>
      </c>
      <c r="O710" s="17" t="s">
        <v>6414</v>
      </c>
      <c r="P710" s="314" t="s">
        <v>229</v>
      </c>
      <c r="Q710" s="13" t="s">
        <v>618</v>
      </c>
      <c r="R710" s="246" t="str">
        <f>VLOOKUP(P710,'Dados das Regiões '!A:B,2,0)</f>
        <v>CORNÉLIO PROCÓPIO</v>
      </c>
      <c r="S710" s="191" t="s">
        <v>1702</v>
      </c>
      <c r="U710" s="191" t="s">
        <v>1703</v>
      </c>
      <c r="V710" s="191" t="s">
        <v>1704</v>
      </c>
      <c r="W710" s="191" t="s">
        <v>1705</v>
      </c>
      <c r="X710" s="195">
        <v>0.33333333333333331</v>
      </c>
      <c r="Y710" s="420">
        <v>0.41666666666666669</v>
      </c>
      <c r="Z710" s="233" t="s">
        <v>622</v>
      </c>
      <c r="AB710" s="225">
        <v>202500999</v>
      </c>
    </row>
    <row r="711" spans="2:28">
      <c r="B711" s="13" t="str">
        <f t="shared" si="458"/>
        <v>Pendente</v>
      </c>
      <c r="C711" s="14" t="str">
        <f t="shared" si="459"/>
        <v/>
      </c>
      <c r="D711" s="13" t="s">
        <v>611</v>
      </c>
      <c r="E711" s="14" t="str">
        <f t="shared" si="460"/>
        <v/>
      </c>
      <c r="F711" s="13" t="s">
        <v>611</v>
      </c>
      <c r="G711" s="191">
        <v>202500999</v>
      </c>
      <c r="H711" s="191" t="s">
        <v>6415</v>
      </c>
      <c r="I711" s="191" t="s">
        <v>613</v>
      </c>
      <c r="J711" s="192">
        <v>45915</v>
      </c>
      <c r="K711" s="192">
        <v>46275</v>
      </c>
      <c r="L711" s="191" t="s">
        <v>657</v>
      </c>
      <c r="M711" s="193" t="s">
        <v>6395</v>
      </c>
      <c r="N711" s="13" t="s">
        <v>6396</v>
      </c>
      <c r="O711" s="17" t="s">
        <v>6397</v>
      </c>
      <c r="P711" s="314" t="s">
        <v>195</v>
      </c>
      <c r="Q711" s="13" t="s">
        <v>618</v>
      </c>
      <c r="R711" s="246" t="str">
        <f>VLOOKUP(P711,'Dados das Regiões '!A:B,2,0)</f>
        <v>CASCAVEL</v>
      </c>
      <c r="S711" s="191" t="s">
        <v>6398</v>
      </c>
      <c r="U711" s="191" t="s">
        <v>6399</v>
      </c>
      <c r="V711" s="191" t="s">
        <v>6399</v>
      </c>
      <c r="W711" s="191" t="s">
        <v>6400</v>
      </c>
      <c r="X711" s="195">
        <v>0.5625</v>
      </c>
      <c r="Y711" s="420">
        <v>0.64583333333333337</v>
      </c>
      <c r="Z711" s="233" t="s">
        <v>622</v>
      </c>
      <c r="AB711" s="224">
        <v>202500999</v>
      </c>
    </row>
    <row r="712" spans="2:28">
      <c r="B712" s="13" t="str">
        <f t="shared" si="458"/>
        <v>Pendente</v>
      </c>
      <c r="C712" s="14" t="str">
        <f t="shared" si="459"/>
        <v/>
      </c>
      <c r="D712" s="13" t="s">
        <v>611</v>
      </c>
      <c r="E712" s="14" t="str">
        <f t="shared" si="460"/>
        <v/>
      </c>
      <c r="F712" s="13" t="s">
        <v>611</v>
      </c>
      <c r="G712" s="191">
        <v>202500999</v>
      </c>
      <c r="H712" s="191" t="s">
        <v>6416</v>
      </c>
      <c r="I712" s="191" t="s">
        <v>613</v>
      </c>
      <c r="J712" s="192">
        <v>45915</v>
      </c>
      <c r="K712" s="192">
        <v>46275</v>
      </c>
      <c r="L712" s="191" t="s">
        <v>657</v>
      </c>
      <c r="M712" s="193" t="s">
        <v>970</v>
      </c>
      <c r="N712" s="13" t="s">
        <v>971</v>
      </c>
      <c r="O712" s="17" t="s">
        <v>972</v>
      </c>
      <c r="P712" s="314" t="s">
        <v>282</v>
      </c>
      <c r="Q712" s="13" t="s">
        <v>618</v>
      </c>
      <c r="R712" s="246" t="str">
        <f>VLOOKUP(P712,'Dados das Regiões '!A:B,2,0)</f>
        <v>FRANCISCO BELTRÃO</v>
      </c>
      <c r="S712" s="191" t="s">
        <v>6417</v>
      </c>
      <c r="U712" s="191" t="s">
        <v>6418</v>
      </c>
      <c r="V712" s="191" t="s">
        <v>6418</v>
      </c>
      <c r="W712" s="191" t="s">
        <v>6419</v>
      </c>
      <c r="X712" s="195">
        <v>0.5625</v>
      </c>
      <c r="Y712" s="420">
        <v>0.64583333333333337</v>
      </c>
      <c r="Z712" s="233" t="s">
        <v>622</v>
      </c>
      <c r="AB712" s="225">
        <v>202500999</v>
      </c>
    </row>
    <row r="713" spans="2:28">
      <c r="B713" s="13" t="str">
        <f t="shared" si="458"/>
        <v>Pendente</v>
      </c>
      <c r="C713" s="14" t="str">
        <f t="shared" si="459"/>
        <v/>
      </c>
      <c r="D713" s="13" t="s">
        <v>611</v>
      </c>
      <c r="E713" s="14" t="str">
        <f t="shared" si="460"/>
        <v/>
      </c>
      <c r="F713" s="13" t="s">
        <v>611</v>
      </c>
      <c r="G713" s="191">
        <v>202500999</v>
      </c>
      <c r="H713" s="191" t="s">
        <v>6420</v>
      </c>
      <c r="I713" s="191" t="s">
        <v>613</v>
      </c>
      <c r="J713" s="192">
        <v>45915</v>
      </c>
      <c r="K713" s="192">
        <v>46275</v>
      </c>
      <c r="L713" s="191" t="s">
        <v>657</v>
      </c>
      <c r="M713" s="193" t="s">
        <v>1154</v>
      </c>
      <c r="N713" s="13" t="s">
        <v>1155</v>
      </c>
      <c r="O713" s="17" t="s">
        <v>6421</v>
      </c>
      <c r="P713" s="314" t="s">
        <v>279</v>
      </c>
      <c r="Q713" s="13" t="s">
        <v>618</v>
      </c>
      <c r="R713" s="246" t="str">
        <f>VLOOKUP(P713,'Dados das Regiões '!A:B,2,0)</f>
        <v>FRANCISCO BELTRÃO</v>
      </c>
      <c r="S713" s="191" t="s">
        <v>1157</v>
      </c>
      <c r="U713" s="191" t="s">
        <v>6422</v>
      </c>
      <c r="V713" s="191" t="s">
        <v>1158</v>
      </c>
      <c r="W713" s="191" t="s">
        <v>1159</v>
      </c>
      <c r="X713" s="195">
        <v>0.5625</v>
      </c>
      <c r="Y713" s="420">
        <v>0.64583333333333337</v>
      </c>
      <c r="Z713" s="233" t="s">
        <v>622</v>
      </c>
      <c r="AB713" s="224">
        <v>202500999</v>
      </c>
    </row>
    <row r="714" spans="2:28">
      <c r="B714" s="13" t="str">
        <f t="shared" si="458"/>
        <v>Pendente</v>
      </c>
      <c r="C714" s="14" t="str">
        <f t="shared" si="459"/>
        <v/>
      </c>
      <c r="D714" s="13" t="s">
        <v>611</v>
      </c>
      <c r="E714" s="14" t="str">
        <f t="shared" si="460"/>
        <v/>
      </c>
      <c r="F714" s="13" t="s">
        <v>611</v>
      </c>
      <c r="G714" s="191">
        <v>202500999</v>
      </c>
      <c r="H714" s="191" t="s">
        <v>6423</v>
      </c>
      <c r="I714" s="191" t="s">
        <v>613</v>
      </c>
      <c r="J714" s="192">
        <v>45915</v>
      </c>
      <c r="K714" s="192">
        <v>46275</v>
      </c>
      <c r="L714" s="191" t="s">
        <v>657</v>
      </c>
      <c r="M714" s="193" t="s">
        <v>1049</v>
      </c>
      <c r="N714" s="13" t="s">
        <v>1050</v>
      </c>
      <c r="O714" s="197" t="s">
        <v>1051</v>
      </c>
      <c r="P714" s="314" t="s">
        <v>206</v>
      </c>
      <c r="Q714" s="13" t="s">
        <v>618</v>
      </c>
      <c r="R714" s="246" t="str">
        <f>VLOOKUP(P714,'Dados das Regiões '!A:B,2,0)</f>
        <v>CASCAVEL</v>
      </c>
      <c r="S714" s="191" t="s">
        <v>1052</v>
      </c>
      <c r="U714" s="191" t="s">
        <v>1053</v>
      </c>
      <c r="V714" s="191" t="s">
        <v>1053</v>
      </c>
      <c r="W714" s="191" t="s">
        <v>1054</v>
      </c>
      <c r="X714" s="195">
        <v>0.5625</v>
      </c>
      <c r="Y714" s="420">
        <v>0.64583333333333337</v>
      </c>
      <c r="Z714" s="233" t="s">
        <v>622</v>
      </c>
      <c r="AB714" s="225">
        <v>202500999</v>
      </c>
    </row>
    <row r="715" spans="2:28">
      <c r="B715" s="13" t="str">
        <f t="shared" si="458"/>
        <v>Pendente</v>
      </c>
      <c r="C715" s="14" t="str">
        <f t="shared" si="459"/>
        <v/>
      </c>
      <c r="D715" s="13" t="s">
        <v>611</v>
      </c>
      <c r="E715" s="14" t="str">
        <f t="shared" si="460"/>
        <v/>
      </c>
      <c r="F715" s="13" t="s">
        <v>611</v>
      </c>
      <c r="G715" s="191">
        <v>202500999</v>
      </c>
      <c r="H715" s="191" t="s">
        <v>6424</v>
      </c>
      <c r="I715" s="191" t="s">
        <v>613</v>
      </c>
      <c r="J715" s="192">
        <v>45915</v>
      </c>
      <c r="K715" s="192">
        <v>46275</v>
      </c>
      <c r="L715" s="191" t="s">
        <v>657</v>
      </c>
      <c r="M715" s="193" t="s">
        <v>904</v>
      </c>
      <c r="N715" s="13" t="s">
        <v>905</v>
      </c>
      <c r="O715" s="17" t="s">
        <v>906</v>
      </c>
      <c r="P715" s="314" t="s">
        <v>298</v>
      </c>
      <c r="Q715" s="13" t="s">
        <v>618</v>
      </c>
      <c r="R715" s="246" t="str">
        <f>VLOOKUP(P715,'Dados das Regiões '!A:B,2,0)</f>
        <v>GUARAPUAVA</v>
      </c>
      <c r="S715" s="191" t="s">
        <v>907</v>
      </c>
      <c r="U715" s="191" t="s">
        <v>6425</v>
      </c>
      <c r="V715" s="191" t="s">
        <v>908</v>
      </c>
      <c r="W715" s="191" t="s">
        <v>909</v>
      </c>
      <c r="X715" s="195">
        <v>0.5625</v>
      </c>
      <c r="Y715" s="420">
        <v>0.64583333333333337</v>
      </c>
      <c r="Z715" s="233" t="s">
        <v>622</v>
      </c>
      <c r="AB715" s="224">
        <v>202500999</v>
      </c>
    </row>
    <row r="716" spans="2:28">
      <c r="B716" s="13" t="str">
        <f t="shared" si="458"/>
        <v>Pendente</v>
      </c>
      <c r="C716" s="14" t="str">
        <f t="shared" si="459"/>
        <v/>
      </c>
      <c r="D716" s="13" t="s">
        <v>611</v>
      </c>
      <c r="E716" s="14" t="str">
        <f t="shared" si="460"/>
        <v/>
      </c>
      <c r="F716" s="13" t="s">
        <v>611</v>
      </c>
      <c r="G716" s="191">
        <v>202500999</v>
      </c>
      <c r="H716" s="191" t="s">
        <v>6426</v>
      </c>
      <c r="I716" s="191" t="s">
        <v>613</v>
      </c>
      <c r="J716" s="192">
        <v>45915</v>
      </c>
      <c r="K716" s="192">
        <v>46275</v>
      </c>
      <c r="L716" s="191" t="s">
        <v>657</v>
      </c>
      <c r="M716" s="193" t="s">
        <v>1690</v>
      </c>
      <c r="N716" s="13" t="s">
        <v>1691</v>
      </c>
      <c r="O716" s="17" t="s">
        <v>6427</v>
      </c>
      <c r="P716" s="314" t="s">
        <v>271</v>
      </c>
      <c r="Q716" s="13" t="s">
        <v>618</v>
      </c>
      <c r="R716" s="246" t="str">
        <f>VLOOKUP(P716,'Dados das Regiões '!A:B,2,0)</f>
        <v>FRANCISCO BELTRÃO</v>
      </c>
      <c r="S716" s="191" t="s">
        <v>824</v>
      </c>
      <c r="U716" s="191" t="s">
        <v>825</v>
      </c>
      <c r="V716" s="191" t="s">
        <v>825</v>
      </c>
      <c r="W716" s="191" t="s">
        <v>826</v>
      </c>
      <c r="X716" s="195">
        <v>0.33333333333333331</v>
      </c>
      <c r="Y716" s="420">
        <v>0.41666666666666669</v>
      </c>
      <c r="Z716" s="233" t="s">
        <v>622</v>
      </c>
      <c r="AB716" s="225">
        <v>202500999</v>
      </c>
    </row>
    <row r="717" spans="2:28">
      <c r="B717" s="13" t="str">
        <f t="shared" si="458"/>
        <v>Pendente</v>
      </c>
      <c r="C717" s="14" t="str">
        <f t="shared" si="459"/>
        <v/>
      </c>
      <c r="D717" s="13" t="s">
        <v>611</v>
      </c>
      <c r="E717" s="14" t="str">
        <f t="shared" si="460"/>
        <v/>
      </c>
      <c r="F717" s="13" t="s">
        <v>611</v>
      </c>
      <c r="G717" s="191">
        <v>202500999</v>
      </c>
      <c r="H717" s="191" t="s">
        <v>6428</v>
      </c>
      <c r="I717" s="191" t="s">
        <v>613</v>
      </c>
      <c r="J717" s="192">
        <v>45915</v>
      </c>
      <c r="K717" s="192">
        <v>46275</v>
      </c>
      <c r="L717" s="191" t="s">
        <v>632</v>
      </c>
      <c r="M717" s="193" t="s">
        <v>1641</v>
      </c>
      <c r="N717" s="13" t="s">
        <v>1642</v>
      </c>
      <c r="O717" s="17" t="s">
        <v>6429</v>
      </c>
      <c r="P717" s="314" t="s">
        <v>378</v>
      </c>
      <c r="Q717" s="13" t="s">
        <v>618</v>
      </c>
      <c r="R717" s="246" t="str">
        <f>VLOOKUP(P717,'Dados das Regiões '!A:B,2,0)</f>
        <v>MARINGÁ</v>
      </c>
      <c r="S717" s="191" t="s">
        <v>6430</v>
      </c>
      <c r="U717" s="191" t="s">
        <v>6431</v>
      </c>
      <c r="V717" s="191" t="s">
        <v>6432</v>
      </c>
      <c r="W717" s="191" t="s">
        <v>6433</v>
      </c>
      <c r="X717" s="195">
        <v>0.5625</v>
      </c>
      <c r="Y717" s="420">
        <v>0.64583333333333337</v>
      </c>
      <c r="Z717" s="233" t="s">
        <v>622</v>
      </c>
      <c r="AA717" s="36" t="s">
        <v>6434</v>
      </c>
      <c r="AB717" s="224">
        <v>202500999</v>
      </c>
    </row>
    <row r="718" spans="2:28">
      <c r="B718" s="13" t="str">
        <f t="shared" si="458"/>
        <v>Pendente</v>
      </c>
      <c r="C718" s="14" t="str">
        <f t="shared" si="459"/>
        <v/>
      </c>
      <c r="D718" s="13" t="s">
        <v>611</v>
      </c>
      <c r="E718" s="14" t="str">
        <f t="shared" si="460"/>
        <v/>
      </c>
      <c r="F718" s="13" t="s">
        <v>611</v>
      </c>
      <c r="G718" s="191">
        <v>202500999</v>
      </c>
      <c r="H718" s="191" t="s">
        <v>6435</v>
      </c>
      <c r="I718" s="191" t="s">
        <v>613</v>
      </c>
      <c r="J718" s="192">
        <v>45915</v>
      </c>
      <c r="K718" s="192">
        <v>46275</v>
      </c>
      <c r="L718" s="191" t="s">
        <v>657</v>
      </c>
      <c r="M718" s="193" t="s">
        <v>798</v>
      </c>
      <c r="N718" s="13" t="s">
        <v>799</v>
      </c>
      <c r="O718" s="17" t="s">
        <v>800</v>
      </c>
      <c r="P718" s="314" t="s">
        <v>269</v>
      </c>
      <c r="Q718" s="13" t="s">
        <v>618</v>
      </c>
      <c r="R718" s="246" t="str">
        <f>VLOOKUP(P718,'Dados das Regiões '!A:B,2,0)</f>
        <v>FRANCISCO BELTRÃO</v>
      </c>
      <c r="S718" s="191" t="s">
        <v>6436</v>
      </c>
      <c r="U718" s="191" t="s">
        <v>6437</v>
      </c>
      <c r="V718" s="191" t="s">
        <v>802</v>
      </c>
      <c r="W718" s="191" t="s">
        <v>803</v>
      </c>
      <c r="X718" s="195">
        <v>0.33333333333333331</v>
      </c>
      <c r="Y718" s="420">
        <v>0.41666666666666669</v>
      </c>
      <c r="Z718" s="233" t="s">
        <v>622</v>
      </c>
      <c r="AB718" s="225">
        <v>202500999</v>
      </c>
    </row>
    <row r="719" spans="2:28">
      <c r="B719" s="13" t="str">
        <f t="shared" si="458"/>
        <v>Pendente</v>
      </c>
      <c r="C719" s="14" t="str">
        <f t="shared" si="459"/>
        <v/>
      </c>
      <c r="D719" s="13" t="s">
        <v>611</v>
      </c>
      <c r="E719" s="14" t="str">
        <f t="shared" si="460"/>
        <v/>
      </c>
      <c r="F719" s="13" t="s">
        <v>611</v>
      </c>
      <c r="G719" s="191">
        <v>202500999</v>
      </c>
      <c r="H719" s="191" t="s">
        <v>6438</v>
      </c>
      <c r="I719" s="191" t="s">
        <v>613</v>
      </c>
      <c r="J719" s="192">
        <v>45915</v>
      </c>
      <c r="K719" s="192">
        <v>46275</v>
      </c>
      <c r="L719" s="191" t="s">
        <v>657</v>
      </c>
      <c r="M719" s="193" t="s">
        <v>1093</v>
      </c>
      <c r="N719" s="13" t="s">
        <v>1094</v>
      </c>
      <c r="O719" s="197" t="s">
        <v>1095</v>
      </c>
      <c r="P719" s="314" t="s">
        <v>442</v>
      </c>
      <c r="Q719" s="13" t="s">
        <v>618</v>
      </c>
      <c r="R719" s="246" t="str">
        <f>VLOOKUP(P719,'Dados das Regiões '!A:B,2,0)</f>
        <v>PATO BRANCO</v>
      </c>
      <c r="S719" s="191" t="s">
        <v>1066</v>
      </c>
      <c r="U719" s="191" t="s">
        <v>6439</v>
      </c>
      <c r="V719" s="191" t="s">
        <v>1067</v>
      </c>
      <c r="W719" s="191" t="s">
        <v>1068</v>
      </c>
      <c r="X719" s="195">
        <v>0.5625</v>
      </c>
      <c r="Y719" s="420">
        <v>0.64583333333333337</v>
      </c>
      <c r="Z719" s="233" t="s">
        <v>622</v>
      </c>
      <c r="AB719" s="224">
        <v>202500999</v>
      </c>
    </row>
    <row r="720" spans="2:28">
      <c r="B720" s="13" t="str">
        <f t="shared" si="458"/>
        <v>Pendente</v>
      </c>
      <c r="C720" s="14" t="str">
        <f t="shared" si="459"/>
        <v/>
      </c>
      <c r="D720" s="13" t="s">
        <v>611</v>
      </c>
      <c r="E720" s="14" t="str">
        <f t="shared" si="460"/>
        <v/>
      </c>
      <c r="F720" s="13" t="s">
        <v>611</v>
      </c>
      <c r="G720" s="191">
        <v>202500999</v>
      </c>
      <c r="H720" s="191" t="s">
        <v>6440</v>
      </c>
      <c r="I720" s="191" t="s">
        <v>613</v>
      </c>
      <c r="J720" s="192">
        <v>45915</v>
      </c>
      <c r="K720" s="192">
        <v>46275</v>
      </c>
      <c r="L720" s="191" t="s">
        <v>657</v>
      </c>
      <c r="M720" s="193" t="s">
        <v>1063</v>
      </c>
      <c r="N720" s="13" t="s">
        <v>1064</v>
      </c>
      <c r="O720" s="197" t="s">
        <v>1065</v>
      </c>
      <c r="P720" s="314" t="s">
        <v>442</v>
      </c>
      <c r="Q720" s="13" t="s">
        <v>618</v>
      </c>
      <c r="R720" s="246" t="str">
        <f>VLOOKUP(P720,'Dados das Regiões '!A:B,2,0)</f>
        <v>PATO BRANCO</v>
      </c>
      <c r="S720" s="191" t="s">
        <v>1066</v>
      </c>
      <c r="U720" s="191" t="s">
        <v>6439</v>
      </c>
      <c r="V720" s="191" t="s">
        <v>1067</v>
      </c>
      <c r="W720" s="191" t="s">
        <v>1068</v>
      </c>
      <c r="X720" s="195">
        <v>0.64583333333333337</v>
      </c>
      <c r="Y720" s="420">
        <v>0.5625</v>
      </c>
      <c r="Z720" s="233" t="s">
        <v>622</v>
      </c>
      <c r="AB720" s="225">
        <v>202500999</v>
      </c>
    </row>
    <row r="721" spans="2:28">
      <c r="B721" s="13" t="str">
        <f t="shared" si="458"/>
        <v>Pendente</v>
      </c>
      <c r="C721" s="14" t="str">
        <f t="shared" si="459"/>
        <v/>
      </c>
      <c r="D721" s="13" t="s">
        <v>611</v>
      </c>
      <c r="E721" s="14" t="str">
        <f t="shared" si="460"/>
        <v/>
      </c>
      <c r="F721" s="13" t="s">
        <v>611</v>
      </c>
      <c r="G721" s="191">
        <v>202500999</v>
      </c>
      <c r="H721" s="191" t="s">
        <v>6441</v>
      </c>
      <c r="I721" s="191" t="s">
        <v>613</v>
      </c>
      <c r="J721" s="192">
        <v>45915</v>
      </c>
      <c r="K721" s="192">
        <v>46275</v>
      </c>
      <c r="L721" s="191" t="s">
        <v>657</v>
      </c>
      <c r="M721" s="193" t="s">
        <v>1018</v>
      </c>
      <c r="N721" s="13" t="s">
        <v>1019</v>
      </c>
      <c r="O721" s="197" t="s">
        <v>1020</v>
      </c>
      <c r="P721" s="314" t="s">
        <v>203</v>
      </c>
      <c r="Q721" s="13" t="s">
        <v>618</v>
      </c>
      <c r="R721" s="246" t="str">
        <f>VLOOKUP(P721,'Dados das Regiões '!A:B,2,0)</f>
        <v>CASCAVEL</v>
      </c>
      <c r="S721" s="191" t="s">
        <v>1021</v>
      </c>
      <c r="U721" s="191" t="s">
        <v>6442</v>
      </c>
      <c r="V721" s="191" t="s">
        <v>6442</v>
      </c>
      <c r="W721" s="191" t="s">
        <v>1023</v>
      </c>
      <c r="X721" s="195">
        <v>0.33333333333333331</v>
      </c>
      <c r="Y721" s="420">
        <v>0.41666666666666669</v>
      </c>
      <c r="Z721" s="233" t="s">
        <v>622</v>
      </c>
      <c r="AB721" s="224">
        <v>202500999</v>
      </c>
    </row>
    <row r="722" spans="2:28">
      <c r="B722" s="13" t="str">
        <f t="shared" si="458"/>
        <v>Pendente</v>
      </c>
      <c r="C722" s="14" t="str">
        <f t="shared" si="459"/>
        <v/>
      </c>
      <c r="D722" s="13" t="s">
        <v>611</v>
      </c>
      <c r="E722" s="14" t="str">
        <f t="shared" si="460"/>
        <v/>
      </c>
      <c r="F722" s="13" t="s">
        <v>611</v>
      </c>
      <c r="G722" s="191">
        <v>202500999</v>
      </c>
      <c r="H722" s="191" t="s">
        <v>6443</v>
      </c>
      <c r="I722" s="191" t="s">
        <v>613</v>
      </c>
      <c r="J722" s="192">
        <v>45915</v>
      </c>
      <c r="K722" s="192">
        <v>46275</v>
      </c>
      <c r="L722" s="191" t="s">
        <v>657</v>
      </c>
      <c r="M722" s="193" t="s">
        <v>1633</v>
      </c>
      <c r="N722" s="13" t="s">
        <v>1634</v>
      </c>
      <c r="O722" s="17" t="s">
        <v>6444</v>
      </c>
      <c r="P722" s="314" t="s">
        <v>202</v>
      </c>
      <c r="Q722" s="13" t="s">
        <v>618</v>
      </c>
      <c r="R722" s="246" t="str">
        <f>VLOOKUP(P722,'Dados das Regiões '!A:B,2,0)</f>
        <v>CASCAVEL</v>
      </c>
      <c r="S722" s="191" t="s">
        <v>1028</v>
      </c>
      <c r="U722" s="191" t="s">
        <v>1029</v>
      </c>
      <c r="V722" s="191" t="s">
        <v>1029</v>
      </c>
      <c r="W722" s="191" t="s">
        <v>1030</v>
      </c>
      <c r="X722" s="195">
        <v>0.33333333333333331</v>
      </c>
      <c r="Y722" s="420">
        <v>0.41666666666666669</v>
      </c>
      <c r="Z722" s="233" t="s">
        <v>622</v>
      </c>
      <c r="AB722" s="225">
        <v>202500999</v>
      </c>
    </row>
    <row r="723" spans="2:28">
      <c r="B723" s="13" t="str">
        <f t="shared" si="458"/>
        <v>Pendente</v>
      </c>
      <c r="C723" s="14" t="str">
        <f t="shared" si="459"/>
        <v/>
      </c>
      <c r="D723" s="13" t="s">
        <v>611</v>
      </c>
      <c r="E723" s="14" t="str">
        <f t="shared" si="460"/>
        <v/>
      </c>
      <c r="F723" s="13" t="s">
        <v>611</v>
      </c>
      <c r="G723" s="191">
        <v>202500999</v>
      </c>
      <c r="H723" s="191" t="s">
        <v>6445</v>
      </c>
      <c r="I723" s="191" t="s">
        <v>613</v>
      </c>
      <c r="J723" s="192">
        <v>45915</v>
      </c>
      <c r="K723" s="192">
        <v>46275</v>
      </c>
      <c r="L723" s="191" t="s">
        <v>632</v>
      </c>
      <c r="M723" s="193" t="s">
        <v>6446</v>
      </c>
      <c r="N723" s="13" t="s">
        <v>6447</v>
      </c>
      <c r="O723" s="17" t="s">
        <v>6448</v>
      </c>
      <c r="P723" s="314" t="s">
        <v>396</v>
      </c>
      <c r="Q723" s="13" t="s">
        <v>618</v>
      </c>
      <c r="R723" s="246" t="str">
        <f>VLOOKUP(P723,'Dados das Regiões '!A:B,2,0)</f>
        <v>NOVA LONDRINA</v>
      </c>
      <c r="S723" s="191" t="s">
        <v>6449</v>
      </c>
      <c r="U723" s="191" t="s">
        <v>6450</v>
      </c>
      <c r="V723" s="191" t="s">
        <v>6451</v>
      </c>
      <c r="W723" s="191" t="s">
        <v>6452</v>
      </c>
      <c r="X723" s="195">
        <v>0.5625</v>
      </c>
      <c r="Y723" s="420">
        <v>0.64583333333333337</v>
      </c>
      <c r="Z723" s="233" t="s">
        <v>622</v>
      </c>
      <c r="AB723" s="224">
        <v>202500999</v>
      </c>
    </row>
    <row r="724" spans="2:28">
      <c r="B724" s="13" t="str">
        <f t="shared" si="458"/>
        <v>Pendente</v>
      </c>
      <c r="C724" s="14" t="str">
        <f t="shared" si="459"/>
        <v/>
      </c>
      <c r="D724" s="13" t="s">
        <v>611</v>
      </c>
      <c r="E724" s="14" t="str">
        <f t="shared" si="460"/>
        <v/>
      </c>
      <c r="F724" s="13" t="s">
        <v>611</v>
      </c>
      <c r="G724" s="191">
        <v>202500999</v>
      </c>
      <c r="H724" s="191" t="s">
        <v>6453</v>
      </c>
      <c r="I724" s="191" t="s">
        <v>613</v>
      </c>
      <c r="J724" s="192">
        <v>45915</v>
      </c>
      <c r="K724" s="192">
        <v>46275</v>
      </c>
      <c r="L724" s="191" t="s">
        <v>632</v>
      </c>
      <c r="M724" s="193" t="s">
        <v>1777</v>
      </c>
      <c r="N724" s="13" t="s">
        <v>1778</v>
      </c>
      <c r="O724" s="17" t="s">
        <v>6454</v>
      </c>
      <c r="P724" s="314" t="s">
        <v>370</v>
      </c>
      <c r="Q724" s="13" t="s">
        <v>618</v>
      </c>
      <c r="R724" s="246" t="str">
        <f>VLOOKUP(P724,'Dados das Regiões '!A:B,2,0)</f>
        <v>MARINGÁ</v>
      </c>
      <c r="S724" s="191" t="s">
        <v>1780</v>
      </c>
      <c r="U724" s="191" t="s">
        <v>1782</v>
      </c>
      <c r="V724" s="191" t="s">
        <v>1782</v>
      </c>
      <c r="W724" s="191" t="s">
        <v>1783</v>
      </c>
      <c r="X724" s="195">
        <v>0.33333333333333331</v>
      </c>
      <c r="Y724" s="420">
        <v>0.41666666666666669</v>
      </c>
      <c r="Z724" s="233" t="s">
        <v>622</v>
      </c>
      <c r="AB724" s="225">
        <v>202500999</v>
      </c>
    </row>
    <row r="725" spans="2:28">
      <c r="B725" s="13" t="str">
        <f t="shared" si="458"/>
        <v>Pendente</v>
      </c>
      <c r="C725" s="14" t="str">
        <f t="shared" si="459"/>
        <v/>
      </c>
      <c r="D725" s="13" t="s">
        <v>611</v>
      </c>
      <c r="E725" s="14" t="str">
        <f t="shared" si="460"/>
        <v/>
      </c>
      <c r="F725" s="13" t="s">
        <v>611</v>
      </c>
      <c r="G725" s="191">
        <v>202500999</v>
      </c>
      <c r="H725" s="191" t="s">
        <v>6455</v>
      </c>
      <c r="I725" s="191" t="s">
        <v>613</v>
      </c>
      <c r="J725" s="192">
        <v>45915</v>
      </c>
      <c r="K725" s="192">
        <v>46275</v>
      </c>
      <c r="L725" s="191" t="s">
        <v>632</v>
      </c>
      <c r="M725" s="193" t="s">
        <v>1761</v>
      </c>
      <c r="N725" s="13" t="s">
        <v>6456</v>
      </c>
      <c r="O725" s="17" t="s">
        <v>6457</v>
      </c>
      <c r="P725" s="314" t="s">
        <v>363</v>
      </c>
      <c r="Q725" s="13" t="s">
        <v>618</v>
      </c>
      <c r="R725" s="246" t="str">
        <f>VLOOKUP(P725,'Dados das Regiões '!A:B,2,0)</f>
        <v>MARINGÁ</v>
      </c>
      <c r="S725" s="191" t="s">
        <v>6458</v>
      </c>
      <c r="U725" s="191" t="s">
        <v>1765</v>
      </c>
      <c r="V725" s="191" t="s">
        <v>1766</v>
      </c>
      <c r="W725" s="191" t="s">
        <v>1767</v>
      </c>
      <c r="X725" s="195">
        <v>0.33333333333333331</v>
      </c>
      <c r="Y725" s="420">
        <v>0.41666666666666669</v>
      </c>
      <c r="Z725" s="233" t="s">
        <v>622</v>
      </c>
      <c r="AB725" s="224">
        <v>202500999</v>
      </c>
    </row>
    <row r="726" spans="2:28">
      <c r="B726" s="13" t="str">
        <f t="shared" si="458"/>
        <v>Pendente</v>
      </c>
      <c r="C726" s="14" t="str">
        <f t="shared" si="459"/>
        <v/>
      </c>
      <c r="D726" s="13" t="s">
        <v>611</v>
      </c>
      <c r="E726" s="14" t="str">
        <f t="shared" si="460"/>
        <v/>
      </c>
      <c r="F726" s="13" t="s">
        <v>611</v>
      </c>
      <c r="G726" s="191">
        <v>202500999</v>
      </c>
      <c r="H726" s="191" t="s">
        <v>6459</v>
      </c>
      <c r="I726" s="191" t="s">
        <v>613</v>
      </c>
      <c r="J726" s="192">
        <v>45915</v>
      </c>
      <c r="K726" s="192">
        <v>46275</v>
      </c>
      <c r="L726" s="191" t="s">
        <v>632</v>
      </c>
      <c r="M726" s="193" t="s">
        <v>6460</v>
      </c>
      <c r="N726" s="13" t="s">
        <v>6461</v>
      </c>
      <c r="O726" s="17" t="s">
        <v>6462</v>
      </c>
      <c r="P726" s="314" t="s">
        <v>491</v>
      </c>
      <c r="Q726" s="13" t="s">
        <v>618</v>
      </c>
      <c r="R726" s="246" t="str">
        <f>VLOOKUP(P726,'Dados das Regiões '!A:B,2,0)</f>
        <v>UMUARAMA</v>
      </c>
      <c r="S726" s="191" t="s">
        <v>6463</v>
      </c>
      <c r="U726" s="191" t="s">
        <v>6464</v>
      </c>
      <c r="V726" s="191" t="s">
        <v>6464</v>
      </c>
      <c r="W726" s="191" t="s">
        <v>6465</v>
      </c>
      <c r="X726" s="195">
        <v>0.33333333333333331</v>
      </c>
      <c r="Y726" s="420">
        <v>0.41666666666666669</v>
      </c>
      <c r="Z726" s="233" t="s">
        <v>622</v>
      </c>
      <c r="AB726" s="225">
        <v>202500999</v>
      </c>
    </row>
    <row r="727" spans="2:28">
      <c r="B727" s="13" t="str">
        <f t="shared" si="458"/>
        <v>Pendente</v>
      </c>
      <c r="C727" s="14" t="str">
        <f t="shared" si="459"/>
        <v/>
      </c>
      <c r="D727" s="13" t="s">
        <v>611</v>
      </c>
      <c r="E727" s="14" t="str">
        <f t="shared" si="460"/>
        <v/>
      </c>
      <c r="F727" s="13" t="s">
        <v>611</v>
      </c>
      <c r="G727" s="191">
        <v>202500999</v>
      </c>
      <c r="H727" s="191" t="s">
        <v>6466</v>
      </c>
      <c r="I727" s="191" t="s">
        <v>613</v>
      </c>
      <c r="J727" s="192">
        <v>45915</v>
      </c>
      <c r="K727" s="192">
        <v>46275</v>
      </c>
      <c r="L727" s="191" t="s">
        <v>632</v>
      </c>
      <c r="M727" s="193" t="s">
        <v>1769</v>
      </c>
      <c r="N727" s="13" t="s">
        <v>1770</v>
      </c>
      <c r="O727" s="17" t="s">
        <v>6467</v>
      </c>
      <c r="P727" s="314" t="s">
        <v>494</v>
      </c>
      <c r="Q727" s="13" t="s">
        <v>618</v>
      </c>
      <c r="R727" s="246" t="str">
        <f>VLOOKUP(P727,'Dados das Regiões '!A:B,2,0)</f>
        <v>UMUARAMA</v>
      </c>
      <c r="S727" s="191" t="s">
        <v>1772</v>
      </c>
      <c r="U727" s="191" t="s">
        <v>1773</v>
      </c>
      <c r="V727" s="191" t="s">
        <v>1774</v>
      </c>
      <c r="W727" s="191" t="s">
        <v>1775</v>
      </c>
      <c r="X727" s="195">
        <v>0.41666666666666669</v>
      </c>
      <c r="Y727" s="420">
        <v>0.33333333333333331</v>
      </c>
      <c r="Z727" s="233" t="s">
        <v>622</v>
      </c>
      <c r="AB727" s="224">
        <v>202500999</v>
      </c>
    </row>
    <row r="728" spans="2:28">
      <c r="B728" s="13" t="str">
        <f t="shared" si="458"/>
        <v>Pendente</v>
      </c>
      <c r="C728" s="14" t="str">
        <f t="shared" si="459"/>
        <v/>
      </c>
      <c r="D728" s="13" t="s">
        <v>611</v>
      </c>
      <c r="E728" s="14" t="str">
        <f t="shared" si="460"/>
        <v/>
      </c>
      <c r="F728" s="13" t="s">
        <v>611</v>
      </c>
      <c r="G728" s="191">
        <v>202500999</v>
      </c>
      <c r="H728" s="191" t="s">
        <v>6468</v>
      </c>
      <c r="I728" s="191" t="s">
        <v>613</v>
      </c>
      <c r="J728" s="192">
        <v>45915</v>
      </c>
      <c r="K728" s="192">
        <v>46275</v>
      </c>
      <c r="L728" s="191" t="s">
        <v>632</v>
      </c>
      <c r="M728" s="193" t="s">
        <v>1785</v>
      </c>
      <c r="N728" s="13" t="s">
        <v>956</v>
      </c>
      <c r="O728" s="17" t="s">
        <v>6469</v>
      </c>
      <c r="P728" s="314" t="s">
        <v>338</v>
      </c>
      <c r="Q728" s="13" t="s">
        <v>618</v>
      </c>
      <c r="R728" s="246" t="str">
        <f>VLOOKUP(P728,'Dados das Regiões '!A:B,2,0)</f>
        <v>LONDRINA CENTRO</v>
      </c>
      <c r="S728" s="191" t="s">
        <v>1786</v>
      </c>
      <c r="U728" s="191" t="s">
        <v>1788</v>
      </c>
      <c r="V728" s="191" t="s">
        <v>1788</v>
      </c>
      <c r="W728" s="191" t="s">
        <v>1789</v>
      </c>
      <c r="X728" s="195">
        <v>0.33333333333333331</v>
      </c>
      <c r="Y728" s="420">
        <v>0.41666666666666669</v>
      </c>
      <c r="Z728" s="233" t="s">
        <v>622</v>
      </c>
      <c r="AB728" s="225">
        <v>202500999</v>
      </c>
    </row>
    <row r="729" spans="2:28">
      <c r="B729" s="13" t="str">
        <f t="shared" si="458"/>
        <v>Pendente</v>
      </c>
      <c r="C729" s="14" t="str">
        <f t="shared" si="459"/>
        <v/>
      </c>
      <c r="D729" s="13" t="s">
        <v>611</v>
      </c>
      <c r="E729" s="14" t="str">
        <f t="shared" si="460"/>
        <v/>
      </c>
      <c r="F729" s="13" t="s">
        <v>611</v>
      </c>
      <c r="G729" s="191">
        <v>202500999</v>
      </c>
      <c r="H729" s="191" t="s">
        <v>6470</v>
      </c>
      <c r="I729" s="191" t="s">
        <v>613</v>
      </c>
      <c r="J729" s="192">
        <v>45915</v>
      </c>
      <c r="K729" s="192">
        <v>46275</v>
      </c>
      <c r="L729" s="191" t="s">
        <v>632</v>
      </c>
      <c r="M729" s="193" t="s">
        <v>1729</v>
      </c>
      <c r="N729" s="32" t="s">
        <v>1730</v>
      </c>
      <c r="O729" s="32" t="s">
        <v>1730</v>
      </c>
      <c r="P729" s="314" t="s">
        <v>233</v>
      </c>
      <c r="Q729" s="13" t="s">
        <v>618</v>
      </c>
      <c r="R729" s="246" t="str">
        <f>VLOOKUP(P729,'Dados das Regiões '!A:B,2,0)</f>
        <v>CORNÉLIO PROCÓPIO</v>
      </c>
      <c r="S729" s="191" t="s">
        <v>1731</v>
      </c>
      <c r="U729" s="191"/>
      <c r="V729" s="191" t="s">
        <v>6471</v>
      </c>
      <c r="W729" s="191" t="s">
        <v>1733</v>
      </c>
      <c r="X729" s="195">
        <v>0.5625</v>
      </c>
      <c r="Y729" s="420">
        <v>0.64583333333333337</v>
      </c>
      <c r="Z729" s="233" t="s">
        <v>622</v>
      </c>
      <c r="AB729" s="224">
        <v>202500999</v>
      </c>
    </row>
    <row r="730" spans="2:28">
      <c r="B730" s="13" t="str">
        <f t="shared" si="458"/>
        <v>Pendente</v>
      </c>
      <c r="C730" s="14" t="str">
        <f t="shared" si="459"/>
        <v/>
      </c>
      <c r="D730" s="13" t="s">
        <v>611</v>
      </c>
      <c r="E730" s="14" t="str">
        <f t="shared" si="460"/>
        <v/>
      </c>
      <c r="F730" s="13" t="s">
        <v>611</v>
      </c>
      <c r="G730" s="191">
        <v>202500999</v>
      </c>
      <c r="H730" s="191" t="s">
        <v>6472</v>
      </c>
      <c r="I730" s="191" t="s">
        <v>613</v>
      </c>
      <c r="J730" s="192">
        <v>45915</v>
      </c>
      <c r="K730" s="192">
        <v>46275</v>
      </c>
      <c r="L730" s="191" t="s">
        <v>632</v>
      </c>
      <c r="M730" s="193" t="s">
        <v>1785</v>
      </c>
      <c r="N730" s="13" t="s">
        <v>956</v>
      </c>
      <c r="O730" s="17" t="s">
        <v>6469</v>
      </c>
      <c r="P730" s="314" t="s">
        <v>338</v>
      </c>
      <c r="Q730" s="13" t="s">
        <v>618</v>
      </c>
      <c r="R730" s="246" t="str">
        <f>VLOOKUP(P730,'Dados das Regiões '!A:B,2,0)</f>
        <v>LONDRINA CENTRO</v>
      </c>
      <c r="S730" s="191" t="s">
        <v>6473</v>
      </c>
      <c r="U730" s="191" t="s">
        <v>1788</v>
      </c>
      <c r="V730" s="191" t="s">
        <v>1788</v>
      </c>
      <c r="W730" s="191" t="s">
        <v>1789</v>
      </c>
      <c r="X730" s="195">
        <v>0.5625</v>
      </c>
      <c r="Y730" s="420">
        <v>0.64583333333333337</v>
      </c>
      <c r="Z730" s="233" t="s">
        <v>622</v>
      </c>
      <c r="AB730" s="225">
        <v>202500999</v>
      </c>
    </row>
    <row r="731" spans="2:28">
      <c r="B731" s="13" t="str">
        <f t="shared" ref="B731:B794" si="461">IF(ISBLANK(A731), "Pendente", "Realizada")</f>
        <v>Pendente</v>
      </c>
      <c r="C731" s="14" t="str">
        <f t="shared" si="459"/>
        <v/>
      </c>
      <c r="D731" s="13" t="s">
        <v>611</v>
      </c>
      <c r="E731" s="14" t="str">
        <f t="shared" si="460"/>
        <v/>
      </c>
      <c r="F731" s="13" t="s">
        <v>611</v>
      </c>
      <c r="G731" s="191">
        <v>202500999</v>
      </c>
      <c r="H731" s="191" t="s">
        <v>6474</v>
      </c>
      <c r="I731" s="191" t="s">
        <v>613</v>
      </c>
      <c r="J731" s="192">
        <v>45915</v>
      </c>
      <c r="K731" s="192">
        <v>46275</v>
      </c>
      <c r="L731" s="191" t="s">
        <v>632</v>
      </c>
      <c r="M731" s="193" t="s">
        <v>1408</v>
      </c>
      <c r="N731" s="13" t="s">
        <v>6475</v>
      </c>
      <c r="O731" s="17" t="s">
        <v>6476</v>
      </c>
      <c r="P731" s="314" t="s">
        <v>230</v>
      </c>
      <c r="Q731" s="13" t="s">
        <v>618</v>
      </c>
      <c r="R731" s="246" t="str">
        <f>VLOOKUP(P731,'Dados das Regiões '!A:B,2,0)</f>
        <v>CORNÉLIO PROCÓPIO</v>
      </c>
      <c r="S731" s="191" t="s">
        <v>1411</v>
      </c>
      <c r="U731" s="191" t="s">
        <v>1412</v>
      </c>
      <c r="V731" s="191" t="s">
        <v>1413</v>
      </c>
      <c r="W731" s="191" t="s">
        <v>1414</v>
      </c>
      <c r="X731" s="195">
        <v>0.33333333333333331</v>
      </c>
      <c r="Y731" s="420">
        <v>0.41666666666666669</v>
      </c>
      <c r="Z731" s="233" t="s">
        <v>622</v>
      </c>
      <c r="AB731" s="224">
        <v>202500999</v>
      </c>
    </row>
    <row r="732" spans="2:28">
      <c r="B732" s="13" t="str">
        <f t="shared" si="461"/>
        <v>Pendente</v>
      </c>
      <c r="C732" s="14" t="str">
        <f t="shared" si="459"/>
        <v/>
      </c>
      <c r="D732" s="13" t="s">
        <v>611</v>
      </c>
      <c r="E732" s="14" t="str">
        <f t="shared" si="460"/>
        <v/>
      </c>
      <c r="F732" s="13" t="s">
        <v>611</v>
      </c>
      <c r="G732" s="191">
        <v>202500999</v>
      </c>
      <c r="H732" s="191" t="s">
        <v>6477</v>
      </c>
      <c r="I732" s="191" t="s">
        <v>613</v>
      </c>
      <c r="J732" s="192">
        <v>45915</v>
      </c>
      <c r="K732" s="192">
        <v>46275</v>
      </c>
      <c r="L732" s="191" t="s">
        <v>632</v>
      </c>
      <c r="M732" s="193" t="s">
        <v>1746</v>
      </c>
      <c r="N732" s="13" t="s">
        <v>1747</v>
      </c>
      <c r="O732" s="17" t="s">
        <v>6478</v>
      </c>
      <c r="P732" s="314" t="s">
        <v>57</v>
      </c>
      <c r="Q732" s="13" t="s">
        <v>618</v>
      </c>
      <c r="R732" s="246" t="str">
        <f>VLOOKUP(P732,'Dados das Regiões '!A:B,2,0)</f>
        <v>BELA VISTA DO PARAÍSO</v>
      </c>
      <c r="S732" s="191" t="s">
        <v>1749</v>
      </c>
      <c r="U732" s="191" t="s">
        <v>6479</v>
      </c>
      <c r="V732" s="191" t="s">
        <v>6480</v>
      </c>
      <c r="W732" s="191" t="s">
        <v>1751</v>
      </c>
      <c r="X732" s="195">
        <v>0.33333333333333331</v>
      </c>
      <c r="Y732" s="420">
        <v>0.41666666666666669</v>
      </c>
      <c r="Z732" s="233" t="s">
        <v>622</v>
      </c>
      <c r="AB732" s="225">
        <v>202500748</v>
      </c>
    </row>
    <row r="733" spans="2:28">
      <c r="B733" s="13" t="str">
        <f t="shared" si="461"/>
        <v>Pendente</v>
      </c>
      <c r="C733" s="14" t="str">
        <f t="shared" si="459"/>
        <v/>
      </c>
      <c r="D733" s="13" t="s">
        <v>611</v>
      </c>
      <c r="E733" s="14" t="str">
        <f t="shared" si="460"/>
        <v/>
      </c>
      <c r="F733" s="13" t="s">
        <v>611</v>
      </c>
      <c r="G733" s="191">
        <v>202500748</v>
      </c>
      <c r="H733" s="191" t="s">
        <v>6481</v>
      </c>
      <c r="I733" s="191" t="s">
        <v>613</v>
      </c>
      <c r="J733" s="192">
        <v>45915</v>
      </c>
      <c r="K733" s="192">
        <v>46275</v>
      </c>
      <c r="L733" s="191" t="s">
        <v>5066</v>
      </c>
      <c r="M733" s="193" t="s">
        <v>5169</v>
      </c>
      <c r="N733" s="13" t="s">
        <v>5170</v>
      </c>
      <c r="O733" s="197" t="s">
        <v>5171</v>
      </c>
      <c r="P733" s="314" t="s">
        <v>359</v>
      </c>
      <c r="Q733" s="13" t="s">
        <v>618</v>
      </c>
      <c r="R733" s="246" t="str">
        <f>VLOOKUP(P733,'Dados das Regiões '!A:B,2,0)</f>
        <v>MARECHAL CÂNDIDO RONDON</v>
      </c>
      <c r="S733" s="191" t="s">
        <v>5172</v>
      </c>
      <c r="U733" s="191" t="s">
        <v>5173</v>
      </c>
      <c r="V733" s="191" t="s">
        <v>5173</v>
      </c>
      <c r="W733" s="191" t="s">
        <v>5174</v>
      </c>
      <c r="X733" s="195">
        <v>0.5625</v>
      </c>
      <c r="Y733" s="420">
        <v>0.64583333333333337</v>
      </c>
      <c r="Z733" s="233" t="s">
        <v>622</v>
      </c>
      <c r="AB733" s="224">
        <v>202500748</v>
      </c>
    </row>
    <row r="734" spans="2:28">
      <c r="B734" s="13" t="str">
        <f t="shared" si="461"/>
        <v>Pendente</v>
      </c>
      <c r="C734" s="14" t="str">
        <f t="shared" si="459"/>
        <v/>
      </c>
      <c r="D734" s="13" t="s">
        <v>611</v>
      </c>
      <c r="E734" s="14" t="str">
        <f t="shared" si="460"/>
        <v/>
      </c>
      <c r="F734" s="13" t="s">
        <v>611</v>
      </c>
      <c r="G734" s="191">
        <v>202500748</v>
      </c>
      <c r="H734" s="191" t="s">
        <v>6482</v>
      </c>
      <c r="I734" s="191" t="s">
        <v>613</v>
      </c>
      <c r="J734" s="192">
        <v>45915</v>
      </c>
      <c r="K734" s="192">
        <v>46275</v>
      </c>
      <c r="L734" s="191" t="s">
        <v>6483</v>
      </c>
      <c r="M734" s="193" t="s">
        <v>6484</v>
      </c>
      <c r="N734" s="13" t="s">
        <v>6485</v>
      </c>
      <c r="O734" s="17" t="s">
        <v>6486</v>
      </c>
      <c r="P734" s="314" t="s">
        <v>509</v>
      </c>
      <c r="Q734" s="13" t="s">
        <v>618</v>
      </c>
      <c r="R734" s="246" t="str">
        <f>VLOOKUP(P734,'Dados das Regiões '!A:B,2,0)</f>
        <v>UNIÃO DA VITÓRIA</v>
      </c>
      <c r="S734" s="191" t="s">
        <v>6366</v>
      </c>
      <c r="U734" s="191" t="s">
        <v>6367</v>
      </c>
      <c r="V734" s="191" t="s">
        <v>6367</v>
      </c>
      <c r="W734" s="191" t="s">
        <v>6487</v>
      </c>
      <c r="X734" s="195">
        <v>0.41666666666666669</v>
      </c>
      <c r="Y734" s="420">
        <v>0.33333333333333331</v>
      </c>
      <c r="Z734" s="233" t="s">
        <v>622</v>
      </c>
      <c r="AB734" s="225">
        <v>202500748</v>
      </c>
    </row>
    <row r="735" spans="2:28">
      <c r="B735" s="13" t="str">
        <f t="shared" si="461"/>
        <v>Pendente</v>
      </c>
      <c r="C735" s="14" t="str">
        <f t="shared" ref="C735:C738" si="462">IF(A735="", "", EDATE(A735, 3))</f>
        <v/>
      </c>
      <c r="D735" s="13" t="s">
        <v>611</v>
      </c>
      <c r="E735" s="14" t="str">
        <f t="shared" si="460"/>
        <v/>
      </c>
      <c r="F735" s="13" t="s">
        <v>611</v>
      </c>
      <c r="G735" s="191">
        <v>202500748</v>
      </c>
      <c r="H735" s="191" t="s">
        <v>6488</v>
      </c>
      <c r="I735" s="191" t="s">
        <v>613</v>
      </c>
      <c r="J735" s="192">
        <v>45915</v>
      </c>
      <c r="K735" s="192">
        <v>46275</v>
      </c>
      <c r="L735" s="191" t="s">
        <v>682</v>
      </c>
      <c r="M735" s="193" t="s">
        <v>1595</v>
      </c>
      <c r="N735" s="13" t="s">
        <v>1596</v>
      </c>
      <c r="O735" s="17" t="s">
        <v>6489</v>
      </c>
      <c r="P735" s="314" t="s">
        <v>324</v>
      </c>
      <c r="Q735" s="13" t="s">
        <v>618</v>
      </c>
      <c r="R735" s="246" t="str">
        <f>VLOOKUP(P735,'Dados das Regiões '!A:B,2,0)</f>
        <v>JACAREZINHO</v>
      </c>
      <c r="S735" s="191" t="s">
        <v>6490</v>
      </c>
      <c r="U735" s="191" t="s">
        <v>6491</v>
      </c>
      <c r="V735" s="191" t="s">
        <v>6492</v>
      </c>
      <c r="W735" s="191" t="s">
        <v>6493</v>
      </c>
      <c r="X735" s="195">
        <v>0.5625</v>
      </c>
      <c r="Y735" s="420">
        <v>0.64583333333333337</v>
      </c>
      <c r="Z735" s="233" t="s">
        <v>622</v>
      </c>
      <c r="AB735" s="224">
        <v>202500748</v>
      </c>
    </row>
    <row r="736" spans="2:28">
      <c r="B736" s="13" t="str">
        <f t="shared" si="461"/>
        <v>Pendente</v>
      </c>
      <c r="C736" s="14" t="str">
        <f t="shared" si="462"/>
        <v/>
      </c>
      <c r="D736" s="13" t="s">
        <v>611</v>
      </c>
      <c r="E736" s="14" t="str">
        <f t="shared" si="460"/>
        <v/>
      </c>
      <c r="F736" s="13" t="s">
        <v>611</v>
      </c>
      <c r="G736" s="191">
        <v>202500748</v>
      </c>
      <c r="H736" s="191" t="s">
        <v>6494</v>
      </c>
      <c r="I736" s="191" t="s">
        <v>613</v>
      </c>
      <c r="J736" s="192">
        <v>45915</v>
      </c>
      <c r="K736" s="192">
        <v>46275</v>
      </c>
      <c r="L736" s="191" t="s">
        <v>1602</v>
      </c>
      <c r="M736" s="193" t="s">
        <v>6495</v>
      </c>
      <c r="N736" s="13" t="s">
        <v>6496</v>
      </c>
      <c r="O736" s="17" t="s">
        <v>6497</v>
      </c>
      <c r="P736" s="314" t="s">
        <v>354</v>
      </c>
      <c r="Q736" s="13" t="s">
        <v>618</v>
      </c>
      <c r="R736" s="246" t="str">
        <f>VLOOKUP(P736,'Dados das Regiões '!A:B,2,0)</f>
        <v>MARECHAL CÂNDIDO RONDON</v>
      </c>
      <c r="S736" s="191" t="s">
        <v>6498</v>
      </c>
      <c r="U736" s="191" t="s">
        <v>1475</v>
      </c>
      <c r="V736" s="191" t="s">
        <v>6499</v>
      </c>
      <c r="W736" s="191" t="s">
        <v>6500</v>
      </c>
      <c r="X736" s="195">
        <v>0.3125</v>
      </c>
      <c r="Y736" s="420">
        <v>0.39583333333333331</v>
      </c>
      <c r="Z736" s="233" t="s">
        <v>622</v>
      </c>
      <c r="AB736" s="225">
        <v>202500748</v>
      </c>
    </row>
    <row r="737" spans="2:28">
      <c r="B737" s="13" t="str">
        <f t="shared" si="461"/>
        <v>Pendente</v>
      </c>
      <c r="C737" s="14" t="str">
        <f t="shared" si="462"/>
        <v/>
      </c>
      <c r="D737" s="13" t="s">
        <v>611</v>
      </c>
      <c r="E737" s="14" t="str">
        <f t="shared" si="460"/>
        <v/>
      </c>
      <c r="F737" s="13" t="s">
        <v>611</v>
      </c>
      <c r="G737" s="191">
        <v>202500748</v>
      </c>
      <c r="H737" s="191" t="s">
        <v>6501</v>
      </c>
      <c r="I737" s="191" t="s">
        <v>613</v>
      </c>
      <c r="J737" s="192">
        <v>45915</v>
      </c>
      <c r="K737" s="192">
        <v>46275</v>
      </c>
      <c r="L737" s="191" t="s">
        <v>682</v>
      </c>
      <c r="M737" s="193" t="s">
        <v>1611</v>
      </c>
      <c r="N737" s="13" t="s">
        <v>6502</v>
      </c>
      <c r="O737" s="17" t="s">
        <v>6503</v>
      </c>
      <c r="P737" s="314" t="s">
        <v>217</v>
      </c>
      <c r="Q737" s="13" t="s">
        <v>618</v>
      </c>
      <c r="R737" s="246" t="str">
        <f>VLOOKUP(P737,'Dados das Regiões '!A:B,2,0)</f>
        <v>CORNÉLIO PROCÓPIO</v>
      </c>
      <c r="S737" s="191" t="s">
        <v>6504</v>
      </c>
      <c r="U737" s="191" t="s">
        <v>6505</v>
      </c>
      <c r="V737" s="191" t="s">
        <v>6505</v>
      </c>
      <c r="W737" s="191" t="s">
        <v>6506</v>
      </c>
      <c r="X737" s="195">
        <v>0.33333333333333331</v>
      </c>
      <c r="Y737" s="420">
        <v>0.41666666666666669</v>
      </c>
      <c r="Z737" s="233" t="s">
        <v>622</v>
      </c>
      <c r="AB737" s="224">
        <v>202500748</v>
      </c>
    </row>
    <row r="738" spans="2:28">
      <c r="B738" s="13" t="str">
        <f t="shared" si="461"/>
        <v>Pendente</v>
      </c>
      <c r="C738" s="14" t="str">
        <f t="shared" si="462"/>
        <v/>
      </c>
      <c r="D738" s="13" t="s">
        <v>611</v>
      </c>
      <c r="E738" s="14" t="str">
        <f t="shared" si="460"/>
        <v/>
      </c>
      <c r="F738" s="13" t="s">
        <v>611</v>
      </c>
      <c r="G738" s="191">
        <v>202500748</v>
      </c>
      <c r="H738" s="191" t="s">
        <v>6507</v>
      </c>
      <c r="I738" s="191" t="s">
        <v>613</v>
      </c>
      <c r="J738" s="192">
        <v>45915</v>
      </c>
      <c r="K738" s="192">
        <v>46275</v>
      </c>
      <c r="L738" s="191" t="s">
        <v>682</v>
      </c>
      <c r="M738" s="193" t="s">
        <v>6508</v>
      </c>
      <c r="N738" s="13" t="s">
        <v>6509</v>
      </c>
      <c r="O738" s="17" t="s">
        <v>6510</v>
      </c>
      <c r="P738" s="314" t="s">
        <v>324</v>
      </c>
      <c r="Q738" s="13" t="s">
        <v>618</v>
      </c>
      <c r="R738" s="246" t="str">
        <f>VLOOKUP(P738,'Dados das Regiões '!A:B,2,0)</f>
        <v>JACAREZINHO</v>
      </c>
      <c r="S738" s="191" t="s">
        <v>6511</v>
      </c>
      <c r="U738" s="191" t="s">
        <v>6512</v>
      </c>
      <c r="V738" s="191" t="s">
        <v>6512</v>
      </c>
      <c r="W738" s="191" t="s">
        <v>6513</v>
      </c>
      <c r="X738" s="195">
        <v>0.5625</v>
      </c>
      <c r="Y738" s="420">
        <v>0.64583333333333337</v>
      </c>
      <c r="Z738" s="233" t="s">
        <v>622</v>
      </c>
    </row>
    <row r="739" spans="2:28">
      <c r="B739" s="13" t="str">
        <f t="shared" si="461"/>
        <v>Pendente</v>
      </c>
      <c r="D739" s="13" t="s">
        <v>611</v>
      </c>
      <c r="E739" s="14" t="str">
        <f t="shared" si="460"/>
        <v/>
      </c>
      <c r="F739" s="13" t="s">
        <v>611</v>
      </c>
      <c r="G739" s="191">
        <v>202501023</v>
      </c>
      <c r="H739" s="191" t="s">
        <v>6514</v>
      </c>
      <c r="I739" s="191" t="s">
        <v>613</v>
      </c>
      <c r="J739" s="192">
        <v>45971</v>
      </c>
      <c r="K739" s="192">
        <v>46335</v>
      </c>
      <c r="L739" s="191" t="s">
        <v>632</v>
      </c>
      <c r="M739" s="191" t="s">
        <v>977</v>
      </c>
      <c r="N739" s="13" t="s">
        <v>978</v>
      </c>
      <c r="O739" s="17" t="s">
        <v>979</v>
      </c>
      <c r="P739" s="314" t="s">
        <v>486</v>
      </c>
      <c r="Q739" s="13" t="s">
        <v>618</v>
      </c>
      <c r="R739" s="246" t="str">
        <f>VLOOKUP(P739,'Dados das Regiões '!A:B,2,0)</f>
        <v>UMUARAMA</v>
      </c>
      <c r="S739" s="191" t="s">
        <v>980</v>
      </c>
      <c r="U739" s="191" t="s">
        <v>6515</v>
      </c>
      <c r="V739" s="191" t="s">
        <v>6516</v>
      </c>
      <c r="W739" s="191" t="s">
        <v>6517</v>
      </c>
      <c r="X739" s="195">
        <v>0.33333333333333331</v>
      </c>
      <c r="Y739" s="426" t="s">
        <v>648</v>
      </c>
      <c r="Z739" s="233" t="s">
        <v>622</v>
      </c>
    </row>
    <row r="740" spans="2:28">
      <c r="B740" s="13" t="str">
        <f t="shared" si="461"/>
        <v>Pendente</v>
      </c>
      <c r="D740" s="13" t="s">
        <v>611</v>
      </c>
      <c r="E740" s="14" t="str">
        <f t="shared" si="460"/>
        <v/>
      </c>
      <c r="F740" s="13" t="s">
        <v>611</v>
      </c>
      <c r="G740" s="191">
        <v>202500925</v>
      </c>
      <c r="H740" s="191" t="s">
        <v>6518</v>
      </c>
      <c r="I740" s="191" t="s">
        <v>613</v>
      </c>
      <c r="J740" s="192">
        <v>45950</v>
      </c>
      <c r="K740" s="192">
        <v>46311</v>
      </c>
      <c r="L740" s="191" t="s">
        <v>2286</v>
      </c>
      <c r="M740" s="191" t="s">
        <v>5004</v>
      </c>
      <c r="N740" s="13" t="s">
        <v>5005</v>
      </c>
      <c r="O740" s="17" t="s">
        <v>5006</v>
      </c>
      <c r="P740" s="314" t="s">
        <v>412</v>
      </c>
      <c r="Q740" s="13" t="s">
        <v>618</v>
      </c>
      <c r="R740" s="246" t="str">
        <f>VLOOKUP(P740,'Dados das Regiões '!A:B,2,0)</f>
        <v>PARANAVAÍ</v>
      </c>
      <c r="S740" s="191" t="s">
        <v>6519</v>
      </c>
      <c r="U740" s="191" t="s">
        <v>5008</v>
      </c>
      <c r="V740" s="191" t="s">
        <v>5008</v>
      </c>
      <c r="W740" s="191" t="s">
        <v>6520</v>
      </c>
      <c r="X740" s="195">
        <v>0.5625</v>
      </c>
      <c r="Y740" s="420">
        <v>0.64583333333333337</v>
      </c>
      <c r="Z740" s="233" t="s">
        <v>622</v>
      </c>
    </row>
    <row r="741" spans="2:28">
      <c r="B741" s="13" t="str">
        <f t="shared" si="461"/>
        <v>Pendente</v>
      </c>
      <c r="D741" s="13" t="s">
        <v>611</v>
      </c>
      <c r="E741" s="14" t="str">
        <f t="shared" si="460"/>
        <v/>
      </c>
      <c r="F741" s="13" t="s">
        <v>611</v>
      </c>
      <c r="G741" s="191">
        <v>202500925</v>
      </c>
      <c r="H741" s="191" t="s">
        <v>6521</v>
      </c>
      <c r="I741" s="191" t="s">
        <v>613</v>
      </c>
      <c r="J741" s="192">
        <v>45950</v>
      </c>
      <c r="K741" s="192">
        <v>46311</v>
      </c>
      <c r="L741" s="191" t="s">
        <v>1185</v>
      </c>
      <c r="M741" s="191" t="s">
        <v>6522</v>
      </c>
      <c r="N741" s="13" t="s">
        <v>6523</v>
      </c>
      <c r="O741" s="17" t="s">
        <v>6524</v>
      </c>
      <c r="P741" s="314" t="s">
        <v>485</v>
      </c>
      <c r="Q741" s="13" t="s">
        <v>618</v>
      </c>
      <c r="R741" s="246" t="str">
        <f>VLOOKUP(P741,'Dados das Regiões '!A:B,2,0)</f>
        <v>UMUARAMA</v>
      </c>
      <c r="S741" s="191" t="s">
        <v>6525</v>
      </c>
      <c r="U741" s="191" t="s">
        <v>6526</v>
      </c>
      <c r="V741" s="191" t="s">
        <v>6526</v>
      </c>
      <c r="W741" s="191" t="s">
        <v>6527</v>
      </c>
      <c r="X741" s="195">
        <v>0.33333333333333331</v>
      </c>
      <c r="Y741" s="420">
        <v>0.41666666666666669</v>
      </c>
      <c r="Z741" s="233" t="s">
        <v>622</v>
      </c>
    </row>
    <row r="742" spans="2:28">
      <c r="B742" s="13" t="str">
        <f t="shared" si="461"/>
        <v>Pendente</v>
      </c>
      <c r="D742" s="13" t="s">
        <v>611</v>
      </c>
      <c r="E742" s="14" t="str">
        <f t="shared" si="460"/>
        <v/>
      </c>
      <c r="F742" s="13" t="s">
        <v>611</v>
      </c>
      <c r="G742" s="191">
        <v>202500412</v>
      </c>
      <c r="H742" s="191" t="s">
        <v>6528</v>
      </c>
      <c r="I742" s="191" t="s">
        <v>613</v>
      </c>
      <c r="J742" s="192">
        <v>45971</v>
      </c>
      <c r="K742" s="192">
        <v>46335</v>
      </c>
      <c r="L742" s="191" t="s">
        <v>835</v>
      </c>
      <c r="M742" s="191" t="s">
        <v>871</v>
      </c>
      <c r="N742" s="13" t="s">
        <v>872</v>
      </c>
      <c r="O742" s="17" t="s">
        <v>873</v>
      </c>
      <c r="P742" s="314" t="s">
        <v>179</v>
      </c>
      <c r="Q742" s="13" t="s">
        <v>618</v>
      </c>
      <c r="R742" s="246" t="str">
        <f>VLOOKUP(P742,'Dados das Regiões '!A:B,2,0)</f>
        <v>CASCAVEL</v>
      </c>
      <c r="S742" s="191" t="s">
        <v>6529</v>
      </c>
      <c r="U742" s="191" t="s">
        <v>875</v>
      </c>
      <c r="V742" s="191" t="s">
        <v>6530</v>
      </c>
      <c r="W742" s="191" t="s">
        <v>6531</v>
      </c>
      <c r="X742" s="195">
        <v>0.5625</v>
      </c>
      <c r="Y742" s="426" t="s">
        <v>936</v>
      </c>
      <c r="Z742" s="233" t="s">
        <v>622</v>
      </c>
    </row>
    <row r="743" spans="2:28">
      <c r="B743" s="13" t="str">
        <f t="shared" si="461"/>
        <v>Pendente</v>
      </c>
      <c r="D743" s="13" t="s">
        <v>611</v>
      </c>
      <c r="E743" s="14" t="str">
        <f t="shared" si="460"/>
        <v/>
      </c>
      <c r="F743" s="13" t="s">
        <v>611</v>
      </c>
      <c r="G743" s="191">
        <v>202500412</v>
      </c>
      <c r="H743" s="191" t="s">
        <v>6532</v>
      </c>
      <c r="I743" s="191" t="s">
        <v>613</v>
      </c>
      <c r="J743" s="192">
        <v>45971</v>
      </c>
      <c r="K743" s="192">
        <v>46335</v>
      </c>
      <c r="L743" s="191" t="s">
        <v>835</v>
      </c>
      <c r="M743" s="191" t="s">
        <v>871</v>
      </c>
      <c r="N743" s="13" t="s">
        <v>872</v>
      </c>
      <c r="O743" s="17" t="s">
        <v>873</v>
      </c>
      <c r="P743" s="314" t="s">
        <v>179</v>
      </c>
      <c r="Q743" s="13" t="s">
        <v>618</v>
      </c>
      <c r="R743" s="246" t="str">
        <f>VLOOKUP(P743,'Dados das Regiões '!A:B,2,0)</f>
        <v>CASCAVEL</v>
      </c>
      <c r="S743" s="191" t="s">
        <v>6529</v>
      </c>
      <c r="U743" s="191" t="s">
        <v>6533</v>
      </c>
      <c r="V743" s="191" t="s">
        <v>6530</v>
      </c>
      <c r="W743" s="191" t="s">
        <v>6531</v>
      </c>
      <c r="X743" s="195">
        <v>0.64583333333333337</v>
      </c>
      <c r="Y743" s="426" t="s">
        <v>6534</v>
      </c>
      <c r="Z743" s="233" t="s">
        <v>622</v>
      </c>
    </row>
    <row r="744" spans="2:28">
      <c r="B744" s="13" t="str">
        <f t="shared" si="461"/>
        <v>Pendente</v>
      </c>
      <c r="D744" s="13" t="s">
        <v>611</v>
      </c>
      <c r="E744" s="14" t="str">
        <f t="shared" si="460"/>
        <v/>
      </c>
      <c r="F744" s="13" t="s">
        <v>611</v>
      </c>
      <c r="G744" s="191">
        <v>202500925</v>
      </c>
      <c r="H744" s="191" t="s">
        <v>6535</v>
      </c>
      <c r="I744" s="191" t="s">
        <v>613</v>
      </c>
      <c r="J744" s="192">
        <v>45950</v>
      </c>
      <c r="K744" s="192">
        <v>46311</v>
      </c>
      <c r="L744" s="191" t="s">
        <v>1801</v>
      </c>
      <c r="M744" s="191" t="s">
        <v>6536</v>
      </c>
      <c r="N744" s="13" t="s">
        <v>6537</v>
      </c>
      <c r="O744" s="17" t="s">
        <v>6538</v>
      </c>
      <c r="P744" s="314" t="s">
        <v>208</v>
      </c>
      <c r="Q744" s="13" t="s">
        <v>618</v>
      </c>
      <c r="R744" s="246" t="str">
        <f>VLOOKUP(P744,'Dados das Regiões '!A:B,2,0)</f>
        <v>CASTRO</v>
      </c>
      <c r="S744" s="191" t="s">
        <v>6539</v>
      </c>
      <c r="U744" s="191" t="s">
        <v>6540</v>
      </c>
      <c r="V744" s="191" t="s">
        <v>6540</v>
      </c>
      <c r="W744" s="191" t="s">
        <v>5923</v>
      </c>
      <c r="X744" s="195">
        <v>0.5625</v>
      </c>
      <c r="Y744" s="420">
        <v>0.64583333333333337</v>
      </c>
      <c r="Z744" s="233" t="s">
        <v>622</v>
      </c>
    </row>
    <row r="745" spans="2:28">
      <c r="B745" s="13" t="str">
        <f t="shared" si="461"/>
        <v>Pendente</v>
      </c>
      <c r="D745" s="13" t="s">
        <v>611</v>
      </c>
      <c r="E745" s="14" t="str">
        <f t="shared" si="460"/>
        <v/>
      </c>
      <c r="F745" s="13" t="s">
        <v>611</v>
      </c>
      <c r="G745" s="191">
        <v>202500925</v>
      </c>
      <c r="H745" s="191" t="s">
        <v>6541</v>
      </c>
      <c r="I745" s="191" t="s">
        <v>613</v>
      </c>
      <c r="J745" s="192">
        <v>45950</v>
      </c>
      <c r="K745" s="192">
        <v>46311</v>
      </c>
      <c r="L745" s="191" t="s">
        <v>1185</v>
      </c>
      <c r="M745" s="191" t="s">
        <v>2439</v>
      </c>
      <c r="N745" s="13" t="s">
        <v>2440</v>
      </c>
      <c r="O745" s="17" t="s">
        <v>6542</v>
      </c>
      <c r="P745" s="314" t="s">
        <v>208</v>
      </c>
      <c r="Q745" s="13" t="s">
        <v>618</v>
      </c>
      <c r="R745" s="246" t="str">
        <f>VLOOKUP(P745,'Dados das Regiões '!A:B,2,0)</f>
        <v>CASTRO</v>
      </c>
      <c r="S745" s="191" t="s">
        <v>6543</v>
      </c>
      <c r="U745" s="191" t="s">
        <v>2444</v>
      </c>
      <c r="V745" s="191" t="s">
        <v>2444</v>
      </c>
      <c r="W745" s="191" t="s">
        <v>6544</v>
      </c>
      <c r="X745" s="195">
        <v>0.54166666666666663</v>
      </c>
      <c r="Y745" s="420">
        <v>0.625</v>
      </c>
      <c r="Z745" s="233" t="s">
        <v>622</v>
      </c>
    </row>
    <row r="746" spans="2:28">
      <c r="B746" s="13" t="str">
        <f t="shared" si="461"/>
        <v>Pendente</v>
      </c>
      <c r="D746" s="13" t="s">
        <v>611</v>
      </c>
      <c r="E746" s="14" t="str">
        <f t="shared" ref="E746:E809" si="463">IF(C746="", "", EDATE(C746, 3))</f>
        <v/>
      </c>
      <c r="F746" s="13" t="s">
        <v>611</v>
      </c>
      <c r="G746" s="191">
        <v>202500926</v>
      </c>
      <c r="H746" s="191" t="s">
        <v>6545</v>
      </c>
      <c r="I746" s="191" t="s">
        <v>1192</v>
      </c>
      <c r="J746" s="192">
        <v>45950</v>
      </c>
      <c r="K746" s="192">
        <v>46311</v>
      </c>
      <c r="L746" s="191" t="s">
        <v>6546</v>
      </c>
      <c r="M746" s="191" t="s">
        <v>6547</v>
      </c>
      <c r="N746" s="13" t="s">
        <v>6548</v>
      </c>
      <c r="O746" s="17" t="s">
        <v>6549</v>
      </c>
      <c r="P746" s="314" t="s">
        <v>218</v>
      </c>
      <c r="Q746" s="13" t="s">
        <v>618</v>
      </c>
      <c r="R746" s="246" t="str">
        <f>VLOOKUP(P746,'Dados das Regiões '!A:B,2,0)</f>
        <v>CORNÉLIO PROCÓPIO</v>
      </c>
      <c r="S746" s="191" t="s">
        <v>6550</v>
      </c>
      <c r="U746" s="191" t="s">
        <v>6551</v>
      </c>
      <c r="V746" s="191" t="s">
        <v>6552</v>
      </c>
      <c r="W746" s="191" t="s">
        <v>6553</v>
      </c>
      <c r="X746" s="195">
        <v>0.58333333333333337</v>
      </c>
      <c r="Y746" s="420">
        <v>0.66666666666666663</v>
      </c>
      <c r="Z746" s="233" t="s">
        <v>622</v>
      </c>
    </row>
    <row r="747" spans="2:28">
      <c r="B747" s="13" t="str">
        <f t="shared" si="461"/>
        <v>Pendente</v>
      </c>
      <c r="D747" s="13" t="s">
        <v>611</v>
      </c>
      <c r="E747" s="14" t="str">
        <f t="shared" si="463"/>
        <v/>
      </c>
      <c r="F747" s="13" t="s">
        <v>611</v>
      </c>
      <c r="G747" s="191">
        <v>202500926</v>
      </c>
      <c r="H747" s="191" t="s">
        <v>6554</v>
      </c>
      <c r="I747" s="191" t="s">
        <v>1192</v>
      </c>
      <c r="J747" s="192">
        <v>45950</v>
      </c>
      <c r="K747" s="192">
        <v>46311</v>
      </c>
      <c r="L747" s="191" t="s">
        <v>6546</v>
      </c>
      <c r="M747" s="191" t="s">
        <v>6547</v>
      </c>
      <c r="N747" s="13" t="s">
        <v>6548</v>
      </c>
      <c r="O747" s="17" t="s">
        <v>6549</v>
      </c>
      <c r="P747" s="314" t="s">
        <v>218</v>
      </c>
      <c r="Q747" s="13" t="s">
        <v>618</v>
      </c>
      <c r="R747" s="246" t="str">
        <f>VLOOKUP(P747,'Dados das Regiões '!A:B,2,0)</f>
        <v>CORNÉLIO PROCÓPIO</v>
      </c>
      <c r="S747" s="191" t="s">
        <v>6555</v>
      </c>
      <c r="U747" s="191" t="s">
        <v>6551</v>
      </c>
      <c r="V747" s="191" t="s">
        <v>6552</v>
      </c>
      <c r="W747" s="191" t="s">
        <v>6553</v>
      </c>
      <c r="X747" s="195">
        <v>0.66666666666666663</v>
      </c>
      <c r="Y747" s="420">
        <v>0.58333333333333337</v>
      </c>
      <c r="Z747" s="233" t="s">
        <v>622</v>
      </c>
    </row>
    <row r="748" spans="2:28">
      <c r="B748" s="13" t="str">
        <f t="shared" si="461"/>
        <v>Pendente</v>
      </c>
      <c r="D748" s="13" t="s">
        <v>611</v>
      </c>
      <c r="E748" s="14" t="str">
        <f t="shared" si="463"/>
        <v/>
      </c>
      <c r="F748" s="13" t="s">
        <v>611</v>
      </c>
      <c r="G748" s="191">
        <v>202500925</v>
      </c>
      <c r="H748" s="191" t="s">
        <v>6556</v>
      </c>
      <c r="I748" s="191" t="s">
        <v>613</v>
      </c>
      <c r="J748" s="192">
        <v>45950</v>
      </c>
      <c r="K748" s="192">
        <v>46311</v>
      </c>
      <c r="L748" s="191" t="s">
        <v>1185</v>
      </c>
      <c r="M748" s="191" t="s">
        <v>1312</v>
      </c>
      <c r="N748" s="13" t="s">
        <v>6557</v>
      </c>
      <c r="O748" s="17" t="s">
        <v>6558</v>
      </c>
      <c r="P748" s="314" t="s">
        <v>218</v>
      </c>
      <c r="Q748" s="13" t="s">
        <v>618</v>
      </c>
      <c r="R748" s="246" t="str">
        <f>VLOOKUP(P748,'Dados das Regiões '!A:B,2,0)</f>
        <v>CORNÉLIO PROCÓPIO</v>
      </c>
      <c r="S748" s="191" t="s">
        <v>6559</v>
      </c>
      <c r="U748" s="191" t="s">
        <v>6560</v>
      </c>
      <c r="V748" s="191" t="s">
        <v>6560</v>
      </c>
      <c r="W748" s="191" t="s">
        <v>6561</v>
      </c>
      <c r="X748" s="195">
        <v>0.54166666666666663</v>
      </c>
      <c r="Y748" s="420">
        <v>0.625</v>
      </c>
      <c r="Z748" s="233" t="s">
        <v>622</v>
      </c>
    </row>
    <row r="749" spans="2:28">
      <c r="B749" s="13" t="str">
        <f t="shared" si="461"/>
        <v>Pendente</v>
      </c>
      <c r="D749" s="13" t="s">
        <v>611</v>
      </c>
      <c r="E749" s="14" t="str">
        <f t="shared" si="463"/>
        <v/>
      </c>
      <c r="F749" s="13" t="s">
        <v>611</v>
      </c>
      <c r="G749" s="191">
        <v>202501023</v>
      </c>
      <c r="H749" s="191" t="s">
        <v>2154</v>
      </c>
      <c r="I749" s="191" t="s">
        <v>613</v>
      </c>
      <c r="J749" s="192">
        <v>45971</v>
      </c>
      <c r="K749" s="192">
        <v>46335</v>
      </c>
      <c r="L749" s="191" t="s">
        <v>6562</v>
      </c>
      <c r="M749" s="191" t="s">
        <v>6563</v>
      </c>
      <c r="N749" s="13" t="s">
        <v>6564</v>
      </c>
      <c r="O749" s="17" t="s">
        <v>6565</v>
      </c>
      <c r="P749" s="314" t="s">
        <v>136</v>
      </c>
      <c r="Q749" s="13" t="s">
        <v>618</v>
      </c>
      <c r="R749" s="246" t="str">
        <f>VLOOKUP(P749,'Dados das Regiões '!A:B,2,0)</f>
        <v>ARAPONGAS</v>
      </c>
      <c r="S749" s="191" t="s">
        <v>6566</v>
      </c>
      <c r="U749" s="191" t="s">
        <v>6567</v>
      </c>
      <c r="V749" s="191" t="s">
        <v>6568</v>
      </c>
      <c r="W749" s="191" t="s">
        <v>6569</v>
      </c>
      <c r="X749" s="195">
        <v>0.63749999999999996</v>
      </c>
      <c r="Y749" s="426" t="s">
        <v>6570</v>
      </c>
      <c r="Z749" s="233" t="s">
        <v>622</v>
      </c>
    </row>
    <row r="750" spans="2:28">
      <c r="B750" s="13" t="str">
        <f t="shared" si="461"/>
        <v>Pendente</v>
      </c>
      <c r="D750" s="13" t="s">
        <v>611</v>
      </c>
      <c r="E750" s="14" t="str">
        <f t="shared" si="463"/>
        <v/>
      </c>
      <c r="F750" s="13" t="s">
        <v>611</v>
      </c>
      <c r="G750" s="191">
        <v>202501023</v>
      </c>
      <c r="H750" s="191" t="s">
        <v>6571</v>
      </c>
      <c r="I750" s="191" t="s">
        <v>613</v>
      </c>
      <c r="J750" s="192">
        <v>45971</v>
      </c>
      <c r="K750" s="192">
        <v>46335</v>
      </c>
      <c r="L750" s="191" t="s">
        <v>6562</v>
      </c>
      <c r="M750" s="191" t="s">
        <v>6563</v>
      </c>
      <c r="N750" s="13" t="s">
        <v>6564</v>
      </c>
      <c r="O750" s="17" t="s">
        <v>6565</v>
      </c>
      <c r="P750" s="314" t="s">
        <v>136</v>
      </c>
      <c r="Q750" s="13" t="s">
        <v>618</v>
      </c>
      <c r="R750" s="246" t="str">
        <f>VLOOKUP(P750,'Dados das Regiões '!A:B,2,0)</f>
        <v>ARAPONGAS</v>
      </c>
      <c r="S750" s="191" t="s">
        <v>6566</v>
      </c>
      <c r="U750" s="191" t="s">
        <v>6567</v>
      </c>
      <c r="V750" s="191" t="s">
        <v>6568</v>
      </c>
      <c r="W750" s="191" t="s">
        <v>6569</v>
      </c>
      <c r="X750" s="195">
        <v>0.5541666666666667</v>
      </c>
      <c r="Y750" s="426" t="s">
        <v>6572</v>
      </c>
      <c r="Z750" s="233" t="s">
        <v>622</v>
      </c>
    </row>
    <row r="751" spans="2:28">
      <c r="B751" s="13" t="str">
        <f t="shared" si="461"/>
        <v>Pendente</v>
      </c>
      <c r="D751" s="13" t="s">
        <v>611</v>
      </c>
      <c r="E751" s="14" t="str">
        <f t="shared" si="463"/>
        <v/>
      </c>
      <c r="F751" s="13" t="s">
        <v>611</v>
      </c>
      <c r="G751" s="191">
        <v>202500412</v>
      </c>
      <c r="H751" s="191" t="s">
        <v>6573</v>
      </c>
      <c r="I751" s="191" t="s">
        <v>613</v>
      </c>
      <c r="J751" s="192">
        <v>45971</v>
      </c>
      <c r="K751" s="192">
        <v>46335</v>
      </c>
      <c r="L751" s="191" t="s">
        <v>1417</v>
      </c>
      <c r="M751" s="191" t="s">
        <v>6574</v>
      </c>
      <c r="N751" s="13" t="s">
        <v>6575</v>
      </c>
      <c r="O751" s="17" t="s">
        <v>6576</v>
      </c>
      <c r="P751" s="314" t="s">
        <v>259</v>
      </c>
      <c r="Q751" s="13" t="s">
        <v>618</v>
      </c>
      <c r="R751" s="246" t="str">
        <f>VLOOKUP(P751,'Dados das Regiões '!A:B,2,0)</f>
        <v>FRANCISCO BELTRÃO</v>
      </c>
      <c r="S751" s="191" t="s">
        <v>6577</v>
      </c>
      <c r="U751" s="191" t="s">
        <v>1555</v>
      </c>
      <c r="V751" s="191" t="s">
        <v>6578</v>
      </c>
      <c r="W751" s="191" t="s">
        <v>6579</v>
      </c>
      <c r="X751" s="195">
        <v>0.5625</v>
      </c>
      <c r="Y751" s="426" t="s">
        <v>680</v>
      </c>
      <c r="Z751" s="233" t="s">
        <v>622</v>
      </c>
    </row>
    <row r="752" spans="2:28">
      <c r="B752" s="13" t="str">
        <f t="shared" si="461"/>
        <v>Pendente</v>
      </c>
      <c r="D752" s="13" t="s">
        <v>611</v>
      </c>
      <c r="E752" s="14" t="str">
        <f t="shared" si="463"/>
        <v/>
      </c>
      <c r="F752" s="13" t="s">
        <v>611</v>
      </c>
      <c r="G752" s="191">
        <v>202500412</v>
      </c>
      <c r="H752" s="191" t="s">
        <v>6580</v>
      </c>
      <c r="I752" s="191" t="s">
        <v>613</v>
      </c>
      <c r="J752" s="192">
        <v>45971</v>
      </c>
      <c r="K752" s="192">
        <v>46335</v>
      </c>
      <c r="L752" s="191" t="s">
        <v>672</v>
      </c>
      <c r="M752" s="191" t="s">
        <v>691</v>
      </c>
      <c r="N752" s="13" t="s">
        <v>692</v>
      </c>
      <c r="O752" s="13" t="s">
        <v>693</v>
      </c>
      <c r="P752" s="314" t="s">
        <v>148</v>
      </c>
      <c r="Q752" s="13" t="s">
        <v>618</v>
      </c>
      <c r="R752" s="246" t="str">
        <f>VLOOKUP(P752,'Dados das Regiões '!A:B,2,0)</f>
        <v>CAMPO MOURÃO</v>
      </c>
      <c r="S752" s="191" t="s">
        <v>694</v>
      </c>
      <c r="U752" s="191" t="s">
        <v>695</v>
      </c>
      <c r="V752" s="191" t="s">
        <v>696</v>
      </c>
      <c r="W752" s="191" t="s">
        <v>6581</v>
      </c>
      <c r="X752" s="195">
        <v>0.64583333333333337</v>
      </c>
      <c r="Y752" s="426" t="s">
        <v>698</v>
      </c>
      <c r="Z752" s="233" t="s">
        <v>622</v>
      </c>
    </row>
    <row r="753" spans="2:26">
      <c r="B753" s="13" t="str">
        <f t="shared" si="461"/>
        <v>Pendente</v>
      </c>
      <c r="D753" s="13" t="s">
        <v>611</v>
      </c>
      <c r="E753" s="14" t="str">
        <f t="shared" si="463"/>
        <v/>
      </c>
      <c r="F753" s="13" t="s">
        <v>611</v>
      </c>
      <c r="G753" s="191">
        <v>202501023</v>
      </c>
      <c r="H753" s="191" t="s">
        <v>6582</v>
      </c>
      <c r="I753" s="191" t="s">
        <v>613</v>
      </c>
      <c r="J753" s="192">
        <v>45971</v>
      </c>
      <c r="K753" s="192">
        <v>46335</v>
      </c>
      <c r="L753" s="191" t="s">
        <v>657</v>
      </c>
      <c r="M753" s="191" t="s">
        <v>1070</v>
      </c>
      <c r="N753" s="13" t="s">
        <v>1071</v>
      </c>
      <c r="O753" s="17" t="s">
        <v>1072</v>
      </c>
      <c r="P753" s="314" t="s">
        <v>261</v>
      </c>
      <c r="Q753" s="13" t="s">
        <v>618</v>
      </c>
      <c r="R753" s="246" t="str">
        <f>VLOOKUP(P753,'Dados das Regiões '!A:B,2,0)</f>
        <v>FRANCISCO BELTRÃO</v>
      </c>
      <c r="S753" s="191" t="s">
        <v>6583</v>
      </c>
      <c r="U753" s="191"/>
      <c r="V753" s="191" t="s">
        <v>6584</v>
      </c>
      <c r="W753" s="191" t="s">
        <v>6585</v>
      </c>
      <c r="X753" s="195">
        <v>0.64583333333333337</v>
      </c>
      <c r="Y753" s="426" t="s">
        <v>680</v>
      </c>
      <c r="Z753" s="233" t="s">
        <v>622</v>
      </c>
    </row>
    <row r="754" spans="2:26">
      <c r="B754" s="13" t="str">
        <f t="shared" si="461"/>
        <v>Pendente</v>
      </c>
      <c r="D754" s="13" t="s">
        <v>611</v>
      </c>
      <c r="E754" s="14" t="str">
        <f t="shared" si="463"/>
        <v/>
      </c>
      <c r="F754" s="13" t="s">
        <v>611</v>
      </c>
      <c r="G754" s="191">
        <v>202500926</v>
      </c>
      <c r="H754" s="191" t="s">
        <v>6586</v>
      </c>
      <c r="I754" s="191" t="s">
        <v>1192</v>
      </c>
      <c r="J754" s="192">
        <v>45950</v>
      </c>
      <c r="K754" s="192">
        <v>46311</v>
      </c>
      <c r="L754" s="191" t="s">
        <v>6587</v>
      </c>
      <c r="M754" s="191" t="s">
        <v>1362</v>
      </c>
      <c r="N754" s="181" t="s">
        <v>529</v>
      </c>
      <c r="O754" s="17" t="s">
        <v>530</v>
      </c>
      <c r="P754" s="314" t="s">
        <v>239</v>
      </c>
      <c r="Q754" s="13" t="s">
        <v>618</v>
      </c>
      <c r="R754" s="246" t="str">
        <f>VLOOKUP(P754,'Dados das Regiões '!A:B,2,0)</f>
        <v>CURITIBA CENTRO</v>
      </c>
      <c r="S754" s="191" t="s">
        <v>6588</v>
      </c>
      <c r="U754" s="191" t="s">
        <v>6589</v>
      </c>
      <c r="V754" s="191" t="s">
        <v>6590</v>
      </c>
      <c r="W754" s="191" t="s">
        <v>6591</v>
      </c>
      <c r="X754" s="195">
        <v>0.33333333333333331</v>
      </c>
      <c r="Y754" s="420">
        <v>0.41666666666666669</v>
      </c>
      <c r="Z754" s="233" t="s">
        <v>622</v>
      </c>
    </row>
    <row r="755" spans="2:26">
      <c r="B755" s="13" t="str">
        <f t="shared" si="461"/>
        <v>Pendente</v>
      </c>
      <c r="D755" s="13" t="s">
        <v>611</v>
      </c>
      <c r="E755" s="14" t="str">
        <f t="shared" si="463"/>
        <v/>
      </c>
      <c r="F755" s="13" t="s">
        <v>611</v>
      </c>
      <c r="G755" s="191">
        <v>202500926</v>
      </c>
      <c r="H755" s="191" t="s">
        <v>6592</v>
      </c>
      <c r="I755" s="191" t="s">
        <v>1192</v>
      </c>
      <c r="J755" s="192">
        <v>45950</v>
      </c>
      <c r="K755" s="192">
        <v>46311</v>
      </c>
      <c r="L755" s="191" t="s">
        <v>6587</v>
      </c>
      <c r="M755" s="191" t="s">
        <v>1362</v>
      </c>
      <c r="N755" s="181" t="s">
        <v>529</v>
      </c>
      <c r="O755" s="17" t="s">
        <v>530</v>
      </c>
      <c r="P755" s="314" t="s">
        <v>239</v>
      </c>
      <c r="Q755" s="13" t="s">
        <v>618</v>
      </c>
      <c r="R755" s="246" t="str">
        <f>VLOOKUP(P755,'Dados das Regiões '!A:B,2,0)</f>
        <v>CURITIBA CENTRO</v>
      </c>
      <c r="S755" s="191" t="s">
        <v>6588</v>
      </c>
      <c r="U755" s="191" t="s">
        <v>6589</v>
      </c>
      <c r="V755" s="191" t="s">
        <v>6590</v>
      </c>
      <c r="W755" s="191" t="s">
        <v>6591</v>
      </c>
      <c r="X755" s="195">
        <v>0.66666666666666663</v>
      </c>
      <c r="Y755" s="420">
        <v>0.58333333333333337</v>
      </c>
      <c r="Z755" s="233" t="s">
        <v>622</v>
      </c>
    </row>
    <row r="756" spans="2:26">
      <c r="B756" s="13" t="str">
        <f t="shared" si="461"/>
        <v>Pendente</v>
      </c>
      <c r="D756" s="13" t="s">
        <v>611</v>
      </c>
      <c r="E756" s="14" t="str">
        <f t="shared" si="463"/>
        <v/>
      </c>
      <c r="F756" s="13" t="s">
        <v>611</v>
      </c>
      <c r="G756" s="191">
        <v>202500926</v>
      </c>
      <c r="H756" s="191" t="s">
        <v>6593</v>
      </c>
      <c r="I756" s="191" t="s">
        <v>1192</v>
      </c>
      <c r="J756" s="192">
        <v>45950</v>
      </c>
      <c r="K756" s="192">
        <v>46311</v>
      </c>
      <c r="L756" s="191" t="s">
        <v>6587</v>
      </c>
      <c r="M756" s="191" t="s">
        <v>1362</v>
      </c>
      <c r="N756" s="181" t="s">
        <v>529</v>
      </c>
      <c r="O756" s="17" t="s">
        <v>530</v>
      </c>
      <c r="P756" s="314" t="s">
        <v>239</v>
      </c>
      <c r="Q756" s="13" t="s">
        <v>618</v>
      </c>
      <c r="R756" s="246" t="str">
        <f>VLOOKUP(P756,'Dados das Regiões '!A:B,2,0)</f>
        <v>CURITIBA CENTRO</v>
      </c>
      <c r="S756" s="191" t="s">
        <v>6594</v>
      </c>
      <c r="U756" s="191" t="s">
        <v>6589</v>
      </c>
      <c r="V756" s="191" t="s">
        <v>6590</v>
      </c>
      <c r="W756" s="191" t="s">
        <v>6591</v>
      </c>
      <c r="X756" s="195">
        <v>0.66666666666666663</v>
      </c>
      <c r="Y756" s="420">
        <v>0.58333333333333337</v>
      </c>
      <c r="Z756" s="233" t="s">
        <v>622</v>
      </c>
    </row>
    <row r="757" spans="2:26">
      <c r="B757" s="13" t="str">
        <f t="shared" si="461"/>
        <v>Pendente</v>
      </c>
      <c r="D757" s="13" t="s">
        <v>611</v>
      </c>
      <c r="E757" s="14" t="str">
        <f t="shared" si="463"/>
        <v/>
      </c>
      <c r="F757" s="13" t="s">
        <v>611</v>
      </c>
      <c r="G757" s="191">
        <v>202500926</v>
      </c>
      <c r="H757" s="191" t="s">
        <v>6595</v>
      </c>
      <c r="I757" s="191" t="s">
        <v>1192</v>
      </c>
      <c r="J757" s="192">
        <v>45950</v>
      </c>
      <c r="K757" s="192">
        <v>46311</v>
      </c>
      <c r="L757" s="191" t="s">
        <v>6587</v>
      </c>
      <c r="M757" s="191" t="s">
        <v>1362</v>
      </c>
      <c r="N757" s="181" t="s">
        <v>529</v>
      </c>
      <c r="O757" s="17" t="s">
        <v>530</v>
      </c>
      <c r="P757" s="314" t="s">
        <v>239</v>
      </c>
      <c r="Q757" s="13" t="s">
        <v>618</v>
      </c>
      <c r="R757" s="246" t="str">
        <f>VLOOKUP(P757,'Dados das Regiões '!A:B,2,0)</f>
        <v>CURITIBA CENTRO</v>
      </c>
      <c r="S757" s="191" t="s">
        <v>6588</v>
      </c>
      <c r="U757" s="191" t="s">
        <v>6589</v>
      </c>
      <c r="V757" s="191" t="s">
        <v>6590</v>
      </c>
      <c r="W757" s="191" t="s">
        <v>6591</v>
      </c>
      <c r="X757" s="195">
        <v>0.58333333333333337</v>
      </c>
      <c r="Y757" s="420">
        <v>0.66666666666666663</v>
      </c>
      <c r="Z757" s="233" t="s">
        <v>622</v>
      </c>
    </row>
    <row r="758" spans="2:26">
      <c r="B758" s="13" t="str">
        <f t="shared" si="461"/>
        <v>Pendente</v>
      </c>
      <c r="D758" s="13" t="s">
        <v>611</v>
      </c>
      <c r="E758" s="14" t="str">
        <f t="shared" si="463"/>
        <v/>
      </c>
      <c r="F758" s="13" t="s">
        <v>611</v>
      </c>
      <c r="G758" s="191">
        <v>202500926</v>
      </c>
      <c r="H758" s="191" t="s">
        <v>6596</v>
      </c>
      <c r="I758" s="191" t="s">
        <v>1192</v>
      </c>
      <c r="J758" s="192">
        <v>45950</v>
      </c>
      <c r="K758" s="192">
        <v>46311</v>
      </c>
      <c r="L758" s="191" t="s">
        <v>6587</v>
      </c>
      <c r="M758" s="191" t="s">
        <v>1362</v>
      </c>
      <c r="N758" s="181" t="s">
        <v>529</v>
      </c>
      <c r="O758" s="17" t="s">
        <v>530</v>
      </c>
      <c r="P758" s="314" t="s">
        <v>239</v>
      </c>
      <c r="Q758" s="13" t="s">
        <v>618</v>
      </c>
      <c r="R758" s="246" t="str">
        <f>VLOOKUP(P758,'Dados das Regiões '!A:B,2,0)</f>
        <v>CURITIBA CENTRO</v>
      </c>
      <c r="S758" s="191" t="s">
        <v>6588</v>
      </c>
      <c r="U758" s="191" t="s">
        <v>6589</v>
      </c>
      <c r="V758" s="191" t="s">
        <v>6590</v>
      </c>
      <c r="W758" s="191" t="s">
        <v>6591</v>
      </c>
      <c r="X758" s="195">
        <v>0.41666666666666669</v>
      </c>
      <c r="Y758" s="420">
        <v>0.33333333333333331</v>
      </c>
      <c r="Z758" s="233" t="s">
        <v>622</v>
      </c>
    </row>
    <row r="759" spans="2:26">
      <c r="B759" s="13" t="str">
        <f t="shared" si="461"/>
        <v>Pendente</v>
      </c>
      <c r="D759" s="13" t="s">
        <v>611</v>
      </c>
      <c r="E759" s="14" t="str">
        <f t="shared" si="463"/>
        <v/>
      </c>
      <c r="F759" s="13" t="s">
        <v>611</v>
      </c>
      <c r="G759" s="191">
        <v>202500926</v>
      </c>
      <c r="H759" s="191" t="s">
        <v>6597</v>
      </c>
      <c r="I759" s="191" t="s">
        <v>1192</v>
      </c>
      <c r="J759" s="192">
        <v>45950</v>
      </c>
      <c r="K759" s="192">
        <v>46311</v>
      </c>
      <c r="L759" s="191" t="s">
        <v>6587</v>
      </c>
      <c r="M759" s="191" t="s">
        <v>1362</v>
      </c>
      <c r="N759" s="181" t="s">
        <v>529</v>
      </c>
      <c r="O759" s="17" t="s">
        <v>530</v>
      </c>
      <c r="P759" s="314" t="s">
        <v>239</v>
      </c>
      <c r="Q759" s="13" t="s">
        <v>618</v>
      </c>
      <c r="R759" s="246" t="str">
        <f>VLOOKUP(P759,'Dados das Regiões '!A:B,2,0)</f>
        <v>CURITIBA CENTRO</v>
      </c>
      <c r="S759" s="191" t="s">
        <v>6588</v>
      </c>
      <c r="U759" s="191" t="s">
        <v>6589</v>
      </c>
      <c r="V759" s="191" t="s">
        <v>6590</v>
      </c>
      <c r="W759" s="191" t="s">
        <v>6591</v>
      </c>
      <c r="X759" s="195">
        <v>0.58333333333333337</v>
      </c>
      <c r="Y759" s="420">
        <v>0.66666666666666663</v>
      </c>
      <c r="Z759" s="233" t="s">
        <v>622</v>
      </c>
    </row>
    <row r="760" spans="2:26">
      <c r="B760" s="13" t="str">
        <f t="shared" si="461"/>
        <v>Pendente</v>
      </c>
      <c r="D760" s="13" t="s">
        <v>611</v>
      </c>
      <c r="E760" s="14" t="str">
        <f t="shared" si="463"/>
        <v/>
      </c>
      <c r="F760" s="13" t="s">
        <v>611</v>
      </c>
      <c r="G760" s="191">
        <v>202500412</v>
      </c>
      <c r="H760" s="191" t="s">
        <v>6598</v>
      </c>
      <c r="I760" s="191" t="s">
        <v>613</v>
      </c>
      <c r="J760" s="192">
        <v>45971</v>
      </c>
      <c r="K760" s="192">
        <v>46335</v>
      </c>
      <c r="L760" s="191" t="s">
        <v>835</v>
      </c>
      <c r="M760" s="191" t="s">
        <v>858</v>
      </c>
      <c r="N760" s="13" t="s">
        <v>859</v>
      </c>
      <c r="O760" s="17" t="s">
        <v>860</v>
      </c>
      <c r="P760" s="314" t="s">
        <v>185</v>
      </c>
      <c r="Q760" s="13" t="s">
        <v>618</v>
      </c>
      <c r="R760" s="246" t="str">
        <f>VLOOKUP(P760,'Dados das Regiões '!A:B,2,0)</f>
        <v>CASCAVEL</v>
      </c>
      <c r="S760" s="191" t="s">
        <v>853</v>
      </c>
      <c r="U760" s="191" t="s">
        <v>854</v>
      </c>
      <c r="V760" s="191" t="s">
        <v>855</v>
      </c>
      <c r="W760" s="191" t="s">
        <v>856</v>
      </c>
      <c r="X760" s="195">
        <v>0.64583333333333337</v>
      </c>
      <c r="Y760" s="426" t="s">
        <v>698</v>
      </c>
      <c r="Z760" s="233" t="s">
        <v>622</v>
      </c>
    </row>
    <row r="761" spans="2:26">
      <c r="B761" s="13" t="str">
        <f t="shared" si="461"/>
        <v>Pendente</v>
      </c>
      <c r="D761" s="13" t="s">
        <v>611</v>
      </c>
      <c r="E761" s="14" t="str">
        <f t="shared" si="463"/>
        <v/>
      </c>
      <c r="F761" s="13" t="s">
        <v>611</v>
      </c>
      <c r="G761" s="191">
        <v>202500412</v>
      </c>
      <c r="H761" s="191" t="s">
        <v>6599</v>
      </c>
      <c r="I761" s="191" t="s">
        <v>613</v>
      </c>
      <c r="J761" s="192">
        <v>45971</v>
      </c>
      <c r="K761" s="192">
        <v>46335</v>
      </c>
      <c r="L761" s="191" t="s">
        <v>835</v>
      </c>
      <c r="M761" s="191" t="s">
        <v>858</v>
      </c>
      <c r="N761" s="13" t="s">
        <v>859</v>
      </c>
      <c r="O761" s="17" t="s">
        <v>860</v>
      </c>
      <c r="P761" s="314" t="s">
        <v>185</v>
      </c>
      <c r="Q761" s="13" t="s">
        <v>618</v>
      </c>
      <c r="R761" s="246" t="str">
        <f>VLOOKUP(P761,'Dados das Regiões '!A:B,2,0)</f>
        <v>CASCAVEL</v>
      </c>
      <c r="S761" s="191" t="s">
        <v>853</v>
      </c>
      <c r="U761" s="191" t="s">
        <v>854</v>
      </c>
      <c r="V761" s="191" t="s">
        <v>855</v>
      </c>
      <c r="W761" s="191" t="s">
        <v>856</v>
      </c>
      <c r="X761" s="195">
        <v>0.5625</v>
      </c>
      <c r="Y761" s="426" t="s">
        <v>680</v>
      </c>
      <c r="Z761" s="233" t="s">
        <v>622</v>
      </c>
    </row>
    <row r="762" spans="2:26">
      <c r="B762" s="13" t="str">
        <f t="shared" si="461"/>
        <v>Pendente</v>
      </c>
      <c r="D762" s="13" t="s">
        <v>611</v>
      </c>
      <c r="E762" s="14" t="str">
        <f t="shared" si="463"/>
        <v/>
      </c>
      <c r="F762" s="13" t="s">
        <v>611</v>
      </c>
      <c r="G762" s="191">
        <v>202500412</v>
      </c>
      <c r="H762" s="191" t="s">
        <v>6600</v>
      </c>
      <c r="I762" s="191" t="s">
        <v>613</v>
      </c>
      <c r="J762" s="192">
        <v>45971</v>
      </c>
      <c r="K762" s="192">
        <v>46335</v>
      </c>
      <c r="L762" s="191" t="s">
        <v>835</v>
      </c>
      <c r="M762" s="191" t="s">
        <v>858</v>
      </c>
      <c r="N762" s="13" t="s">
        <v>859</v>
      </c>
      <c r="O762" s="17" t="s">
        <v>860</v>
      </c>
      <c r="P762" s="314" t="s">
        <v>185</v>
      </c>
      <c r="Q762" s="13" t="s">
        <v>618</v>
      </c>
      <c r="R762" s="246" t="str">
        <f>VLOOKUP(P762,'Dados das Regiões '!A:B,2,0)</f>
        <v>CASCAVEL</v>
      </c>
      <c r="S762" s="191" t="s">
        <v>853</v>
      </c>
      <c r="U762" s="191" t="s">
        <v>854</v>
      </c>
      <c r="V762" s="191" t="s">
        <v>855</v>
      </c>
      <c r="W762" s="191" t="s">
        <v>856</v>
      </c>
      <c r="X762" s="195">
        <v>0.64583333333333337</v>
      </c>
      <c r="Y762" s="426" t="s">
        <v>698</v>
      </c>
      <c r="Z762" s="233" t="s">
        <v>622</v>
      </c>
    </row>
    <row r="763" spans="2:26">
      <c r="B763" s="13" t="str">
        <f t="shared" si="461"/>
        <v>Pendente</v>
      </c>
      <c r="D763" s="13" t="s">
        <v>611</v>
      </c>
      <c r="E763" s="14" t="str">
        <f t="shared" si="463"/>
        <v/>
      </c>
      <c r="F763" s="13" t="s">
        <v>611</v>
      </c>
      <c r="G763" s="191">
        <v>202500412</v>
      </c>
      <c r="H763" s="191" t="s">
        <v>6601</v>
      </c>
      <c r="I763" s="191" t="s">
        <v>613</v>
      </c>
      <c r="J763" s="192">
        <v>45971</v>
      </c>
      <c r="K763" s="192">
        <v>46335</v>
      </c>
      <c r="L763" s="191" t="s">
        <v>835</v>
      </c>
      <c r="M763" s="191" t="s">
        <v>850</v>
      </c>
      <c r="N763" s="13" t="s">
        <v>851</v>
      </c>
      <c r="O763" s="17" t="s">
        <v>852</v>
      </c>
      <c r="P763" s="314" t="s">
        <v>185</v>
      </c>
      <c r="Q763" s="13" t="s">
        <v>618</v>
      </c>
      <c r="R763" s="246" t="str">
        <f>VLOOKUP(P763,'Dados das Regiões '!A:B,2,0)</f>
        <v>CASCAVEL</v>
      </c>
      <c r="S763" s="191" t="s">
        <v>853</v>
      </c>
      <c r="U763" s="191" t="s">
        <v>854</v>
      </c>
      <c r="V763" s="191" t="s">
        <v>855</v>
      </c>
      <c r="W763" s="191" t="s">
        <v>856</v>
      </c>
      <c r="X763" s="195">
        <v>0.64583333333333337</v>
      </c>
      <c r="Y763" s="426" t="s">
        <v>698</v>
      </c>
      <c r="Z763" s="233" t="s">
        <v>622</v>
      </c>
    </row>
    <row r="764" spans="2:26">
      <c r="B764" s="13" t="str">
        <f t="shared" si="461"/>
        <v>Pendente</v>
      </c>
      <c r="D764" s="13" t="s">
        <v>611</v>
      </c>
      <c r="E764" s="14" t="str">
        <f t="shared" si="463"/>
        <v/>
      </c>
      <c r="F764" s="13" t="s">
        <v>611</v>
      </c>
      <c r="G764" s="191">
        <v>202500412</v>
      </c>
      <c r="H764" s="191" t="s">
        <v>6602</v>
      </c>
      <c r="I764" s="191" t="s">
        <v>613</v>
      </c>
      <c r="J764" s="192">
        <v>45971</v>
      </c>
      <c r="K764" s="192">
        <v>46335</v>
      </c>
      <c r="L764" s="191" t="s">
        <v>672</v>
      </c>
      <c r="M764" s="191" t="s">
        <v>918</v>
      </c>
      <c r="N764" s="13" t="s">
        <v>919</v>
      </c>
      <c r="O764" s="17" t="s">
        <v>920</v>
      </c>
      <c r="P764" s="314" t="s">
        <v>286</v>
      </c>
      <c r="Q764" s="13" t="s">
        <v>618</v>
      </c>
      <c r="R764" s="246" t="str">
        <f>VLOOKUP(P764,'Dados das Regiões '!A:B,2,0)</f>
        <v>GUARAPUAVA</v>
      </c>
      <c r="S764" s="191" t="s">
        <v>921</v>
      </c>
      <c r="U764" s="191" t="s">
        <v>922</v>
      </c>
      <c r="V764" s="191" t="s">
        <v>923</v>
      </c>
      <c r="W764" s="191" t="s">
        <v>924</v>
      </c>
      <c r="X764" s="195">
        <v>0.5625</v>
      </c>
      <c r="Y764" s="426" t="s">
        <v>784</v>
      </c>
      <c r="Z764" s="233" t="s">
        <v>622</v>
      </c>
    </row>
    <row r="765" spans="2:26">
      <c r="B765" s="13" t="str">
        <f t="shared" si="461"/>
        <v>Pendente</v>
      </c>
      <c r="D765" s="13" t="s">
        <v>611</v>
      </c>
      <c r="E765" s="14" t="str">
        <f t="shared" si="463"/>
        <v/>
      </c>
      <c r="F765" s="13" t="s">
        <v>611</v>
      </c>
      <c r="G765" s="191">
        <v>202500412</v>
      </c>
      <c r="H765" s="191" t="s">
        <v>6603</v>
      </c>
      <c r="I765" s="191" t="s">
        <v>613</v>
      </c>
      <c r="J765" s="192">
        <v>45971</v>
      </c>
      <c r="K765" s="192">
        <v>46335</v>
      </c>
      <c r="L765" s="191" t="s">
        <v>672</v>
      </c>
      <c r="M765" s="191" t="s">
        <v>918</v>
      </c>
      <c r="N765" s="13" t="s">
        <v>919</v>
      </c>
      <c r="O765" s="17" t="s">
        <v>920</v>
      </c>
      <c r="P765" s="314" t="s">
        <v>286</v>
      </c>
      <c r="Q765" s="13" t="s">
        <v>618</v>
      </c>
      <c r="R765" s="246" t="str">
        <f>VLOOKUP(P765,'Dados das Regiões '!A:B,2,0)</f>
        <v>GUARAPUAVA</v>
      </c>
      <c r="S765" s="191" t="s">
        <v>921</v>
      </c>
      <c r="U765" s="191" t="s">
        <v>922</v>
      </c>
      <c r="V765" s="191" t="s">
        <v>923</v>
      </c>
      <c r="W765" s="191" t="s">
        <v>924</v>
      </c>
      <c r="X765" s="195">
        <v>0.3125</v>
      </c>
      <c r="Y765" s="426" t="s">
        <v>796</v>
      </c>
      <c r="Z765" s="233" t="s">
        <v>622</v>
      </c>
    </row>
    <row r="766" spans="2:26">
      <c r="B766" s="13" t="str">
        <f t="shared" si="461"/>
        <v>Pendente</v>
      </c>
      <c r="D766" s="13" t="s">
        <v>611</v>
      </c>
      <c r="E766" s="14" t="str">
        <f t="shared" si="463"/>
        <v/>
      </c>
      <c r="F766" s="13" t="s">
        <v>611</v>
      </c>
      <c r="G766" s="191">
        <v>202500925</v>
      </c>
      <c r="H766" s="191" t="s">
        <v>6604</v>
      </c>
      <c r="I766" s="191" t="s">
        <v>613</v>
      </c>
      <c r="J766" s="192">
        <v>45950</v>
      </c>
      <c r="K766" s="192">
        <v>46311</v>
      </c>
      <c r="L766" s="191" t="s">
        <v>1185</v>
      </c>
      <c r="M766" s="191" t="s">
        <v>1297</v>
      </c>
      <c r="N766" s="13" t="s">
        <v>6605</v>
      </c>
      <c r="O766" s="17" t="s">
        <v>6606</v>
      </c>
      <c r="P766" s="314" t="s">
        <v>188</v>
      </c>
      <c r="Q766" s="13" t="s">
        <v>618</v>
      </c>
      <c r="R766" s="246" t="str">
        <f>VLOOKUP(P766,'Dados das Regiões '!A:B,2,0)</f>
        <v>CASCAVEL</v>
      </c>
      <c r="S766" s="191" t="s">
        <v>6607</v>
      </c>
      <c r="U766" s="191" t="s">
        <v>6608</v>
      </c>
      <c r="V766" s="191" t="s">
        <v>6608</v>
      </c>
      <c r="W766" s="191" t="s">
        <v>6609</v>
      </c>
      <c r="X766" s="195">
        <v>0.33333333333333331</v>
      </c>
      <c r="Y766" s="420">
        <v>0.41666666666666669</v>
      </c>
      <c r="Z766" s="233" t="s">
        <v>622</v>
      </c>
    </row>
    <row r="767" spans="2:26">
      <c r="B767" s="13" t="str">
        <f t="shared" si="461"/>
        <v>Pendente</v>
      </c>
      <c r="D767" s="13" t="s">
        <v>611</v>
      </c>
      <c r="E767" s="14" t="str">
        <f t="shared" si="463"/>
        <v/>
      </c>
      <c r="F767" s="13" t="s">
        <v>611</v>
      </c>
      <c r="G767" s="191">
        <v>202501023</v>
      </c>
      <c r="H767" s="191" t="s">
        <v>6610</v>
      </c>
      <c r="I767" s="191" t="s">
        <v>613</v>
      </c>
      <c r="J767" s="192">
        <v>45971</v>
      </c>
      <c r="K767" s="192">
        <v>46335</v>
      </c>
      <c r="L767" s="191" t="s">
        <v>657</v>
      </c>
      <c r="M767" s="191" t="s">
        <v>5327</v>
      </c>
      <c r="N767" s="13" t="s">
        <v>5328</v>
      </c>
      <c r="O767" s="17" t="s">
        <v>5329</v>
      </c>
      <c r="P767" s="314" t="s">
        <v>190</v>
      </c>
      <c r="Q767" s="13" t="s">
        <v>618</v>
      </c>
      <c r="R767" s="246" t="str">
        <f>VLOOKUP(P767,'Dados das Regiões '!A:B,2,0)</f>
        <v>CASCAVEL</v>
      </c>
      <c r="S767" s="191" t="s">
        <v>5330</v>
      </c>
      <c r="U767" s="191"/>
      <c r="V767" s="191" t="s">
        <v>5331</v>
      </c>
      <c r="W767" s="191" t="s">
        <v>5332</v>
      </c>
      <c r="X767" s="195">
        <v>0.33333333333333331</v>
      </c>
      <c r="Y767" s="426" t="s">
        <v>639</v>
      </c>
      <c r="Z767" s="233" t="s">
        <v>622</v>
      </c>
    </row>
    <row r="768" spans="2:26">
      <c r="B768" s="13" t="str">
        <f t="shared" si="461"/>
        <v>Pendente</v>
      </c>
      <c r="D768" s="13" t="s">
        <v>611</v>
      </c>
      <c r="E768" s="14" t="str">
        <f t="shared" si="463"/>
        <v/>
      </c>
      <c r="F768" s="13" t="s">
        <v>611</v>
      </c>
      <c r="G768" s="191">
        <v>202501023</v>
      </c>
      <c r="H768" s="191" t="s">
        <v>6611</v>
      </c>
      <c r="I768" s="191" t="s">
        <v>613</v>
      </c>
      <c r="J768" s="192">
        <v>45971</v>
      </c>
      <c r="K768" s="192">
        <v>46335</v>
      </c>
      <c r="L768" s="191" t="s">
        <v>6612</v>
      </c>
      <c r="M768" s="191" t="s">
        <v>6613</v>
      </c>
      <c r="N768" s="13" t="s">
        <v>6614</v>
      </c>
      <c r="O768" s="17" t="s">
        <v>6615</v>
      </c>
      <c r="P768" s="314" t="s">
        <v>151</v>
      </c>
      <c r="Q768" s="13" t="s">
        <v>618</v>
      </c>
      <c r="R768" s="246" t="str">
        <f>VLOOKUP(P768,'Dados das Regiões '!A:B,2,0)</f>
        <v>CAMPO MOURÃO</v>
      </c>
      <c r="S768" s="191" t="s">
        <v>6616</v>
      </c>
      <c r="U768" s="191"/>
      <c r="V768" s="191" t="s">
        <v>6617</v>
      </c>
      <c r="W768" s="191" t="s">
        <v>6618</v>
      </c>
      <c r="X768" s="195">
        <v>0.3125</v>
      </c>
      <c r="Y768" s="420">
        <v>0.39583333333333331</v>
      </c>
      <c r="Z768" s="233" t="s">
        <v>622</v>
      </c>
    </row>
    <row r="769" spans="2:26">
      <c r="B769" s="13" t="str">
        <f t="shared" si="461"/>
        <v>Pendente</v>
      </c>
      <c r="D769" s="13" t="s">
        <v>611</v>
      </c>
      <c r="E769" s="14" t="str">
        <f t="shared" si="463"/>
        <v/>
      </c>
      <c r="F769" s="13" t="s">
        <v>611</v>
      </c>
      <c r="G769" s="191">
        <v>202501023</v>
      </c>
      <c r="H769" s="191" t="s">
        <v>6619</v>
      </c>
      <c r="I769" s="191" t="s">
        <v>613</v>
      </c>
      <c r="J769" s="192">
        <v>45971</v>
      </c>
      <c r="K769" s="192">
        <v>46335</v>
      </c>
      <c r="L769" s="191" t="s">
        <v>6612</v>
      </c>
      <c r="M769" s="191" t="s">
        <v>6613</v>
      </c>
      <c r="N769" s="13" t="s">
        <v>6614</v>
      </c>
      <c r="O769" s="17" t="s">
        <v>6615</v>
      </c>
      <c r="P769" s="314" t="s">
        <v>151</v>
      </c>
      <c r="Q769" s="13" t="s">
        <v>618</v>
      </c>
      <c r="R769" s="246" t="str">
        <f>VLOOKUP(P769,'Dados das Regiões '!A:B,2,0)</f>
        <v>CAMPO MOURÃO</v>
      </c>
      <c r="S769" s="191" t="s">
        <v>6620</v>
      </c>
      <c r="U769" s="191" t="s">
        <v>6617</v>
      </c>
      <c r="V769" s="191" t="s">
        <v>6617</v>
      </c>
      <c r="W769" s="191" t="s">
        <v>6618</v>
      </c>
      <c r="X769" s="195">
        <v>0.54166666666666663</v>
      </c>
      <c r="Y769" s="420">
        <v>0.625</v>
      </c>
      <c r="Z769" s="233" t="s">
        <v>622</v>
      </c>
    </row>
    <row r="770" spans="2:26">
      <c r="B770" s="13" t="str">
        <f t="shared" si="461"/>
        <v>Pendente</v>
      </c>
      <c r="D770" s="13" t="s">
        <v>611</v>
      </c>
      <c r="E770" s="14" t="str">
        <f t="shared" si="463"/>
        <v/>
      </c>
      <c r="F770" s="13" t="s">
        <v>611</v>
      </c>
      <c r="G770" s="191">
        <v>202501023</v>
      </c>
      <c r="H770" s="191" t="s">
        <v>6621</v>
      </c>
      <c r="I770" s="191" t="s">
        <v>613</v>
      </c>
      <c r="J770" s="192">
        <v>45971</v>
      </c>
      <c r="K770" s="192">
        <v>46335</v>
      </c>
      <c r="L770" s="191" t="s">
        <v>657</v>
      </c>
      <c r="M770" s="191" t="s">
        <v>1077</v>
      </c>
      <c r="N770" s="13" t="s">
        <v>1078</v>
      </c>
      <c r="O770" s="17" t="s">
        <v>1079</v>
      </c>
      <c r="P770" s="314" t="s">
        <v>264</v>
      </c>
      <c r="Q770" s="13" t="s">
        <v>618</v>
      </c>
      <c r="R770" s="246" t="str">
        <f>VLOOKUP(P770,'Dados das Regiões '!A:B,2,0)</f>
        <v>FRANCISCO BELTRÃO</v>
      </c>
      <c r="S770" s="191" t="s">
        <v>1080</v>
      </c>
      <c r="U770" s="191"/>
      <c r="V770" s="191" t="s">
        <v>6622</v>
      </c>
      <c r="W770" s="191" t="s">
        <v>1082</v>
      </c>
      <c r="X770" s="195">
        <v>0.33333333333333331</v>
      </c>
      <c r="Y770" s="426" t="s">
        <v>648</v>
      </c>
      <c r="Z770" s="233" t="s">
        <v>622</v>
      </c>
    </row>
    <row r="771" spans="2:26">
      <c r="B771" s="13" t="str">
        <f t="shared" si="461"/>
        <v>Pendente</v>
      </c>
      <c r="D771" s="13" t="s">
        <v>611</v>
      </c>
      <c r="E771" s="14" t="str">
        <f t="shared" si="463"/>
        <v/>
      </c>
      <c r="F771" s="13" t="s">
        <v>611</v>
      </c>
      <c r="G771" s="191">
        <v>202500412</v>
      </c>
      <c r="H771" s="191" t="s">
        <v>6623</v>
      </c>
      <c r="I771" s="191" t="s">
        <v>613</v>
      </c>
      <c r="J771" s="192">
        <v>45971</v>
      </c>
      <c r="K771" s="192">
        <v>46335</v>
      </c>
      <c r="L771" s="191" t="s">
        <v>672</v>
      </c>
      <c r="M771" s="191" t="s">
        <v>938</v>
      </c>
      <c r="N771" s="13" t="s">
        <v>939</v>
      </c>
      <c r="O771" s="17" t="s">
        <v>940</v>
      </c>
      <c r="P771" s="314" t="s">
        <v>311</v>
      </c>
      <c r="Q771" s="13" t="s">
        <v>618</v>
      </c>
      <c r="R771" s="246" t="str">
        <f>VLOOKUP(P771,'Dados das Regiões '!A:B,2,0)</f>
        <v>IVAIPORÃ</v>
      </c>
      <c r="S771" s="191" t="s">
        <v>941</v>
      </c>
      <c r="U771" s="191" t="s">
        <v>942</v>
      </c>
      <c r="V771" s="191" t="s">
        <v>6624</v>
      </c>
      <c r="W771" s="191" t="s">
        <v>6625</v>
      </c>
      <c r="X771" s="195">
        <v>0.5625</v>
      </c>
      <c r="Y771" s="426" t="s">
        <v>680</v>
      </c>
      <c r="Z771" s="233" t="s">
        <v>622</v>
      </c>
    </row>
    <row r="772" spans="2:26">
      <c r="B772" s="13" t="str">
        <f t="shared" si="461"/>
        <v>Pendente</v>
      </c>
      <c r="D772" s="13" t="s">
        <v>611</v>
      </c>
      <c r="E772" s="14" t="str">
        <f t="shared" si="463"/>
        <v/>
      </c>
      <c r="F772" s="13" t="s">
        <v>611</v>
      </c>
      <c r="G772" s="191">
        <v>202500412</v>
      </c>
      <c r="H772" s="191" t="s">
        <v>6626</v>
      </c>
      <c r="I772" s="191" t="s">
        <v>613</v>
      </c>
      <c r="J772" s="192">
        <v>45971</v>
      </c>
      <c r="K772" s="192">
        <v>46335</v>
      </c>
      <c r="L772" s="191" t="s">
        <v>672</v>
      </c>
      <c r="M772" s="191" t="s">
        <v>938</v>
      </c>
      <c r="N772" s="13" t="s">
        <v>939</v>
      </c>
      <c r="O772" s="17" t="s">
        <v>940</v>
      </c>
      <c r="P772" s="314" t="s">
        <v>311</v>
      </c>
      <c r="Q772" s="13" t="s">
        <v>618</v>
      </c>
      <c r="R772" s="246" t="str">
        <f>VLOOKUP(P772,'Dados das Regiões '!A:B,2,0)</f>
        <v>IVAIPORÃ</v>
      </c>
      <c r="S772" s="191" t="s">
        <v>941</v>
      </c>
      <c r="U772" s="191" t="s">
        <v>942</v>
      </c>
      <c r="V772" s="191" t="s">
        <v>6624</v>
      </c>
      <c r="W772" s="191" t="s">
        <v>6625</v>
      </c>
      <c r="X772" s="195">
        <v>0.64583333333333337</v>
      </c>
      <c r="Y772" s="426" t="s">
        <v>698</v>
      </c>
      <c r="Z772" s="233" t="s">
        <v>622</v>
      </c>
    </row>
    <row r="773" spans="2:26">
      <c r="B773" s="13" t="str">
        <f t="shared" si="461"/>
        <v>Pendente</v>
      </c>
      <c r="D773" s="13" t="s">
        <v>611</v>
      </c>
      <c r="E773" s="14" t="str">
        <f t="shared" si="463"/>
        <v/>
      </c>
      <c r="F773" s="13" t="s">
        <v>611</v>
      </c>
      <c r="G773" s="191">
        <v>202500925</v>
      </c>
      <c r="H773" s="191" t="s">
        <v>6627</v>
      </c>
      <c r="I773" s="191" t="s">
        <v>613</v>
      </c>
      <c r="J773" s="192">
        <v>45950</v>
      </c>
      <c r="K773" s="192">
        <v>46311</v>
      </c>
      <c r="L773" s="191" t="s">
        <v>6628</v>
      </c>
      <c r="M773" s="191" t="s">
        <v>6629</v>
      </c>
      <c r="N773" s="13" t="s">
        <v>6630</v>
      </c>
      <c r="O773" s="17" t="s">
        <v>6631</v>
      </c>
      <c r="P773" s="314" t="s">
        <v>154</v>
      </c>
      <c r="Q773" s="13" t="s">
        <v>618</v>
      </c>
      <c r="R773" s="246" t="str">
        <f>VLOOKUP(P773,'Dados das Regiões '!A:B,2,0)</f>
        <v>CAMPO MOURÃO</v>
      </c>
      <c r="S773" s="191" t="s">
        <v>6632</v>
      </c>
      <c r="U773" s="191" t="s">
        <v>6633</v>
      </c>
      <c r="V773" s="191" t="s">
        <v>6634</v>
      </c>
      <c r="W773" s="191" t="s">
        <v>6635</v>
      </c>
      <c r="X773" s="195">
        <v>0.5625</v>
      </c>
      <c r="Y773" s="420">
        <v>0.64583333333333337</v>
      </c>
      <c r="Z773" s="233" t="s">
        <v>622</v>
      </c>
    </row>
    <row r="774" spans="2:26">
      <c r="B774" s="13" t="str">
        <f t="shared" si="461"/>
        <v>Pendente</v>
      </c>
      <c r="D774" s="13" t="s">
        <v>611</v>
      </c>
      <c r="E774" s="14" t="str">
        <f t="shared" si="463"/>
        <v/>
      </c>
      <c r="F774" s="13" t="s">
        <v>611</v>
      </c>
      <c r="G774" s="191">
        <v>202500412</v>
      </c>
      <c r="H774" s="191" t="s">
        <v>6636</v>
      </c>
      <c r="I774" s="191" t="s">
        <v>613</v>
      </c>
      <c r="J774" s="192">
        <v>45971</v>
      </c>
      <c r="K774" s="192">
        <v>46335</v>
      </c>
      <c r="L774" s="191" t="s">
        <v>672</v>
      </c>
      <c r="M774" s="191" t="s">
        <v>673</v>
      </c>
      <c r="N774" s="13" t="s">
        <v>674</v>
      </c>
      <c r="O774" s="13" t="s">
        <v>675</v>
      </c>
      <c r="P774" s="314" t="s">
        <v>119</v>
      </c>
      <c r="Q774" s="13" t="s">
        <v>618</v>
      </c>
      <c r="R774" s="246" t="str">
        <f>VLOOKUP(P774,'Dados das Regiões '!A:B,2,0)</f>
        <v>APUCARANA</v>
      </c>
      <c r="S774" s="191" t="s">
        <v>676</v>
      </c>
      <c r="U774" s="191" t="s">
        <v>677</v>
      </c>
      <c r="V774" s="191" t="s">
        <v>4061</v>
      </c>
      <c r="W774" s="191" t="s">
        <v>679</v>
      </c>
      <c r="X774" s="195">
        <v>0.5625</v>
      </c>
      <c r="Y774" s="426" t="s">
        <v>680</v>
      </c>
      <c r="Z774" s="233" t="s">
        <v>622</v>
      </c>
    </row>
    <row r="775" spans="2:26">
      <c r="B775" s="13" t="str">
        <f t="shared" si="461"/>
        <v>Pendente</v>
      </c>
      <c r="D775" s="13" t="s">
        <v>611</v>
      </c>
      <c r="E775" s="14" t="str">
        <f t="shared" si="463"/>
        <v/>
      </c>
      <c r="F775" s="13" t="s">
        <v>611</v>
      </c>
      <c r="G775" s="191">
        <v>202500925</v>
      </c>
      <c r="H775" s="191" t="s">
        <v>6637</v>
      </c>
      <c r="I775" s="191" t="s">
        <v>613</v>
      </c>
      <c r="J775" s="192">
        <v>45950</v>
      </c>
      <c r="K775" s="192">
        <v>46311</v>
      </c>
      <c r="L775" s="191" t="s">
        <v>1185</v>
      </c>
      <c r="M775" s="191" t="s">
        <v>6638</v>
      </c>
      <c r="N775" s="13" t="s">
        <v>6639</v>
      </c>
      <c r="O775" s="17" t="s">
        <v>6640</v>
      </c>
      <c r="P775" s="314" t="s">
        <v>119</v>
      </c>
      <c r="Q775" s="13" t="s">
        <v>618</v>
      </c>
      <c r="R775" s="246" t="str">
        <f>VLOOKUP(P775,'Dados das Regiões '!A:B,2,0)</f>
        <v>APUCARANA</v>
      </c>
      <c r="S775" s="191" t="s">
        <v>6641</v>
      </c>
      <c r="U775" s="191" t="s">
        <v>6642</v>
      </c>
      <c r="V775" s="191" t="s">
        <v>6642</v>
      </c>
      <c r="W775" s="191" t="s">
        <v>6643</v>
      </c>
      <c r="X775" s="195">
        <v>0.54166666666666663</v>
      </c>
      <c r="Y775" s="420">
        <v>0.625</v>
      </c>
      <c r="Z775" s="233" t="s">
        <v>622</v>
      </c>
    </row>
    <row r="776" spans="2:26">
      <c r="B776" s="13" t="str">
        <f t="shared" si="461"/>
        <v>Pendente</v>
      </c>
      <c r="D776" s="13" t="s">
        <v>611</v>
      </c>
      <c r="E776" s="14" t="str">
        <f t="shared" si="463"/>
        <v/>
      </c>
      <c r="F776" s="13" t="s">
        <v>611</v>
      </c>
      <c r="G776" s="191">
        <v>202501023</v>
      </c>
      <c r="H776" s="191" t="s">
        <v>6644</v>
      </c>
      <c r="I776" s="191" t="s">
        <v>613</v>
      </c>
      <c r="J776" s="192">
        <v>45971</v>
      </c>
      <c r="K776" s="192">
        <v>46335</v>
      </c>
      <c r="L776" s="191" t="s">
        <v>657</v>
      </c>
      <c r="M776" s="191" t="s">
        <v>739</v>
      </c>
      <c r="N776" s="13" t="s">
        <v>740</v>
      </c>
      <c r="O776" s="17" t="s">
        <v>741</v>
      </c>
      <c r="P776" s="314" t="s">
        <v>267</v>
      </c>
      <c r="Q776" s="13" t="s">
        <v>618</v>
      </c>
      <c r="R776" s="246" t="str">
        <f>VLOOKUP(P776,'Dados das Regiões '!A:B,2,0)</f>
        <v>FRANCISCO BELTRÃO</v>
      </c>
      <c r="S776" s="191" t="s">
        <v>6645</v>
      </c>
      <c r="U776" s="191"/>
      <c r="V776" s="191" t="s">
        <v>6646</v>
      </c>
      <c r="W776" s="191" t="s">
        <v>6647</v>
      </c>
      <c r="X776" s="195">
        <v>0.33333333333333331</v>
      </c>
      <c r="Y776" s="426" t="s">
        <v>648</v>
      </c>
      <c r="Z776" s="233" t="s">
        <v>622</v>
      </c>
    </row>
    <row r="777" spans="2:26">
      <c r="B777" s="13" t="str">
        <f t="shared" si="461"/>
        <v>Pendente</v>
      </c>
      <c r="D777" s="13" t="s">
        <v>611</v>
      </c>
      <c r="E777" s="14" t="str">
        <f t="shared" si="463"/>
        <v/>
      </c>
      <c r="F777" s="13" t="s">
        <v>611</v>
      </c>
      <c r="G777" s="191">
        <v>202501023</v>
      </c>
      <c r="H777" s="191" t="s">
        <v>6648</v>
      </c>
      <c r="I777" s="191" t="s">
        <v>613</v>
      </c>
      <c r="J777" s="192">
        <v>45971</v>
      </c>
      <c r="K777" s="192">
        <v>46335</v>
      </c>
      <c r="L777" s="191" t="s">
        <v>632</v>
      </c>
      <c r="M777" s="191" t="s">
        <v>963</v>
      </c>
      <c r="N777" s="13" t="s">
        <v>964</v>
      </c>
      <c r="O777" s="17" t="s">
        <v>965</v>
      </c>
      <c r="P777" s="314" t="s">
        <v>365</v>
      </c>
      <c r="Q777" s="13" t="s">
        <v>618</v>
      </c>
      <c r="R777" s="246" t="str">
        <f>VLOOKUP(P777,'Dados das Regiões '!A:B,2,0)</f>
        <v>MARINGÁ</v>
      </c>
      <c r="S777" s="191" t="s">
        <v>6649</v>
      </c>
      <c r="U777" s="191" t="s">
        <v>6650</v>
      </c>
      <c r="V777" s="191" t="s">
        <v>6650</v>
      </c>
      <c r="W777" s="191" t="s">
        <v>6651</v>
      </c>
      <c r="X777" s="195">
        <v>0.5625</v>
      </c>
      <c r="Y777" s="426" t="s">
        <v>680</v>
      </c>
      <c r="Z777" s="233" t="s">
        <v>622</v>
      </c>
    </row>
    <row r="778" spans="2:26">
      <c r="B778" s="13" t="str">
        <f t="shared" si="461"/>
        <v>Pendente</v>
      </c>
      <c r="D778" s="13" t="s">
        <v>611</v>
      </c>
      <c r="E778" s="14" t="str">
        <f t="shared" si="463"/>
        <v/>
      </c>
      <c r="F778" s="13" t="s">
        <v>611</v>
      </c>
      <c r="G778" s="191">
        <v>202500925</v>
      </c>
      <c r="H778" s="191" t="s">
        <v>6652</v>
      </c>
      <c r="I778" s="191" t="s">
        <v>613</v>
      </c>
      <c r="J778" s="192">
        <v>45950</v>
      </c>
      <c r="K778" s="192">
        <v>46311</v>
      </c>
      <c r="L778" s="191" t="s">
        <v>6653</v>
      </c>
      <c r="M778" s="191" t="s">
        <v>6654</v>
      </c>
      <c r="N778" s="13" t="s">
        <v>6655</v>
      </c>
      <c r="O778" s="17" t="s">
        <v>6656</v>
      </c>
      <c r="P778" s="314" t="s">
        <v>53</v>
      </c>
      <c r="Q778" s="13" t="s">
        <v>618</v>
      </c>
      <c r="R778" s="246" t="str">
        <f>VLOOKUP(P778,'Dados das Regiões '!A:B,2,0)</f>
        <v>GOIOERÊ</v>
      </c>
      <c r="S778" s="191" t="s">
        <v>6657</v>
      </c>
      <c r="U778" s="191" t="s">
        <v>6658</v>
      </c>
      <c r="V778" s="191" t="s">
        <v>6659</v>
      </c>
      <c r="W778" s="191" t="s">
        <v>6660</v>
      </c>
      <c r="X778" s="195">
        <v>0.58333333333333337</v>
      </c>
      <c r="Y778" s="420">
        <v>0.66666666666666663</v>
      </c>
      <c r="Z778" s="233" t="s">
        <v>622</v>
      </c>
    </row>
    <row r="779" spans="2:26">
      <c r="B779" s="13" t="str">
        <f t="shared" si="461"/>
        <v>Pendente</v>
      </c>
      <c r="D779" s="13" t="s">
        <v>611</v>
      </c>
      <c r="E779" s="14" t="str">
        <f t="shared" si="463"/>
        <v/>
      </c>
      <c r="F779" s="13" t="s">
        <v>611</v>
      </c>
      <c r="G779" s="191">
        <v>202500925</v>
      </c>
      <c r="H779" s="191" t="s">
        <v>6661</v>
      </c>
      <c r="I779" s="191" t="s">
        <v>613</v>
      </c>
      <c r="J779" s="192">
        <v>45950</v>
      </c>
      <c r="K779" s="192">
        <v>46311</v>
      </c>
      <c r="L779" s="191" t="s">
        <v>6653</v>
      </c>
      <c r="M779" s="191" t="s">
        <v>6654</v>
      </c>
      <c r="N779" s="13" t="s">
        <v>6655</v>
      </c>
      <c r="O779" s="17" t="s">
        <v>6656</v>
      </c>
      <c r="P779" s="314" t="s">
        <v>53</v>
      </c>
      <c r="Q779" s="13" t="s">
        <v>618</v>
      </c>
      <c r="R779" s="246" t="str">
        <f>VLOOKUP(P779,'Dados das Regiões '!A:B,2,0)</f>
        <v>GOIOERÊ</v>
      </c>
      <c r="S779" s="191" t="s">
        <v>6662</v>
      </c>
      <c r="U779" s="191" t="s">
        <v>6658</v>
      </c>
      <c r="V779" s="191" t="s">
        <v>6659</v>
      </c>
      <c r="W779" s="191" t="s">
        <v>6660</v>
      </c>
      <c r="X779" s="195">
        <v>0.58333333333333337</v>
      </c>
      <c r="Y779" s="420">
        <v>0.66666666666666663</v>
      </c>
      <c r="Z779" s="233" t="s">
        <v>622</v>
      </c>
    </row>
    <row r="780" spans="2:26">
      <c r="B780" s="13" t="str">
        <f t="shared" si="461"/>
        <v>Pendente</v>
      </c>
      <c r="D780" s="13" t="s">
        <v>611</v>
      </c>
      <c r="E780" s="14" t="str">
        <f t="shared" si="463"/>
        <v/>
      </c>
      <c r="F780" s="13" t="s">
        <v>611</v>
      </c>
      <c r="G780" s="191">
        <v>202500412</v>
      </c>
      <c r="H780" s="191" t="s">
        <v>6663</v>
      </c>
      <c r="I780" s="191" t="s">
        <v>613</v>
      </c>
      <c r="J780" s="192">
        <v>45971</v>
      </c>
      <c r="K780" s="192">
        <v>46335</v>
      </c>
      <c r="L780" s="191" t="s">
        <v>672</v>
      </c>
      <c r="M780" s="191" t="s">
        <v>896</v>
      </c>
      <c r="N780" s="13" t="s">
        <v>897</v>
      </c>
      <c r="O780" s="17" t="s">
        <v>898</v>
      </c>
      <c r="P780" s="314" t="s">
        <v>53</v>
      </c>
      <c r="Q780" s="13" t="s">
        <v>618</v>
      </c>
      <c r="R780" s="246" t="str">
        <f>VLOOKUP(P780,'Dados das Regiões '!A:B,2,0)</f>
        <v>GOIOERÊ</v>
      </c>
      <c r="S780" s="191" t="s">
        <v>899</v>
      </c>
      <c r="U780" s="191" t="s">
        <v>900</v>
      </c>
      <c r="V780" s="191" t="s">
        <v>901</v>
      </c>
      <c r="W780" s="191" t="s">
        <v>902</v>
      </c>
      <c r="X780" s="195">
        <v>0.64583333333333337</v>
      </c>
      <c r="Y780" s="426" t="s">
        <v>698</v>
      </c>
      <c r="Z780" s="233" t="s">
        <v>622</v>
      </c>
    </row>
    <row r="781" spans="2:26">
      <c r="B781" s="13" t="str">
        <f t="shared" si="461"/>
        <v>Pendente</v>
      </c>
      <c r="D781" s="13" t="s">
        <v>611</v>
      </c>
      <c r="E781" s="14" t="str">
        <f t="shared" si="463"/>
        <v/>
      </c>
      <c r="F781" s="13" t="s">
        <v>611</v>
      </c>
      <c r="G781" s="191">
        <v>202501023</v>
      </c>
      <c r="H781" s="191" t="s">
        <v>6664</v>
      </c>
      <c r="I781" s="191" t="s">
        <v>613</v>
      </c>
      <c r="J781" s="192">
        <v>45971</v>
      </c>
      <c r="K781" s="192">
        <v>46335</v>
      </c>
      <c r="L781" s="191" t="s">
        <v>6665</v>
      </c>
      <c r="M781" s="191" t="s">
        <v>6666</v>
      </c>
      <c r="N781" s="13" t="s">
        <v>6667</v>
      </c>
      <c r="O781" s="17" t="s">
        <v>6668</v>
      </c>
      <c r="P781" s="314" t="s">
        <v>352</v>
      </c>
      <c r="Q781" s="13" t="s">
        <v>618</v>
      </c>
      <c r="R781" s="246" t="str">
        <f>VLOOKUP(P781,'Dados das Regiões '!A:B,2,0)</f>
        <v>MARECHAL CÂNDIDO RONDON</v>
      </c>
      <c r="S781" s="191" t="s">
        <v>6669</v>
      </c>
      <c r="U781" s="191" t="s">
        <v>6670</v>
      </c>
      <c r="V781" s="191" t="s">
        <v>6670</v>
      </c>
      <c r="W781" s="191" t="s">
        <v>6671</v>
      </c>
      <c r="X781" s="195">
        <v>0.5625</v>
      </c>
      <c r="Y781" s="426" t="s">
        <v>680</v>
      </c>
      <c r="Z781" s="233" t="s">
        <v>622</v>
      </c>
    </row>
    <row r="782" spans="2:26">
      <c r="B782" s="13" t="str">
        <f t="shared" si="461"/>
        <v>Pendente</v>
      </c>
      <c r="D782" s="13" t="s">
        <v>611</v>
      </c>
      <c r="E782" s="14" t="str">
        <f t="shared" si="463"/>
        <v/>
      </c>
      <c r="F782" s="13" t="s">
        <v>611</v>
      </c>
      <c r="G782" s="191">
        <v>202501023</v>
      </c>
      <c r="H782" s="191" t="s">
        <v>6672</v>
      </c>
      <c r="I782" s="191" t="s">
        <v>613</v>
      </c>
      <c r="J782" s="192">
        <v>45971</v>
      </c>
      <c r="K782" s="192">
        <v>46335</v>
      </c>
      <c r="L782" s="191" t="s">
        <v>6665</v>
      </c>
      <c r="M782" s="191" t="s">
        <v>6673</v>
      </c>
      <c r="N782" s="13" t="s">
        <v>6674</v>
      </c>
      <c r="O782" s="17" t="s">
        <v>6675</v>
      </c>
      <c r="P782" s="314" t="s">
        <v>352</v>
      </c>
      <c r="Q782" s="13" t="s">
        <v>618</v>
      </c>
      <c r="R782" s="246" t="str">
        <f>VLOOKUP(P782,'Dados das Regiões '!A:B,2,0)</f>
        <v>MARECHAL CÂNDIDO RONDON</v>
      </c>
      <c r="S782" s="191" t="s">
        <v>6669</v>
      </c>
      <c r="U782" s="191" t="s">
        <v>6670</v>
      </c>
      <c r="V782" s="191" t="s">
        <v>6670</v>
      </c>
      <c r="W782" s="191" t="s">
        <v>6671</v>
      </c>
      <c r="X782" s="195">
        <v>0.5625</v>
      </c>
      <c r="Y782" s="426" t="s">
        <v>680</v>
      </c>
      <c r="Z782" s="233" t="s">
        <v>622</v>
      </c>
    </row>
    <row r="783" spans="2:26">
      <c r="B783" s="13" t="str">
        <f t="shared" si="461"/>
        <v>Pendente</v>
      </c>
      <c r="D783" s="13" t="s">
        <v>611</v>
      </c>
      <c r="E783" s="14" t="str">
        <f t="shared" si="463"/>
        <v/>
      </c>
      <c r="F783" s="13" t="s">
        <v>611</v>
      </c>
      <c r="G783" s="191">
        <v>202500925</v>
      </c>
      <c r="H783" s="191" t="s">
        <v>6676</v>
      </c>
      <c r="I783" s="191" t="s">
        <v>613</v>
      </c>
      <c r="J783" s="192">
        <v>45950</v>
      </c>
      <c r="K783" s="192">
        <v>46311</v>
      </c>
      <c r="L783" s="191" t="s">
        <v>1185</v>
      </c>
      <c r="M783" s="191" t="s">
        <v>6677</v>
      </c>
      <c r="N783" s="13" t="s">
        <v>6678</v>
      </c>
      <c r="O783" s="17" t="s">
        <v>6679</v>
      </c>
      <c r="P783" s="314" t="s">
        <v>196</v>
      </c>
      <c r="Q783" s="13" t="s">
        <v>618</v>
      </c>
      <c r="R783" s="246" t="str">
        <f>VLOOKUP(P783,'Dados das Regiões '!A:B,2,0)</f>
        <v>CASCAVEL</v>
      </c>
      <c r="S783" s="191" t="s">
        <v>6680</v>
      </c>
      <c r="U783" s="191" t="s">
        <v>6681</v>
      </c>
      <c r="V783" s="191" t="s">
        <v>6681</v>
      </c>
      <c r="W783" s="191" t="s">
        <v>6682</v>
      </c>
      <c r="X783" s="195">
        <v>0.33333333333333331</v>
      </c>
      <c r="Y783" s="420">
        <v>0.41666666666666669</v>
      </c>
      <c r="Z783" s="233" t="s">
        <v>622</v>
      </c>
    </row>
    <row r="784" spans="2:26">
      <c r="B784" s="13" t="str">
        <f t="shared" si="461"/>
        <v>Pendente</v>
      </c>
      <c r="D784" s="13" t="s">
        <v>611</v>
      </c>
      <c r="E784" s="14" t="str">
        <f t="shared" si="463"/>
        <v/>
      </c>
      <c r="F784" s="13" t="s">
        <v>611</v>
      </c>
      <c r="G784" s="191">
        <v>202500925</v>
      </c>
      <c r="H784" s="191" t="s">
        <v>6683</v>
      </c>
      <c r="I784" s="191" t="s">
        <v>613</v>
      </c>
      <c r="J784" s="192">
        <v>45950</v>
      </c>
      <c r="K784" s="192">
        <v>46311</v>
      </c>
      <c r="L784" s="191" t="s">
        <v>6684</v>
      </c>
      <c r="M784" s="191" t="s">
        <v>6685</v>
      </c>
      <c r="N784" s="13" t="s">
        <v>6686</v>
      </c>
      <c r="O784" s="17" t="s">
        <v>6687</v>
      </c>
      <c r="P784" s="314" t="s">
        <v>196</v>
      </c>
      <c r="Q784" s="13" t="s">
        <v>618</v>
      </c>
      <c r="R784" s="246" t="str">
        <f>VLOOKUP(P784,'Dados das Regiões '!A:B,2,0)</f>
        <v>CASCAVEL</v>
      </c>
      <c r="S784" s="191" t="s">
        <v>6688</v>
      </c>
      <c r="U784" s="191" t="s">
        <v>6689</v>
      </c>
      <c r="V784" s="191" t="s">
        <v>6690</v>
      </c>
      <c r="W784" s="191" t="s">
        <v>6691</v>
      </c>
      <c r="X784" s="195">
        <v>0.33333333333333331</v>
      </c>
      <c r="Y784" s="420">
        <v>0.41666666666666669</v>
      </c>
      <c r="Z784" s="233" t="s">
        <v>622</v>
      </c>
    </row>
    <row r="785" spans="2:26">
      <c r="B785" s="13" t="str">
        <f t="shared" si="461"/>
        <v>Pendente</v>
      </c>
      <c r="D785" s="13" t="s">
        <v>611</v>
      </c>
      <c r="E785" s="14" t="str">
        <f t="shared" si="463"/>
        <v/>
      </c>
      <c r="F785" s="13" t="s">
        <v>611</v>
      </c>
      <c r="G785" s="191">
        <v>202500925</v>
      </c>
      <c r="H785" s="191" t="s">
        <v>6692</v>
      </c>
      <c r="I785" s="191" t="s">
        <v>613</v>
      </c>
      <c r="J785" s="192">
        <v>45950</v>
      </c>
      <c r="K785" s="192">
        <v>46311</v>
      </c>
      <c r="L785" s="191" t="s">
        <v>6684</v>
      </c>
      <c r="M785" s="191" t="s">
        <v>6685</v>
      </c>
      <c r="N785" s="13" t="s">
        <v>6686</v>
      </c>
      <c r="O785" s="17" t="s">
        <v>6687</v>
      </c>
      <c r="P785" s="314" t="s">
        <v>196</v>
      </c>
      <c r="Q785" s="13" t="s">
        <v>618</v>
      </c>
      <c r="R785" s="246" t="str">
        <f>VLOOKUP(P785,'Dados das Regiões '!A:B,2,0)</f>
        <v>CASCAVEL</v>
      </c>
      <c r="S785" s="191" t="s">
        <v>6693</v>
      </c>
      <c r="U785" s="191" t="s">
        <v>6689</v>
      </c>
      <c r="V785" s="191" t="s">
        <v>6690</v>
      </c>
      <c r="W785" s="191" t="s">
        <v>6691</v>
      </c>
      <c r="X785" s="195">
        <v>0.33333333333333331</v>
      </c>
      <c r="Y785" s="420">
        <v>0.41666666666666669</v>
      </c>
      <c r="Z785" s="233" t="s">
        <v>622</v>
      </c>
    </row>
    <row r="786" spans="2:26">
      <c r="B786" s="13" t="str">
        <f t="shared" si="461"/>
        <v>Pendente</v>
      </c>
      <c r="D786" s="13" t="s">
        <v>611</v>
      </c>
      <c r="E786" s="14" t="str">
        <f t="shared" si="463"/>
        <v/>
      </c>
      <c r="F786" s="13" t="s">
        <v>611</v>
      </c>
      <c r="G786" s="191">
        <v>202500926</v>
      </c>
      <c r="H786" s="191" t="s">
        <v>6694</v>
      </c>
      <c r="I786" s="191" t="s">
        <v>1192</v>
      </c>
      <c r="J786" s="192">
        <v>45950</v>
      </c>
      <c r="K786" s="192">
        <v>46311</v>
      </c>
      <c r="L786" s="191" t="s">
        <v>1240</v>
      </c>
      <c r="M786" s="191" t="s">
        <v>1241</v>
      </c>
      <c r="N786" s="13" t="s">
        <v>1242</v>
      </c>
      <c r="O786" s="17" t="s">
        <v>6695</v>
      </c>
      <c r="P786" s="314" t="s">
        <v>494</v>
      </c>
      <c r="Q786" s="13" t="s">
        <v>618</v>
      </c>
      <c r="R786" s="246" t="str">
        <f>VLOOKUP(P786,'Dados das Regiões '!A:B,2,0)</f>
        <v>UMUARAMA</v>
      </c>
      <c r="S786" s="191" t="s">
        <v>1274</v>
      </c>
      <c r="U786" s="191" t="s">
        <v>1245</v>
      </c>
      <c r="V786" s="191" t="s">
        <v>1246</v>
      </c>
      <c r="W786" s="191" t="s">
        <v>1247</v>
      </c>
      <c r="X786" s="195">
        <v>0.58333333333333337</v>
      </c>
      <c r="Y786" s="420">
        <v>0.66666666666666663</v>
      </c>
      <c r="Z786" s="233" t="s">
        <v>622</v>
      </c>
    </row>
    <row r="787" spans="2:26">
      <c r="B787" s="13" t="str">
        <f t="shared" si="461"/>
        <v>Pendente</v>
      </c>
      <c r="D787" s="13" t="s">
        <v>611</v>
      </c>
      <c r="E787" s="14" t="str">
        <f t="shared" si="463"/>
        <v/>
      </c>
      <c r="F787" s="13" t="s">
        <v>611</v>
      </c>
      <c r="G787" s="191">
        <v>202500926</v>
      </c>
      <c r="H787" s="191" t="s">
        <v>6696</v>
      </c>
      <c r="I787" s="191" t="s">
        <v>1192</v>
      </c>
      <c r="J787" s="192">
        <v>45950</v>
      </c>
      <c r="K787" s="192">
        <v>46311</v>
      </c>
      <c r="L787" s="191" t="s">
        <v>1240</v>
      </c>
      <c r="M787" s="191" t="s">
        <v>1241</v>
      </c>
      <c r="N787" s="13" t="s">
        <v>1242</v>
      </c>
      <c r="O787" s="17" t="s">
        <v>6695</v>
      </c>
      <c r="P787" s="314" t="s">
        <v>494</v>
      </c>
      <c r="Q787" s="13" t="s">
        <v>618</v>
      </c>
      <c r="R787" s="246" t="str">
        <f>VLOOKUP(P787,'Dados das Regiões '!A:B,2,0)</f>
        <v>UMUARAMA</v>
      </c>
      <c r="S787" s="191" t="s">
        <v>1244</v>
      </c>
      <c r="U787" s="191" t="s">
        <v>1245</v>
      </c>
      <c r="V787" s="191" t="s">
        <v>1246</v>
      </c>
      <c r="W787" s="191" t="s">
        <v>1247</v>
      </c>
      <c r="X787" s="195">
        <v>0.58333333333333337</v>
      </c>
      <c r="Y787" s="420">
        <v>0.66666666666666663</v>
      </c>
      <c r="Z787" s="233" t="s">
        <v>622</v>
      </c>
    </row>
    <row r="788" spans="2:26">
      <c r="B788" s="13" t="str">
        <f t="shared" si="461"/>
        <v>Pendente</v>
      </c>
      <c r="D788" s="13" t="s">
        <v>611</v>
      </c>
      <c r="E788" s="14" t="str">
        <f t="shared" si="463"/>
        <v/>
      </c>
      <c r="F788" s="13" t="s">
        <v>611</v>
      </c>
      <c r="G788" s="191">
        <v>202500925</v>
      </c>
      <c r="H788" s="191" t="s">
        <v>6697</v>
      </c>
      <c r="I788" s="191" t="s">
        <v>613</v>
      </c>
      <c r="J788" s="192">
        <v>45950</v>
      </c>
      <c r="K788" s="192">
        <v>46311</v>
      </c>
      <c r="L788" s="191" t="s">
        <v>1177</v>
      </c>
      <c r="M788" s="191" t="s">
        <v>1178</v>
      </c>
      <c r="N788" s="13" t="s">
        <v>1179</v>
      </c>
      <c r="O788" s="13" t="s">
        <v>1935</v>
      </c>
      <c r="P788" s="314" t="s">
        <v>446</v>
      </c>
      <c r="Q788" s="13" t="s">
        <v>618</v>
      </c>
      <c r="R788" s="246" t="str">
        <f>VLOOKUP(P788,'Dados das Regiões '!A:B,2,0)</f>
        <v>PONTA GROSSA</v>
      </c>
      <c r="S788" s="191" t="s">
        <v>6698</v>
      </c>
      <c r="U788" s="191"/>
      <c r="V788" s="191" t="s">
        <v>1182</v>
      </c>
      <c r="W788" s="191" t="s">
        <v>1183</v>
      </c>
      <c r="X788" s="195">
        <v>0.58333333333333337</v>
      </c>
      <c r="Y788" s="426" t="s">
        <v>6699</v>
      </c>
      <c r="Z788" s="233" t="s">
        <v>622</v>
      </c>
    </row>
    <row r="789" spans="2:26">
      <c r="B789" s="13" t="str">
        <f t="shared" si="461"/>
        <v>Pendente</v>
      </c>
      <c r="D789" s="13" t="s">
        <v>611</v>
      </c>
      <c r="E789" s="14" t="str">
        <f t="shared" si="463"/>
        <v/>
      </c>
      <c r="F789" s="13" t="s">
        <v>611</v>
      </c>
      <c r="G789" s="191">
        <v>202500925</v>
      </c>
      <c r="H789" s="191" t="s">
        <v>6700</v>
      </c>
      <c r="I789" s="191" t="s">
        <v>613</v>
      </c>
      <c r="J789" s="192">
        <v>45950</v>
      </c>
      <c r="K789" s="192">
        <v>46311</v>
      </c>
      <c r="L789" s="191" t="s">
        <v>1177</v>
      </c>
      <c r="M789" s="191" t="s">
        <v>1178</v>
      </c>
      <c r="N789" s="13" t="s">
        <v>1179</v>
      </c>
      <c r="O789" s="13" t="s">
        <v>1935</v>
      </c>
      <c r="P789" s="314" t="s">
        <v>446</v>
      </c>
      <c r="Q789" s="13" t="s">
        <v>618</v>
      </c>
      <c r="R789" s="246" t="str">
        <f>VLOOKUP(P789,'Dados das Regiões '!A:B,2,0)</f>
        <v>PONTA GROSSA</v>
      </c>
      <c r="S789" s="191" t="s">
        <v>1181</v>
      </c>
      <c r="U789" s="191"/>
      <c r="V789" s="191" t="s">
        <v>1182</v>
      </c>
      <c r="W789" s="191" t="s">
        <v>1183</v>
      </c>
      <c r="X789" s="195">
        <v>0.33333333333333331</v>
      </c>
      <c r="Y789" s="426" t="s">
        <v>648</v>
      </c>
      <c r="Z789" s="233" t="s">
        <v>622</v>
      </c>
    </row>
    <row r="790" spans="2:26">
      <c r="B790" s="13" t="str">
        <f t="shared" si="461"/>
        <v>Pendente</v>
      </c>
      <c r="D790" s="13" t="s">
        <v>611</v>
      </c>
      <c r="E790" s="14" t="str">
        <f t="shared" si="463"/>
        <v/>
      </c>
      <c r="F790" s="13" t="s">
        <v>611</v>
      </c>
      <c r="G790" s="191">
        <v>202500412</v>
      </c>
      <c r="H790" s="191" t="s">
        <v>6701</v>
      </c>
      <c r="I790" s="191" t="s">
        <v>613</v>
      </c>
      <c r="J790" s="192">
        <v>45971</v>
      </c>
      <c r="K790" s="192">
        <v>46335</v>
      </c>
      <c r="L790" s="191" t="s">
        <v>672</v>
      </c>
      <c r="M790" s="191" t="s">
        <v>764</v>
      </c>
      <c r="N790" s="13" t="s">
        <v>765</v>
      </c>
      <c r="O790" s="13" t="s">
        <v>766</v>
      </c>
      <c r="P790" s="314" t="s">
        <v>158</v>
      </c>
      <c r="Q790" s="13" t="s">
        <v>618</v>
      </c>
      <c r="R790" s="246" t="str">
        <f>VLOOKUP(P790,'Dados das Regiões '!A:B,2,0)</f>
        <v>CAMPO MOURÃO</v>
      </c>
      <c r="S790" s="191" t="s">
        <v>767</v>
      </c>
      <c r="U790" s="191" t="s">
        <v>768</v>
      </c>
      <c r="V790" s="191" t="s">
        <v>769</v>
      </c>
      <c r="W790" s="191" t="s">
        <v>770</v>
      </c>
      <c r="X790" s="195">
        <v>0.5625</v>
      </c>
      <c r="Y790" s="426" t="s">
        <v>680</v>
      </c>
      <c r="Z790" s="233" t="s">
        <v>622</v>
      </c>
    </row>
    <row r="791" spans="2:26">
      <c r="B791" s="13" t="str">
        <f t="shared" si="461"/>
        <v>Pendente</v>
      </c>
      <c r="D791" s="13" t="s">
        <v>611</v>
      </c>
      <c r="E791" s="14" t="str">
        <f t="shared" si="463"/>
        <v/>
      </c>
      <c r="F791" s="13" t="s">
        <v>611</v>
      </c>
      <c r="G791" s="191">
        <v>202500926</v>
      </c>
      <c r="H791" s="191" t="s">
        <v>6702</v>
      </c>
      <c r="I791" s="191" t="s">
        <v>1192</v>
      </c>
      <c r="J791" s="192">
        <v>45950</v>
      </c>
      <c r="K791" s="192">
        <v>46311</v>
      </c>
      <c r="L791" s="191" t="s">
        <v>6703</v>
      </c>
      <c r="M791" s="191" t="s">
        <v>1370</v>
      </c>
      <c r="N791" s="13" t="s">
        <v>1371</v>
      </c>
      <c r="O791" s="17" t="s">
        <v>1372</v>
      </c>
      <c r="P791" s="314" t="s">
        <v>244</v>
      </c>
      <c r="Q791" s="13" t="s">
        <v>618</v>
      </c>
      <c r="R791" s="246" t="str">
        <f>VLOOKUP(P791,'Dados das Regiões '!A:B,2,0)</f>
        <v>CURITIBA CENTRO</v>
      </c>
      <c r="S791" s="191" t="s">
        <v>6588</v>
      </c>
      <c r="U791" s="191" t="s">
        <v>6589</v>
      </c>
      <c r="V791" s="191" t="s">
        <v>6590</v>
      </c>
      <c r="W791" s="191" t="s">
        <v>6591</v>
      </c>
      <c r="X791" s="195">
        <v>0.66666666666666663</v>
      </c>
      <c r="Y791" s="420">
        <v>0.58333333333333337</v>
      </c>
      <c r="Z791" s="233" t="s">
        <v>622</v>
      </c>
    </row>
    <row r="792" spans="2:26">
      <c r="B792" s="13" t="str">
        <f t="shared" si="461"/>
        <v>Pendente</v>
      </c>
      <c r="D792" s="13" t="s">
        <v>611</v>
      </c>
      <c r="E792" s="14" t="str">
        <f t="shared" si="463"/>
        <v/>
      </c>
      <c r="F792" s="13" t="s">
        <v>611</v>
      </c>
      <c r="G792" s="191">
        <v>202500926</v>
      </c>
      <c r="H792" s="191" t="s">
        <v>6704</v>
      </c>
      <c r="I792" s="191" t="s">
        <v>1192</v>
      </c>
      <c r="J792" s="192">
        <v>45950</v>
      </c>
      <c r="K792" s="192">
        <v>46311</v>
      </c>
      <c r="L792" s="191" t="s">
        <v>6703</v>
      </c>
      <c r="M792" s="191" t="s">
        <v>1370</v>
      </c>
      <c r="N792" s="13" t="s">
        <v>1371</v>
      </c>
      <c r="O792" s="17" t="s">
        <v>1372</v>
      </c>
      <c r="P792" s="314" t="s">
        <v>244</v>
      </c>
      <c r="Q792" s="13" t="s">
        <v>618</v>
      </c>
      <c r="R792" s="246" t="str">
        <f>VLOOKUP(P792,'Dados das Regiões '!A:B,2,0)</f>
        <v>CURITIBA CENTRO</v>
      </c>
      <c r="S792" s="191" t="s">
        <v>6594</v>
      </c>
      <c r="U792" s="191" t="s">
        <v>6589</v>
      </c>
      <c r="V792" s="191" t="s">
        <v>6590</v>
      </c>
      <c r="W792" s="191" t="s">
        <v>1377</v>
      </c>
      <c r="X792" s="195">
        <v>0.66666666666666663</v>
      </c>
      <c r="Y792" s="420">
        <v>0.58333333333333337</v>
      </c>
      <c r="Z792" s="233" t="s">
        <v>622</v>
      </c>
    </row>
    <row r="793" spans="2:26">
      <c r="B793" s="13" t="str">
        <f t="shared" si="461"/>
        <v>Pendente</v>
      </c>
      <c r="D793" s="13" t="s">
        <v>611</v>
      </c>
      <c r="E793" s="14" t="str">
        <f t="shared" si="463"/>
        <v/>
      </c>
      <c r="F793" s="13" t="s">
        <v>611</v>
      </c>
      <c r="G793" s="191">
        <v>202500926</v>
      </c>
      <c r="H793" s="191" t="s">
        <v>6705</v>
      </c>
      <c r="I793" s="191" t="s">
        <v>1192</v>
      </c>
      <c r="J793" s="192">
        <v>45950</v>
      </c>
      <c r="K793" s="192">
        <v>46311</v>
      </c>
      <c r="L793" s="191" t="s">
        <v>6703</v>
      </c>
      <c r="M793" s="191" t="s">
        <v>1370</v>
      </c>
      <c r="N793" s="13" t="s">
        <v>1371</v>
      </c>
      <c r="O793" s="17" t="s">
        <v>1372</v>
      </c>
      <c r="P793" s="314" t="s">
        <v>244</v>
      </c>
      <c r="Q793" s="13" t="s">
        <v>618</v>
      </c>
      <c r="R793" s="246" t="str">
        <f>VLOOKUP(P793,'Dados das Regiões '!A:B,2,0)</f>
        <v>CURITIBA CENTRO</v>
      </c>
      <c r="S793" s="191" t="s">
        <v>6588</v>
      </c>
      <c r="U793" s="191" t="s">
        <v>6589</v>
      </c>
      <c r="V793" s="191" t="s">
        <v>6590</v>
      </c>
      <c r="W793" s="191" t="s">
        <v>6591</v>
      </c>
      <c r="X793" s="195">
        <v>0.58333333333333337</v>
      </c>
      <c r="Y793" s="420">
        <v>0.66666666666666663</v>
      </c>
      <c r="Z793" s="233" t="s">
        <v>622</v>
      </c>
    </row>
    <row r="794" spans="2:26">
      <c r="B794" s="13" t="str">
        <f t="shared" si="461"/>
        <v>Pendente</v>
      </c>
      <c r="D794" s="13" t="s">
        <v>611</v>
      </c>
      <c r="E794" s="14" t="str">
        <f t="shared" si="463"/>
        <v/>
      </c>
      <c r="F794" s="13" t="s">
        <v>611</v>
      </c>
      <c r="G794" s="191">
        <v>202500926</v>
      </c>
      <c r="H794" s="191" t="s">
        <v>6706</v>
      </c>
      <c r="I794" s="191" t="s">
        <v>1192</v>
      </c>
      <c r="J794" s="192">
        <v>45950</v>
      </c>
      <c r="K794" s="192">
        <v>46311</v>
      </c>
      <c r="L794" s="191" t="s">
        <v>6703</v>
      </c>
      <c r="M794" s="191" t="s">
        <v>1370</v>
      </c>
      <c r="N794" s="13" t="s">
        <v>1371</v>
      </c>
      <c r="O794" s="17" t="s">
        <v>1372</v>
      </c>
      <c r="P794" s="314" t="s">
        <v>244</v>
      </c>
      <c r="Q794" s="13" t="s">
        <v>618</v>
      </c>
      <c r="R794" s="246" t="str">
        <f>VLOOKUP(P794,'Dados das Regiões '!A:B,2,0)</f>
        <v>CURITIBA CENTRO</v>
      </c>
      <c r="S794" s="191" t="s">
        <v>6588</v>
      </c>
      <c r="U794" s="191" t="s">
        <v>6589</v>
      </c>
      <c r="V794" s="191" t="s">
        <v>6590</v>
      </c>
      <c r="W794" s="191" t="s">
        <v>6591</v>
      </c>
      <c r="X794" s="195">
        <v>0.58333333333333337</v>
      </c>
      <c r="Y794" s="420">
        <v>0.66666666666666663</v>
      </c>
      <c r="Z794" s="233" t="s">
        <v>622</v>
      </c>
    </row>
    <row r="795" spans="2:26">
      <c r="B795" s="13" t="str">
        <f t="shared" ref="B795:B858" si="464">IF(ISBLANK(A795), "Pendente", "Realizada")</f>
        <v>Pendente</v>
      </c>
      <c r="D795" s="13" t="s">
        <v>611</v>
      </c>
      <c r="E795" s="14" t="str">
        <f t="shared" si="463"/>
        <v/>
      </c>
      <c r="F795" s="13" t="s">
        <v>611</v>
      </c>
      <c r="G795" s="191">
        <v>202500926</v>
      </c>
      <c r="H795" s="191" t="s">
        <v>6707</v>
      </c>
      <c r="I795" s="191" t="s">
        <v>1192</v>
      </c>
      <c r="J795" s="192">
        <v>45950</v>
      </c>
      <c r="K795" s="192">
        <v>46311</v>
      </c>
      <c r="L795" s="191" t="s">
        <v>6703</v>
      </c>
      <c r="M795" s="191" t="s">
        <v>1370</v>
      </c>
      <c r="N795" s="13" t="s">
        <v>1371</v>
      </c>
      <c r="O795" s="17" t="s">
        <v>1372</v>
      </c>
      <c r="P795" s="314" t="s">
        <v>244</v>
      </c>
      <c r="Q795" s="13" t="s">
        <v>618</v>
      </c>
      <c r="R795" s="246" t="str">
        <f>VLOOKUP(P795,'Dados das Regiões '!A:B,2,0)</f>
        <v>CURITIBA CENTRO</v>
      </c>
      <c r="S795" s="191" t="s">
        <v>6588</v>
      </c>
      <c r="U795" s="191" t="s">
        <v>6589</v>
      </c>
      <c r="V795" s="191" t="s">
        <v>6590</v>
      </c>
      <c r="W795" s="191" t="s">
        <v>6591</v>
      </c>
      <c r="X795" s="195">
        <v>0.58333333333333337</v>
      </c>
      <c r="Y795" s="420">
        <v>0.66666666666666663</v>
      </c>
      <c r="Z795" s="233" t="s">
        <v>622</v>
      </c>
    </row>
    <row r="796" spans="2:26">
      <c r="B796" s="13" t="str">
        <f t="shared" si="464"/>
        <v>Pendente</v>
      </c>
      <c r="D796" s="13" t="s">
        <v>611</v>
      </c>
      <c r="E796" s="14" t="str">
        <f t="shared" si="463"/>
        <v/>
      </c>
      <c r="F796" s="13" t="s">
        <v>611</v>
      </c>
      <c r="G796" s="191">
        <v>202500926</v>
      </c>
      <c r="H796" s="191" t="s">
        <v>6708</v>
      </c>
      <c r="I796" s="191" t="s">
        <v>1192</v>
      </c>
      <c r="J796" s="192">
        <v>45950</v>
      </c>
      <c r="K796" s="192">
        <v>46311</v>
      </c>
      <c r="L796" s="191" t="s">
        <v>6703</v>
      </c>
      <c r="M796" s="191" t="s">
        <v>1370</v>
      </c>
      <c r="N796" s="13" t="s">
        <v>1371</v>
      </c>
      <c r="O796" s="17" t="s">
        <v>1372</v>
      </c>
      <c r="P796" s="314" t="s">
        <v>244</v>
      </c>
      <c r="Q796" s="13" t="s">
        <v>618</v>
      </c>
      <c r="R796" s="246" t="str">
        <f>VLOOKUP(P796,'Dados das Regiões '!A:B,2,0)</f>
        <v>CURITIBA CENTRO</v>
      </c>
      <c r="S796" s="191" t="s">
        <v>6588</v>
      </c>
      <c r="U796" s="191" t="s">
        <v>6589</v>
      </c>
      <c r="V796" s="191" t="s">
        <v>6590</v>
      </c>
      <c r="W796" s="191" t="s">
        <v>6591</v>
      </c>
      <c r="X796" s="195">
        <v>0.66666666666666663</v>
      </c>
      <c r="Y796" s="420">
        <v>0.58333333333333337</v>
      </c>
      <c r="Z796" s="233" t="s">
        <v>622</v>
      </c>
    </row>
    <row r="797" spans="2:26">
      <c r="B797" s="13" t="str">
        <f t="shared" si="464"/>
        <v>Pendente</v>
      </c>
      <c r="D797" s="13" t="s">
        <v>611</v>
      </c>
      <c r="E797" s="14" t="str">
        <f t="shared" si="463"/>
        <v/>
      </c>
      <c r="F797" s="13" t="s">
        <v>611</v>
      </c>
      <c r="G797" s="191">
        <v>202500926</v>
      </c>
      <c r="H797" s="191" t="s">
        <v>6709</v>
      </c>
      <c r="I797" s="191" t="s">
        <v>1192</v>
      </c>
      <c r="J797" s="192">
        <v>45950</v>
      </c>
      <c r="K797" s="192">
        <v>46311</v>
      </c>
      <c r="L797" s="191" t="s">
        <v>1387</v>
      </c>
      <c r="M797" s="191" t="s">
        <v>1388</v>
      </c>
      <c r="N797" s="13" t="s">
        <v>1389</v>
      </c>
      <c r="O797" s="17" t="s">
        <v>1390</v>
      </c>
      <c r="P797" s="314" t="s">
        <v>453</v>
      </c>
      <c r="Q797" s="13" t="s">
        <v>618</v>
      </c>
      <c r="R797" s="246" t="str">
        <f>VLOOKUP(P797,'Dados das Regiões '!A:B,2,0)</f>
        <v>PRUDENTÓPOLIS</v>
      </c>
      <c r="S797" s="191" t="s">
        <v>2168</v>
      </c>
      <c r="U797" s="191" t="s">
        <v>1392</v>
      </c>
      <c r="V797" s="191" t="s">
        <v>6710</v>
      </c>
      <c r="W797" s="191" t="s">
        <v>3115</v>
      </c>
      <c r="X797" s="195">
        <v>0.70833333333333337</v>
      </c>
      <c r="Y797" s="420">
        <v>0.625</v>
      </c>
      <c r="Z797" s="233" t="s">
        <v>622</v>
      </c>
    </row>
    <row r="798" spans="2:26">
      <c r="B798" s="13" t="str">
        <f t="shared" si="464"/>
        <v>Pendente</v>
      </c>
      <c r="D798" s="13" t="s">
        <v>611</v>
      </c>
      <c r="E798" s="14" t="str">
        <f t="shared" si="463"/>
        <v/>
      </c>
      <c r="F798" s="13" t="s">
        <v>611</v>
      </c>
      <c r="G798" s="191">
        <v>202500926</v>
      </c>
      <c r="H798" s="191" t="s">
        <v>6711</v>
      </c>
      <c r="I798" s="191" t="s">
        <v>1192</v>
      </c>
      <c r="J798" s="192">
        <v>45950</v>
      </c>
      <c r="K798" s="192">
        <v>46311</v>
      </c>
      <c r="L798" s="191" t="s">
        <v>1387</v>
      </c>
      <c r="M798" s="191" t="s">
        <v>1388</v>
      </c>
      <c r="N798" s="13" t="s">
        <v>1389</v>
      </c>
      <c r="O798" s="17" t="s">
        <v>1390</v>
      </c>
      <c r="P798" s="314" t="s">
        <v>453</v>
      </c>
      <c r="Q798" s="13" t="s">
        <v>618</v>
      </c>
      <c r="R798" s="246" t="str">
        <f>VLOOKUP(P798,'Dados das Regiões '!A:B,2,0)</f>
        <v>PRUDENTÓPOLIS</v>
      </c>
      <c r="S798" s="191" t="s">
        <v>2171</v>
      </c>
      <c r="U798" s="191" t="s">
        <v>1392</v>
      </c>
      <c r="V798" s="191" t="s">
        <v>6710</v>
      </c>
      <c r="W798" s="191" t="s">
        <v>3115</v>
      </c>
      <c r="X798" s="195">
        <v>0.375</v>
      </c>
      <c r="Y798" s="420">
        <v>0.45833333333333331</v>
      </c>
      <c r="Z798" s="233" t="s">
        <v>622</v>
      </c>
    </row>
    <row r="799" spans="2:26">
      <c r="B799" s="13" t="str">
        <f t="shared" si="464"/>
        <v>Pendente</v>
      </c>
      <c r="D799" s="13" t="s">
        <v>611</v>
      </c>
      <c r="E799" s="14" t="str">
        <f t="shared" si="463"/>
        <v/>
      </c>
      <c r="F799" s="13" t="s">
        <v>611</v>
      </c>
      <c r="G799" s="191">
        <v>202500412</v>
      </c>
      <c r="H799" s="191" t="s">
        <v>6712</v>
      </c>
      <c r="I799" s="191" t="s">
        <v>613</v>
      </c>
      <c r="J799" s="192">
        <v>45971</v>
      </c>
      <c r="K799" s="192">
        <v>46335</v>
      </c>
      <c r="L799" s="191" t="s">
        <v>672</v>
      </c>
      <c r="M799" s="191" t="s">
        <v>701</v>
      </c>
      <c r="N799" s="13" t="s">
        <v>702</v>
      </c>
      <c r="O799" s="17" t="s">
        <v>703</v>
      </c>
      <c r="P799" s="314" t="s">
        <v>161</v>
      </c>
      <c r="Q799" s="13" t="s">
        <v>618</v>
      </c>
      <c r="R799" s="246" t="str">
        <f>VLOOKUP(P799,'Dados das Regiões '!A:B,2,0)</f>
        <v>CAMPO MOURÃO</v>
      </c>
      <c r="S799" s="191" t="s">
        <v>704</v>
      </c>
      <c r="U799" s="191" t="s">
        <v>705</v>
      </c>
      <c r="V799" s="191" t="s">
        <v>706</v>
      </c>
      <c r="W799" s="191" t="s">
        <v>707</v>
      </c>
      <c r="X799" s="195">
        <v>0.5625</v>
      </c>
      <c r="Y799" s="426" t="s">
        <v>680</v>
      </c>
      <c r="Z799" s="233" t="s">
        <v>622</v>
      </c>
    </row>
    <row r="800" spans="2:26">
      <c r="B800" s="13" t="str">
        <f t="shared" si="464"/>
        <v>Pendente</v>
      </c>
      <c r="D800" s="13" t="s">
        <v>611</v>
      </c>
      <c r="E800" s="14" t="str">
        <f t="shared" si="463"/>
        <v/>
      </c>
      <c r="F800" s="13" t="s">
        <v>611</v>
      </c>
      <c r="G800" s="191">
        <v>202500412</v>
      </c>
      <c r="H800" s="191" t="s">
        <v>6713</v>
      </c>
      <c r="I800" s="191" t="s">
        <v>613</v>
      </c>
      <c r="J800" s="192">
        <v>45971</v>
      </c>
      <c r="K800" s="192">
        <v>46335</v>
      </c>
      <c r="L800" s="191" t="s">
        <v>672</v>
      </c>
      <c r="M800" s="191" t="s">
        <v>777</v>
      </c>
      <c r="N800" s="13" t="s">
        <v>778</v>
      </c>
      <c r="O800" s="17" t="s">
        <v>779</v>
      </c>
      <c r="P800" s="314" t="s">
        <v>161</v>
      </c>
      <c r="Q800" s="13" t="s">
        <v>618</v>
      </c>
      <c r="R800" s="246" t="str">
        <f>VLOOKUP(P800,'Dados das Regiões '!A:B,2,0)</f>
        <v>CAMPO MOURÃO</v>
      </c>
      <c r="S800" s="191" t="s">
        <v>780</v>
      </c>
      <c r="U800" s="191" t="s">
        <v>781</v>
      </c>
      <c r="V800" s="191" t="s">
        <v>782</v>
      </c>
      <c r="W800" s="191" t="s">
        <v>6298</v>
      </c>
      <c r="X800" s="195">
        <v>0.5625</v>
      </c>
      <c r="Y800" s="426" t="s">
        <v>936</v>
      </c>
      <c r="Z800" s="233" t="s">
        <v>622</v>
      </c>
    </row>
    <row r="801" spans="2:26">
      <c r="B801" s="13" t="str">
        <f t="shared" si="464"/>
        <v>Pendente</v>
      </c>
      <c r="D801" s="13" t="s">
        <v>611</v>
      </c>
      <c r="E801" s="14" t="str">
        <f t="shared" si="463"/>
        <v/>
      </c>
      <c r="F801" s="13" t="s">
        <v>611</v>
      </c>
      <c r="G801" s="191">
        <v>202500412</v>
      </c>
      <c r="H801" s="191" t="s">
        <v>6714</v>
      </c>
      <c r="I801" s="191" t="s">
        <v>613</v>
      </c>
      <c r="J801" s="192">
        <v>45971</v>
      </c>
      <c r="K801" s="192">
        <v>46335</v>
      </c>
      <c r="L801" s="191" t="s">
        <v>672</v>
      </c>
      <c r="M801" s="191" t="s">
        <v>789</v>
      </c>
      <c r="N801" s="13" t="s">
        <v>790</v>
      </c>
      <c r="O801" s="13" t="s">
        <v>791</v>
      </c>
      <c r="P801" s="314" t="s">
        <v>161</v>
      </c>
      <c r="Q801" s="13" t="s">
        <v>618</v>
      </c>
      <c r="R801" s="246" t="str">
        <f>VLOOKUP(P801,'Dados das Regiões '!A:B,2,0)</f>
        <v>CAMPO MOURÃO</v>
      </c>
      <c r="S801" s="191" t="s">
        <v>6715</v>
      </c>
      <c r="U801" s="191" t="s">
        <v>793</v>
      </c>
      <c r="V801" s="191" t="s">
        <v>6716</v>
      </c>
      <c r="W801" s="191" t="s">
        <v>795</v>
      </c>
      <c r="X801" s="195">
        <v>0.3125</v>
      </c>
      <c r="Y801" s="426" t="s">
        <v>796</v>
      </c>
      <c r="Z801" s="233" t="s">
        <v>622</v>
      </c>
    </row>
    <row r="802" spans="2:26">
      <c r="B802" s="13" t="str">
        <f t="shared" si="464"/>
        <v>Pendente</v>
      </c>
      <c r="D802" s="13" t="s">
        <v>611</v>
      </c>
      <c r="E802" s="14" t="str">
        <f t="shared" si="463"/>
        <v/>
      </c>
      <c r="F802" s="13" t="s">
        <v>611</v>
      </c>
      <c r="G802" s="191">
        <v>202500925</v>
      </c>
      <c r="H802" s="191" t="s">
        <v>6717</v>
      </c>
      <c r="I802" s="191" t="s">
        <v>613</v>
      </c>
      <c r="J802" s="192">
        <v>45950</v>
      </c>
      <c r="K802" s="192">
        <v>46311</v>
      </c>
      <c r="L802" s="191" t="s">
        <v>1801</v>
      </c>
      <c r="M802" s="191" t="s">
        <v>6718</v>
      </c>
      <c r="N802" s="13" t="s">
        <v>6719</v>
      </c>
      <c r="O802" s="17" t="s">
        <v>6720</v>
      </c>
      <c r="P802" s="314" t="s">
        <v>396</v>
      </c>
      <c r="Q802" s="13" t="s">
        <v>618</v>
      </c>
      <c r="R802" s="246" t="str">
        <f>VLOOKUP(P802,'Dados das Regiões '!A:B,2,0)</f>
        <v>NOVA LONDRINA</v>
      </c>
      <c r="S802" s="191" t="s">
        <v>5870</v>
      </c>
      <c r="U802" s="191" t="s">
        <v>2664</v>
      </c>
      <c r="V802" s="191" t="s">
        <v>2664</v>
      </c>
      <c r="W802" s="191" t="s">
        <v>5871</v>
      </c>
      <c r="X802" s="195">
        <v>0.5625</v>
      </c>
      <c r="Y802" s="420">
        <v>0.64583333333333337</v>
      </c>
      <c r="Z802" s="233" t="s">
        <v>622</v>
      </c>
    </row>
    <row r="803" spans="2:26">
      <c r="B803" s="13" t="str">
        <f t="shared" si="464"/>
        <v>Pendente</v>
      </c>
      <c r="D803" s="13" t="s">
        <v>611</v>
      </c>
      <c r="E803" s="14" t="str">
        <f t="shared" si="463"/>
        <v/>
      </c>
      <c r="F803" s="13" t="s">
        <v>611</v>
      </c>
      <c r="G803" s="191">
        <v>202500925</v>
      </c>
      <c r="H803" s="191" t="s">
        <v>6721</v>
      </c>
      <c r="I803" s="191" t="s">
        <v>613</v>
      </c>
      <c r="J803" s="192">
        <v>45950</v>
      </c>
      <c r="K803" s="192">
        <v>46311</v>
      </c>
      <c r="L803" s="191" t="s">
        <v>1801</v>
      </c>
      <c r="M803" s="191" t="s">
        <v>2660</v>
      </c>
      <c r="N803" s="13" t="s">
        <v>2661</v>
      </c>
      <c r="O803" s="197" t="s">
        <v>2662</v>
      </c>
      <c r="P803" s="314" t="s">
        <v>396</v>
      </c>
      <c r="Q803" s="13" t="s">
        <v>618</v>
      </c>
      <c r="R803" s="246" t="str">
        <f>VLOOKUP(P803,'Dados das Regiões '!A:B,2,0)</f>
        <v>NOVA LONDRINA</v>
      </c>
      <c r="S803" s="191" t="s">
        <v>2663</v>
      </c>
      <c r="U803" s="191" t="s">
        <v>6722</v>
      </c>
      <c r="V803" s="191" t="s">
        <v>6722</v>
      </c>
      <c r="W803" s="191" t="s">
        <v>6723</v>
      </c>
      <c r="X803" s="195">
        <v>0.33333333333333331</v>
      </c>
      <c r="Y803" s="420">
        <v>0.41666666666666669</v>
      </c>
      <c r="Z803" s="233" t="s">
        <v>622</v>
      </c>
    </row>
    <row r="804" spans="2:26">
      <c r="B804" s="13" t="str">
        <f t="shared" si="464"/>
        <v>Pendente</v>
      </c>
      <c r="D804" s="13" t="s">
        <v>611</v>
      </c>
      <c r="E804" s="14" t="str">
        <f t="shared" si="463"/>
        <v/>
      </c>
      <c r="F804" s="13" t="s">
        <v>611</v>
      </c>
      <c r="G804" s="191">
        <v>202500412</v>
      </c>
      <c r="H804" s="191" t="s">
        <v>6724</v>
      </c>
      <c r="I804" s="191" t="s">
        <v>613</v>
      </c>
      <c r="J804" s="192">
        <v>45971</v>
      </c>
      <c r="K804" s="192">
        <v>46335</v>
      </c>
      <c r="L804" s="191" t="s">
        <v>672</v>
      </c>
      <c r="M804" s="191" t="s">
        <v>805</v>
      </c>
      <c r="N804" s="13" t="s">
        <v>806</v>
      </c>
      <c r="O804" s="13" t="s">
        <v>807</v>
      </c>
      <c r="P804" s="314" t="s">
        <v>164</v>
      </c>
      <c r="Q804" s="13" t="s">
        <v>618</v>
      </c>
      <c r="R804" s="246" t="str">
        <f>VLOOKUP(P804,'Dados das Regiões '!A:B,2,0)</f>
        <v>CAMPO MOURÃO</v>
      </c>
      <c r="S804" s="191" t="s">
        <v>6725</v>
      </c>
      <c r="U804" s="191" t="s">
        <v>809</v>
      </c>
      <c r="V804" s="191" t="s">
        <v>5410</v>
      </c>
      <c r="W804" s="191" t="s">
        <v>810</v>
      </c>
      <c r="X804" s="195">
        <v>0.5625</v>
      </c>
      <c r="Y804" s="426" t="s">
        <v>680</v>
      </c>
      <c r="Z804" s="233" t="s">
        <v>622</v>
      </c>
    </row>
    <row r="805" spans="2:26">
      <c r="B805" s="13" t="str">
        <f t="shared" si="464"/>
        <v>Pendente</v>
      </c>
      <c r="D805" s="13" t="s">
        <v>611</v>
      </c>
      <c r="E805" s="14" t="str">
        <f t="shared" si="463"/>
        <v/>
      </c>
      <c r="F805" s="13" t="s">
        <v>611</v>
      </c>
      <c r="G805" s="191">
        <v>202500412</v>
      </c>
      <c r="H805" s="191" t="s">
        <v>6726</v>
      </c>
      <c r="I805" s="191" t="s">
        <v>613</v>
      </c>
      <c r="J805" s="192">
        <v>45971</v>
      </c>
      <c r="K805" s="192">
        <v>46335</v>
      </c>
      <c r="L805" s="191" t="s">
        <v>672</v>
      </c>
      <c r="M805" s="191" t="s">
        <v>760</v>
      </c>
      <c r="N805" s="13" t="s">
        <v>761</v>
      </c>
      <c r="O805" s="13" t="s">
        <v>762</v>
      </c>
      <c r="P805" s="314" t="s">
        <v>166</v>
      </c>
      <c r="Q805" s="13" t="s">
        <v>618</v>
      </c>
      <c r="R805" s="246" t="str">
        <f>VLOOKUP(P805,'Dados das Regiões '!A:B,2,0)</f>
        <v>CAMPO MOURÃO</v>
      </c>
      <c r="S805" s="191" t="s">
        <v>727</v>
      </c>
      <c r="U805" s="191" t="s">
        <v>728</v>
      </c>
      <c r="V805" s="191" t="s">
        <v>729</v>
      </c>
      <c r="W805" s="191" t="s">
        <v>730</v>
      </c>
      <c r="X805" s="195">
        <v>0.5625</v>
      </c>
      <c r="Y805" s="426" t="s">
        <v>680</v>
      </c>
      <c r="Z805" s="233" t="s">
        <v>622</v>
      </c>
    </row>
    <row r="806" spans="2:26">
      <c r="B806" s="13" t="str">
        <f t="shared" si="464"/>
        <v>Pendente</v>
      </c>
      <c r="D806" s="13" t="s">
        <v>611</v>
      </c>
      <c r="E806" s="14" t="str">
        <f t="shared" si="463"/>
        <v/>
      </c>
      <c r="F806" s="13" t="s">
        <v>611</v>
      </c>
      <c r="G806" s="191">
        <v>202500412</v>
      </c>
      <c r="H806" s="191" t="s">
        <v>6727</v>
      </c>
      <c r="I806" s="191" t="s">
        <v>613</v>
      </c>
      <c r="J806" s="192">
        <v>45971</v>
      </c>
      <c r="K806" s="192">
        <v>46335</v>
      </c>
      <c r="L806" s="191" t="s">
        <v>672</v>
      </c>
      <c r="M806" s="191" t="s">
        <v>747</v>
      </c>
      <c r="N806" s="13" t="s">
        <v>748</v>
      </c>
      <c r="O806" s="17" t="s">
        <v>749</v>
      </c>
      <c r="P806" s="314" t="s">
        <v>166</v>
      </c>
      <c r="Q806" s="13" t="s">
        <v>618</v>
      </c>
      <c r="R806" s="246" t="str">
        <f>VLOOKUP(P806,'Dados das Regiões '!A:B,2,0)</f>
        <v>CAMPO MOURÃO</v>
      </c>
      <c r="S806" s="191" t="s">
        <v>727</v>
      </c>
      <c r="U806" s="191" t="s">
        <v>728</v>
      </c>
      <c r="V806" s="191" t="s">
        <v>729</v>
      </c>
      <c r="W806" s="191" t="s">
        <v>730</v>
      </c>
      <c r="X806" s="195">
        <v>0.3125</v>
      </c>
      <c r="Y806" s="426" t="s">
        <v>796</v>
      </c>
      <c r="Z806" s="233" t="s">
        <v>622</v>
      </c>
    </row>
    <row r="807" spans="2:26">
      <c r="B807" s="13" t="str">
        <f t="shared" si="464"/>
        <v>Pendente</v>
      </c>
      <c r="D807" s="13" t="s">
        <v>611</v>
      </c>
      <c r="E807" s="14" t="str">
        <f t="shared" si="463"/>
        <v/>
      </c>
      <c r="F807" s="13" t="s">
        <v>611</v>
      </c>
      <c r="G807" s="191">
        <v>202500412</v>
      </c>
      <c r="H807" s="191" t="s">
        <v>6728</v>
      </c>
      <c r="I807" s="191" t="s">
        <v>613</v>
      </c>
      <c r="J807" s="192">
        <v>45971</v>
      </c>
      <c r="K807" s="192">
        <v>46335</v>
      </c>
      <c r="L807" s="191" t="s">
        <v>672</v>
      </c>
      <c r="M807" s="191" t="s">
        <v>747</v>
      </c>
      <c r="N807" s="13" t="s">
        <v>748</v>
      </c>
      <c r="O807" s="17" t="s">
        <v>749</v>
      </c>
      <c r="P807" s="314" t="s">
        <v>166</v>
      </c>
      <c r="Q807" s="13" t="s">
        <v>618</v>
      </c>
      <c r="R807" s="246" t="str">
        <f>VLOOKUP(P807,'Dados das Regiões '!A:B,2,0)</f>
        <v>CAMPO MOURÃO</v>
      </c>
      <c r="S807" s="191" t="s">
        <v>727</v>
      </c>
      <c r="U807" s="191" t="s">
        <v>728</v>
      </c>
      <c r="V807" s="191" t="s">
        <v>729</v>
      </c>
      <c r="W807" s="191" t="s">
        <v>730</v>
      </c>
      <c r="X807" s="195">
        <v>0.64583333333333337</v>
      </c>
      <c r="Y807" s="426" t="s">
        <v>698</v>
      </c>
      <c r="Z807" s="233" t="s">
        <v>622</v>
      </c>
    </row>
    <row r="808" spans="2:26">
      <c r="B808" s="13" t="str">
        <f t="shared" si="464"/>
        <v>Pendente</v>
      </c>
      <c r="D808" s="13" t="s">
        <v>611</v>
      </c>
      <c r="E808" s="14" t="str">
        <f t="shared" si="463"/>
        <v/>
      </c>
      <c r="F808" s="13" t="s">
        <v>611</v>
      </c>
      <c r="G808" s="191">
        <v>202500412</v>
      </c>
      <c r="H808" s="191" t="s">
        <v>6729</v>
      </c>
      <c r="I808" s="191" t="s">
        <v>613</v>
      </c>
      <c r="J808" s="192">
        <v>45971</v>
      </c>
      <c r="K808" s="192">
        <v>46335</v>
      </c>
      <c r="L808" s="191" t="s">
        <v>672</v>
      </c>
      <c r="M808" s="191" t="s">
        <v>724</v>
      </c>
      <c r="N808" s="13" t="s">
        <v>725</v>
      </c>
      <c r="O808" s="17" t="s">
        <v>726</v>
      </c>
      <c r="P808" s="314" t="s">
        <v>166</v>
      </c>
      <c r="Q808" s="13" t="s">
        <v>618</v>
      </c>
      <c r="R808" s="246" t="str">
        <f>VLOOKUP(P808,'Dados das Regiões '!A:B,2,0)</f>
        <v>CAMPO MOURÃO</v>
      </c>
      <c r="S808" s="191" t="s">
        <v>727</v>
      </c>
      <c r="U808" s="191" t="s">
        <v>728</v>
      </c>
      <c r="V808" s="191" t="s">
        <v>6730</v>
      </c>
      <c r="W808" s="191" t="s">
        <v>730</v>
      </c>
      <c r="X808" s="195">
        <v>0.5625</v>
      </c>
      <c r="Y808" s="426" t="s">
        <v>680</v>
      </c>
      <c r="Z808" s="233" t="s">
        <v>622</v>
      </c>
    </row>
    <row r="809" spans="2:26">
      <c r="B809" s="13" t="str">
        <f t="shared" si="464"/>
        <v>Pendente</v>
      </c>
      <c r="D809" s="13" t="s">
        <v>611</v>
      </c>
      <c r="E809" s="14" t="str">
        <f t="shared" si="463"/>
        <v/>
      </c>
      <c r="F809" s="13" t="s">
        <v>611</v>
      </c>
      <c r="G809" s="191">
        <v>202501023</v>
      </c>
      <c r="H809" s="191" t="s">
        <v>6731</v>
      </c>
      <c r="I809" s="191" t="s">
        <v>613</v>
      </c>
      <c r="J809" s="192">
        <v>45971</v>
      </c>
      <c r="K809" s="192">
        <v>46335</v>
      </c>
      <c r="L809" s="191" t="s">
        <v>5103</v>
      </c>
      <c r="M809" s="191" t="s">
        <v>5286</v>
      </c>
      <c r="N809" s="13" t="s">
        <v>5287</v>
      </c>
      <c r="O809" s="17" t="s">
        <v>5288</v>
      </c>
      <c r="P809" s="314" t="s">
        <v>166</v>
      </c>
      <c r="Q809" s="13" t="s">
        <v>618</v>
      </c>
      <c r="R809" s="246" t="str">
        <f>VLOOKUP(P809,'Dados das Regiões '!A:B,2,0)</f>
        <v>CAMPO MOURÃO</v>
      </c>
      <c r="S809" s="191" t="s">
        <v>5289</v>
      </c>
      <c r="U809" s="191"/>
      <c r="V809" s="191" t="s">
        <v>6732</v>
      </c>
      <c r="W809" s="191" t="s">
        <v>5291</v>
      </c>
      <c r="X809" s="195">
        <v>0.33333333333333331</v>
      </c>
      <c r="Y809" s="426" t="s">
        <v>648</v>
      </c>
      <c r="Z809" s="233" t="s">
        <v>622</v>
      </c>
    </row>
    <row r="810" spans="2:26">
      <c r="B810" s="13" t="str">
        <f t="shared" si="464"/>
        <v>Pendente</v>
      </c>
      <c r="D810" s="13" t="s">
        <v>611</v>
      </c>
      <c r="E810" s="14" t="str">
        <f t="shared" ref="E810:E873" si="465">IF(C810="", "", EDATE(C810, 3))</f>
        <v/>
      </c>
      <c r="F810" s="13" t="s">
        <v>611</v>
      </c>
      <c r="G810" s="191">
        <v>202500412</v>
      </c>
      <c r="H810" s="191" t="s">
        <v>6733</v>
      </c>
      <c r="I810" s="191" t="s">
        <v>613</v>
      </c>
      <c r="J810" s="192">
        <v>45971</v>
      </c>
      <c r="K810" s="192">
        <v>46335</v>
      </c>
      <c r="L810" s="191" t="s">
        <v>672</v>
      </c>
      <c r="M810" s="191" t="s">
        <v>995</v>
      </c>
      <c r="N810" s="13" t="s">
        <v>996</v>
      </c>
      <c r="O810" s="13" t="s">
        <v>997</v>
      </c>
      <c r="P810" s="314" t="s">
        <v>408</v>
      </c>
      <c r="Q810" s="13" t="s">
        <v>618</v>
      </c>
      <c r="R810" s="246" t="str">
        <f>VLOOKUP(P810,'Dados das Regiões '!A:B,2,0)</f>
        <v>PALMAS</v>
      </c>
      <c r="S810" s="191" t="s">
        <v>4654</v>
      </c>
      <c r="U810" s="191" t="s">
        <v>999</v>
      </c>
      <c r="V810" s="191" t="s">
        <v>999</v>
      </c>
      <c r="W810" s="191" t="s">
        <v>1001</v>
      </c>
      <c r="X810" s="195">
        <v>0.5625</v>
      </c>
      <c r="Y810" s="426" t="s">
        <v>680</v>
      </c>
      <c r="Z810" s="233" t="s">
        <v>622</v>
      </c>
    </row>
    <row r="811" spans="2:26">
      <c r="B811" s="13" t="str">
        <f t="shared" si="464"/>
        <v>Pendente</v>
      </c>
      <c r="D811" s="13" t="s">
        <v>611</v>
      </c>
      <c r="E811" s="14" t="str">
        <f t="shared" si="465"/>
        <v/>
      </c>
      <c r="F811" s="13" t="s">
        <v>611</v>
      </c>
      <c r="G811" s="191">
        <v>202500412</v>
      </c>
      <c r="H811" s="191" t="s">
        <v>6734</v>
      </c>
      <c r="I811" s="191" t="s">
        <v>613</v>
      </c>
      <c r="J811" s="192">
        <v>45971</v>
      </c>
      <c r="K811" s="192">
        <v>46335</v>
      </c>
      <c r="L811" s="191" t="s">
        <v>672</v>
      </c>
      <c r="M811" s="191" t="s">
        <v>1011</v>
      </c>
      <c r="N811" s="13" t="s">
        <v>1012</v>
      </c>
      <c r="O811" s="17" t="s">
        <v>1013</v>
      </c>
      <c r="P811" s="314" t="s">
        <v>408</v>
      </c>
      <c r="Q811" s="13" t="s">
        <v>618</v>
      </c>
      <c r="R811" s="246" t="str">
        <f>VLOOKUP(P811,'Dados das Regiões '!A:B,2,0)</f>
        <v>PALMAS</v>
      </c>
      <c r="S811" s="191" t="s">
        <v>6735</v>
      </c>
      <c r="U811" s="191" t="s">
        <v>999</v>
      </c>
      <c r="V811" s="191" t="s">
        <v>999</v>
      </c>
      <c r="W811" s="191" t="s">
        <v>1016</v>
      </c>
      <c r="X811" s="195">
        <v>0.5625</v>
      </c>
      <c r="Y811" s="426" t="s">
        <v>784</v>
      </c>
      <c r="Z811" s="233" t="s">
        <v>622</v>
      </c>
    </row>
    <row r="812" spans="2:26">
      <c r="B812" s="13" t="str">
        <f t="shared" si="464"/>
        <v>Pendente</v>
      </c>
      <c r="D812" s="13" t="s">
        <v>611</v>
      </c>
      <c r="E812" s="14" t="str">
        <f t="shared" si="465"/>
        <v/>
      </c>
      <c r="F812" s="13" t="s">
        <v>611</v>
      </c>
      <c r="G812" s="191">
        <v>202500412</v>
      </c>
      <c r="H812" s="191" t="s">
        <v>6736</v>
      </c>
      <c r="I812" s="191" t="s">
        <v>613</v>
      </c>
      <c r="J812" s="192">
        <v>45971</v>
      </c>
      <c r="K812" s="192">
        <v>46335</v>
      </c>
      <c r="L812" s="191" t="s">
        <v>672</v>
      </c>
      <c r="M812" s="191" t="s">
        <v>987</v>
      </c>
      <c r="N812" s="13" t="s">
        <v>988</v>
      </c>
      <c r="O812" s="17" t="s">
        <v>989</v>
      </c>
      <c r="P812" s="314" t="s">
        <v>317</v>
      </c>
      <c r="Q812" s="13" t="s">
        <v>618</v>
      </c>
      <c r="R812" s="246" t="str">
        <f>VLOOKUP(P812,'Dados das Regiões '!A:B,2,0)</f>
        <v>IVAIPORÃ</v>
      </c>
      <c r="S812" s="191" t="s">
        <v>990</v>
      </c>
      <c r="U812" s="191" t="s">
        <v>991</v>
      </c>
      <c r="V812" s="191" t="s">
        <v>4154</v>
      </c>
      <c r="W812" s="191" t="s">
        <v>993</v>
      </c>
      <c r="X812" s="195">
        <v>0.64583333333333337</v>
      </c>
      <c r="Y812" s="426" t="s">
        <v>698</v>
      </c>
      <c r="Z812" s="233" t="s">
        <v>622</v>
      </c>
    </row>
    <row r="813" spans="2:26">
      <c r="B813" s="13" t="str">
        <f t="shared" si="464"/>
        <v>Pendente</v>
      </c>
      <c r="D813" s="13" t="s">
        <v>611</v>
      </c>
      <c r="E813" s="14" t="str">
        <f t="shared" si="465"/>
        <v/>
      </c>
      <c r="F813" s="13" t="s">
        <v>611</v>
      </c>
      <c r="G813" s="191">
        <v>202500925</v>
      </c>
      <c r="H813" s="191" t="s">
        <v>6737</v>
      </c>
      <c r="I813" s="191" t="s">
        <v>613</v>
      </c>
      <c r="J813" s="192">
        <v>45950</v>
      </c>
      <c r="K813" s="192">
        <v>46311</v>
      </c>
      <c r="L813" s="191" t="s">
        <v>6738</v>
      </c>
      <c r="M813" s="191" t="s">
        <v>6739</v>
      </c>
      <c r="N813" s="13" t="s">
        <v>6740</v>
      </c>
      <c r="O813" s="17" t="s">
        <v>6741</v>
      </c>
      <c r="P813" s="314" t="s">
        <v>317</v>
      </c>
      <c r="Q813" s="13" t="s">
        <v>618</v>
      </c>
      <c r="R813" s="246" t="str">
        <f>VLOOKUP(P813,'Dados das Regiões '!A:B,2,0)</f>
        <v>IVAIPORÃ</v>
      </c>
      <c r="S813" s="191" t="s">
        <v>6742</v>
      </c>
      <c r="U813" s="191" t="s">
        <v>6743</v>
      </c>
      <c r="V813" s="191" t="s">
        <v>6743</v>
      </c>
      <c r="W813" s="191" t="s">
        <v>6744</v>
      </c>
      <c r="X813" s="195">
        <v>0.54166666666666663</v>
      </c>
      <c r="Y813" s="420">
        <v>0.625</v>
      </c>
      <c r="Z813" s="233" t="s">
        <v>622</v>
      </c>
    </row>
    <row r="814" spans="2:26">
      <c r="B814" s="13" t="str">
        <f t="shared" si="464"/>
        <v>Pendente</v>
      </c>
      <c r="D814" s="13" t="s">
        <v>611</v>
      </c>
      <c r="E814" s="14" t="str">
        <f t="shared" si="465"/>
        <v/>
      </c>
      <c r="F814" s="13" t="s">
        <v>611</v>
      </c>
      <c r="G814" s="191">
        <v>202500412</v>
      </c>
      <c r="H814" s="191" t="s">
        <v>6745</v>
      </c>
      <c r="I814" s="191" t="s">
        <v>613</v>
      </c>
      <c r="J814" s="192">
        <v>45971</v>
      </c>
      <c r="K814" s="192">
        <v>46335</v>
      </c>
      <c r="L814" s="191" t="s">
        <v>672</v>
      </c>
      <c r="M814" s="191" t="s">
        <v>1122</v>
      </c>
      <c r="N814" s="13" t="s">
        <v>1123</v>
      </c>
      <c r="O814" s="13" t="s">
        <v>1124</v>
      </c>
      <c r="P814" s="314" t="s">
        <v>498</v>
      </c>
      <c r="Q814" s="13" t="s">
        <v>618</v>
      </c>
      <c r="R814" s="246" t="str">
        <f>VLOOKUP(P814,'Dados das Regiões '!A:B,2,0)</f>
        <v>UMUARAMA</v>
      </c>
      <c r="S814" s="191" t="s">
        <v>1125</v>
      </c>
      <c r="U814" s="191"/>
      <c r="V814" s="191" t="s">
        <v>1127</v>
      </c>
      <c r="W814" s="35" t="s">
        <v>4085</v>
      </c>
      <c r="X814" s="195">
        <v>0.3125</v>
      </c>
      <c r="Y814" s="576">
        <v>0.39583333333333331</v>
      </c>
      <c r="Z814" s="233" t="s">
        <v>622</v>
      </c>
    </row>
    <row r="815" spans="2:26">
      <c r="B815" s="13" t="str">
        <f t="shared" si="464"/>
        <v>Pendente</v>
      </c>
      <c r="D815" s="13" t="s">
        <v>611</v>
      </c>
      <c r="E815" s="14" t="str">
        <f t="shared" si="465"/>
        <v/>
      </c>
      <c r="F815" s="13" t="s">
        <v>611</v>
      </c>
      <c r="G815" s="191">
        <v>202500926</v>
      </c>
      <c r="H815" s="191" t="s">
        <v>6746</v>
      </c>
      <c r="I815" s="191" t="s">
        <v>1192</v>
      </c>
      <c r="J815" s="192">
        <v>45950</v>
      </c>
      <c r="K815" s="192">
        <v>46311</v>
      </c>
      <c r="L815" s="191" t="s">
        <v>6747</v>
      </c>
      <c r="M815" s="191" t="s">
        <v>6748</v>
      </c>
      <c r="N815" s="13" t="s">
        <v>6749</v>
      </c>
      <c r="O815" s="17" t="s">
        <v>6750</v>
      </c>
      <c r="P815" s="314" t="s">
        <v>353</v>
      </c>
      <c r="Q815" s="13" t="s">
        <v>618</v>
      </c>
      <c r="R815" s="246" t="str">
        <f>VLOOKUP(P815,'Dados das Regiões '!A:B,2,0)</f>
        <v>MARECHAL CÂNDIDO RONDON</v>
      </c>
      <c r="S815" s="191" t="s">
        <v>6751</v>
      </c>
      <c r="U815" s="191" t="s">
        <v>6752</v>
      </c>
      <c r="V815" s="191" t="s">
        <v>6753</v>
      </c>
      <c r="W815" s="191" t="s">
        <v>6754</v>
      </c>
      <c r="X815" s="195">
        <v>0.5625</v>
      </c>
      <c r="Y815" s="420">
        <v>0.64583333333333337</v>
      </c>
      <c r="Z815" s="233" t="s">
        <v>622</v>
      </c>
    </row>
    <row r="816" spans="2:26">
      <c r="B816" s="13" t="str">
        <f t="shared" si="464"/>
        <v>Pendente</v>
      </c>
      <c r="D816" s="13" t="s">
        <v>611</v>
      </c>
      <c r="E816" s="14" t="str">
        <f t="shared" si="465"/>
        <v/>
      </c>
      <c r="F816" s="13" t="s">
        <v>611</v>
      </c>
      <c r="G816" s="191">
        <v>202500926</v>
      </c>
      <c r="H816" s="191" t="s">
        <v>6755</v>
      </c>
      <c r="I816" s="191" t="s">
        <v>1192</v>
      </c>
      <c r="J816" s="192">
        <v>45950</v>
      </c>
      <c r="K816" s="192">
        <v>46311</v>
      </c>
      <c r="L816" s="191" t="s">
        <v>6747</v>
      </c>
      <c r="M816" s="191" t="s">
        <v>6748</v>
      </c>
      <c r="N816" s="13" t="s">
        <v>6749</v>
      </c>
      <c r="O816" s="17" t="s">
        <v>6750</v>
      </c>
      <c r="P816" s="314" t="s">
        <v>353</v>
      </c>
      <c r="Q816" s="13" t="s">
        <v>618</v>
      </c>
      <c r="R816" s="246" t="str">
        <f>VLOOKUP(P816,'Dados das Regiões '!A:B,2,0)</f>
        <v>MARECHAL CÂNDIDO RONDON</v>
      </c>
      <c r="S816" s="191" t="s">
        <v>6756</v>
      </c>
      <c r="U816" s="191" t="s">
        <v>6752</v>
      </c>
      <c r="V816" s="191" t="s">
        <v>6753</v>
      </c>
      <c r="W816" s="191" t="s">
        <v>6754</v>
      </c>
      <c r="X816" s="195">
        <v>0.3125</v>
      </c>
      <c r="Y816" s="420">
        <v>0.39583333333333331</v>
      </c>
      <c r="Z816" s="233" t="s">
        <v>622</v>
      </c>
    </row>
    <row r="817" spans="2:26">
      <c r="B817" s="13" t="str">
        <f t="shared" si="464"/>
        <v>Pendente</v>
      </c>
      <c r="D817" s="13" t="s">
        <v>611</v>
      </c>
      <c r="E817" s="14" t="str">
        <f t="shared" si="465"/>
        <v/>
      </c>
      <c r="F817" s="13" t="s">
        <v>611</v>
      </c>
      <c r="G817" s="191">
        <v>202500926</v>
      </c>
      <c r="H817" s="191" t="s">
        <v>6757</v>
      </c>
      <c r="I817" s="191" t="s">
        <v>1192</v>
      </c>
      <c r="J817" s="192">
        <v>45950</v>
      </c>
      <c r="K817" s="192">
        <v>46311</v>
      </c>
      <c r="L817" s="191" t="s">
        <v>1278</v>
      </c>
      <c r="M817" s="191" t="s">
        <v>1279</v>
      </c>
      <c r="N817" s="13" t="s">
        <v>1280</v>
      </c>
      <c r="O817" s="13" t="s">
        <v>1281</v>
      </c>
      <c r="P817" s="314" t="s">
        <v>411</v>
      </c>
      <c r="Q817" s="13" t="s">
        <v>618</v>
      </c>
      <c r="R817" s="246" t="str">
        <f>VLOOKUP(P817,'Dados das Regiões '!A:B,2,0)</f>
        <v>PARANAGUÁ</v>
      </c>
      <c r="S817" s="191" t="s">
        <v>1282</v>
      </c>
      <c r="U817" s="191" t="s">
        <v>1283</v>
      </c>
      <c r="V817" s="191" t="s">
        <v>3095</v>
      </c>
      <c r="W817" s="191" t="s">
        <v>1284</v>
      </c>
      <c r="X817" s="195">
        <v>0.41666666666666669</v>
      </c>
      <c r="Y817" s="420">
        <v>0.33333333333333331</v>
      </c>
      <c r="Z817" s="233" t="s">
        <v>622</v>
      </c>
    </row>
    <row r="818" spans="2:26">
      <c r="B818" s="13" t="str">
        <f t="shared" si="464"/>
        <v>Pendente</v>
      </c>
      <c r="D818" s="13" t="s">
        <v>611</v>
      </c>
      <c r="E818" s="14" t="str">
        <f t="shared" si="465"/>
        <v/>
      </c>
      <c r="F818" s="13" t="s">
        <v>611</v>
      </c>
      <c r="G818" s="191">
        <v>202500926</v>
      </c>
      <c r="H818" s="191" t="s">
        <v>6758</v>
      </c>
      <c r="I818" s="191" t="s">
        <v>1192</v>
      </c>
      <c r="J818" s="192">
        <v>45950</v>
      </c>
      <c r="K818" s="192">
        <v>46311</v>
      </c>
      <c r="L818" s="191" t="s">
        <v>1278</v>
      </c>
      <c r="M818" s="191" t="s">
        <v>1279</v>
      </c>
      <c r="N818" s="13" t="s">
        <v>1280</v>
      </c>
      <c r="O818" s="13" t="s">
        <v>1281</v>
      </c>
      <c r="P818" s="314" t="s">
        <v>411</v>
      </c>
      <c r="Q818" s="13" t="s">
        <v>618</v>
      </c>
      <c r="R818" s="246" t="str">
        <f>VLOOKUP(P818,'Dados das Regiões '!A:B,2,0)</f>
        <v>PARANAGUÁ</v>
      </c>
      <c r="S818" s="191" t="s">
        <v>6759</v>
      </c>
      <c r="U818" s="191" t="s">
        <v>1283</v>
      </c>
      <c r="V818" s="191" t="s">
        <v>3095</v>
      </c>
      <c r="W818" s="191" t="s">
        <v>1284</v>
      </c>
      <c r="X818" s="195">
        <v>0.66666666666666663</v>
      </c>
      <c r="Y818" s="420">
        <v>0.58333333333333337</v>
      </c>
      <c r="Z818" s="233" t="s">
        <v>622</v>
      </c>
    </row>
    <row r="819" spans="2:26">
      <c r="B819" s="13" t="str">
        <f t="shared" si="464"/>
        <v>Pendente</v>
      </c>
      <c r="D819" s="13" t="s">
        <v>611</v>
      </c>
      <c r="E819" s="14" t="str">
        <f t="shared" si="465"/>
        <v/>
      </c>
      <c r="F819" s="13" t="s">
        <v>611</v>
      </c>
      <c r="G819" s="191">
        <v>202500412</v>
      </c>
      <c r="H819" s="191" t="s">
        <v>6760</v>
      </c>
      <c r="I819" s="191" t="s">
        <v>613</v>
      </c>
      <c r="J819" s="192">
        <v>45971</v>
      </c>
      <c r="K819" s="192">
        <v>46335</v>
      </c>
      <c r="L819" s="191" t="s">
        <v>835</v>
      </c>
      <c r="M819" s="191" t="s">
        <v>836</v>
      </c>
      <c r="N819" s="13" t="s">
        <v>837</v>
      </c>
      <c r="O819" s="17" t="s">
        <v>838</v>
      </c>
      <c r="P819" s="314" t="s">
        <v>201</v>
      </c>
      <c r="Q819" s="13" t="s">
        <v>618</v>
      </c>
      <c r="R819" s="246" t="str">
        <f>VLOOKUP(P819,'Dados das Regiões '!A:B,2,0)</f>
        <v>CASCAVEL</v>
      </c>
      <c r="S819" s="191" t="s">
        <v>839</v>
      </c>
      <c r="U819" s="191" t="s">
        <v>840</v>
      </c>
      <c r="V819" s="191" t="s">
        <v>6761</v>
      </c>
      <c r="W819" s="191" t="s">
        <v>842</v>
      </c>
      <c r="X819" s="195">
        <v>0.5625</v>
      </c>
      <c r="Y819" s="426" t="s">
        <v>680</v>
      </c>
      <c r="Z819" s="233" t="s">
        <v>622</v>
      </c>
    </row>
    <row r="820" spans="2:26">
      <c r="B820" s="13" t="str">
        <f t="shared" si="464"/>
        <v>Pendente</v>
      </c>
      <c r="D820" s="13" t="s">
        <v>611</v>
      </c>
      <c r="E820" s="14" t="str">
        <f t="shared" si="465"/>
        <v/>
      </c>
      <c r="F820" s="13" t="s">
        <v>611</v>
      </c>
      <c r="G820" s="191">
        <v>202500412</v>
      </c>
      <c r="H820" s="191" t="s">
        <v>6762</v>
      </c>
      <c r="I820" s="191" t="s">
        <v>613</v>
      </c>
      <c r="J820" s="192">
        <v>45971</v>
      </c>
      <c r="K820" s="192">
        <v>46335</v>
      </c>
      <c r="L820" s="191" t="s">
        <v>835</v>
      </c>
      <c r="M820" s="191" t="s">
        <v>836</v>
      </c>
      <c r="N820" s="13" t="s">
        <v>837</v>
      </c>
      <c r="O820" s="17" t="s">
        <v>838</v>
      </c>
      <c r="P820" s="314" t="s">
        <v>201</v>
      </c>
      <c r="Q820" s="13" t="s">
        <v>618</v>
      </c>
      <c r="R820" s="246" t="str">
        <f>VLOOKUP(P820,'Dados das Regiões '!A:B,2,0)</f>
        <v>CASCAVEL</v>
      </c>
      <c r="S820" s="191" t="s">
        <v>839</v>
      </c>
      <c r="U820" s="191" t="s">
        <v>840</v>
      </c>
      <c r="V820" s="191" t="s">
        <v>6761</v>
      </c>
      <c r="W820" s="191" t="s">
        <v>842</v>
      </c>
      <c r="X820" s="195">
        <v>0.64583333333333337</v>
      </c>
      <c r="Y820" s="426" t="s">
        <v>698</v>
      </c>
      <c r="Z820" s="233" t="s">
        <v>622</v>
      </c>
    </row>
    <row r="821" spans="2:26">
      <c r="B821" s="13" t="str">
        <f t="shared" si="464"/>
        <v>Pendente</v>
      </c>
      <c r="D821" s="13" t="s">
        <v>611</v>
      </c>
      <c r="E821" s="14" t="str">
        <f t="shared" si="465"/>
        <v/>
      </c>
      <c r="F821" s="13" t="s">
        <v>611</v>
      </c>
      <c r="G821" s="191">
        <v>202500412</v>
      </c>
      <c r="H821" s="191" t="s">
        <v>6763</v>
      </c>
      <c r="I821" s="191" t="s">
        <v>613</v>
      </c>
      <c r="J821" s="192">
        <v>45971</v>
      </c>
      <c r="K821" s="192">
        <v>46335</v>
      </c>
      <c r="L821" s="191" t="s">
        <v>835</v>
      </c>
      <c r="M821" s="191" t="s">
        <v>836</v>
      </c>
      <c r="N821" s="13" t="s">
        <v>837</v>
      </c>
      <c r="O821" s="17" t="s">
        <v>838</v>
      </c>
      <c r="P821" s="314" t="s">
        <v>201</v>
      </c>
      <c r="Q821" s="13" t="s">
        <v>618</v>
      </c>
      <c r="R821" s="246" t="str">
        <f>VLOOKUP(P821,'Dados das Regiões '!A:B,2,0)</f>
        <v>CASCAVEL</v>
      </c>
      <c r="S821" s="191" t="s">
        <v>839</v>
      </c>
      <c r="U821" s="191" t="s">
        <v>840</v>
      </c>
      <c r="V821" s="191" t="s">
        <v>6761</v>
      </c>
      <c r="W821" s="191" t="s">
        <v>842</v>
      </c>
      <c r="X821" s="195">
        <v>0.5625</v>
      </c>
      <c r="Y821" s="426" t="s">
        <v>680</v>
      </c>
      <c r="Z821" s="233" t="s">
        <v>622</v>
      </c>
    </row>
    <row r="822" spans="2:26">
      <c r="B822" s="13" t="str">
        <f t="shared" si="464"/>
        <v>Pendente</v>
      </c>
      <c r="D822" s="13" t="s">
        <v>611</v>
      </c>
      <c r="E822" s="14" t="str">
        <f t="shared" si="465"/>
        <v/>
      </c>
      <c r="F822" s="13" t="s">
        <v>611</v>
      </c>
      <c r="G822" s="191">
        <v>202501023</v>
      </c>
      <c r="H822" s="191" t="s">
        <v>6764</v>
      </c>
      <c r="I822" s="191" t="s">
        <v>613</v>
      </c>
      <c r="J822" s="192">
        <v>45971</v>
      </c>
      <c r="K822" s="192">
        <v>46335</v>
      </c>
      <c r="L822" s="191" t="s">
        <v>632</v>
      </c>
      <c r="M822" s="191" t="s">
        <v>650</v>
      </c>
      <c r="N822" s="13" t="s">
        <v>651</v>
      </c>
      <c r="O822" s="17" t="s">
        <v>652</v>
      </c>
      <c r="P822" s="314" t="s">
        <v>66</v>
      </c>
      <c r="Q822" s="13" t="s">
        <v>618</v>
      </c>
      <c r="R822" s="246" t="str">
        <f>VLOOKUP(P822,'Dados das Regiões '!A:B,2,0)</f>
        <v>NOVA LONDRINA</v>
      </c>
      <c r="S822" s="191" t="s">
        <v>6765</v>
      </c>
      <c r="U822" s="191" t="s">
        <v>654</v>
      </c>
      <c r="V822" s="191" t="s">
        <v>654</v>
      </c>
      <c r="W822" s="191" t="s">
        <v>655</v>
      </c>
      <c r="X822" s="195">
        <v>0.33333333333333331</v>
      </c>
      <c r="Y822" s="426" t="s">
        <v>648</v>
      </c>
      <c r="Z822" s="233" t="s">
        <v>622</v>
      </c>
    </row>
    <row r="823" spans="2:26">
      <c r="B823" s="13" t="str">
        <f t="shared" si="464"/>
        <v>Pendente</v>
      </c>
      <c r="D823" s="13" t="s">
        <v>611</v>
      </c>
      <c r="E823" s="14" t="str">
        <f t="shared" si="465"/>
        <v/>
      </c>
      <c r="F823" s="13" t="s">
        <v>611</v>
      </c>
      <c r="G823" s="191">
        <v>202500412</v>
      </c>
      <c r="H823" s="191" t="s">
        <v>6766</v>
      </c>
      <c r="I823" s="191" t="s">
        <v>613</v>
      </c>
      <c r="J823" s="192">
        <v>45971</v>
      </c>
      <c r="K823" s="192">
        <v>46335</v>
      </c>
      <c r="L823" s="191" t="s">
        <v>672</v>
      </c>
      <c r="M823" s="191" t="s">
        <v>1471</v>
      </c>
      <c r="N823" s="13" t="s">
        <v>1472</v>
      </c>
      <c r="O823" s="17" t="s">
        <v>1473</v>
      </c>
      <c r="P823" s="314" t="s">
        <v>354</v>
      </c>
      <c r="Q823" s="13" t="s">
        <v>618</v>
      </c>
      <c r="R823" s="246" t="str">
        <f>VLOOKUP(P823,'Dados das Regiões '!A:B,2,0)</f>
        <v>MARECHAL CÂNDIDO RONDON</v>
      </c>
      <c r="S823" s="191" t="s">
        <v>1474</v>
      </c>
      <c r="U823" s="191" t="s">
        <v>1475</v>
      </c>
      <c r="V823" s="191" t="s">
        <v>1476</v>
      </c>
      <c r="W823" s="191" t="s">
        <v>1477</v>
      </c>
      <c r="X823" s="195">
        <v>0.5625</v>
      </c>
      <c r="Y823" s="426" t="s">
        <v>680</v>
      </c>
      <c r="Z823" s="233" t="s">
        <v>622</v>
      </c>
    </row>
    <row r="824" spans="2:26">
      <c r="B824" s="13" t="str">
        <f t="shared" si="464"/>
        <v>Pendente</v>
      </c>
      <c r="D824" s="13" t="s">
        <v>611</v>
      </c>
      <c r="E824" s="14" t="str">
        <f t="shared" si="465"/>
        <v/>
      </c>
      <c r="F824" s="13" t="s">
        <v>611</v>
      </c>
      <c r="G824" s="191">
        <v>202501023</v>
      </c>
      <c r="H824" s="191" t="s">
        <v>6767</v>
      </c>
      <c r="I824" s="191" t="s">
        <v>613</v>
      </c>
      <c r="J824" s="192">
        <v>45971</v>
      </c>
      <c r="K824" s="192">
        <v>46335</v>
      </c>
      <c r="L824" s="191" t="s">
        <v>657</v>
      </c>
      <c r="M824" s="191" t="s">
        <v>717</v>
      </c>
      <c r="N824" s="13" t="s">
        <v>718</v>
      </c>
      <c r="O824" s="17" t="s">
        <v>719</v>
      </c>
      <c r="P824" s="314" t="s">
        <v>271</v>
      </c>
      <c r="Q824" s="13" t="s">
        <v>618</v>
      </c>
      <c r="R824" s="246" t="str">
        <f>VLOOKUP(P824,'Dados das Regiões '!A:B,2,0)</f>
        <v>FRANCISCO BELTRÃO</v>
      </c>
      <c r="S824" s="191" t="s">
        <v>720</v>
      </c>
      <c r="U824" s="191" t="s">
        <v>721</v>
      </c>
      <c r="V824" s="191" t="s">
        <v>721</v>
      </c>
      <c r="W824" s="191" t="s">
        <v>722</v>
      </c>
      <c r="X824" s="195">
        <v>0.5625</v>
      </c>
      <c r="Y824" s="426" t="s">
        <v>680</v>
      </c>
      <c r="Z824" s="233" t="s">
        <v>622</v>
      </c>
    </row>
    <row r="825" spans="2:26">
      <c r="B825" s="13" t="str">
        <f t="shared" si="464"/>
        <v>Pendente</v>
      </c>
      <c r="D825" s="13" t="s">
        <v>611</v>
      </c>
      <c r="E825" s="14" t="str">
        <f t="shared" si="465"/>
        <v/>
      </c>
      <c r="F825" s="13" t="s">
        <v>611</v>
      </c>
      <c r="G825" s="191">
        <v>202501023</v>
      </c>
      <c r="H825" s="191" t="s">
        <v>6768</v>
      </c>
      <c r="I825" s="191" t="s">
        <v>613</v>
      </c>
      <c r="J825" s="192">
        <v>45971</v>
      </c>
      <c r="K825" s="192">
        <v>46335</v>
      </c>
      <c r="L825" s="191" t="s">
        <v>632</v>
      </c>
      <c r="M825" s="191" t="s">
        <v>889</v>
      </c>
      <c r="N825" s="13" t="s">
        <v>890</v>
      </c>
      <c r="O825" s="17" t="s">
        <v>891</v>
      </c>
      <c r="P825" s="314" t="s">
        <v>375</v>
      </c>
      <c r="Q825" s="13" t="s">
        <v>618</v>
      </c>
      <c r="R825" s="246" t="str">
        <f>VLOOKUP(P825,'Dados das Regiões '!A:B,2,0)</f>
        <v>MARINGÁ</v>
      </c>
      <c r="S825" s="191" t="s">
        <v>6769</v>
      </c>
      <c r="U825" s="191"/>
      <c r="V825" s="191" t="s">
        <v>6770</v>
      </c>
      <c r="W825" s="191" t="s">
        <v>6771</v>
      </c>
      <c r="X825" s="195">
        <v>0.33333333333333331</v>
      </c>
      <c r="Y825" s="426" t="s">
        <v>648</v>
      </c>
      <c r="Z825" s="233" t="s">
        <v>622</v>
      </c>
    </row>
    <row r="826" spans="2:26">
      <c r="B826" s="13" t="str">
        <f t="shared" si="464"/>
        <v>Pendente</v>
      </c>
      <c r="D826" s="13" t="s">
        <v>611</v>
      </c>
      <c r="E826" s="14" t="str">
        <f t="shared" si="465"/>
        <v/>
      </c>
      <c r="F826" s="13" t="s">
        <v>611</v>
      </c>
      <c r="G826" s="191">
        <v>202501023</v>
      </c>
      <c r="H826" s="191" t="s">
        <v>6772</v>
      </c>
      <c r="I826" s="191" t="s">
        <v>613</v>
      </c>
      <c r="J826" s="192">
        <v>45971</v>
      </c>
      <c r="K826" s="192">
        <v>46335</v>
      </c>
      <c r="L826" s="191" t="s">
        <v>632</v>
      </c>
      <c r="M826" s="191" t="s">
        <v>633</v>
      </c>
      <c r="N826" s="13" t="s">
        <v>634</v>
      </c>
      <c r="O826" s="17" t="s">
        <v>635</v>
      </c>
      <c r="P826" s="314" t="s">
        <v>424</v>
      </c>
      <c r="Q826" s="13" t="s">
        <v>618</v>
      </c>
      <c r="R826" s="246" t="str">
        <f>VLOOKUP(P826,'Dados das Regiões '!A:B,2,0)</f>
        <v>PARANAVAÍ</v>
      </c>
      <c r="S826" s="191" t="s">
        <v>636</v>
      </c>
      <c r="U826" s="191" t="s">
        <v>637</v>
      </c>
      <c r="V826" s="191" t="s">
        <v>637</v>
      </c>
      <c r="W826" s="191" t="s">
        <v>638</v>
      </c>
      <c r="X826" s="195">
        <v>0.5625</v>
      </c>
      <c r="Y826" s="426" t="s">
        <v>680</v>
      </c>
      <c r="Z826" s="233" t="s">
        <v>622</v>
      </c>
    </row>
    <row r="827" spans="2:26">
      <c r="B827" s="13" t="str">
        <f t="shared" si="464"/>
        <v>Pendente</v>
      </c>
      <c r="D827" s="13" t="s">
        <v>611</v>
      </c>
      <c r="E827" s="14" t="str">
        <f t="shared" si="465"/>
        <v/>
      </c>
      <c r="F827" s="13" t="s">
        <v>611</v>
      </c>
      <c r="G827" s="191">
        <v>202500926</v>
      </c>
      <c r="H827" s="191" t="s">
        <v>6773</v>
      </c>
      <c r="I827" s="191" t="s">
        <v>1192</v>
      </c>
      <c r="J827" s="192">
        <v>45950</v>
      </c>
      <c r="K827" s="192">
        <v>46311</v>
      </c>
      <c r="L827" s="191" t="s">
        <v>6774</v>
      </c>
      <c r="M827" s="191" t="s">
        <v>6775</v>
      </c>
      <c r="N827" s="13" t="s">
        <v>6776</v>
      </c>
      <c r="O827" s="17" t="s">
        <v>6777</v>
      </c>
      <c r="P827" s="314" t="s">
        <v>472</v>
      </c>
      <c r="Q827" s="13" t="s">
        <v>618</v>
      </c>
      <c r="R827" s="246" t="str">
        <f>VLOOKUP(P827,'Dados das Regiões '!A:B,2,0)</f>
        <v>SÃO MATEUS DO SUL</v>
      </c>
      <c r="S827" s="191" t="s">
        <v>6778</v>
      </c>
      <c r="U827" s="191" t="s">
        <v>6779</v>
      </c>
      <c r="V827" s="191" t="s">
        <v>6779</v>
      </c>
      <c r="W827" s="191" t="s">
        <v>6780</v>
      </c>
      <c r="X827" s="195">
        <v>0.54166666666666663</v>
      </c>
      <c r="Y827" s="420">
        <v>0.625</v>
      </c>
      <c r="Z827" s="233" t="s">
        <v>622</v>
      </c>
    </row>
    <row r="828" spans="2:26">
      <c r="B828" s="13" t="str">
        <f t="shared" si="464"/>
        <v>Pendente</v>
      </c>
      <c r="D828" s="13" t="s">
        <v>611</v>
      </c>
      <c r="E828" s="14" t="str">
        <f t="shared" si="465"/>
        <v/>
      </c>
      <c r="F828" s="13" t="s">
        <v>611</v>
      </c>
      <c r="G828" s="191">
        <v>202500412</v>
      </c>
      <c r="H828" s="191" t="s">
        <v>6781</v>
      </c>
      <c r="I828" s="191" t="s">
        <v>613</v>
      </c>
      <c r="J828" s="192">
        <v>45971</v>
      </c>
      <c r="K828" s="192">
        <v>46335</v>
      </c>
      <c r="L828" s="191" t="s">
        <v>1417</v>
      </c>
      <c r="M828" s="191" t="s">
        <v>1567</v>
      </c>
      <c r="N828" s="13" t="s">
        <v>6782</v>
      </c>
      <c r="O828" s="17" t="s">
        <v>6783</v>
      </c>
      <c r="P828" s="314" t="s">
        <v>272</v>
      </c>
      <c r="Q828" s="13" t="s">
        <v>618</v>
      </c>
      <c r="R828" s="246" t="str">
        <f>VLOOKUP(P828,'Dados das Regiões '!A:B,2,0)</f>
        <v>FRANCISCO BELTRÃO</v>
      </c>
      <c r="S828" s="191" t="s">
        <v>1570</v>
      </c>
      <c r="U828" s="191" t="s">
        <v>1555</v>
      </c>
      <c r="V828" s="191" t="s">
        <v>1571</v>
      </c>
      <c r="W828" s="191" t="s">
        <v>1572</v>
      </c>
      <c r="X828" s="195">
        <v>0.5625</v>
      </c>
      <c r="Y828" s="426" t="s">
        <v>6784</v>
      </c>
      <c r="Z828" s="233" t="s">
        <v>622</v>
      </c>
    </row>
    <row r="829" spans="2:26">
      <c r="B829" s="13" t="str">
        <f t="shared" si="464"/>
        <v>Pendente</v>
      </c>
      <c r="D829" s="13" t="s">
        <v>611</v>
      </c>
      <c r="E829" s="14" t="str">
        <f t="shared" si="465"/>
        <v/>
      </c>
      <c r="F829" s="13" t="s">
        <v>611</v>
      </c>
      <c r="G829" s="191">
        <v>202500412</v>
      </c>
      <c r="H829" s="191" t="s">
        <v>6785</v>
      </c>
      <c r="I829" s="191" t="s">
        <v>613</v>
      </c>
      <c r="J829" s="192">
        <v>45971</v>
      </c>
      <c r="K829" s="192">
        <v>46335</v>
      </c>
      <c r="L829" s="191" t="s">
        <v>1417</v>
      </c>
      <c r="M829" s="191" t="s">
        <v>1559</v>
      </c>
      <c r="N829" s="13" t="s">
        <v>6786</v>
      </c>
      <c r="O829" s="17" t="s">
        <v>6787</v>
      </c>
      <c r="P829" s="314" t="s">
        <v>272</v>
      </c>
      <c r="Q829" s="13" t="s">
        <v>618</v>
      </c>
      <c r="R829" s="246" t="str">
        <f>VLOOKUP(P829,'Dados das Regiões '!A:B,2,0)</f>
        <v>FRANCISCO BELTRÃO</v>
      </c>
      <c r="S829" s="191" t="s">
        <v>6788</v>
      </c>
      <c r="U829" s="191" t="s">
        <v>1555</v>
      </c>
      <c r="V829" s="191" t="s">
        <v>1563</v>
      </c>
      <c r="W829" s="191" t="s">
        <v>1564</v>
      </c>
      <c r="X829" s="195">
        <v>0.5625</v>
      </c>
      <c r="Y829" s="426" t="s">
        <v>680</v>
      </c>
      <c r="Z829" s="233" t="s">
        <v>622</v>
      </c>
    </row>
    <row r="830" spans="2:26">
      <c r="B830" s="13" t="str">
        <f t="shared" si="464"/>
        <v>Pendente</v>
      </c>
      <c r="D830" s="13" t="s">
        <v>611</v>
      </c>
      <c r="E830" s="14" t="str">
        <f t="shared" si="465"/>
        <v/>
      </c>
      <c r="F830" s="13" t="s">
        <v>611</v>
      </c>
      <c r="G830" s="191">
        <v>202500925</v>
      </c>
      <c r="H830" s="191" t="s">
        <v>6789</v>
      </c>
      <c r="I830" s="191" t="s">
        <v>613</v>
      </c>
      <c r="J830" s="192">
        <v>45950</v>
      </c>
      <c r="K830" s="192">
        <v>46311</v>
      </c>
      <c r="L830" s="191" t="s">
        <v>6790</v>
      </c>
      <c r="M830" s="191" t="s">
        <v>6791</v>
      </c>
      <c r="N830" s="13" t="s">
        <v>6792</v>
      </c>
      <c r="O830" s="17" t="s">
        <v>6793</v>
      </c>
      <c r="P830" s="314" t="s">
        <v>140</v>
      </c>
      <c r="Q830" s="13" t="s">
        <v>618</v>
      </c>
      <c r="R830" s="246" t="str">
        <f>VLOOKUP(P830,'Dados das Regiões '!A:B,2,0)</f>
        <v>ARAPONGAS</v>
      </c>
      <c r="S830" s="191" t="s">
        <v>6794</v>
      </c>
      <c r="U830" s="191" t="s">
        <v>6795</v>
      </c>
      <c r="V830" s="191" t="s">
        <v>6796</v>
      </c>
      <c r="W830" s="191" t="s">
        <v>6797</v>
      </c>
      <c r="X830" s="195">
        <v>0.66666666666666663</v>
      </c>
      <c r="Y830" s="420">
        <v>0.58333333333333337</v>
      </c>
      <c r="Z830" s="233" t="s">
        <v>622</v>
      </c>
    </row>
    <row r="831" spans="2:26">
      <c r="B831" s="13" t="str">
        <f t="shared" si="464"/>
        <v>Pendente</v>
      </c>
      <c r="D831" s="13" t="s">
        <v>611</v>
      </c>
      <c r="E831" s="14" t="str">
        <f t="shared" si="465"/>
        <v/>
      </c>
      <c r="F831" s="13" t="s">
        <v>611</v>
      </c>
      <c r="G831" s="191">
        <v>202501023</v>
      </c>
      <c r="H831" s="191" t="s">
        <v>6798</v>
      </c>
      <c r="I831" s="191" t="s">
        <v>613</v>
      </c>
      <c r="J831" s="192">
        <v>45971</v>
      </c>
      <c r="K831" s="192">
        <v>46335</v>
      </c>
      <c r="L831" s="191" t="s">
        <v>632</v>
      </c>
      <c r="M831" s="191" t="s">
        <v>665</v>
      </c>
      <c r="N831" s="13" t="s">
        <v>666</v>
      </c>
      <c r="O831" s="17" t="s">
        <v>667</v>
      </c>
      <c r="P831" s="314" t="s">
        <v>140</v>
      </c>
      <c r="Q831" s="13" t="s">
        <v>618</v>
      </c>
      <c r="R831" s="246" t="str">
        <f>VLOOKUP(P831,'Dados das Regiões '!A:B,2,0)</f>
        <v>ARAPONGAS</v>
      </c>
      <c r="S831" s="191" t="s">
        <v>6799</v>
      </c>
      <c r="U831" s="191" t="s">
        <v>6800</v>
      </c>
      <c r="V831" s="191" t="s">
        <v>6801</v>
      </c>
      <c r="W831" s="191" t="s">
        <v>6802</v>
      </c>
      <c r="X831" s="195">
        <v>0.5625</v>
      </c>
      <c r="Y831" s="426" t="s">
        <v>680</v>
      </c>
      <c r="Z831" s="233" t="s">
        <v>622</v>
      </c>
    </row>
    <row r="832" spans="2:26">
      <c r="B832" s="13" t="str">
        <f t="shared" si="464"/>
        <v>Pendente</v>
      </c>
      <c r="D832" s="13" t="s">
        <v>611</v>
      </c>
      <c r="E832" s="14" t="str">
        <f t="shared" si="465"/>
        <v/>
      </c>
      <c r="F832" s="13" t="s">
        <v>611</v>
      </c>
      <c r="G832" s="191">
        <v>202500412</v>
      </c>
      <c r="H832" s="191" t="s">
        <v>6803</v>
      </c>
      <c r="I832" s="191" t="s">
        <v>613</v>
      </c>
      <c r="J832" s="192">
        <v>45971</v>
      </c>
      <c r="K832" s="192">
        <v>46335</v>
      </c>
      <c r="L832" s="191" t="s">
        <v>1417</v>
      </c>
      <c r="M832" s="191" t="s">
        <v>6804</v>
      </c>
      <c r="N832" s="13" t="s">
        <v>1419</v>
      </c>
      <c r="O832" s="17" t="s">
        <v>6805</v>
      </c>
      <c r="P832" s="314" t="s">
        <v>274</v>
      </c>
      <c r="Q832" s="13" t="s">
        <v>618</v>
      </c>
      <c r="R832" s="246" t="str">
        <f>VLOOKUP(P832,'Dados das Regiões '!A:B,2,0)</f>
        <v>FRANCISCO BELTRÃO</v>
      </c>
      <c r="S832" s="191" t="s">
        <v>6788</v>
      </c>
      <c r="U832" s="191" t="s">
        <v>1555</v>
      </c>
      <c r="V832" s="191" t="s">
        <v>1563</v>
      </c>
      <c r="W832" s="191" t="s">
        <v>6806</v>
      </c>
      <c r="X832" s="195">
        <v>0.5625</v>
      </c>
      <c r="Y832" s="426" t="s">
        <v>680</v>
      </c>
      <c r="Z832" s="233" t="s">
        <v>622</v>
      </c>
    </row>
    <row r="833" spans="2:26">
      <c r="B833" s="13" t="str">
        <f t="shared" si="464"/>
        <v>Pendente</v>
      </c>
      <c r="D833" s="13" t="s">
        <v>611</v>
      </c>
      <c r="E833" s="14" t="str">
        <f t="shared" si="465"/>
        <v/>
      </c>
      <c r="F833" s="13" t="s">
        <v>611</v>
      </c>
      <c r="G833" s="191">
        <v>202500412</v>
      </c>
      <c r="H833" s="191" t="s">
        <v>6807</v>
      </c>
      <c r="I833" s="191" t="s">
        <v>613</v>
      </c>
      <c r="J833" s="192">
        <v>45971</v>
      </c>
      <c r="K833" s="192">
        <v>46335</v>
      </c>
      <c r="L833" s="191" t="s">
        <v>1417</v>
      </c>
      <c r="M833" s="191" t="s">
        <v>1418</v>
      </c>
      <c r="N833" s="18" t="s">
        <v>1419</v>
      </c>
      <c r="O833" s="18" t="s">
        <v>1420</v>
      </c>
      <c r="P833" s="314" t="s">
        <v>274</v>
      </c>
      <c r="Q833" s="13" t="s">
        <v>618</v>
      </c>
      <c r="R833" s="246" t="str">
        <f>VLOOKUP(P833,'Dados das Regiões '!A:B,2,0)</f>
        <v>FRANCISCO BELTRÃO</v>
      </c>
      <c r="S833" s="191" t="s">
        <v>1421</v>
      </c>
      <c r="U833" s="191" t="s">
        <v>1555</v>
      </c>
      <c r="V833" s="191" t="s">
        <v>1422</v>
      </c>
      <c r="W833" s="191" t="s">
        <v>1423</v>
      </c>
      <c r="X833" s="195">
        <v>0.5625</v>
      </c>
      <c r="Y833" s="426" t="s">
        <v>680</v>
      </c>
      <c r="Z833" s="233" t="s">
        <v>622</v>
      </c>
    </row>
    <row r="834" spans="2:26">
      <c r="B834" s="13" t="str">
        <f t="shared" si="464"/>
        <v>Pendente</v>
      </c>
      <c r="D834" s="13" t="s">
        <v>611</v>
      </c>
      <c r="E834" s="14" t="str">
        <f t="shared" si="465"/>
        <v/>
      </c>
      <c r="F834" s="13" t="s">
        <v>611</v>
      </c>
      <c r="G834" s="191">
        <v>202501023</v>
      </c>
      <c r="H834" s="191" t="s">
        <v>6808</v>
      </c>
      <c r="I834" s="191" t="s">
        <v>613</v>
      </c>
      <c r="J834" s="192">
        <v>45971</v>
      </c>
      <c r="K834" s="192">
        <v>46335</v>
      </c>
      <c r="L834" s="191" t="s">
        <v>657</v>
      </c>
      <c r="M834" s="191" t="s">
        <v>6809</v>
      </c>
      <c r="N834" s="13" t="s">
        <v>6810</v>
      </c>
      <c r="O834" s="17" t="s">
        <v>6811</v>
      </c>
      <c r="P834" s="314" t="s">
        <v>296</v>
      </c>
      <c r="Q834" s="13" t="s">
        <v>618</v>
      </c>
      <c r="R834" s="246" t="str">
        <f>VLOOKUP(P834,'Dados das Regiões '!A:B,2,0)</f>
        <v>GUARAPUAVA</v>
      </c>
      <c r="S834" s="191" t="s">
        <v>6812</v>
      </c>
      <c r="U834" s="191" t="s">
        <v>6813</v>
      </c>
      <c r="V834" s="191" t="s">
        <v>6813</v>
      </c>
      <c r="W834" s="191" t="s">
        <v>6814</v>
      </c>
      <c r="X834" s="195">
        <v>0.5625</v>
      </c>
      <c r="Y834" s="426" t="s">
        <v>680</v>
      </c>
      <c r="Z834" s="233" t="s">
        <v>622</v>
      </c>
    </row>
    <row r="835" spans="2:26">
      <c r="B835" s="13" t="str">
        <f t="shared" si="464"/>
        <v>Pendente</v>
      </c>
      <c r="D835" s="13" t="s">
        <v>611</v>
      </c>
      <c r="E835" s="14" t="str">
        <f t="shared" si="465"/>
        <v/>
      </c>
      <c r="F835" s="13" t="s">
        <v>611</v>
      </c>
      <c r="G835" s="191">
        <v>202501023</v>
      </c>
      <c r="H835" s="191" t="s">
        <v>6815</v>
      </c>
      <c r="I835" s="191" t="s">
        <v>613</v>
      </c>
      <c r="J835" s="192">
        <v>45971</v>
      </c>
      <c r="K835" s="192">
        <v>46335</v>
      </c>
      <c r="L835" s="191" t="s">
        <v>632</v>
      </c>
      <c r="M835" s="191" t="s">
        <v>641</v>
      </c>
      <c r="N835" s="13" t="s">
        <v>642</v>
      </c>
      <c r="O835" s="17" t="s">
        <v>643</v>
      </c>
      <c r="P835" s="314" t="s">
        <v>350</v>
      </c>
      <c r="Q835" s="13" t="s">
        <v>618</v>
      </c>
      <c r="R835" s="246" t="str">
        <f>VLOOKUP(P835,'Dados das Regiões '!A:B,2,0)</f>
        <v>LONDRINA NORTE</v>
      </c>
      <c r="S835" s="191" t="s">
        <v>6816</v>
      </c>
      <c r="U835" s="191" t="s">
        <v>645</v>
      </c>
      <c r="V835" s="191" t="s">
        <v>6817</v>
      </c>
      <c r="W835" s="191" t="s">
        <v>6818</v>
      </c>
      <c r="X835" s="195">
        <v>0.33333333333333331</v>
      </c>
      <c r="Y835" s="426" t="s">
        <v>648</v>
      </c>
      <c r="Z835" s="233" t="s">
        <v>622</v>
      </c>
    </row>
    <row r="836" spans="2:26">
      <c r="B836" s="13" t="str">
        <f t="shared" si="464"/>
        <v>Pendente</v>
      </c>
      <c r="D836" s="13" t="s">
        <v>611</v>
      </c>
      <c r="E836" s="14" t="str">
        <f t="shared" si="465"/>
        <v/>
      </c>
      <c r="F836" s="13" t="s">
        <v>611</v>
      </c>
      <c r="G836" s="191">
        <v>202500412</v>
      </c>
      <c r="H836" s="191" t="s">
        <v>6819</v>
      </c>
      <c r="I836" s="191" t="s">
        <v>613</v>
      </c>
      <c r="J836" s="192">
        <v>45971</v>
      </c>
      <c r="K836" s="192">
        <v>46335</v>
      </c>
      <c r="L836" s="191" t="s">
        <v>1417</v>
      </c>
      <c r="M836" s="191" t="s">
        <v>6820</v>
      </c>
      <c r="N836" s="13" t="s">
        <v>6821</v>
      </c>
      <c r="O836" s="17" t="s">
        <v>6822</v>
      </c>
      <c r="P836" s="314" t="s">
        <v>275</v>
      </c>
      <c r="Q836" s="13" t="s">
        <v>618</v>
      </c>
      <c r="R836" s="246" t="str">
        <f>VLOOKUP(P836,'Dados das Regiões '!A:B,2,0)</f>
        <v>FRANCISCO BELTRÃO</v>
      </c>
      <c r="S836" s="191" t="s">
        <v>6823</v>
      </c>
      <c r="U836" s="191" t="s">
        <v>1555</v>
      </c>
      <c r="V836" s="191" t="s">
        <v>6824</v>
      </c>
      <c r="W836" s="191" t="s">
        <v>6825</v>
      </c>
      <c r="X836" s="195">
        <v>0.33333333333333331</v>
      </c>
      <c r="Y836" s="426" t="s">
        <v>648</v>
      </c>
      <c r="Z836" s="233" t="s">
        <v>622</v>
      </c>
    </row>
    <row r="837" spans="2:26">
      <c r="B837" s="13" t="str">
        <f t="shared" si="464"/>
        <v>Pendente</v>
      </c>
      <c r="D837" s="13" t="s">
        <v>611</v>
      </c>
      <c r="E837" s="14" t="str">
        <f t="shared" si="465"/>
        <v/>
      </c>
      <c r="F837" s="13" t="s">
        <v>611</v>
      </c>
      <c r="G837" s="191">
        <v>202500412</v>
      </c>
      <c r="H837" s="191" t="s">
        <v>6826</v>
      </c>
      <c r="I837" s="191" t="s">
        <v>613</v>
      </c>
      <c r="J837" s="192">
        <v>45971</v>
      </c>
      <c r="K837" s="192">
        <v>46335</v>
      </c>
      <c r="L837" s="191" t="s">
        <v>1417</v>
      </c>
      <c r="M837" s="191" t="s">
        <v>6827</v>
      </c>
      <c r="N837" s="13" t="s">
        <v>6821</v>
      </c>
      <c r="O837" s="17" t="s">
        <v>6822</v>
      </c>
      <c r="P837" s="314" t="s">
        <v>275</v>
      </c>
      <c r="Q837" s="13" t="s">
        <v>618</v>
      </c>
      <c r="R837" s="246" t="str">
        <f>VLOOKUP(P837,'Dados das Regiões '!A:B,2,0)</f>
        <v>FRANCISCO BELTRÃO</v>
      </c>
      <c r="S837" s="191" t="s">
        <v>6823</v>
      </c>
      <c r="U837" s="191" t="s">
        <v>1555</v>
      </c>
      <c r="V837" s="191" t="s">
        <v>6824</v>
      </c>
      <c r="W837" s="191" t="s">
        <v>6825</v>
      </c>
      <c r="X837" s="195">
        <v>0.5625</v>
      </c>
      <c r="Y837" s="426" t="s">
        <v>926</v>
      </c>
      <c r="Z837" s="233" t="s">
        <v>622</v>
      </c>
    </row>
    <row r="838" spans="2:26">
      <c r="B838" s="13" t="str">
        <f t="shared" si="464"/>
        <v>Pendente</v>
      </c>
      <c r="D838" s="13" t="s">
        <v>611</v>
      </c>
      <c r="E838" s="14" t="str">
        <f t="shared" si="465"/>
        <v/>
      </c>
      <c r="F838" s="13" t="s">
        <v>611</v>
      </c>
      <c r="G838" s="191">
        <v>202500926</v>
      </c>
      <c r="H838" s="191" t="s">
        <v>6828</v>
      </c>
      <c r="I838" s="191" t="s">
        <v>1192</v>
      </c>
      <c r="J838" s="192">
        <v>45950</v>
      </c>
      <c r="K838" s="192">
        <v>46311</v>
      </c>
      <c r="L838" s="191" t="s">
        <v>2176</v>
      </c>
      <c r="M838" s="191" t="s">
        <v>2314</v>
      </c>
      <c r="N838" s="13" t="s">
        <v>2315</v>
      </c>
      <c r="O838" s="13" t="s">
        <v>4378</v>
      </c>
      <c r="P838" s="314" t="s">
        <v>203</v>
      </c>
      <c r="Q838" s="13" t="s">
        <v>618</v>
      </c>
      <c r="R838" s="246" t="str">
        <f>VLOOKUP(P838,'Dados das Regiões '!A:B,2,0)</f>
        <v>CASCAVEL</v>
      </c>
      <c r="S838" s="191" t="s">
        <v>2317</v>
      </c>
      <c r="U838" s="191" t="s">
        <v>6829</v>
      </c>
      <c r="V838" s="191" t="s">
        <v>6829</v>
      </c>
      <c r="W838" s="191" t="s">
        <v>2320</v>
      </c>
      <c r="X838" s="195">
        <v>0.58333333333333337</v>
      </c>
      <c r="Y838" s="420">
        <v>0.66666666666666663</v>
      </c>
      <c r="Z838" s="233" t="s">
        <v>622</v>
      </c>
    </row>
    <row r="839" spans="2:26">
      <c r="B839" s="13" t="str">
        <f t="shared" si="464"/>
        <v>Pendente</v>
      </c>
      <c r="D839" s="13" t="s">
        <v>611</v>
      </c>
      <c r="E839" s="14" t="str">
        <f t="shared" si="465"/>
        <v/>
      </c>
      <c r="F839" s="13" t="s">
        <v>611</v>
      </c>
      <c r="G839" s="191">
        <v>202501023</v>
      </c>
      <c r="H839" s="191" t="s">
        <v>6830</v>
      </c>
      <c r="I839" s="191" t="s">
        <v>613</v>
      </c>
      <c r="J839" s="192">
        <v>45971</v>
      </c>
      <c r="K839" s="192">
        <v>46335</v>
      </c>
      <c r="L839" s="191" t="s">
        <v>657</v>
      </c>
      <c r="M839" s="191" t="s">
        <v>1018</v>
      </c>
      <c r="N839" s="13" t="s">
        <v>1019</v>
      </c>
      <c r="O839" s="17" t="s">
        <v>1020</v>
      </c>
      <c r="P839" s="314" t="s">
        <v>203</v>
      </c>
      <c r="Q839" s="13" t="s">
        <v>618</v>
      </c>
      <c r="R839" s="246" t="str">
        <f>VLOOKUP(P839,'Dados das Regiões '!A:B,2,0)</f>
        <v>CASCAVEL</v>
      </c>
      <c r="S839" s="191" t="s">
        <v>1021</v>
      </c>
      <c r="U839" s="191" t="s">
        <v>6442</v>
      </c>
      <c r="V839" s="191" t="s">
        <v>6442</v>
      </c>
      <c r="W839" s="191" t="s">
        <v>1023</v>
      </c>
      <c r="X839" s="195">
        <v>0.5625</v>
      </c>
      <c r="Y839" s="426" t="s">
        <v>680</v>
      </c>
      <c r="Z839" s="233" t="s">
        <v>622</v>
      </c>
    </row>
    <row r="840" spans="2:26">
      <c r="B840" s="13" t="str">
        <f t="shared" si="464"/>
        <v>Pendente</v>
      </c>
      <c r="D840" s="13" t="s">
        <v>611</v>
      </c>
      <c r="E840" s="14" t="str">
        <f t="shared" si="465"/>
        <v/>
      </c>
      <c r="F840" s="13" t="s">
        <v>611</v>
      </c>
      <c r="G840" s="191">
        <v>202501023</v>
      </c>
      <c r="H840" s="191" t="s">
        <v>6831</v>
      </c>
      <c r="I840" s="191" t="s">
        <v>613</v>
      </c>
      <c r="J840" s="192">
        <v>45971</v>
      </c>
      <c r="K840" s="192">
        <v>46335</v>
      </c>
      <c r="L840" s="191" t="s">
        <v>632</v>
      </c>
      <c r="M840" s="191" t="s">
        <v>928</v>
      </c>
      <c r="N840" s="13" t="s">
        <v>929</v>
      </c>
      <c r="O840" s="17" t="s">
        <v>930</v>
      </c>
      <c r="P840" s="314" t="s">
        <v>400</v>
      </c>
      <c r="Q840" s="13" t="s">
        <v>618</v>
      </c>
      <c r="R840" s="246" t="str">
        <f>VLOOKUP(P840,'Dados das Regiões '!A:B,2,0)</f>
        <v>NOVA LONDRINA</v>
      </c>
      <c r="S840" s="191" t="s">
        <v>931</v>
      </c>
      <c r="U840" s="191" t="s">
        <v>933</v>
      </c>
      <c r="V840" s="191" t="s">
        <v>933</v>
      </c>
      <c r="W840" s="191" t="s">
        <v>934</v>
      </c>
      <c r="X840" s="195">
        <v>0.33333333333333331</v>
      </c>
      <c r="Y840" s="426" t="s">
        <v>648</v>
      </c>
      <c r="Z840" s="233" t="s">
        <v>622</v>
      </c>
    </row>
    <row r="841" spans="2:26">
      <c r="B841" s="13" t="str">
        <f t="shared" si="464"/>
        <v>Pendente</v>
      </c>
      <c r="D841" s="13" t="s">
        <v>611</v>
      </c>
      <c r="E841" s="14" t="str">
        <f t="shared" si="465"/>
        <v/>
      </c>
      <c r="F841" s="13" t="s">
        <v>611</v>
      </c>
      <c r="G841" s="191">
        <v>202500412</v>
      </c>
      <c r="H841" s="191" t="s">
        <v>6832</v>
      </c>
      <c r="I841" s="191" t="s">
        <v>613</v>
      </c>
      <c r="J841" s="192">
        <v>45971</v>
      </c>
      <c r="K841" s="192">
        <v>46335</v>
      </c>
      <c r="L841" s="191" t="s">
        <v>672</v>
      </c>
      <c r="M841" s="191" t="s">
        <v>772</v>
      </c>
      <c r="N841" s="13" t="s">
        <v>765</v>
      </c>
      <c r="O841" s="13" t="s">
        <v>766</v>
      </c>
      <c r="P841" s="314" t="s">
        <v>172</v>
      </c>
      <c r="Q841" s="13" t="s">
        <v>618</v>
      </c>
      <c r="R841" s="246" t="str">
        <f>VLOOKUP(P841,'Dados das Regiões '!A:B,2,0)</f>
        <v>CAMPO MOURÃO</v>
      </c>
      <c r="S841" s="191" t="s">
        <v>773</v>
      </c>
      <c r="U841" s="191" t="s">
        <v>6833</v>
      </c>
      <c r="V841" s="191" t="s">
        <v>774</v>
      </c>
      <c r="W841" s="191" t="s">
        <v>775</v>
      </c>
      <c r="X841" s="195">
        <v>0.5625</v>
      </c>
      <c r="Y841" s="426" t="s">
        <v>680</v>
      </c>
      <c r="Z841" s="233" t="s">
        <v>622</v>
      </c>
    </row>
    <row r="842" spans="2:26">
      <c r="B842" s="13" t="str">
        <f t="shared" si="464"/>
        <v>Pendente</v>
      </c>
      <c r="D842" s="13" t="s">
        <v>611</v>
      </c>
      <c r="E842" s="14" t="str">
        <f t="shared" si="465"/>
        <v/>
      </c>
      <c r="F842" s="13" t="s">
        <v>611</v>
      </c>
      <c r="G842" s="191">
        <v>202500412</v>
      </c>
      <c r="H842" s="191" t="s">
        <v>6834</v>
      </c>
      <c r="I842" s="191" t="s">
        <v>613</v>
      </c>
      <c r="J842" s="192">
        <v>45971</v>
      </c>
      <c r="K842" s="192">
        <v>46335</v>
      </c>
      <c r="L842" s="191" t="s">
        <v>672</v>
      </c>
      <c r="M842" s="191" t="s">
        <v>772</v>
      </c>
      <c r="N842" s="13" t="s">
        <v>765</v>
      </c>
      <c r="O842" s="13" t="s">
        <v>766</v>
      </c>
      <c r="P842" s="314" t="s">
        <v>172</v>
      </c>
      <c r="Q842" s="13" t="s">
        <v>618</v>
      </c>
      <c r="R842" s="246" t="str">
        <f>VLOOKUP(P842,'Dados das Regiões '!A:B,2,0)</f>
        <v>CAMPO MOURÃO</v>
      </c>
      <c r="S842" s="191" t="s">
        <v>773</v>
      </c>
      <c r="U842" s="191" t="s">
        <v>6833</v>
      </c>
      <c r="V842" s="191" t="s">
        <v>774</v>
      </c>
      <c r="W842" s="191" t="s">
        <v>775</v>
      </c>
      <c r="X842" s="195">
        <v>0.5625</v>
      </c>
      <c r="Y842" s="426" t="s">
        <v>680</v>
      </c>
      <c r="Z842" s="233" t="s">
        <v>622</v>
      </c>
    </row>
    <row r="843" spans="2:26">
      <c r="B843" s="13" t="str">
        <f t="shared" si="464"/>
        <v>Pendente</v>
      </c>
      <c r="D843" s="13" t="s">
        <v>611</v>
      </c>
      <c r="E843" s="14" t="str">
        <f t="shared" si="465"/>
        <v/>
      </c>
      <c r="F843" s="13" t="s">
        <v>611</v>
      </c>
      <c r="G843" s="191">
        <v>202501023</v>
      </c>
      <c r="H843" s="191" t="s">
        <v>6835</v>
      </c>
      <c r="I843" s="191" t="s">
        <v>613</v>
      </c>
      <c r="J843" s="192">
        <v>45971</v>
      </c>
      <c r="K843" s="192">
        <v>46335</v>
      </c>
      <c r="L843" s="191" t="s">
        <v>632</v>
      </c>
      <c r="M843" s="191" t="s">
        <v>1168</v>
      </c>
      <c r="N843" s="33" t="s">
        <v>1169</v>
      </c>
      <c r="O843" s="17" t="s">
        <v>1170</v>
      </c>
      <c r="P843" s="314" t="s">
        <v>226</v>
      </c>
      <c r="Q843" s="13" t="s">
        <v>618</v>
      </c>
      <c r="R843" s="246" t="str">
        <f>VLOOKUP(P843,'Dados das Regiões '!A:B,2,0)</f>
        <v>CORNÉLIO PROCÓPIO</v>
      </c>
      <c r="S843" s="191" t="s">
        <v>1171</v>
      </c>
      <c r="U843" s="191" t="s">
        <v>1172</v>
      </c>
      <c r="V843" s="191" t="s">
        <v>6836</v>
      </c>
      <c r="W843" s="191" t="s">
        <v>1174</v>
      </c>
      <c r="X843" s="195">
        <v>0.33333333333333331</v>
      </c>
      <c r="Y843" s="426" t="s">
        <v>648</v>
      </c>
      <c r="Z843" s="233" t="s">
        <v>622</v>
      </c>
    </row>
    <row r="844" spans="2:26">
      <c r="B844" s="13" t="str">
        <f t="shared" si="464"/>
        <v>Pendente</v>
      </c>
      <c r="D844" s="13" t="s">
        <v>611</v>
      </c>
      <c r="E844" s="14" t="str">
        <f t="shared" si="465"/>
        <v/>
      </c>
      <c r="F844" s="13" t="s">
        <v>611</v>
      </c>
      <c r="G844" s="191">
        <v>202500925</v>
      </c>
      <c r="H844" s="191" t="s">
        <v>6837</v>
      </c>
      <c r="I844" s="191" t="s">
        <v>613</v>
      </c>
      <c r="J844" s="192">
        <v>45950</v>
      </c>
      <c r="K844" s="192">
        <v>46311</v>
      </c>
      <c r="L844" s="191" t="s">
        <v>6838</v>
      </c>
      <c r="M844" s="191" t="s">
        <v>6839</v>
      </c>
      <c r="N844" s="13" t="s">
        <v>6840</v>
      </c>
      <c r="O844" s="17" t="s">
        <v>6841</v>
      </c>
      <c r="P844" s="314" t="s">
        <v>276</v>
      </c>
      <c r="Q844" s="13" t="s">
        <v>618</v>
      </c>
      <c r="R844" s="246" t="str">
        <f>VLOOKUP(P844,'Dados das Regiões '!A:B,2,0)</f>
        <v>FRANCISCO BELTRÃO</v>
      </c>
      <c r="S844" s="191" t="s">
        <v>6842</v>
      </c>
      <c r="U844" s="191" t="s">
        <v>6843</v>
      </c>
      <c r="V844" s="191" t="s">
        <v>6843</v>
      </c>
      <c r="W844" s="191" t="s">
        <v>6844</v>
      </c>
      <c r="X844" s="195">
        <v>0.64583333333333337</v>
      </c>
      <c r="Y844" s="420">
        <v>0.5625</v>
      </c>
      <c r="Z844" s="233" t="s">
        <v>622</v>
      </c>
    </row>
    <row r="845" spans="2:26">
      <c r="B845" s="13" t="str">
        <f t="shared" si="464"/>
        <v>Pendente</v>
      </c>
      <c r="D845" s="13" t="s">
        <v>611</v>
      </c>
      <c r="E845" s="14" t="str">
        <f t="shared" si="465"/>
        <v/>
      </c>
      <c r="F845" s="13" t="s">
        <v>611</v>
      </c>
      <c r="G845" s="191">
        <v>202500925</v>
      </c>
      <c r="H845" s="191" t="s">
        <v>6845</v>
      </c>
      <c r="I845" s="191" t="s">
        <v>613</v>
      </c>
      <c r="J845" s="192">
        <v>45950</v>
      </c>
      <c r="K845" s="192">
        <v>46311</v>
      </c>
      <c r="L845" s="191" t="s">
        <v>6846</v>
      </c>
      <c r="M845" s="191" t="s">
        <v>6847</v>
      </c>
      <c r="N845" s="13" t="s">
        <v>6848</v>
      </c>
      <c r="O845" s="17" t="s">
        <v>6849</v>
      </c>
      <c r="P845" s="314" t="s">
        <v>277</v>
      </c>
      <c r="Q845" s="13" t="s">
        <v>618</v>
      </c>
      <c r="R845" s="246" t="str">
        <f>VLOOKUP(P845,'Dados das Regiões '!A:B,2,0)</f>
        <v>FRANCISCO BELTRÃO</v>
      </c>
      <c r="S845" s="191" t="s">
        <v>6850</v>
      </c>
      <c r="U845" s="191" t="s">
        <v>6851</v>
      </c>
      <c r="V845" s="191" t="s">
        <v>6851</v>
      </c>
      <c r="W845" s="191" t="s">
        <v>6852</v>
      </c>
      <c r="X845" s="195">
        <v>0.55208333333333337</v>
      </c>
      <c r="Y845" s="420">
        <v>0.63541666666666663</v>
      </c>
      <c r="Z845" s="233" t="s">
        <v>622</v>
      </c>
    </row>
    <row r="846" spans="2:26">
      <c r="B846" s="13" t="str">
        <f t="shared" si="464"/>
        <v>Pendente</v>
      </c>
      <c r="D846" s="13" t="s">
        <v>611</v>
      </c>
      <c r="E846" s="14" t="str">
        <f t="shared" si="465"/>
        <v/>
      </c>
      <c r="F846" s="13" t="s">
        <v>611</v>
      </c>
      <c r="G846" s="191">
        <v>202501023</v>
      </c>
      <c r="H846" s="191" t="s">
        <v>6853</v>
      </c>
      <c r="I846" s="191" t="s">
        <v>613</v>
      </c>
      <c r="J846" s="192">
        <v>45971</v>
      </c>
      <c r="K846" s="192">
        <v>46335</v>
      </c>
      <c r="L846" s="191" t="s">
        <v>657</v>
      </c>
      <c r="M846" s="191" t="s">
        <v>904</v>
      </c>
      <c r="N846" s="13" t="s">
        <v>905</v>
      </c>
      <c r="O846" s="17" t="s">
        <v>906</v>
      </c>
      <c r="P846" s="314" t="s">
        <v>298</v>
      </c>
      <c r="Q846" s="13" t="s">
        <v>618</v>
      </c>
      <c r="R846" s="246" t="str">
        <f>VLOOKUP(P846,'Dados das Regiões '!A:B,2,0)</f>
        <v>GUARAPUAVA</v>
      </c>
      <c r="S846" s="191" t="s">
        <v>907</v>
      </c>
      <c r="U846" s="191" t="s">
        <v>908</v>
      </c>
      <c r="V846" s="191" t="s">
        <v>908</v>
      </c>
      <c r="W846" s="191" t="s">
        <v>909</v>
      </c>
      <c r="X846" s="195">
        <v>0.64583333333333337</v>
      </c>
      <c r="Y846" s="426" t="s">
        <v>6854</v>
      </c>
      <c r="Z846" s="233" t="s">
        <v>622</v>
      </c>
    </row>
    <row r="847" spans="2:26">
      <c r="B847" s="13" t="str">
        <f t="shared" si="464"/>
        <v>Pendente</v>
      </c>
      <c r="D847" s="13" t="s">
        <v>611</v>
      </c>
      <c r="E847" s="14" t="str">
        <f t="shared" si="465"/>
        <v/>
      </c>
      <c r="F847" s="13" t="s">
        <v>611</v>
      </c>
      <c r="G847" s="191">
        <v>202501023</v>
      </c>
      <c r="H847" s="191" t="s">
        <v>6855</v>
      </c>
      <c r="I847" s="191" t="s">
        <v>613</v>
      </c>
      <c r="J847" s="192">
        <v>45971</v>
      </c>
      <c r="K847" s="192">
        <v>46335</v>
      </c>
      <c r="L847" s="191" t="s">
        <v>657</v>
      </c>
      <c r="M847" s="191" t="s">
        <v>904</v>
      </c>
      <c r="N847" s="13" t="s">
        <v>905</v>
      </c>
      <c r="O847" s="17" t="s">
        <v>906</v>
      </c>
      <c r="P847" s="314" t="s">
        <v>298</v>
      </c>
      <c r="Q847" s="13" t="s">
        <v>618</v>
      </c>
      <c r="R847" s="246" t="str">
        <f>VLOOKUP(P847,'Dados das Regiões '!A:B,2,0)</f>
        <v>GUARAPUAVA</v>
      </c>
      <c r="S847" s="191" t="s">
        <v>907</v>
      </c>
      <c r="U847" s="191"/>
      <c r="V847" s="191" t="s">
        <v>908</v>
      </c>
      <c r="W847" s="191" t="s">
        <v>909</v>
      </c>
      <c r="X847" s="195">
        <v>0.5625</v>
      </c>
      <c r="Y847" s="426" t="s">
        <v>784</v>
      </c>
      <c r="Z847" s="233" t="s">
        <v>622</v>
      </c>
    </row>
    <row r="848" spans="2:26">
      <c r="B848" s="13" t="str">
        <f t="shared" si="464"/>
        <v>Pendente</v>
      </c>
      <c r="D848" s="13" t="s">
        <v>611</v>
      </c>
      <c r="E848" s="14" t="str">
        <f t="shared" si="465"/>
        <v/>
      </c>
      <c r="F848" s="13" t="s">
        <v>611</v>
      </c>
      <c r="G848" s="191">
        <v>202501023</v>
      </c>
      <c r="H848" s="191" t="s">
        <v>6856</v>
      </c>
      <c r="I848" s="191" t="s">
        <v>613</v>
      </c>
      <c r="J848" s="192">
        <v>45971</v>
      </c>
      <c r="K848" s="192">
        <v>46335</v>
      </c>
      <c r="L848" s="191" t="s">
        <v>657</v>
      </c>
      <c r="M848" s="191" t="s">
        <v>1154</v>
      </c>
      <c r="N848" s="13" t="s">
        <v>1155</v>
      </c>
      <c r="O848" s="17" t="s">
        <v>1156</v>
      </c>
      <c r="P848" s="314" t="s">
        <v>279</v>
      </c>
      <c r="Q848" s="13" t="s">
        <v>618</v>
      </c>
      <c r="R848" s="246" t="str">
        <f>VLOOKUP(P848,'Dados das Regiões '!A:B,2,0)</f>
        <v>FRANCISCO BELTRÃO</v>
      </c>
      <c r="S848" s="191" t="s">
        <v>1157</v>
      </c>
      <c r="U848" s="191" t="s">
        <v>6857</v>
      </c>
      <c r="V848" s="191" t="s">
        <v>6857</v>
      </c>
      <c r="W848" s="191" t="s">
        <v>1159</v>
      </c>
      <c r="X848" s="195">
        <v>0.3125</v>
      </c>
      <c r="Y848" s="426" t="s">
        <v>796</v>
      </c>
      <c r="Z848" s="233" t="s">
        <v>622</v>
      </c>
    </row>
    <row r="849" spans="2:26">
      <c r="B849" s="13" t="str">
        <f t="shared" si="464"/>
        <v>Pendente</v>
      </c>
      <c r="D849" s="13" t="s">
        <v>611</v>
      </c>
      <c r="E849" s="14" t="str">
        <f t="shared" si="465"/>
        <v/>
      </c>
      <c r="F849" s="13" t="s">
        <v>611</v>
      </c>
      <c r="G849" s="191">
        <v>202501023</v>
      </c>
      <c r="H849" s="191" t="s">
        <v>6858</v>
      </c>
      <c r="I849" s="191" t="s">
        <v>613</v>
      </c>
      <c r="J849" s="192">
        <v>45971</v>
      </c>
      <c r="K849" s="192">
        <v>46335</v>
      </c>
      <c r="L849" s="191" t="s">
        <v>657</v>
      </c>
      <c r="M849" s="191" t="s">
        <v>821</v>
      </c>
      <c r="N849" s="13" t="s">
        <v>822</v>
      </c>
      <c r="O849" s="17" t="s">
        <v>823</v>
      </c>
      <c r="P849" s="314" t="s">
        <v>279</v>
      </c>
      <c r="Q849" s="13" t="s">
        <v>618</v>
      </c>
      <c r="R849" s="246" t="str">
        <f>VLOOKUP(P849,'Dados das Regiões '!A:B,2,0)</f>
        <v>FRANCISCO BELTRÃO</v>
      </c>
      <c r="S849" s="191" t="s">
        <v>824</v>
      </c>
      <c r="U849" s="191"/>
      <c r="V849" s="191" t="s">
        <v>825</v>
      </c>
      <c r="W849" s="191" t="s">
        <v>826</v>
      </c>
      <c r="X849" s="195">
        <v>0.5625</v>
      </c>
      <c r="Y849" s="426" t="s">
        <v>680</v>
      </c>
      <c r="Z849" s="233" t="s">
        <v>622</v>
      </c>
    </row>
    <row r="850" spans="2:26">
      <c r="B850" s="13" t="str">
        <f t="shared" si="464"/>
        <v>Pendente</v>
      </c>
      <c r="D850" s="13" t="s">
        <v>611</v>
      </c>
      <c r="E850" s="14" t="str">
        <f t="shared" si="465"/>
        <v/>
      </c>
      <c r="F850" s="13" t="s">
        <v>611</v>
      </c>
      <c r="G850" s="191">
        <v>202500925</v>
      </c>
      <c r="H850" s="191" t="s">
        <v>6859</v>
      </c>
      <c r="I850" s="191" t="s">
        <v>613</v>
      </c>
      <c r="J850" s="192">
        <v>45950</v>
      </c>
      <c r="K850" s="192">
        <v>46311</v>
      </c>
      <c r="L850" s="191" t="s">
        <v>4193</v>
      </c>
      <c r="M850" s="191" t="s">
        <v>6860</v>
      </c>
      <c r="N850" s="13" t="s">
        <v>6861</v>
      </c>
      <c r="O850" s="17" t="s">
        <v>6862</v>
      </c>
      <c r="P850" s="314" t="s">
        <v>280</v>
      </c>
      <c r="Q850" s="13" t="s">
        <v>618</v>
      </c>
      <c r="R850" s="246" t="str">
        <f>VLOOKUP(P850,'Dados das Regiões '!A:B,2,0)</f>
        <v>FRANCISCO BELTRÃO</v>
      </c>
      <c r="S850" s="191" t="s">
        <v>6863</v>
      </c>
      <c r="U850" s="191" t="s">
        <v>6864</v>
      </c>
      <c r="V850" s="191" t="s">
        <v>6865</v>
      </c>
      <c r="W850" s="191" t="s">
        <v>6866</v>
      </c>
      <c r="X850" s="195">
        <v>0.33333333333333331</v>
      </c>
      <c r="Y850" s="420">
        <v>0.41666666666666669</v>
      </c>
      <c r="Z850" s="233" t="s">
        <v>622</v>
      </c>
    </row>
    <row r="851" spans="2:26">
      <c r="B851" s="13" t="str">
        <f t="shared" si="464"/>
        <v>Pendente</v>
      </c>
      <c r="D851" s="13" t="s">
        <v>611</v>
      </c>
      <c r="E851" s="14" t="str">
        <f t="shared" si="465"/>
        <v/>
      </c>
      <c r="F851" s="13" t="s">
        <v>611</v>
      </c>
      <c r="G851" s="191">
        <v>202500925</v>
      </c>
      <c r="H851" s="191" t="s">
        <v>6867</v>
      </c>
      <c r="I851" s="191" t="s">
        <v>613</v>
      </c>
      <c r="J851" s="192">
        <v>45950</v>
      </c>
      <c r="K851" s="192">
        <v>46311</v>
      </c>
      <c r="L851" s="191" t="s">
        <v>4193</v>
      </c>
      <c r="M851" s="191" t="s">
        <v>6868</v>
      </c>
      <c r="N851" s="13" t="s">
        <v>6869</v>
      </c>
      <c r="O851" s="17" t="s">
        <v>6870</v>
      </c>
      <c r="P851" s="314" t="s">
        <v>281</v>
      </c>
      <c r="Q851" s="13" t="s">
        <v>618</v>
      </c>
      <c r="R851" s="246" t="str">
        <f>VLOOKUP(P851,'Dados das Regiões '!A:B,2,0)</f>
        <v>FRANCISCO BELTRÃO</v>
      </c>
      <c r="S851" s="191" t="s">
        <v>6871</v>
      </c>
      <c r="U851" s="191" t="s">
        <v>6872</v>
      </c>
      <c r="V851" s="191" t="s">
        <v>6873</v>
      </c>
      <c r="W851" s="191" t="s">
        <v>6874</v>
      </c>
      <c r="X851" s="195">
        <v>0.5625</v>
      </c>
      <c r="Y851" s="420">
        <v>0.64583333333333337</v>
      </c>
      <c r="Z851" s="233" t="s">
        <v>622</v>
      </c>
    </row>
    <row r="852" spans="2:26">
      <c r="B852" s="13" t="str">
        <f t="shared" si="464"/>
        <v>Pendente</v>
      </c>
      <c r="D852" s="13" t="s">
        <v>611</v>
      </c>
      <c r="E852" s="14" t="str">
        <f t="shared" si="465"/>
        <v/>
      </c>
      <c r="F852" s="13" t="s">
        <v>611</v>
      </c>
      <c r="G852" s="191">
        <v>202500925</v>
      </c>
      <c r="H852" s="191" t="s">
        <v>6875</v>
      </c>
      <c r="I852" s="191" t="s">
        <v>613</v>
      </c>
      <c r="J852" s="192">
        <v>45950</v>
      </c>
      <c r="K852" s="192">
        <v>46311</v>
      </c>
      <c r="L852" s="191" t="s">
        <v>6876</v>
      </c>
      <c r="M852" s="191" t="s">
        <v>6877</v>
      </c>
      <c r="N852" s="13" t="s">
        <v>6878</v>
      </c>
      <c r="O852" s="13" t="s">
        <v>6878</v>
      </c>
      <c r="P852" s="314" t="s">
        <v>281</v>
      </c>
      <c r="Q852" s="13" t="s">
        <v>618</v>
      </c>
      <c r="R852" s="246" t="str">
        <f>VLOOKUP(P852,'Dados das Regiões '!A:B,2,0)</f>
        <v>FRANCISCO BELTRÃO</v>
      </c>
      <c r="S852" s="191" t="s">
        <v>6879</v>
      </c>
      <c r="U852" s="191" t="s">
        <v>6880</v>
      </c>
      <c r="V852" s="191" t="s">
        <v>6881</v>
      </c>
      <c r="W852" s="191" t="s">
        <v>6882</v>
      </c>
      <c r="X852" s="195">
        <v>0.5625</v>
      </c>
      <c r="Y852" s="420">
        <v>0.64583333333333337</v>
      </c>
      <c r="Z852" s="233" t="s">
        <v>622</v>
      </c>
    </row>
    <row r="853" spans="2:26">
      <c r="B853" s="13" t="str">
        <f t="shared" si="464"/>
        <v>Pendente</v>
      </c>
      <c r="D853" s="13" t="s">
        <v>611</v>
      </c>
      <c r="E853" s="14" t="str">
        <f t="shared" si="465"/>
        <v/>
      </c>
      <c r="F853" s="13" t="s">
        <v>611</v>
      </c>
      <c r="G853" s="191">
        <v>202500925</v>
      </c>
      <c r="H853" s="191" t="s">
        <v>6883</v>
      </c>
      <c r="I853" s="191" t="s">
        <v>613</v>
      </c>
      <c r="J853" s="192">
        <v>45950</v>
      </c>
      <c r="K853" s="192">
        <v>46311</v>
      </c>
      <c r="L853" s="191" t="s">
        <v>6876</v>
      </c>
      <c r="M853" s="191" t="s">
        <v>6877</v>
      </c>
      <c r="N853" s="13" t="s">
        <v>6878</v>
      </c>
      <c r="O853" s="13" t="s">
        <v>6878</v>
      </c>
      <c r="P853" s="314" t="s">
        <v>281</v>
      </c>
      <c r="Q853" s="13" t="s">
        <v>618</v>
      </c>
      <c r="R853" s="246" t="str">
        <f>VLOOKUP(P853,'Dados das Regiões '!A:B,2,0)</f>
        <v>FRANCISCO BELTRÃO</v>
      </c>
      <c r="S853" s="191" t="s">
        <v>6884</v>
      </c>
      <c r="U853" s="191" t="s">
        <v>6880</v>
      </c>
      <c r="V853" s="191" t="s">
        <v>6881</v>
      </c>
      <c r="W853" s="191" t="s">
        <v>6882</v>
      </c>
      <c r="X853" s="195">
        <v>0.33333333333333331</v>
      </c>
      <c r="Y853" s="420">
        <v>0.41666666666666669</v>
      </c>
      <c r="Z853" s="233" t="s">
        <v>622</v>
      </c>
    </row>
    <row r="854" spans="2:26">
      <c r="B854" s="13" t="str">
        <f t="shared" si="464"/>
        <v>Pendente</v>
      </c>
      <c r="D854" s="13" t="s">
        <v>611</v>
      </c>
      <c r="E854" s="14" t="str">
        <f t="shared" si="465"/>
        <v/>
      </c>
      <c r="F854" s="13" t="s">
        <v>611</v>
      </c>
      <c r="G854" s="191">
        <v>202500412</v>
      </c>
      <c r="H854" s="191" t="s">
        <v>6885</v>
      </c>
      <c r="I854" s="191" t="s">
        <v>613</v>
      </c>
      <c r="J854" s="192">
        <v>45971</v>
      </c>
      <c r="K854" s="192">
        <v>46335</v>
      </c>
      <c r="L854" s="191" t="s">
        <v>1417</v>
      </c>
      <c r="M854" s="191" t="s">
        <v>6886</v>
      </c>
      <c r="N854" s="13" t="s">
        <v>4634</v>
      </c>
      <c r="O854" s="17" t="s">
        <v>6887</v>
      </c>
      <c r="P854" s="314" t="s">
        <v>281</v>
      </c>
      <c r="Q854" s="13" t="s">
        <v>618</v>
      </c>
      <c r="R854" s="246" t="str">
        <f>VLOOKUP(P854,'Dados das Regiões '!A:B,2,0)</f>
        <v>FRANCISCO BELTRÃO</v>
      </c>
      <c r="S854" s="191" t="s">
        <v>6888</v>
      </c>
      <c r="U854" s="191" t="s">
        <v>1555</v>
      </c>
      <c r="V854" s="191" t="s">
        <v>6889</v>
      </c>
      <c r="W854" s="191" t="s">
        <v>6890</v>
      </c>
      <c r="X854" s="195">
        <v>0.5625</v>
      </c>
      <c r="Y854" s="426" t="s">
        <v>680</v>
      </c>
      <c r="Z854" s="233" t="s">
        <v>622</v>
      </c>
    </row>
    <row r="855" spans="2:26">
      <c r="B855" s="13" t="str">
        <f t="shared" si="464"/>
        <v>Pendente</v>
      </c>
      <c r="D855" s="13" t="s">
        <v>611</v>
      </c>
      <c r="E855" s="14" t="str">
        <f t="shared" si="465"/>
        <v/>
      </c>
      <c r="F855" s="13" t="s">
        <v>611</v>
      </c>
      <c r="G855" s="191">
        <v>202500412</v>
      </c>
      <c r="H855" s="191" t="s">
        <v>6891</v>
      </c>
      <c r="I855" s="191" t="s">
        <v>613</v>
      </c>
      <c r="J855" s="192">
        <v>45971</v>
      </c>
      <c r="K855" s="192">
        <v>46335</v>
      </c>
      <c r="L855" s="191" t="s">
        <v>1417</v>
      </c>
      <c r="M855" s="191" t="s">
        <v>1551</v>
      </c>
      <c r="N855" s="13" t="s">
        <v>1552</v>
      </c>
      <c r="O855" s="17" t="s">
        <v>6892</v>
      </c>
      <c r="P855" s="314" t="s">
        <v>281</v>
      </c>
      <c r="Q855" s="13" t="s">
        <v>618</v>
      </c>
      <c r="R855" s="246" t="str">
        <f>VLOOKUP(P855,'Dados das Regiões '!A:B,2,0)</f>
        <v>FRANCISCO BELTRÃO</v>
      </c>
      <c r="S855" s="191" t="s">
        <v>1554</v>
      </c>
      <c r="U855" s="191" t="s">
        <v>1555</v>
      </c>
      <c r="V855" s="191" t="s">
        <v>1556</v>
      </c>
      <c r="W855" s="191" t="s">
        <v>3632</v>
      </c>
      <c r="X855" s="195">
        <v>0.5625</v>
      </c>
      <c r="Y855" s="426" t="s">
        <v>680</v>
      </c>
      <c r="Z855" s="233" t="s">
        <v>622</v>
      </c>
    </row>
    <row r="856" spans="2:26">
      <c r="B856" s="13" t="str">
        <f t="shared" si="464"/>
        <v>Pendente</v>
      </c>
      <c r="D856" s="13" t="s">
        <v>611</v>
      </c>
      <c r="E856" s="14" t="str">
        <f t="shared" si="465"/>
        <v/>
      </c>
      <c r="F856" s="13" t="s">
        <v>611</v>
      </c>
      <c r="G856" s="191">
        <v>202500925</v>
      </c>
      <c r="H856" s="191" t="s">
        <v>6893</v>
      </c>
      <c r="I856" s="191" t="s">
        <v>613</v>
      </c>
      <c r="J856" s="192">
        <v>45950</v>
      </c>
      <c r="K856" s="192">
        <v>46311</v>
      </c>
      <c r="L856" s="191" t="s">
        <v>1185</v>
      </c>
      <c r="M856" s="191" t="s">
        <v>1266</v>
      </c>
      <c r="N856" s="13" t="s">
        <v>1267</v>
      </c>
      <c r="O856" s="17" t="s">
        <v>6894</v>
      </c>
      <c r="P856" s="314" t="s">
        <v>282</v>
      </c>
      <c r="Q856" s="13" t="s">
        <v>618</v>
      </c>
      <c r="R856" s="246" t="str">
        <f>VLOOKUP(P856,'Dados das Regiões '!A:B,2,0)</f>
        <v>FRANCISCO BELTRÃO</v>
      </c>
      <c r="S856" s="191" t="s">
        <v>6895</v>
      </c>
      <c r="U856" s="191" t="s">
        <v>6896</v>
      </c>
      <c r="V856" s="191" t="s">
        <v>6896</v>
      </c>
      <c r="W856" s="191" t="s">
        <v>1272</v>
      </c>
      <c r="X856" s="195">
        <v>0.5625</v>
      </c>
      <c r="Y856" s="420">
        <v>0.64583333333333337</v>
      </c>
      <c r="Z856" s="233" t="s">
        <v>622</v>
      </c>
    </row>
    <row r="857" spans="2:26">
      <c r="B857" s="13" t="str">
        <f t="shared" si="464"/>
        <v>Pendente</v>
      </c>
      <c r="D857" s="13" t="s">
        <v>611</v>
      </c>
      <c r="E857" s="14" t="str">
        <f t="shared" si="465"/>
        <v/>
      </c>
      <c r="F857" s="13" t="s">
        <v>611</v>
      </c>
      <c r="G857" s="191">
        <v>202501023</v>
      </c>
      <c r="H857" s="191" t="s">
        <v>6897</v>
      </c>
      <c r="I857" s="191" t="s">
        <v>613</v>
      </c>
      <c r="J857" s="192">
        <v>45971</v>
      </c>
      <c r="K857" s="192">
        <v>46335</v>
      </c>
      <c r="L857" s="191" t="s">
        <v>657</v>
      </c>
      <c r="M857" s="191" t="s">
        <v>751</v>
      </c>
      <c r="N857" s="13" t="s">
        <v>752</v>
      </c>
      <c r="O857" s="17" t="s">
        <v>753</v>
      </c>
      <c r="P857" s="314" t="s">
        <v>282</v>
      </c>
      <c r="Q857" s="13" t="s">
        <v>618</v>
      </c>
      <c r="R857" s="246" t="str">
        <f>VLOOKUP(P857,'Dados das Regiões '!A:B,2,0)</f>
        <v>FRANCISCO BELTRÃO</v>
      </c>
      <c r="S857" s="191" t="s">
        <v>6898</v>
      </c>
      <c r="U857" s="191"/>
      <c r="V857" s="191" t="s">
        <v>6899</v>
      </c>
      <c r="W857" s="191" t="s">
        <v>6900</v>
      </c>
      <c r="X857" s="195">
        <v>0.41666666666666669</v>
      </c>
      <c r="Y857" s="426" t="s">
        <v>639</v>
      </c>
      <c r="Z857" s="233" t="s">
        <v>622</v>
      </c>
    </row>
    <row r="858" spans="2:26">
      <c r="B858" s="13" t="str">
        <f t="shared" si="464"/>
        <v>Pendente</v>
      </c>
      <c r="D858" s="13" t="s">
        <v>611</v>
      </c>
      <c r="E858" s="14" t="str">
        <f t="shared" si="465"/>
        <v/>
      </c>
      <c r="F858" s="13" t="s">
        <v>611</v>
      </c>
      <c r="G858" s="191">
        <v>202501023</v>
      </c>
      <c r="H858" s="191" t="s">
        <v>6901</v>
      </c>
      <c r="I858" s="191" t="s">
        <v>613</v>
      </c>
      <c r="J858" s="192">
        <v>45971</v>
      </c>
      <c r="K858" s="192">
        <v>46335</v>
      </c>
      <c r="L858" s="191" t="s">
        <v>657</v>
      </c>
      <c r="M858" s="191" t="s">
        <v>751</v>
      </c>
      <c r="N858" s="13" t="s">
        <v>752</v>
      </c>
      <c r="O858" s="17" t="s">
        <v>753</v>
      </c>
      <c r="P858" s="314" t="s">
        <v>282</v>
      </c>
      <c r="Q858" s="13" t="s">
        <v>618</v>
      </c>
      <c r="R858" s="246" t="str">
        <f>VLOOKUP(P858,'Dados das Regiões '!A:B,2,0)</f>
        <v>FRANCISCO BELTRÃO</v>
      </c>
      <c r="S858" s="191" t="s">
        <v>6898</v>
      </c>
      <c r="U858" s="191" t="s">
        <v>6899</v>
      </c>
      <c r="V858" s="191" t="s">
        <v>6899</v>
      </c>
      <c r="W858" s="191" t="s">
        <v>6900</v>
      </c>
      <c r="X858" s="195">
        <v>0.625</v>
      </c>
      <c r="Y858" s="426" t="s">
        <v>6902</v>
      </c>
      <c r="Z858" s="233" t="s">
        <v>622</v>
      </c>
    </row>
    <row r="859" spans="2:26">
      <c r="B859" s="13" t="str">
        <f t="shared" ref="B859:B889" si="466">IF(ISBLANK(A859), "Pendente", "Realizada")</f>
        <v>Pendente</v>
      </c>
      <c r="D859" s="13" t="s">
        <v>611</v>
      </c>
      <c r="E859" s="14" t="str">
        <f t="shared" si="465"/>
        <v/>
      </c>
      <c r="F859" s="13" t="s">
        <v>611</v>
      </c>
      <c r="G859" s="191">
        <v>202501023</v>
      </c>
      <c r="H859" s="191" t="s">
        <v>6903</v>
      </c>
      <c r="I859" s="191" t="s">
        <v>613</v>
      </c>
      <c r="J859" s="192">
        <v>45971</v>
      </c>
      <c r="K859" s="192">
        <v>46335</v>
      </c>
      <c r="L859" s="191" t="s">
        <v>657</v>
      </c>
      <c r="M859" s="191" t="s">
        <v>751</v>
      </c>
      <c r="N859" s="13" t="s">
        <v>752</v>
      </c>
      <c r="O859" s="17" t="s">
        <v>753</v>
      </c>
      <c r="P859" s="314" t="s">
        <v>282</v>
      </c>
      <c r="Q859" s="13" t="s">
        <v>618</v>
      </c>
      <c r="R859" s="246" t="str">
        <f>VLOOKUP(P859,'Dados das Regiões '!A:B,2,0)</f>
        <v>FRANCISCO BELTRÃO</v>
      </c>
      <c r="S859" s="191" t="s">
        <v>6898</v>
      </c>
      <c r="U859" s="191"/>
      <c r="V859" s="191" t="s">
        <v>6899</v>
      </c>
      <c r="W859" s="191" t="s">
        <v>6900</v>
      </c>
      <c r="X859" s="195">
        <v>0.33333333333333331</v>
      </c>
      <c r="Y859" s="426" t="s">
        <v>648</v>
      </c>
      <c r="Z859" s="233" t="s">
        <v>622</v>
      </c>
    </row>
    <row r="860" spans="2:26">
      <c r="B860" s="13" t="str">
        <f t="shared" si="466"/>
        <v>Pendente</v>
      </c>
      <c r="D860" s="13" t="s">
        <v>611</v>
      </c>
      <c r="E860" s="14" t="str">
        <f t="shared" si="465"/>
        <v/>
      </c>
      <c r="F860" s="13" t="s">
        <v>611</v>
      </c>
      <c r="G860" s="191">
        <v>202501023</v>
      </c>
      <c r="H860" s="191" t="s">
        <v>6904</v>
      </c>
      <c r="I860" s="191" t="s">
        <v>613</v>
      </c>
      <c r="J860" s="192">
        <v>45971</v>
      </c>
      <c r="K860" s="192">
        <v>46335</v>
      </c>
      <c r="L860" s="191" t="s">
        <v>657</v>
      </c>
      <c r="M860" s="191" t="s">
        <v>732</v>
      </c>
      <c r="N860" s="13" t="s">
        <v>733</v>
      </c>
      <c r="O860" s="17" t="s">
        <v>734</v>
      </c>
      <c r="P860" s="314" t="s">
        <v>282</v>
      </c>
      <c r="Q860" s="13" t="s">
        <v>618</v>
      </c>
      <c r="R860" s="246" t="str">
        <f>VLOOKUP(P860,'Dados das Regiões '!A:B,2,0)</f>
        <v>FRANCISCO BELTRÃO</v>
      </c>
      <c r="S860" s="191" t="s">
        <v>735</v>
      </c>
      <c r="U860" s="191"/>
      <c r="V860" s="191" t="s">
        <v>736</v>
      </c>
      <c r="W860" s="191" t="s">
        <v>6905</v>
      </c>
      <c r="X860" s="195">
        <v>0.63541666666666663</v>
      </c>
      <c r="Y860" s="426" t="s">
        <v>6906</v>
      </c>
      <c r="Z860" s="233" t="s">
        <v>622</v>
      </c>
    </row>
    <row r="861" spans="2:26">
      <c r="B861" s="13" t="str">
        <f t="shared" si="466"/>
        <v>Pendente</v>
      </c>
      <c r="D861" s="13" t="s">
        <v>611</v>
      </c>
      <c r="E861" s="14" t="str">
        <f t="shared" si="465"/>
        <v/>
      </c>
      <c r="F861" s="13" t="s">
        <v>611</v>
      </c>
      <c r="G861" s="191">
        <v>202501023</v>
      </c>
      <c r="H861" s="191" t="s">
        <v>6907</v>
      </c>
      <c r="I861" s="191" t="s">
        <v>613</v>
      </c>
      <c r="J861" s="192">
        <v>45971</v>
      </c>
      <c r="K861" s="192">
        <v>46335</v>
      </c>
      <c r="L861" s="191" t="s">
        <v>657</v>
      </c>
      <c r="M861" s="191" t="s">
        <v>970</v>
      </c>
      <c r="N861" s="13" t="s">
        <v>971</v>
      </c>
      <c r="O861" s="17" t="s">
        <v>972</v>
      </c>
      <c r="P861" s="314" t="s">
        <v>282</v>
      </c>
      <c r="Q861" s="13" t="s">
        <v>618</v>
      </c>
      <c r="R861" s="246" t="str">
        <f>VLOOKUP(P861,'Dados das Regiões '!A:B,2,0)</f>
        <v>FRANCISCO BELTRÃO</v>
      </c>
      <c r="S861" s="191" t="s">
        <v>6417</v>
      </c>
      <c r="U861" s="191"/>
      <c r="V861" s="191" t="s">
        <v>6418</v>
      </c>
      <c r="W861" s="191" t="s">
        <v>6419</v>
      </c>
      <c r="X861" s="195">
        <v>0.33333333333333331</v>
      </c>
      <c r="Y861" s="426" t="s">
        <v>648</v>
      </c>
      <c r="Z861" s="233" t="s">
        <v>622</v>
      </c>
    </row>
    <row r="862" spans="2:26">
      <c r="B862" s="13" t="str">
        <f t="shared" si="466"/>
        <v>Pendente</v>
      </c>
      <c r="D862" s="13" t="s">
        <v>611</v>
      </c>
      <c r="E862" s="14" t="str">
        <f t="shared" si="465"/>
        <v/>
      </c>
      <c r="F862" s="13" t="s">
        <v>611</v>
      </c>
      <c r="G862" s="191">
        <v>202500412</v>
      </c>
      <c r="H862" s="191" t="s">
        <v>6908</v>
      </c>
      <c r="I862" s="191" t="s">
        <v>613</v>
      </c>
      <c r="J862" s="192">
        <v>45971</v>
      </c>
      <c r="K862" s="192">
        <v>46335</v>
      </c>
      <c r="L862" s="191" t="s">
        <v>672</v>
      </c>
      <c r="M862" s="191" t="s">
        <v>1105</v>
      </c>
      <c r="N862" s="13" t="s">
        <v>1106</v>
      </c>
      <c r="O862" s="17" t="s">
        <v>1107</v>
      </c>
      <c r="P862" s="314" t="s">
        <v>481</v>
      </c>
      <c r="Q862" s="13" t="s">
        <v>618</v>
      </c>
      <c r="R862" s="246" t="str">
        <f>VLOOKUP(P862,'Dados das Regiões '!A:B,2,0)</f>
        <v>TOLEDO</v>
      </c>
      <c r="S862" s="191" t="s">
        <v>1108</v>
      </c>
      <c r="U862" s="191" t="s">
        <v>1109</v>
      </c>
      <c r="V862" s="191" t="s">
        <v>1110</v>
      </c>
      <c r="W862" s="191" t="s">
        <v>1111</v>
      </c>
      <c r="X862" s="195">
        <v>0.5625</v>
      </c>
      <c r="Y862" s="426" t="s">
        <v>936</v>
      </c>
      <c r="Z862" s="233" t="s">
        <v>622</v>
      </c>
    </row>
    <row r="863" spans="2:26">
      <c r="B863" s="13" t="str">
        <f t="shared" si="466"/>
        <v>Pendente</v>
      </c>
      <c r="D863" s="13" t="s">
        <v>611</v>
      </c>
      <c r="E863" s="14" t="str">
        <f t="shared" si="465"/>
        <v/>
      </c>
      <c r="F863" s="13" t="s">
        <v>611</v>
      </c>
      <c r="G863" s="191">
        <v>202501023</v>
      </c>
      <c r="H863" s="191" t="s">
        <v>6909</v>
      </c>
      <c r="I863" s="191" t="s">
        <v>613</v>
      </c>
      <c r="J863" s="192">
        <v>45971</v>
      </c>
      <c r="K863" s="192">
        <v>46335</v>
      </c>
      <c r="L863" s="191" t="s">
        <v>657</v>
      </c>
      <c r="M863" s="191" t="s">
        <v>1025</v>
      </c>
      <c r="N863" s="13" t="s">
        <v>1026</v>
      </c>
      <c r="O863" s="17" t="s">
        <v>1027</v>
      </c>
      <c r="P863" s="314" t="s">
        <v>441</v>
      </c>
      <c r="Q863" s="13" t="s">
        <v>618</v>
      </c>
      <c r="R863" s="246" t="str">
        <f>VLOOKUP(P863,'Dados das Regiões '!A:B,2,0)</f>
        <v>PATO BRANCO</v>
      </c>
      <c r="S863" s="191" t="s">
        <v>1636</v>
      </c>
      <c r="U863" s="191" t="s">
        <v>1638</v>
      </c>
      <c r="V863" s="191" t="s">
        <v>1638</v>
      </c>
      <c r="W863" s="191" t="s">
        <v>1639</v>
      </c>
      <c r="X863" s="195">
        <v>0.5625</v>
      </c>
      <c r="Y863" s="426" t="s">
        <v>680</v>
      </c>
      <c r="Z863" s="233" t="s">
        <v>622</v>
      </c>
    </row>
    <row r="864" spans="2:26">
      <c r="B864" s="13" t="str">
        <f t="shared" si="466"/>
        <v>Pendente</v>
      </c>
      <c r="D864" s="13" t="s">
        <v>611</v>
      </c>
      <c r="E864" s="14" t="str">
        <f t="shared" si="465"/>
        <v/>
      </c>
      <c r="F864" s="13" t="s">
        <v>611</v>
      </c>
      <c r="G864" s="191">
        <v>202501023</v>
      </c>
      <c r="H864" s="191" t="s">
        <v>6910</v>
      </c>
      <c r="I864" s="191" t="s">
        <v>613</v>
      </c>
      <c r="J864" s="192">
        <v>45971</v>
      </c>
      <c r="K864" s="192">
        <v>46335</v>
      </c>
      <c r="L864" s="191" t="s">
        <v>632</v>
      </c>
      <c r="M864" s="191" t="s">
        <v>1033</v>
      </c>
      <c r="N864" s="13" t="s">
        <v>1034</v>
      </c>
      <c r="O864" s="17" t="s">
        <v>1035</v>
      </c>
      <c r="P864" s="314" t="s">
        <v>235</v>
      </c>
      <c r="Q864" s="13" t="s">
        <v>618</v>
      </c>
      <c r="R864" s="246" t="str">
        <f>VLOOKUP(P864,'Dados das Regiões '!A:B,2,0)</f>
        <v>CORNÉLIO PROCÓPIO</v>
      </c>
      <c r="S864" s="191" t="s">
        <v>6911</v>
      </c>
      <c r="U864" s="191" t="s">
        <v>6912</v>
      </c>
      <c r="V864" s="191" t="s">
        <v>6912</v>
      </c>
      <c r="W864" s="191" t="s">
        <v>6913</v>
      </c>
      <c r="X864" s="195">
        <v>0.5625</v>
      </c>
      <c r="Y864" s="426" t="s">
        <v>680</v>
      </c>
      <c r="Z864" s="233" t="s">
        <v>622</v>
      </c>
    </row>
    <row r="865" spans="2:26">
      <c r="B865" s="13" t="str">
        <f t="shared" si="466"/>
        <v>Pendente</v>
      </c>
      <c r="D865" s="13" t="s">
        <v>611</v>
      </c>
      <c r="E865" s="14" t="str">
        <f t="shared" si="465"/>
        <v/>
      </c>
      <c r="F865" s="13" t="s">
        <v>611</v>
      </c>
      <c r="G865" s="191">
        <v>202501023</v>
      </c>
      <c r="H865" s="191" t="s">
        <v>6914</v>
      </c>
      <c r="I865" s="191" t="s">
        <v>613</v>
      </c>
      <c r="J865" s="192">
        <v>45971</v>
      </c>
      <c r="K865" s="192">
        <v>46335</v>
      </c>
      <c r="L865" s="191" t="s">
        <v>657</v>
      </c>
      <c r="M865" s="191" t="s">
        <v>1093</v>
      </c>
      <c r="N865" s="13" t="s">
        <v>1094</v>
      </c>
      <c r="O865" s="17" t="s">
        <v>1095</v>
      </c>
      <c r="P865" s="314" t="s">
        <v>442</v>
      </c>
      <c r="Q865" s="13" t="s">
        <v>618</v>
      </c>
      <c r="R865" s="246" t="str">
        <f>VLOOKUP(P865,'Dados das Regiões '!A:B,2,0)</f>
        <v>PATO BRANCO</v>
      </c>
      <c r="S865" s="521" t="s">
        <v>6915</v>
      </c>
      <c r="U865" s="191"/>
      <c r="V865" s="35" t="s">
        <v>6916</v>
      </c>
      <c r="W865" s="35" t="s">
        <v>6917</v>
      </c>
      <c r="X865" s="195">
        <v>0.33333333333333331</v>
      </c>
      <c r="Y865" s="426" t="s">
        <v>648</v>
      </c>
      <c r="Z865" s="233" t="s">
        <v>622</v>
      </c>
    </row>
    <row r="866" spans="2:26">
      <c r="B866" s="13" t="str">
        <f t="shared" si="466"/>
        <v>Pendente</v>
      </c>
      <c r="D866" s="13" t="s">
        <v>611</v>
      </c>
      <c r="E866" s="14" t="str">
        <f t="shared" si="465"/>
        <v/>
      </c>
      <c r="F866" s="13" t="s">
        <v>611</v>
      </c>
      <c r="G866" s="191">
        <v>202501023</v>
      </c>
      <c r="H866" s="191" t="s">
        <v>6918</v>
      </c>
      <c r="I866" s="191" t="s">
        <v>613</v>
      </c>
      <c r="J866" s="192">
        <v>45971</v>
      </c>
      <c r="K866" s="192">
        <v>46335</v>
      </c>
      <c r="L866" s="191" t="s">
        <v>657</v>
      </c>
      <c r="M866" s="191" t="s">
        <v>1063</v>
      </c>
      <c r="N866" s="13" t="s">
        <v>1064</v>
      </c>
      <c r="O866" s="17" t="s">
        <v>1065</v>
      </c>
      <c r="P866" s="314" t="s">
        <v>442</v>
      </c>
      <c r="Q866" s="13" t="s">
        <v>618</v>
      </c>
      <c r="R866" s="246" t="str">
        <f>VLOOKUP(P866,'Dados das Regiões '!A:B,2,0)</f>
        <v>PATO BRANCO</v>
      </c>
      <c r="S866" s="521" t="s">
        <v>6915</v>
      </c>
      <c r="U866" s="191"/>
      <c r="V866" s="35" t="s">
        <v>6916</v>
      </c>
      <c r="W866" s="35" t="s">
        <v>6917</v>
      </c>
      <c r="X866" s="195">
        <v>0.33333333333333331</v>
      </c>
      <c r="Y866" s="426" t="s">
        <v>648</v>
      </c>
      <c r="Z866" s="233" t="s">
        <v>622</v>
      </c>
    </row>
    <row r="867" spans="2:26">
      <c r="B867" s="13" t="str">
        <f t="shared" si="466"/>
        <v>Pendente</v>
      </c>
      <c r="D867" s="13" t="s">
        <v>611</v>
      </c>
      <c r="E867" s="14" t="str">
        <f t="shared" si="465"/>
        <v/>
      </c>
      <c r="F867" s="13" t="s">
        <v>611</v>
      </c>
      <c r="G867" s="191">
        <v>202500926</v>
      </c>
      <c r="H867" s="191" t="s">
        <v>6919</v>
      </c>
      <c r="I867" s="191" t="s">
        <v>1192</v>
      </c>
      <c r="J867" s="192">
        <v>45950</v>
      </c>
      <c r="K867" s="192">
        <v>46311</v>
      </c>
      <c r="L867" s="191" t="s">
        <v>1872</v>
      </c>
      <c r="M867" s="191" t="s">
        <v>1873</v>
      </c>
      <c r="N867" s="13" t="s">
        <v>1874</v>
      </c>
      <c r="O867" s="17" t="s">
        <v>6920</v>
      </c>
      <c r="P867" s="314" t="s">
        <v>307</v>
      </c>
      <c r="Q867" s="13" t="s">
        <v>618</v>
      </c>
      <c r="R867" s="246" t="str">
        <f>VLOOKUP(P867,'Dados das Regiões '!A:B,2,0)</f>
        <v>IRATI</v>
      </c>
      <c r="S867" s="191" t="s">
        <v>6921</v>
      </c>
      <c r="U867" s="191" t="s">
        <v>6922</v>
      </c>
      <c r="V867" s="191" t="s">
        <v>6922</v>
      </c>
      <c r="W867" s="191" t="s">
        <v>6923</v>
      </c>
      <c r="X867" s="195">
        <v>0.58333333333333337</v>
      </c>
      <c r="Y867" s="420">
        <v>0.66666666666666663</v>
      </c>
      <c r="Z867" s="233" t="s">
        <v>622</v>
      </c>
    </row>
    <row r="868" spans="2:26">
      <c r="B868" s="13" t="str">
        <f t="shared" si="466"/>
        <v>Pendente</v>
      </c>
      <c r="D868" s="13" t="s">
        <v>611</v>
      </c>
      <c r="E868" s="14" t="str">
        <f t="shared" si="465"/>
        <v/>
      </c>
      <c r="F868" s="13" t="s">
        <v>611</v>
      </c>
      <c r="G868" s="191">
        <v>202500926</v>
      </c>
      <c r="H868" s="191" t="s">
        <v>6924</v>
      </c>
      <c r="I868" s="191" t="s">
        <v>1192</v>
      </c>
      <c r="J868" s="192">
        <v>45950</v>
      </c>
      <c r="K868" s="192">
        <v>46311</v>
      </c>
      <c r="L868" s="191" t="s">
        <v>1872</v>
      </c>
      <c r="M868" s="191" t="s">
        <v>1873</v>
      </c>
      <c r="N868" s="13" t="s">
        <v>1874</v>
      </c>
      <c r="O868" s="17" t="s">
        <v>6920</v>
      </c>
      <c r="P868" s="314" t="s">
        <v>307</v>
      </c>
      <c r="Q868" s="13" t="s">
        <v>618</v>
      </c>
      <c r="R868" s="246" t="str">
        <f>VLOOKUP(P868,'Dados das Regiões '!A:B,2,0)</f>
        <v>IRATI</v>
      </c>
      <c r="S868" s="191" t="s">
        <v>6925</v>
      </c>
      <c r="U868" s="191" t="s">
        <v>6922</v>
      </c>
      <c r="V868" s="191" t="s">
        <v>6922</v>
      </c>
      <c r="W868" s="191" t="s">
        <v>6923</v>
      </c>
      <c r="X868" s="195">
        <v>0.375</v>
      </c>
      <c r="Y868" s="420">
        <v>0.45833333333333331</v>
      </c>
      <c r="Z868" s="233" t="s">
        <v>622</v>
      </c>
    </row>
    <row r="869" spans="2:26">
      <c r="B869" s="13" t="str">
        <f t="shared" si="466"/>
        <v>Pendente</v>
      </c>
      <c r="D869" s="13" t="s">
        <v>611</v>
      </c>
      <c r="E869" s="14" t="str">
        <f t="shared" si="465"/>
        <v/>
      </c>
      <c r="F869" s="13" t="s">
        <v>611</v>
      </c>
      <c r="G869" s="191">
        <v>202500925</v>
      </c>
      <c r="H869" s="191" t="s">
        <v>6926</v>
      </c>
      <c r="I869" s="191" t="s">
        <v>613</v>
      </c>
      <c r="J869" s="192">
        <v>45950</v>
      </c>
      <c r="K869" s="192">
        <v>46311</v>
      </c>
      <c r="L869" s="191" t="s">
        <v>1185</v>
      </c>
      <c r="M869" s="191" t="s">
        <v>1257</v>
      </c>
      <c r="N869" s="13" t="s">
        <v>1258</v>
      </c>
      <c r="O869" s="17" t="s">
        <v>6927</v>
      </c>
      <c r="P869" s="314" t="s">
        <v>215</v>
      </c>
      <c r="Q869" s="13" t="s">
        <v>618</v>
      </c>
      <c r="R869" s="246" t="str">
        <f>VLOOKUP(P869,'Dados das Regiões '!A:B,2,0)</f>
        <v>CASTRO</v>
      </c>
      <c r="S869" s="191" t="s">
        <v>6928</v>
      </c>
      <c r="U869" s="191" t="s">
        <v>6929</v>
      </c>
      <c r="V869" s="191" t="s">
        <v>1261</v>
      </c>
      <c r="W869" s="191" t="s">
        <v>6930</v>
      </c>
      <c r="X869" s="195">
        <v>0.58333333333333337</v>
      </c>
      <c r="Y869" s="420">
        <v>0.66666666666666663</v>
      </c>
      <c r="Z869" s="233" t="s">
        <v>622</v>
      </c>
    </row>
    <row r="870" spans="2:26">
      <c r="B870" s="13" t="str">
        <f t="shared" si="466"/>
        <v>Pendente</v>
      </c>
      <c r="D870" s="13" t="s">
        <v>611</v>
      </c>
      <c r="E870" s="14" t="str">
        <f t="shared" si="465"/>
        <v/>
      </c>
      <c r="F870" s="13" t="s">
        <v>611</v>
      </c>
      <c r="G870" s="191">
        <v>202500925</v>
      </c>
      <c r="H870" s="191" t="s">
        <v>6931</v>
      </c>
      <c r="I870" s="191" t="s">
        <v>613</v>
      </c>
      <c r="J870" s="192">
        <v>45950</v>
      </c>
      <c r="K870" s="192">
        <v>46311</v>
      </c>
      <c r="L870" s="191" t="s">
        <v>1185</v>
      </c>
      <c r="M870" s="191" t="s">
        <v>1220</v>
      </c>
      <c r="N870" s="13" t="s">
        <v>6932</v>
      </c>
      <c r="O870" s="17" t="s">
        <v>6933</v>
      </c>
      <c r="P870" s="314" t="s">
        <v>470</v>
      </c>
      <c r="Q870" s="13" t="s">
        <v>618</v>
      </c>
      <c r="R870" s="246" t="str">
        <f>VLOOKUP(P870,'Dados das Regiões '!A:B,2,0)</f>
        <v>SÃO JOSÉ DOS PINHAIS</v>
      </c>
      <c r="S870" s="191" t="s">
        <v>6934</v>
      </c>
      <c r="U870" s="191" t="s">
        <v>6935</v>
      </c>
      <c r="V870" s="191" t="s">
        <v>6935</v>
      </c>
      <c r="W870" s="191" t="s">
        <v>6936</v>
      </c>
      <c r="X870" s="195">
        <v>0.54166666666666663</v>
      </c>
      <c r="Y870" s="420">
        <v>0.625</v>
      </c>
      <c r="Z870" s="233" t="s">
        <v>622</v>
      </c>
    </row>
    <row r="871" spans="2:26">
      <c r="B871" s="13" t="str">
        <f t="shared" si="466"/>
        <v>Pendente</v>
      </c>
      <c r="D871" s="13" t="s">
        <v>611</v>
      </c>
      <c r="E871" s="14" t="str">
        <f t="shared" si="465"/>
        <v/>
      </c>
      <c r="F871" s="13" t="s">
        <v>611</v>
      </c>
      <c r="G871" s="191">
        <v>202501023</v>
      </c>
      <c r="H871" s="191" t="s">
        <v>6937</v>
      </c>
      <c r="I871" s="191" t="s">
        <v>613</v>
      </c>
      <c r="J871" s="192">
        <v>45971</v>
      </c>
      <c r="K871" s="192">
        <v>46335</v>
      </c>
      <c r="L871" s="191" t="s">
        <v>632</v>
      </c>
      <c r="M871" s="191" t="s">
        <v>1146</v>
      </c>
      <c r="N871" s="13" t="s">
        <v>1147</v>
      </c>
      <c r="O871" s="17" t="s">
        <v>1148</v>
      </c>
      <c r="P871" s="314" t="s">
        <v>506</v>
      </c>
      <c r="Q871" s="13" t="s">
        <v>618</v>
      </c>
      <c r="R871" s="246" t="str">
        <f>VLOOKUP(P871,'Dados das Regiões '!A:B,2,0)</f>
        <v>UMUARAMA</v>
      </c>
      <c r="S871" s="191" t="s">
        <v>6938</v>
      </c>
      <c r="U871" s="191" t="s">
        <v>1150</v>
      </c>
      <c r="V871" s="191" t="s">
        <v>1151</v>
      </c>
      <c r="W871" s="191" t="s">
        <v>1152</v>
      </c>
      <c r="X871" s="195">
        <v>0.33333333333333331</v>
      </c>
      <c r="Y871" s="426" t="s">
        <v>648</v>
      </c>
      <c r="Z871" s="233" t="s">
        <v>622</v>
      </c>
    </row>
    <row r="872" spans="2:26">
      <c r="B872" s="13" t="str">
        <f t="shared" si="466"/>
        <v>Pendente</v>
      </c>
      <c r="D872" s="13" t="s">
        <v>611</v>
      </c>
      <c r="E872" s="14" t="str">
        <f t="shared" si="465"/>
        <v/>
      </c>
      <c r="F872" s="13" t="s">
        <v>611</v>
      </c>
      <c r="G872" s="191">
        <v>202500925</v>
      </c>
      <c r="H872" s="191" t="s">
        <v>6939</v>
      </c>
      <c r="I872" s="191" t="s">
        <v>613</v>
      </c>
      <c r="J872" s="192">
        <v>45950</v>
      </c>
      <c r="K872" s="192">
        <v>46311</v>
      </c>
      <c r="L872" s="191" t="s">
        <v>1185</v>
      </c>
      <c r="M872" s="191" t="s">
        <v>1333</v>
      </c>
      <c r="N872" s="13" t="s">
        <v>1334</v>
      </c>
      <c r="O872" s="17" t="s">
        <v>6940</v>
      </c>
      <c r="P872" s="314" t="s">
        <v>482</v>
      </c>
      <c r="Q872" s="13" t="s">
        <v>618</v>
      </c>
      <c r="R872" s="13" t="str">
        <f>VLOOKUP(P872,'Dados das Regiões '!A:B,2,0)</f>
        <v>TOLEDO</v>
      </c>
      <c r="S872" s="191" t="s">
        <v>6941</v>
      </c>
      <c r="U872" s="191" t="s">
        <v>3854</v>
      </c>
      <c r="V872" s="191" t="s">
        <v>3854</v>
      </c>
      <c r="W872" s="191" t="s">
        <v>6942</v>
      </c>
      <c r="X872" s="195">
        <v>0.33333333333333331</v>
      </c>
      <c r="Y872" s="420">
        <v>0.41666666666666669</v>
      </c>
      <c r="Z872" s="233" t="s">
        <v>622</v>
      </c>
    </row>
    <row r="873" spans="2:26">
      <c r="B873" s="13" t="str">
        <f t="shared" si="466"/>
        <v>Pendente</v>
      </c>
      <c r="D873" s="13" t="s">
        <v>611</v>
      </c>
      <c r="E873" s="14" t="str">
        <f t="shared" si="465"/>
        <v/>
      </c>
      <c r="F873" s="13" t="s">
        <v>611</v>
      </c>
      <c r="G873" s="191">
        <v>202500925</v>
      </c>
      <c r="H873" s="191" t="s">
        <v>6943</v>
      </c>
      <c r="I873" s="191" t="s">
        <v>613</v>
      </c>
      <c r="J873" s="192">
        <v>45950</v>
      </c>
      <c r="K873" s="192">
        <v>46311</v>
      </c>
      <c r="L873" s="191" t="s">
        <v>1185</v>
      </c>
      <c r="M873" s="191" t="s">
        <v>6944</v>
      </c>
      <c r="N873" s="13" t="s">
        <v>6945</v>
      </c>
      <c r="O873" s="17" t="s">
        <v>6946</v>
      </c>
      <c r="P873" s="314" t="s">
        <v>216</v>
      </c>
      <c r="Q873" s="13" t="s">
        <v>618</v>
      </c>
      <c r="R873" s="79" t="str">
        <f>VLOOKUP(P873,'Dados das Regiões '!A:B,2,0)</f>
        <v>CASTRO</v>
      </c>
      <c r="S873" s="191" t="s">
        <v>6947</v>
      </c>
      <c r="U873" s="191" t="s">
        <v>6948</v>
      </c>
      <c r="V873" s="191" t="s">
        <v>6948</v>
      </c>
      <c r="W873" s="191" t="s">
        <v>6949</v>
      </c>
      <c r="X873" s="195">
        <v>0.54166666666666663</v>
      </c>
      <c r="Y873" s="420">
        <v>0.625</v>
      </c>
      <c r="Z873" s="233" t="s">
        <v>622</v>
      </c>
    </row>
    <row r="874" spans="2:26">
      <c r="B874" s="13" t="str">
        <f t="shared" si="466"/>
        <v>Pendente</v>
      </c>
      <c r="D874" s="13" t="s">
        <v>611</v>
      </c>
      <c r="E874" s="14" t="str">
        <f t="shared" ref="E874:E885" si="467">IF(C874="", "", EDATE(C874, 3))</f>
        <v/>
      </c>
      <c r="F874" s="13" t="s">
        <v>611</v>
      </c>
      <c r="G874" s="191">
        <v>202501023</v>
      </c>
      <c r="H874" s="191" t="s">
        <v>6950</v>
      </c>
      <c r="I874" s="191" t="s">
        <v>613</v>
      </c>
      <c r="J874" s="192">
        <v>45971</v>
      </c>
      <c r="K874" s="192">
        <v>46335</v>
      </c>
      <c r="L874" s="191" t="s">
        <v>657</v>
      </c>
      <c r="M874" s="191" t="s">
        <v>709</v>
      </c>
      <c r="N874" s="13" t="s">
        <v>710</v>
      </c>
      <c r="O874" s="17" t="s">
        <v>711</v>
      </c>
      <c r="P874" s="314" t="s">
        <v>283</v>
      </c>
      <c r="Q874" s="13" t="s">
        <v>618</v>
      </c>
      <c r="R874" s="13" t="str">
        <f>VLOOKUP(P874,'Dados das Regiões '!A:B,2,0)</f>
        <v>FRANCISCO BELTRÃO</v>
      </c>
      <c r="S874" s="191" t="s">
        <v>712</v>
      </c>
      <c r="U874" s="191"/>
      <c r="V874" s="191" t="s">
        <v>714</v>
      </c>
      <c r="W874" s="191" t="s">
        <v>715</v>
      </c>
      <c r="X874" s="195">
        <v>0.41666666666666669</v>
      </c>
      <c r="Y874" s="426" t="s">
        <v>639</v>
      </c>
      <c r="Z874" s="233" t="s">
        <v>622</v>
      </c>
    </row>
    <row r="875" spans="2:26">
      <c r="B875" s="13" t="str">
        <f t="shared" si="466"/>
        <v>Pendente</v>
      </c>
      <c r="D875" s="13" t="s">
        <v>611</v>
      </c>
      <c r="E875" s="14" t="str">
        <f t="shared" si="467"/>
        <v/>
      </c>
      <c r="F875" s="13" t="s">
        <v>611</v>
      </c>
      <c r="G875" s="191">
        <v>202500412</v>
      </c>
      <c r="H875" s="191" t="s">
        <v>6951</v>
      </c>
      <c r="I875" s="191" t="s">
        <v>613</v>
      </c>
      <c r="J875" s="192">
        <v>45971</v>
      </c>
      <c r="K875" s="192">
        <v>46335</v>
      </c>
      <c r="L875" s="191" t="s">
        <v>812</v>
      </c>
      <c r="M875" s="191" t="s">
        <v>880</v>
      </c>
      <c r="N875" s="13" t="s">
        <v>6952</v>
      </c>
      <c r="O875" s="17" t="s">
        <v>6953</v>
      </c>
      <c r="P875" s="486" t="s">
        <v>298</v>
      </c>
      <c r="Q875" s="13" t="s">
        <v>618</v>
      </c>
      <c r="R875" s="13" t="str">
        <f>VLOOKUP(P875,'Dados das Regiões '!A:B,2,0)</f>
        <v>GUARAPUAVA</v>
      </c>
      <c r="S875" s="191" t="s">
        <v>6954</v>
      </c>
      <c r="U875" s="191" t="s">
        <v>884</v>
      </c>
      <c r="V875" s="191" t="s">
        <v>885</v>
      </c>
      <c r="W875" s="191" t="s">
        <v>886</v>
      </c>
      <c r="X875" s="195">
        <v>0.54166666666666663</v>
      </c>
      <c r="Y875" s="426" t="s">
        <v>1047</v>
      </c>
      <c r="Z875" s="233" t="s">
        <v>622</v>
      </c>
    </row>
    <row r="876" spans="2:26">
      <c r="B876" s="13" t="str">
        <f t="shared" si="466"/>
        <v>Pendente</v>
      </c>
      <c r="D876" s="13" t="s">
        <v>611</v>
      </c>
      <c r="E876" s="14" t="str">
        <f t="shared" si="467"/>
        <v/>
      </c>
      <c r="F876" s="13" t="s">
        <v>611</v>
      </c>
      <c r="G876" s="191">
        <v>202500412</v>
      </c>
      <c r="H876" s="191" t="s">
        <v>6955</v>
      </c>
      <c r="I876" s="191" t="s">
        <v>613</v>
      </c>
      <c r="J876" s="192">
        <v>45971</v>
      </c>
      <c r="K876" s="192">
        <v>46335</v>
      </c>
      <c r="L876" s="191" t="s">
        <v>812</v>
      </c>
      <c r="M876" s="191" t="s">
        <v>911</v>
      </c>
      <c r="N876" s="13" t="s">
        <v>6956</v>
      </c>
      <c r="O876" s="17" t="s">
        <v>6957</v>
      </c>
      <c r="P876" s="486" t="s">
        <v>298</v>
      </c>
      <c r="Q876" s="13" t="s">
        <v>618</v>
      </c>
      <c r="R876" s="13" t="str">
        <f>VLOOKUP(P876,'Dados das Regiões '!A:B,2,0)</f>
        <v>GUARAPUAVA</v>
      </c>
      <c r="S876" s="191" t="s">
        <v>6958</v>
      </c>
      <c r="U876" s="191" t="s">
        <v>884</v>
      </c>
      <c r="V876" s="191" t="s">
        <v>915</v>
      </c>
      <c r="W876" s="191" t="s">
        <v>916</v>
      </c>
      <c r="X876" s="195">
        <v>0.54166666666666663</v>
      </c>
      <c r="Y876" s="426" t="s">
        <v>1047</v>
      </c>
      <c r="Z876" s="233" t="s">
        <v>622</v>
      </c>
    </row>
    <row r="877" spans="2:26">
      <c r="B877" s="13" t="str">
        <f t="shared" si="466"/>
        <v>Pendente</v>
      </c>
      <c r="D877" s="13" t="s">
        <v>611</v>
      </c>
      <c r="E877" s="14" t="str">
        <f t="shared" si="467"/>
        <v/>
      </c>
      <c r="F877" s="13" t="s">
        <v>611</v>
      </c>
      <c r="G877" s="191">
        <v>202500412</v>
      </c>
      <c r="H877" s="191" t="s">
        <v>6959</v>
      </c>
      <c r="I877" s="191" t="s">
        <v>613</v>
      </c>
      <c r="J877" s="192">
        <v>45971</v>
      </c>
      <c r="K877" s="192">
        <v>46335</v>
      </c>
      <c r="L877" s="191" t="s">
        <v>812</v>
      </c>
      <c r="M877" s="191" t="s">
        <v>1056</v>
      </c>
      <c r="N877" s="13" t="s">
        <v>1042</v>
      </c>
      <c r="O877" s="17" t="s">
        <v>6960</v>
      </c>
      <c r="P877" s="486" t="s">
        <v>202</v>
      </c>
      <c r="Q877" s="13" t="s">
        <v>618</v>
      </c>
      <c r="R877" s="13" t="str">
        <f>VLOOKUP(P877,'Dados das Regiões '!A:B,2,0)</f>
        <v>CASCAVEL</v>
      </c>
      <c r="S877" s="191" t="s">
        <v>6961</v>
      </c>
      <c r="U877" s="191" t="s">
        <v>6962</v>
      </c>
      <c r="V877" s="191" t="s">
        <v>1060</v>
      </c>
      <c r="W877" s="191" t="s">
        <v>1061</v>
      </c>
      <c r="X877" s="195">
        <v>0.54166666666666663</v>
      </c>
      <c r="Y877" s="426" t="s">
        <v>848</v>
      </c>
      <c r="Z877" s="233" t="s">
        <v>622</v>
      </c>
    </row>
    <row r="878" spans="2:26">
      <c r="B878" s="13" t="str">
        <f t="shared" si="466"/>
        <v>Pendente</v>
      </c>
      <c r="D878" s="13" t="s">
        <v>611</v>
      </c>
      <c r="E878" s="14" t="str">
        <f t="shared" si="467"/>
        <v/>
      </c>
      <c r="F878" s="13" t="s">
        <v>611</v>
      </c>
      <c r="G878" s="191">
        <v>202500412</v>
      </c>
      <c r="H878" s="191" t="s">
        <v>6963</v>
      </c>
      <c r="I878" s="191" t="s">
        <v>613</v>
      </c>
      <c r="J878" s="192">
        <v>45971</v>
      </c>
      <c r="K878" s="192">
        <v>46335</v>
      </c>
      <c r="L878" s="191" t="s">
        <v>812</v>
      </c>
      <c r="M878" s="191" t="s">
        <v>1041</v>
      </c>
      <c r="N878" s="13" t="s">
        <v>1042</v>
      </c>
      <c r="O878" s="17" t="s">
        <v>6960</v>
      </c>
      <c r="P878" s="486" t="s">
        <v>202</v>
      </c>
      <c r="Q878" s="13" t="s">
        <v>618</v>
      </c>
      <c r="R878" s="13" t="str">
        <f>VLOOKUP(P878,'Dados das Regiões '!A:B,2,0)</f>
        <v>CASCAVEL</v>
      </c>
      <c r="S878" s="191" t="s">
        <v>6964</v>
      </c>
      <c r="U878" s="191" t="s">
        <v>6962</v>
      </c>
      <c r="V878" s="191" t="s">
        <v>1045</v>
      </c>
      <c r="W878" s="191" t="s">
        <v>1046</v>
      </c>
      <c r="X878" s="195">
        <v>0.54166666666666663</v>
      </c>
      <c r="Y878" s="426" t="s">
        <v>848</v>
      </c>
      <c r="Z878" s="233" t="s">
        <v>622</v>
      </c>
    </row>
    <row r="879" spans="2:26">
      <c r="B879" s="13" t="str">
        <f t="shared" si="466"/>
        <v>Pendente</v>
      </c>
      <c r="D879" s="13" t="s">
        <v>611</v>
      </c>
      <c r="E879" s="14" t="str">
        <f t="shared" si="467"/>
        <v/>
      </c>
      <c r="F879" s="13" t="s">
        <v>611</v>
      </c>
      <c r="G879" s="191">
        <v>202500412</v>
      </c>
      <c r="H879" s="191" t="s">
        <v>6965</v>
      </c>
      <c r="I879" s="191" t="s">
        <v>613</v>
      </c>
      <c r="J879" s="192">
        <v>45971</v>
      </c>
      <c r="K879" s="192">
        <v>46335</v>
      </c>
      <c r="L879" s="191" t="s">
        <v>812</v>
      </c>
      <c r="M879" s="191" t="s">
        <v>946</v>
      </c>
      <c r="N879" s="13" t="s">
        <v>947</v>
      </c>
      <c r="O879" s="17" t="s">
        <v>6966</v>
      </c>
      <c r="P879" s="486" t="s">
        <v>296</v>
      </c>
      <c r="Q879" s="13" t="s">
        <v>618</v>
      </c>
      <c r="R879" s="13" t="str">
        <f>VLOOKUP(P879,'Dados das Regiões '!A:B,2,0)</f>
        <v>GUARAPUAVA</v>
      </c>
      <c r="S879" s="191" t="s">
        <v>6967</v>
      </c>
      <c r="U879" s="191" t="s">
        <v>950</v>
      </c>
      <c r="V879" s="191" t="s">
        <v>951</v>
      </c>
      <c r="W879" s="191" t="s">
        <v>952</v>
      </c>
      <c r="X879" s="195">
        <v>0.54166666666666663</v>
      </c>
      <c r="Y879" s="426" t="s">
        <v>848</v>
      </c>
      <c r="Z879" s="233" t="s">
        <v>622</v>
      </c>
    </row>
    <row r="880" spans="2:26">
      <c r="B880" s="13" t="str">
        <f t="shared" si="466"/>
        <v>Pendente</v>
      </c>
      <c r="D880" s="13" t="s">
        <v>611</v>
      </c>
      <c r="E880" s="14" t="str">
        <f t="shared" si="467"/>
        <v/>
      </c>
      <c r="F880" s="13" t="s">
        <v>611</v>
      </c>
      <c r="G880" s="191">
        <v>202501023</v>
      </c>
      <c r="H880" s="191" t="s">
        <v>6968</v>
      </c>
      <c r="I880" s="191" t="s">
        <v>613</v>
      </c>
      <c r="J880" s="192">
        <v>45971</v>
      </c>
      <c r="K880" s="192">
        <v>46335</v>
      </c>
      <c r="L880" s="191" t="s">
        <v>5223</v>
      </c>
      <c r="M880" s="191" t="s">
        <v>5224</v>
      </c>
      <c r="N880" s="13" t="s">
        <v>558</v>
      </c>
      <c r="O880" s="17" t="s">
        <v>6969</v>
      </c>
      <c r="P880" s="486" t="s">
        <v>457</v>
      </c>
      <c r="Q880" s="13" t="s">
        <v>618</v>
      </c>
      <c r="R880" s="13" t="str">
        <f>VLOOKUP(P880,'Dados das Regiões '!A:B,2,0)</f>
        <v>RIO NEGRO</v>
      </c>
      <c r="S880" s="191" t="s">
        <v>6970</v>
      </c>
      <c r="U880" s="191" t="s">
        <v>561</v>
      </c>
      <c r="V880" s="191" t="s">
        <v>561</v>
      </c>
      <c r="W880" s="191" t="s">
        <v>5225</v>
      </c>
      <c r="X880" s="195">
        <v>0.33333333333333331</v>
      </c>
      <c r="Y880" s="426" t="s">
        <v>648</v>
      </c>
      <c r="Z880" s="233" t="s">
        <v>622</v>
      </c>
    </row>
    <row r="881" spans="1:44">
      <c r="B881" s="13" t="str">
        <f t="shared" si="466"/>
        <v>Pendente</v>
      </c>
      <c r="D881" s="13" t="s">
        <v>611</v>
      </c>
      <c r="E881" s="14" t="str">
        <f t="shared" si="467"/>
        <v/>
      </c>
      <c r="F881" s="13" t="s">
        <v>611</v>
      </c>
      <c r="G881" s="191">
        <v>202500412</v>
      </c>
      <c r="H881" s="191" t="s">
        <v>6971</v>
      </c>
      <c r="I881" s="191" t="s">
        <v>613</v>
      </c>
      <c r="J881" s="192">
        <v>45971</v>
      </c>
      <c r="K881" s="192">
        <v>46335</v>
      </c>
      <c r="L881" s="191" t="s">
        <v>812</v>
      </c>
      <c r="M881" s="191" t="s">
        <v>844</v>
      </c>
      <c r="N881" s="13" t="s">
        <v>6972</v>
      </c>
      <c r="O881" s="17" t="s">
        <v>6973</v>
      </c>
      <c r="P881" s="486" t="s">
        <v>301</v>
      </c>
      <c r="Q881" s="13" t="s">
        <v>618</v>
      </c>
      <c r="R881" s="13" t="str">
        <f>VLOOKUP(P881,'Dados das Regiões '!A:B,2,0)</f>
        <v>GUARAPUAVA</v>
      </c>
      <c r="S881" s="191" t="s">
        <v>847</v>
      </c>
      <c r="U881" s="191" t="s">
        <v>817</v>
      </c>
      <c r="V881" s="191" t="s">
        <v>6974</v>
      </c>
      <c r="W881" s="191" t="s">
        <v>6975</v>
      </c>
      <c r="X881" s="195">
        <v>0.54166666666666663</v>
      </c>
      <c r="Y881" s="426" t="s">
        <v>848</v>
      </c>
      <c r="Z881" s="233" t="s">
        <v>622</v>
      </c>
    </row>
    <row r="882" spans="1:44">
      <c r="B882" s="13" t="str">
        <f t="shared" si="466"/>
        <v>Pendente</v>
      </c>
      <c r="D882" s="13" t="s">
        <v>611</v>
      </c>
      <c r="E882" s="14" t="str">
        <f t="shared" si="467"/>
        <v/>
      </c>
      <c r="F882" s="13" t="s">
        <v>611</v>
      </c>
      <c r="G882" s="191">
        <v>202500412</v>
      </c>
      <c r="H882" s="191" t="s">
        <v>6976</v>
      </c>
      <c r="I882" s="191" t="s">
        <v>613</v>
      </c>
      <c r="J882" s="192">
        <v>45971</v>
      </c>
      <c r="K882" s="192">
        <v>46335</v>
      </c>
      <c r="L882" s="191" t="s">
        <v>812</v>
      </c>
      <c r="M882" s="191" t="s">
        <v>813</v>
      </c>
      <c r="N882" s="13" t="s">
        <v>6977</v>
      </c>
      <c r="O882" s="17" t="s">
        <v>6978</v>
      </c>
      <c r="P882" s="486" t="s">
        <v>301</v>
      </c>
      <c r="Q882" s="13" t="s">
        <v>618</v>
      </c>
      <c r="R882" s="13" t="str">
        <f>VLOOKUP(P882,'Dados das Regiões '!A:B,2,0)</f>
        <v>GUARAPUAVA</v>
      </c>
      <c r="S882" s="191" t="s">
        <v>6979</v>
      </c>
      <c r="U882" s="191" t="s">
        <v>817</v>
      </c>
      <c r="V882" s="191" t="s">
        <v>6980</v>
      </c>
      <c r="W882" s="191" t="s">
        <v>6981</v>
      </c>
      <c r="X882" s="195">
        <v>0.54166666666666663</v>
      </c>
      <c r="Y882" s="426" t="s">
        <v>848</v>
      </c>
      <c r="Z882" s="233" t="s">
        <v>622</v>
      </c>
    </row>
    <row r="883" spans="1:44">
      <c r="B883" s="13" t="str">
        <f t="shared" si="466"/>
        <v>Pendente</v>
      </c>
      <c r="D883" s="13" t="s">
        <v>611</v>
      </c>
      <c r="E883" s="14" t="str">
        <f t="shared" si="467"/>
        <v/>
      </c>
      <c r="F883" s="13" t="s">
        <v>611</v>
      </c>
      <c r="G883" s="191">
        <v>202500412</v>
      </c>
      <c r="H883" s="191" t="s">
        <v>6982</v>
      </c>
      <c r="I883" s="191" t="s">
        <v>613</v>
      </c>
      <c r="J883" s="192">
        <v>45971</v>
      </c>
      <c r="K883" s="192">
        <v>46335</v>
      </c>
      <c r="L883" s="191" t="s">
        <v>812</v>
      </c>
      <c r="M883" s="191" t="s">
        <v>844</v>
      </c>
      <c r="N883" s="13" t="s">
        <v>6972</v>
      </c>
      <c r="O883" s="17" t="s">
        <v>6973</v>
      </c>
      <c r="P883" s="486" t="s">
        <v>301</v>
      </c>
      <c r="Q883" s="13" t="s">
        <v>618</v>
      </c>
      <c r="R883" s="13" t="str">
        <f>VLOOKUP(P883,'Dados das Regiões '!A:B,2,0)</f>
        <v>GUARAPUAVA</v>
      </c>
      <c r="S883" s="191" t="s">
        <v>847</v>
      </c>
      <c r="U883" s="191" t="s">
        <v>817</v>
      </c>
      <c r="V883" s="191" t="s">
        <v>6983</v>
      </c>
      <c r="W883" s="191" t="s">
        <v>6975</v>
      </c>
      <c r="X883" s="195">
        <v>0.3125</v>
      </c>
      <c r="Y883" s="426" t="s">
        <v>796</v>
      </c>
      <c r="Z883" s="233" t="s">
        <v>622</v>
      </c>
    </row>
    <row r="884" spans="1:44">
      <c r="B884" s="13" t="str">
        <f t="shared" si="466"/>
        <v>Pendente</v>
      </c>
      <c r="D884" s="13" t="s">
        <v>611</v>
      </c>
      <c r="E884" s="14" t="str">
        <f t="shared" si="467"/>
        <v/>
      </c>
      <c r="F884" s="13" t="s">
        <v>611</v>
      </c>
      <c r="G884" s="191">
        <v>202500412</v>
      </c>
      <c r="H884" s="191" t="s">
        <v>6984</v>
      </c>
      <c r="I884" s="191" t="s">
        <v>613</v>
      </c>
      <c r="J884" s="192">
        <v>45971</v>
      </c>
      <c r="K884" s="192">
        <v>46335</v>
      </c>
      <c r="L884" s="191" t="s">
        <v>812</v>
      </c>
      <c r="M884" s="191" t="s">
        <v>828</v>
      </c>
      <c r="N884" s="13" t="s">
        <v>6985</v>
      </c>
      <c r="O884" s="17" t="s">
        <v>6986</v>
      </c>
      <c r="P884" s="486" t="s">
        <v>301</v>
      </c>
      <c r="Q884" s="13" t="s">
        <v>618</v>
      </c>
      <c r="R884" s="13" t="str">
        <f>VLOOKUP(P884,'Dados das Regiões '!A:B,2,0)</f>
        <v>GUARAPUAVA</v>
      </c>
      <c r="S884" s="191" t="s">
        <v>830</v>
      </c>
      <c r="U884" s="191" t="s">
        <v>817</v>
      </c>
      <c r="V884" s="191" t="s">
        <v>831</v>
      </c>
      <c r="W884" s="191" t="s">
        <v>832</v>
      </c>
      <c r="X884" s="195">
        <v>0.54166666666666663</v>
      </c>
      <c r="Y884" s="426" t="s">
        <v>848</v>
      </c>
      <c r="Z884" s="233" t="s">
        <v>622</v>
      </c>
    </row>
    <row r="885" spans="1:44">
      <c r="A885" s="14">
        <v>45924</v>
      </c>
      <c r="B885" s="13" t="str">
        <f t="shared" si="466"/>
        <v>Realizada</v>
      </c>
      <c r="C885" s="14">
        <f t="shared" ref="C885" si="468">IF(A885="", "", EDATE(A885, 3))</f>
        <v>46015</v>
      </c>
      <c r="D885" s="13" t="s">
        <v>611</v>
      </c>
      <c r="E885" s="14">
        <f t="shared" si="467"/>
        <v>46105</v>
      </c>
      <c r="F885" s="13" t="s">
        <v>611</v>
      </c>
      <c r="G885" s="237">
        <v>202500868</v>
      </c>
      <c r="H885" s="22" t="s">
        <v>3113</v>
      </c>
      <c r="I885" s="190" t="s">
        <v>1192</v>
      </c>
      <c r="J885" s="200">
        <v>45880</v>
      </c>
      <c r="K885" s="200">
        <v>46239</v>
      </c>
      <c r="L885" s="190" t="s">
        <v>1202</v>
      </c>
      <c r="M885" s="190" t="s">
        <v>1203</v>
      </c>
      <c r="N885" s="13" t="s">
        <v>1204</v>
      </c>
      <c r="O885" s="17" t="s">
        <v>1205</v>
      </c>
      <c r="P885" s="189" t="s">
        <v>453</v>
      </c>
      <c r="Q885" s="13" t="s">
        <v>618</v>
      </c>
      <c r="R885" s="13" t="str">
        <f>VLOOKUP(P885,'Dados das Regiões '!A:B,2,0)</f>
        <v>PRUDENTÓPOLIS</v>
      </c>
      <c r="S885" s="22" t="s">
        <v>6987</v>
      </c>
      <c r="T885" s="40"/>
      <c r="U885" s="22" t="s">
        <v>3939</v>
      </c>
      <c r="V885" s="22" t="s">
        <v>3940</v>
      </c>
      <c r="W885" s="22" t="s">
        <v>3941</v>
      </c>
      <c r="X885" s="90">
        <v>0.54166666666666663</v>
      </c>
      <c r="Y885" s="515">
        <v>0.625</v>
      </c>
      <c r="Z885" s="233" t="s">
        <v>622</v>
      </c>
      <c r="AB885" s="164">
        <v>202401100</v>
      </c>
      <c r="AC885" s="55" t="s">
        <v>3</v>
      </c>
      <c r="AD885" s="40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</row>
    <row r="886" spans="1:44">
      <c r="B886" s="13" t="str">
        <f t="shared" si="466"/>
        <v>Pendente</v>
      </c>
      <c r="D886" s="13" t="s">
        <v>611</v>
      </c>
      <c r="F886" s="13" t="s">
        <v>611</v>
      </c>
      <c r="G886" s="191">
        <v>202500848</v>
      </c>
      <c r="H886" s="191" t="s">
        <v>6988</v>
      </c>
      <c r="I886" s="191" t="s">
        <v>613</v>
      </c>
      <c r="J886" s="192">
        <v>45993</v>
      </c>
      <c r="K886" s="192">
        <v>46357</v>
      </c>
      <c r="L886" s="191" t="s">
        <v>614</v>
      </c>
      <c r="M886" s="191" t="s">
        <v>615</v>
      </c>
      <c r="N886" s="13" t="s">
        <v>6989</v>
      </c>
      <c r="O886" s="17" t="s">
        <v>6990</v>
      </c>
      <c r="P886" s="486" t="s">
        <v>199</v>
      </c>
      <c r="Q886" s="191" t="s">
        <v>618</v>
      </c>
      <c r="R886" s="13" t="str">
        <f>VLOOKUP(P886,'Dados das Regiões '!A:B,2,0)</f>
        <v>CASCAVEL</v>
      </c>
      <c r="S886" s="191" t="s">
        <v>6991</v>
      </c>
      <c r="U886" s="191" t="s">
        <v>6992</v>
      </c>
      <c r="V886" s="191" t="s">
        <v>6992</v>
      </c>
      <c r="W886" s="191" t="s">
        <v>6993</v>
      </c>
      <c r="X886" s="195">
        <v>0.54166666666666663</v>
      </c>
      <c r="Y886" s="420">
        <v>0.625</v>
      </c>
      <c r="Z886" s="233" t="s">
        <v>622</v>
      </c>
    </row>
    <row r="887" spans="1:44">
      <c r="B887" s="13" t="str">
        <f t="shared" si="466"/>
        <v>Pendente</v>
      </c>
      <c r="D887" s="13" t="s">
        <v>611</v>
      </c>
      <c r="F887" s="13" t="s">
        <v>611</v>
      </c>
      <c r="G887" s="191">
        <v>202500848</v>
      </c>
      <c r="H887" s="191" t="s">
        <v>6994</v>
      </c>
      <c r="I887" s="191" t="s">
        <v>613</v>
      </c>
      <c r="J887" s="192">
        <v>45993</v>
      </c>
      <c r="K887" s="192">
        <v>46357</v>
      </c>
      <c r="L887" s="191" t="s">
        <v>614</v>
      </c>
      <c r="M887" s="191" t="s">
        <v>615</v>
      </c>
      <c r="N887" s="13" t="s">
        <v>6989</v>
      </c>
      <c r="O887" s="17" t="s">
        <v>6990</v>
      </c>
      <c r="P887" s="486" t="s">
        <v>199</v>
      </c>
      <c r="Q887" s="191" t="s">
        <v>618</v>
      </c>
      <c r="R887" s="13" t="str">
        <f>VLOOKUP(P887,'Dados das Regiões '!A:B,2,0)</f>
        <v>CASCAVEL</v>
      </c>
      <c r="S887" s="191" t="s">
        <v>6991</v>
      </c>
      <c r="U887" s="191" t="s">
        <v>6992</v>
      </c>
      <c r="V887" s="191" t="s">
        <v>6992</v>
      </c>
      <c r="W887" s="191" t="s">
        <v>6993</v>
      </c>
      <c r="X887" s="195">
        <v>0.54166666666666663</v>
      </c>
      <c r="Y887" s="420">
        <v>0.625</v>
      </c>
      <c r="Z887" s="233" t="s">
        <v>622</v>
      </c>
    </row>
    <row r="888" spans="1:44">
      <c r="B888" s="13" t="str">
        <f t="shared" si="466"/>
        <v>Pendente</v>
      </c>
      <c r="D888" s="13" t="s">
        <v>611</v>
      </c>
      <c r="F888" s="13" t="s">
        <v>611</v>
      </c>
      <c r="G888" s="191">
        <v>202500848</v>
      </c>
      <c r="H888" s="191" t="s">
        <v>6995</v>
      </c>
      <c r="I888" s="191" t="s">
        <v>613</v>
      </c>
      <c r="J888" s="192">
        <v>45993</v>
      </c>
      <c r="K888" s="192">
        <v>46357</v>
      </c>
      <c r="L888" s="191" t="s">
        <v>614</v>
      </c>
      <c r="M888" s="191" t="s">
        <v>615</v>
      </c>
      <c r="N888" s="13" t="s">
        <v>6989</v>
      </c>
      <c r="O888" s="17" t="s">
        <v>6990</v>
      </c>
      <c r="P888" s="486" t="s">
        <v>199</v>
      </c>
      <c r="Q888" s="191" t="s">
        <v>618</v>
      </c>
      <c r="R888" s="13" t="str">
        <f>VLOOKUP(P888,'Dados das Regiões '!A:B,2,0)</f>
        <v>CASCAVEL</v>
      </c>
      <c r="S888" s="191" t="s">
        <v>6996</v>
      </c>
      <c r="U888" s="191" t="s">
        <v>6992</v>
      </c>
      <c r="V888" s="191" t="s">
        <v>6992</v>
      </c>
      <c r="W888" s="191" t="s">
        <v>6993</v>
      </c>
      <c r="X888" s="195">
        <v>0.54166666666666663</v>
      </c>
      <c r="Y888" s="420">
        <v>0.625</v>
      </c>
      <c r="Z888" s="233" t="s">
        <v>622</v>
      </c>
    </row>
    <row r="889" spans="1:44">
      <c r="B889" s="13" t="str">
        <f t="shared" si="466"/>
        <v>Pendente</v>
      </c>
      <c r="D889" s="13" t="s">
        <v>611</v>
      </c>
      <c r="F889" s="13" t="s">
        <v>611</v>
      </c>
      <c r="G889" s="191">
        <v>202500848</v>
      </c>
      <c r="H889" s="191" t="s">
        <v>6997</v>
      </c>
      <c r="I889" s="191" t="s">
        <v>613</v>
      </c>
      <c r="J889" s="192">
        <v>45993</v>
      </c>
      <c r="K889" s="192">
        <v>46357</v>
      </c>
      <c r="L889" s="191" t="s">
        <v>614</v>
      </c>
      <c r="M889" s="191" t="s">
        <v>615</v>
      </c>
      <c r="N889" s="13" t="s">
        <v>6989</v>
      </c>
      <c r="O889" s="17" t="s">
        <v>6990</v>
      </c>
      <c r="P889" s="486" t="s">
        <v>199</v>
      </c>
      <c r="Q889" s="191" t="s">
        <v>618</v>
      </c>
      <c r="R889" s="13" t="str">
        <f>VLOOKUP(P889,'Dados das Regiões '!A:B,2,0)</f>
        <v>CASCAVEL</v>
      </c>
      <c r="S889" s="191" t="s">
        <v>6991</v>
      </c>
      <c r="U889" s="191" t="s">
        <v>6992</v>
      </c>
      <c r="V889" s="191" t="s">
        <v>6992</v>
      </c>
      <c r="W889" s="191" t="s">
        <v>6993</v>
      </c>
      <c r="X889" s="195">
        <v>0.54166666666666663</v>
      </c>
      <c r="Y889" s="420">
        <v>0.625</v>
      </c>
      <c r="Z889" s="233" t="s">
        <v>622</v>
      </c>
    </row>
    <row r="1047933" spans="1:29" ht="15" customHeight="1"/>
    <row r="1047934" spans="1:29" ht="21" customHeight="1">
      <c r="A1047934" s="91"/>
      <c r="B1047934" s="41"/>
      <c r="C1047934" s="91"/>
      <c r="D1047934" s="41"/>
      <c r="E1047934" s="91"/>
      <c r="F1047934" s="41"/>
      <c r="G1047934" s="47"/>
      <c r="H1047934" s="41"/>
      <c r="I1047934" s="41"/>
      <c r="J1047934" s="41"/>
      <c r="K1047934" s="41"/>
      <c r="L1047934" s="41"/>
      <c r="M1047934" s="41"/>
      <c r="N1047934" s="41"/>
      <c r="O1047934" s="41"/>
      <c r="P1047934" s="86"/>
      <c r="Q1047934" s="41"/>
      <c r="R1047934" s="41"/>
      <c r="S1047934" s="41"/>
      <c r="T1047934" s="41"/>
      <c r="U1047934" s="86"/>
      <c r="V1047934" s="41"/>
      <c r="W1047934" s="41"/>
      <c r="X1047934" s="41"/>
      <c r="Y1047934" s="489"/>
      <c r="Z1047934" s="48"/>
      <c r="AA1047934" s="49"/>
      <c r="AB1047934" s="171"/>
      <c r="AC1047934" s="229"/>
    </row>
    <row r="1047935" spans="1:29" customFormat="1">
      <c r="A1047935" s="14"/>
      <c r="P1047935" s="57"/>
      <c r="Y1047935" s="490"/>
    </row>
    <row r="1047936" spans="1:29">
      <c r="A1047936"/>
      <c r="B1047936"/>
      <c r="C1047936"/>
      <c r="D1047936"/>
      <c r="E1047936"/>
      <c r="F1047936"/>
      <c r="G1047936"/>
      <c r="H1047936"/>
      <c r="I1047936"/>
      <c r="J1047936"/>
      <c r="K1047936"/>
      <c r="L1047936"/>
      <c r="M1047936"/>
      <c r="N1047936"/>
      <c r="O1047936"/>
      <c r="P1047936" s="57"/>
      <c r="Q1047936"/>
      <c r="R1047936"/>
      <c r="S1047936"/>
      <c r="T1047936"/>
      <c r="U1047936"/>
      <c r="V1047936"/>
      <c r="W1047936"/>
      <c r="X1047936"/>
      <c r="Y1047936" s="490"/>
      <c r="Z1047936"/>
      <c r="AA1047936"/>
      <c r="AB1047936"/>
      <c r="AC1047936"/>
    </row>
    <row r="1047937" spans="1:29">
      <c r="A1047937"/>
      <c r="B1047937"/>
      <c r="C1047937"/>
      <c r="D1047937"/>
      <c r="E1047937"/>
      <c r="F1047937"/>
      <c r="G1047937"/>
      <c r="H1047937"/>
      <c r="I1047937"/>
      <c r="J1047937"/>
      <c r="K1047937"/>
      <c r="L1047937"/>
      <c r="M1047937"/>
      <c r="N1047937"/>
      <c r="O1047937"/>
      <c r="P1047937" s="57"/>
      <c r="Q1047937"/>
      <c r="R1047937"/>
      <c r="S1047937"/>
      <c r="T1047937"/>
      <c r="U1047937"/>
      <c r="V1047937"/>
      <c r="W1047937"/>
      <c r="X1047937"/>
      <c r="Y1047937" s="490"/>
      <c r="Z1047937"/>
      <c r="AA1047937"/>
      <c r="AB1047937"/>
      <c r="AC1047937"/>
    </row>
    <row r="1047939" spans="1:29">
      <c r="E1047939" s="227"/>
    </row>
  </sheetData>
  <sheetProtection algorithmName="SHA-512" hashValue="Sp39swrMSttNr8x54Fn4vyNAb0Usyg+hSbO1DFN7krWsXkUddKfjW+DcpPzeea0Wx3WcuqLEjre4LxbkOHQbRQ==" saltValue="1gz7Rjbbs8CUvrHZGqlEIw==" spinCount="100000" sheet="1" objects="1" scenarios="1" formatCells="0" formatColumns="0" formatRows="0" insertColumns="0" insertRows="0" insertHyperlinks="0" deleteColumns="0" deleteRows="0" sort="0" autoFilter="0" pivotTables="0"/>
  <protectedRanges>
    <protectedRange sqref="E667:Z667 P696:AA696 E649:AJ655 A1047936:A1048576 AB667:AJ737 E668:AA668 E671:AA674 E669:M670 P669:AA670 E680:AA681 E675:M679 P675:AA679 E682:M682 P682:AA682 E696:M696 B668:D737 E697:AA737 B738:AJ753 B754:M759 P754:AJ759 B791:M796 P791:AJ796 B760:AJ790 E658:AJ661 E666:AJ666 W662:AJ665 E662:U665 E656:U657 W656:AJ657 A649:D667 A668:A884 A886:A1047934 R885 E683:AA695 B890:AJ1048576 C886:C889 AA886:AJ889 Z885:Z889 E886:E889 G886:Y889 B797:AJ884 A1:AJ648" name="Range1"/>
    <protectedRange sqref="N669:O669" name="Range1_44_1"/>
    <protectedRange sqref="N670:O670" name="Range1_46_1"/>
    <protectedRange sqref="N675:O675" name="Range1_1_1"/>
    <protectedRange sqref="N676:O676" name="Range1_66_1"/>
    <protectedRange sqref="N677:O677" name="Range1_59_1"/>
    <protectedRange sqref="N678:O678" name="Range1_85_1"/>
    <protectedRange sqref="N679:O679" name="Range1_17_1"/>
    <protectedRange sqref="N682:O682" name="Range1_44_2"/>
    <protectedRange sqref="N696:O696" name="Range1_70_1"/>
    <protectedRange sqref="N754:O754" name="Range1_3_1"/>
    <protectedRange sqref="N755:O755" name="Range1_3_1_1"/>
    <protectedRange sqref="N756:O756" name="Range1_3_1_2"/>
    <protectedRange sqref="N757:O757" name="Range1_3_1_3"/>
    <protectedRange sqref="N758:O758" name="Range1_3_1_4"/>
    <protectedRange sqref="N759:O759" name="Range1_3_1_5"/>
    <protectedRange sqref="N791:O796" name="Range1_3_1_6"/>
    <protectedRange sqref="V657" name="Range1_70_4"/>
    <protectedRange sqref="V662" name="Range1_70_5"/>
    <protectedRange sqref="V663:V665" name="Range1_70_6"/>
    <protectedRange sqref="V656" name="Range1_70_7"/>
    <protectedRange sqref="A885:Q885 S885:Y885 AA885:AJ885 B886:B889 D886:D889 F886:F889" name="Range1_14_1"/>
  </protectedRanges>
  <autoFilter ref="A1:F885" xr:uid="{5F284520-E78B-44AC-A96C-FB6165FAE79A}"/>
  <conditionalFormatting sqref="F734:F884 D734:D884 B734:B884 B890:B1047317 D890:D1047317 F890:F1047317 B1:B666 D1:D666 F1:F666">
    <cfRule type="containsBlanks" dxfId="162" priority="147">
      <formula>LEN(TRIM(B1))=0</formula>
    </cfRule>
    <cfRule type="containsText" dxfId="161" priority="148" operator="containsText" text="Pendente">
      <formula>NOT(ISERROR(SEARCH("Pendente",B1)))</formula>
    </cfRule>
    <cfRule type="containsText" dxfId="160" priority="149" operator="containsText" text="Realizada">
      <formula>NOT(ISERROR(SEARCH("Realizada",B1)))</formula>
    </cfRule>
  </conditionalFormatting>
  <conditionalFormatting sqref="H1047938:H1048576 H890:H1047934 H1:H438">
    <cfRule type="duplicateValues" dxfId="159" priority="123"/>
  </conditionalFormatting>
  <conditionalFormatting sqref="J890:J1047934 J1047938:J1048576 J1:J372">
    <cfRule type="cellIs" dxfId="158" priority="156" operator="equal">
      <formula>45733</formula>
    </cfRule>
  </conditionalFormatting>
  <conditionalFormatting sqref="M890:M1047934 M1047938:M1048576 M1:M438">
    <cfRule type="duplicateValues" dxfId="157" priority="124"/>
  </conditionalFormatting>
  <conditionalFormatting sqref="M890:M1047934 M1047938:M1048576 M1:M372">
    <cfRule type="duplicateValues" dxfId="156" priority="128"/>
  </conditionalFormatting>
  <conditionalFormatting sqref="N1 O334:O335 O402:O403 O407 N1047938:O1048576 N680:O681 N671:O674 N683:O684 N686:O695 N336:O401 N697:O753 O843 N760:O790 N797:O842 N844:O884 N886:O1047934 N404:O406 N2:O333 N408:O668">
    <cfRule type="cellIs" dxfId="155" priority="157" operator="equal">
      <formula>0</formula>
    </cfRule>
  </conditionalFormatting>
  <conditionalFormatting sqref="AA668:AA884 AA886:AA1047934 AA1:AA666">
    <cfRule type="notContainsBlanks" dxfId="154" priority="120" stopIfTrue="1">
      <formula>LEN(TRIM(AA1))&gt;0</formula>
    </cfRule>
  </conditionalFormatting>
  <conditionalFormatting sqref="B667:B733 D667:D733 F667:F733">
    <cfRule type="containsBlanks" dxfId="153" priority="88">
      <formula>LEN(TRIM(B667))=0</formula>
    </cfRule>
    <cfRule type="containsText" dxfId="152" priority="89" operator="containsText" text="Pendente">
      <formula>NOT(ISERROR(SEARCH("Pendente",B667)))</formula>
    </cfRule>
    <cfRule type="containsText" dxfId="151" priority="90" operator="containsText" text="Realizada">
      <formula>NOT(ISERROR(SEARCH("Realizada",B667)))</formula>
    </cfRule>
  </conditionalFormatting>
  <conditionalFormatting sqref="N667">
    <cfRule type="duplicateValues" dxfId="150" priority="91"/>
  </conditionalFormatting>
  <conditionalFormatting sqref="X147:X561">
    <cfRule type="cellIs" dxfId="149" priority="83" operator="lessThan">
      <formula>0.541666666666667</formula>
    </cfRule>
  </conditionalFormatting>
  <conditionalFormatting sqref="X147:X561">
    <cfRule type="cellIs" dxfId="148" priority="82" operator="greaterThan">
      <formula>0.0833333333333333</formula>
    </cfRule>
  </conditionalFormatting>
  <conditionalFormatting sqref="M890:M1048576 M1:M738">
    <cfRule type="duplicateValues" dxfId="147" priority="80"/>
  </conditionalFormatting>
  <conditionalFormatting sqref="M890:M1048576 M1:M738">
    <cfRule type="duplicateValues" dxfId="146" priority="79"/>
  </conditionalFormatting>
  <conditionalFormatting sqref="N669">
    <cfRule type="duplicateValues" dxfId="145" priority="78"/>
  </conditionalFormatting>
  <conditionalFormatting sqref="N669:O669">
    <cfRule type="cellIs" dxfId="144" priority="77" operator="equal">
      <formula>0</formula>
    </cfRule>
  </conditionalFormatting>
  <conditionalFormatting sqref="N669">
    <cfRule type="duplicateValues" dxfId="143" priority="76"/>
  </conditionalFormatting>
  <conditionalFormatting sqref="N669">
    <cfRule type="duplicateValues" dxfId="142" priority="75"/>
  </conditionalFormatting>
  <conditionalFormatting sqref="N670">
    <cfRule type="duplicateValues" dxfId="141" priority="74"/>
  </conditionalFormatting>
  <conditionalFormatting sqref="N670:O670">
    <cfRule type="cellIs" dxfId="140" priority="73" operator="equal">
      <formula>0</formula>
    </cfRule>
  </conditionalFormatting>
  <conditionalFormatting sqref="N670">
    <cfRule type="duplicateValues" dxfId="139" priority="72"/>
  </conditionalFormatting>
  <conditionalFormatting sqref="N670">
    <cfRule type="duplicateValues" dxfId="138" priority="71"/>
  </conditionalFormatting>
  <conditionalFormatting sqref="N675:O675">
    <cfRule type="cellIs" dxfId="137" priority="69" operator="equal">
      <formula>0</formula>
    </cfRule>
  </conditionalFormatting>
  <conditionalFormatting sqref="N675">
    <cfRule type="duplicateValues" dxfId="136" priority="70"/>
  </conditionalFormatting>
  <conditionalFormatting sqref="N675">
    <cfRule type="duplicateValues" dxfId="135" priority="68"/>
  </conditionalFormatting>
  <conditionalFormatting sqref="N676:O676">
    <cfRule type="cellIs" dxfId="134" priority="66" operator="equal">
      <formula>0</formula>
    </cfRule>
  </conditionalFormatting>
  <conditionalFormatting sqref="N676">
    <cfRule type="duplicateValues" dxfId="133" priority="65"/>
  </conditionalFormatting>
  <conditionalFormatting sqref="N676">
    <cfRule type="duplicateValues" dxfId="132" priority="67"/>
  </conditionalFormatting>
  <conditionalFormatting sqref="N676">
    <cfRule type="duplicateValues" dxfId="131" priority="64"/>
  </conditionalFormatting>
  <conditionalFormatting sqref="N677:O677">
    <cfRule type="cellIs" dxfId="130" priority="62" operator="equal">
      <formula>0</formula>
    </cfRule>
  </conditionalFormatting>
  <conditionalFormatting sqref="N677">
    <cfRule type="duplicateValues" dxfId="129" priority="61"/>
  </conditionalFormatting>
  <conditionalFormatting sqref="N677">
    <cfRule type="duplicateValues" dxfId="128" priority="63"/>
  </conditionalFormatting>
  <conditionalFormatting sqref="N677">
    <cfRule type="duplicateValues" dxfId="127" priority="60"/>
  </conditionalFormatting>
  <conditionalFormatting sqref="N678:O678">
    <cfRule type="cellIs" dxfId="126" priority="58" operator="equal">
      <formula>0</formula>
    </cfRule>
  </conditionalFormatting>
  <conditionalFormatting sqref="N678">
    <cfRule type="duplicateValues" dxfId="125" priority="57"/>
  </conditionalFormatting>
  <conditionalFormatting sqref="N678">
    <cfRule type="duplicateValues" dxfId="124" priority="59"/>
  </conditionalFormatting>
  <conditionalFormatting sqref="N678">
    <cfRule type="duplicateValues" dxfId="123" priority="56"/>
  </conditionalFormatting>
  <conditionalFormatting sqref="N679:O679">
    <cfRule type="cellIs" dxfId="122" priority="54" operator="equal">
      <formula>0</formula>
    </cfRule>
  </conditionalFormatting>
  <conditionalFormatting sqref="N679">
    <cfRule type="duplicateValues" dxfId="121" priority="53"/>
  </conditionalFormatting>
  <conditionalFormatting sqref="N679">
    <cfRule type="duplicateValues" dxfId="120" priority="55"/>
  </conditionalFormatting>
  <conditionalFormatting sqref="N679">
    <cfRule type="duplicateValues" dxfId="119" priority="52"/>
  </conditionalFormatting>
  <conditionalFormatting sqref="N682:O682">
    <cfRule type="cellIs" dxfId="118" priority="51" operator="equal">
      <formula>0</formula>
    </cfRule>
  </conditionalFormatting>
  <conditionalFormatting sqref="N682">
    <cfRule type="duplicateValues" dxfId="117" priority="50"/>
  </conditionalFormatting>
  <conditionalFormatting sqref="N682">
    <cfRule type="duplicateValues" dxfId="116" priority="49"/>
  </conditionalFormatting>
  <conditionalFormatting sqref="N682">
    <cfRule type="duplicateValues" dxfId="115" priority="48"/>
  </conditionalFormatting>
  <conditionalFormatting sqref="N685">
    <cfRule type="duplicateValues" dxfId="114" priority="47"/>
  </conditionalFormatting>
  <conditionalFormatting sqref="N696:O696">
    <cfRule type="cellIs" dxfId="113" priority="45" operator="equal">
      <formula>0</formula>
    </cfRule>
  </conditionalFormatting>
  <conditionalFormatting sqref="N696">
    <cfRule type="duplicateValues" dxfId="112" priority="44"/>
  </conditionalFormatting>
  <conditionalFormatting sqref="N696">
    <cfRule type="duplicateValues" dxfId="111" priority="46"/>
  </conditionalFormatting>
  <conditionalFormatting sqref="N696">
    <cfRule type="duplicateValues" dxfId="110" priority="43"/>
  </conditionalFormatting>
  <conditionalFormatting sqref="M890:M1048576 M1:M874">
    <cfRule type="duplicateValues" dxfId="109" priority="36"/>
  </conditionalFormatting>
  <conditionalFormatting sqref="H890:H1048576 H1:H738">
    <cfRule type="duplicateValues" dxfId="108" priority="35"/>
  </conditionalFormatting>
  <conditionalFormatting sqref="H890:H1048576 H1:H874">
    <cfRule type="duplicateValues" dxfId="107" priority="34"/>
  </conditionalFormatting>
  <conditionalFormatting sqref="M869:M884">
    <cfRule type="duplicateValues" dxfId="106" priority="33"/>
  </conditionalFormatting>
  <conditionalFormatting sqref="N754:O754">
    <cfRule type="cellIs" dxfId="105" priority="31" operator="equal">
      <formula>0</formula>
    </cfRule>
  </conditionalFormatting>
  <conditionalFormatting sqref="N754">
    <cfRule type="duplicateValues" dxfId="104" priority="32"/>
  </conditionalFormatting>
  <conditionalFormatting sqref="N755:O755">
    <cfRule type="cellIs" dxfId="103" priority="29" operator="equal">
      <formula>0</formula>
    </cfRule>
  </conditionalFormatting>
  <conditionalFormatting sqref="N755">
    <cfRule type="duplicateValues" dxfId="102" priority="30"/>
  </conditionalFormatting>
  <conditionalFormatting sqref="N756:O756">
    <cfRule type="cellIs" dxfId="101" priority="27" operator="equal">
      <formula>0</formula>
    </cfRule>
  </conditionalFormatting>
  <conditionalFormatting sqref="N756">
    <cfRule type="duplicateValues" dxfId="100" priority="28"/>
  </conditionalFormatting>
  <conditionalFormatting sqref="N757:O757">
    <cfRule type="cellIs" dxfId="99" priority="25" operator="equal">
      <formula>0</formula>
    </cfRule>
  </conditionalFormatting>
  <conditionalFormatting sqref="N757">
    <cfRule type="duplicateValues" dxfId="98" priority="26"/>
  </conditionalFormatting>
  <conditionalFormatting sqref="N758:O758">
    <cfRule type="cellIs" dxfId="97" priority="23" operator="equal">
      <formula>0</formula>
    </cfRule>
  </conditionalFormatting>
  <conditionalFormatting sqref="N758">
    <cfRule type="duplicateValues" dxfId="96" priority="24"/>
  </conditionalFormatting>
  <conditionalFormatting sqref="N759:O759">
    <cfRule type="cellIs" dxfId="95" priority="21" operator="equal">
      <formula>0</formula>
    </cfRule>
  </conditionalFormatting>
  <conditionalFormatting sqref="N759">
    <cfRule type="duplicateValues" dxfId="94" priority="22"/>
  </conditionalFormatting>
  <conditionalFormatting sqref="N791:O796">
    <cfRule type="cellIs" dxfId="93" priority="19" operator="equal">
      <formula>0</formula>
    </cfRule>
  </conditionalFormatting>
  <conditionalFormatting sqref="N791:N796">
    <cfRule type="duplicateValues" dxfId="92" priority="20"/>
  </conditionalFormatting>
  <conditionalFormatting sqref="O852:O853">
    <cfRule type="duplicateValues" dxfId="91" priority="18"/>
  </conditionalFormatting>
  <conditionalFormatting sqref="N680:N681 N404:N406 N408:N666 N1:N401 N668 N671:N674 N683:N684 N686:N695 N697:N753 N760:N790 N797:N884 N886:N1047934">
    <cfRule type="duplicateValues" dxfId="90" priority="1868"/>
  </conditionalFormatting>
  <conditionalFormatting sqref="H890:H1048576 H1:H884">
    <cfRule type="duplicateValues" dxfId="89" priority="17"/>
  </conditionalFormatting>
  <conditionalFormatting sqref="B885:B889 D885:D889 F885:F889">
    <cfRule type="containsBlanks" dxfId="88" priority="11">
      <formula>LEN(TRIM(B885))=0</formula>
    </cfRule>
    <cfRule type="containsText" dxfId="87" priority="12" operator="containsText" text="Pendente">
      <formula>NOT(ISERROR(SEARCH("Pendente",B885)))</formula>
    </cfRule>
    <cfRule type="containsText" dxfId="86" priority="13" operator="containsText" text="Realizada">
      <formula>NOT(ISERROR(SEARCH("Realizada",B885)))</formula>
    </cfRule>
  </conditionalFormatting>
  <conditionalFormatting sqref="H885">
    <cfRule type="duplicateValues" dxfId="85" priority="8"/>
  </conditionalFormatting>
  <conditionalFormatting sqref="J885">
    <cfRule type="cellIs" dxfId="84" priority="14" operator="equal">
      <formula>45733</formula>
    </cfRule>
  </conditionalFormatting>
  <conditionalFormatting sqref="M885">
    <cfRule type="duplicateValues" dxfId="83" priority="9"/>
  </conditionalFormatting>
  <conditionalFormatting sqref="M885">
    <cfRule type="duplicateValues" dxfId="82" priority="10"/>
  </conditionalFormatting>
  <conditionalFormatting sqref="N885:O885">
    <cfRule type="cellIs" dxfId="81" priority="15" operator="equal">
      <formula>0</formula>
    </cfRule>
  </conditionalFormatting>
  <conditionalFormatting sqref="AA885">
    <cfRule type="notContainsBlanks" dxfId="80" priority="7" stopIfTrue="1">
      <formula>LEN(TRIM(AA885))&gt;0</formula>
    </cfRule>
  </conditionalFormatting>
  <conditionalFormatting sqref="M885">
    <cfRule type="duplicateValues" dxfId="79" priority="6"/>
  </conditionalFormatting>
  <conditionalFormatting sqref="M885">
    <cfRule type="duplicateValues" dxfId="78" priority="5"/>
  </conditionalFormatting>
  <conditionalFormatting sqref="M885">
    <cfRule type="duplicateValues" dxfId="77" priority="4"/>
  </conditionalFormatting>
  <conditionalFormatting sqref="H885">
    <cfRule type="duplicateValues" dxfId="76" priority="3"/>
  </conditionalFormatting>
  <conditionalFormatting sqref="H885">
    <cfRule type="duplicateValues" dxfId="75" priority="2"/>
  </conditionalFormatting>
  <conditionalFormatting sqref="N885">
    <cfRule type="duplicateValues" dxfId="74" priority="16"/>
  </conditionalFormatting>
  <conditionalFormatting sqref="H885">
    <cfRule type="duplicateValues" dxfId="73" priority="1"/>
  </conditionalFormatting>
  <dataValidations count="2">
    <dataValidation allowBlank="1" showInputMessage="1" showErrorMessage="1" sqref="A1:F1 AA668:AA1047934 B2:B1047317 AA1:AA666" xr:uid="{0161BF75-87D3-4539-BA3A-B7B90EB3FD8F}"/>
    <dataValidation type="list" allowBlank="1" showInputMessage="1" showErrorMessage="1" sqref="AB64 AB66:AB68 AB71 AB73 AB303:AB343 AB885 AB76:AB149 AB345:AB440 AB151:AB301 AB2:AB61" xr:uid="{CB2428C8-7751-43F5-BE93-78A593A2087C}">
      <formula1>#REF!</formula1>
    </dataValidation>
  </dataValidations>
  <hyperlinks>
    <hyperlink ref="AA288" r:id="rId1" xr:uid="{9460FC5C-01CB-4A29-8FFC-483B0386D4BC}"/>
    <hyperlink ref="AA513" r:id="rId2" xr:uid="{9B4A1E81-3668-4026-8370-2A8A4B73E242}"/>
    <hyperlink ref="AA147" r:id="rId3" xr:uid="{1BB2853A-2362-4322-A478-652485B3DEC1}"/>
    <hyperlink ref="W74" r:id="rId4" xr:uid="{E6DD41A6-B5EF-4100-B32B-385AA97DD24A}"/>
    <hyperlink ref="W75" r:id="rId5" xr:uid="{3CF5540B-F3F8-40AD-9AE7-669427E24067}"/>
    <hyperlink ref="O433" r:id="rId6" xr:uid="{91AF2582-14B3-4194-948D-3C8B69EDE7AC}"/>
    <hyperlink ref="O426" r:id="rId7" xr:uid="{89DB44DC-AD1E-4E2A-B1DC-34ED5F3AFC61}"/>
    <hyperlink ref="N423:O423" r:id="rId8" display="https://maps.app.goo.gl/RsDK6sYwh2wEarJo6" xr:uid="{9741A20F-2821-40FE-94AE-9DA30D682730}"/>
    <hyperlink ref="O423" r:id="rId9" xr:uid="{C0228A89-3979-485C-8126-734E20A5A61B}"/>
    <hyperlink ref="O438" r:id="rId10" xr:uid="{79D097B1-EB39-40A4-9CBC-3C50D31C53D0}"/>
    <hyperlink ref="O419" r:id="rId11" xr:uid="{B5D9376D-7D30-46AC-B2FD-58127409BD21}"/>
    <hyperlink ref="O418" r:id="rId12" xr:uid="{153C5203-080D-45D6-9A77-9CE12511AA62}"/>
    <hyperlink ref="O437" r:id="rId13" xr:uid="{D379B0DB-9515-40F0-8ADB-E103218B7F71}"/>
    <hyperlink ref="O434" r:id="rId14" xr:uid="{72E06F66-E610-4AE1-9F0D-E9DE041C567C}"/>
    <hyperlink ref="O432" r:id="rId15" xr:uid="{5668C143-D1AA-44EF-BED9-6126FEE85E09}"/>
    <hyperlink ref="O430" r:id="rId16" xr:uid="{E02F9BEE-31DF-48C6-BCDA-20A9825E1898}"/>
    <hyperlink ref="O429" r:id="rId17" xr:uid="{147B6B04-A7D7-40F0-9C2D-2CB00C752595}"/>
    <hyperlink ref="O428" r:id="rId18" xr:uid="{879515E7-6C84-4340-8BCB-3323AA612BF7}"/>
    <hyperlink ref="O427" r:id="rId19" xr:uid="{1B884A09-CC78-489B-B960-511D627659A4}"/>
    <hyperlink ref="O425" r:id="rId20" xr:uid="{FEFF8D2A-E483-4E99-83A6-F6A019D8796E}"/>
    <hyperlink ref="O424" r:id="rId21" xr:uid="{2D8AF868-C5F4-4EEF-9741-27AEE894B9C5}"/>
    <hyperlink ref="O420" r:id="rId22" xr:uid="{DE47538E-EBA3-414B-9C1D-EBC106D84771}"/>
    <hyperlink ref="O417" r:id="rId23" xr:uid="{2F50DE04-CE54-4C32-A8D5-E96968691B3A}"/>
    <hyperlink ref="O415" r:id="rId24" xr:uid="{70B21C2F-9C00-41D0-A277-A451B3C35DD7}"/>
    <hyperlink ref="O414" r:id="rId25" xr:uid="{6848FC70-6588-489D-8F62-6273F97BBA14}"/>
    <hyperlink ref="O409" r:id="rId26" xr:uid="{B99A05B8-67C5-436F-84C8-23236C781BD6}"/>
    <hyperlink ref="O408" r:id="rId27" xr:uid="{305B6656-D541-4680-99A0-023E8D750CBB}"/>
    <hyperlink ref="O406" r:id="rId28" xr:uid="{6E26DDAF-818D-4FCC-8455-6B37BBC781A7}"/>
    <hyperlink ref="O404" r:id="rId29" xr:uid="{FFE4E595-5FAC-427F-B64B-B40E431DF453}"/>
    <hyperlink ref="O407" r:id="rId30" xr:uid="{3F7325A6-43DE-4AB6-AEB3-BCA516C0CA77}"/>
    <hyperlink ref="O403" r:id="rId31" xr:uid="{7161BE4E-BEE4-4BE1-A118-A121084B24BA}"/>
    <hyperlink ref="O402" r:id="rId32" xr:uid="{557B3CB2-D6B1-4FA4-BC2E-608E2A2DA3B9}"/>
    <hyperlink ref="O401" r:id="rId33" xr:uid="{D06FA1BC-43BD-4ACE-8D76-42B704B64C5B}"/>
    <hyperlink ref="O400" r:id="rId34" xr:uid="{F8057D71-1225-4FCC-BFCF-3A5CE79F0A83}"/>
    <hyperlink ref="O399" r:id="rId35" xr:uid="{F27945E9-EBBF-4C62-A073-7C0B2C6EE434}"/>
    <hyperlink ref="O398" r:id="rId36" xr:uid="{827DAB32-6D4A-4B0A-BF69-A12850C94400}"/>
    <hyperlink ref="O397" r:id="rId37" xr:uid="{E9B403AC-C66F-40E2-AA26-5CC75F7DAE33}"/>
    <hyperlink ref="O396" r:id="rId38" xr:uid="{F99D20E5-25EF-48A9-A1FD-A30C4C5693B9}"/>
    <hyperlink ref="O395" r:id="rId39" xr:uid="{2F9414EF-140A-4A16-BD4A-6DF6E04B4600}"/>
    <hyperlink ref="O393" r:id="rId40" xr:uid="{A47B8219-ED1A-4041-A93B-B907D644EEC7}"/>
    <hyperlink ref="O392" r:id="rId41" xr:uid="{A3A9AB17-7AFE-4F72-9CF0-7F39A9A734FE}"/>
    <hyperlink ref="O391" r:id="rId42" xr:uid="{21EFA913-4BCF-49B5-9ECF-5AB2FA413D84}"/>
    <hyperlink ref="O382" r:id="rId43" xr:uid="{99946934-DE27-475D-8A56-EB51BAC1EA40}"/>
    <hyperlink ref="O385" r:id="rId44" xr:uid="{7828BDA6-0D17-4BB5-96AC-D2C5938568B2}"/>
    <hyperlink ref="O384" r:id="rId45" xr:uid="{7865C17B-58C9-4CBA-AD39-CA7E4179230D}"/>
    <hyperlink ref="O383" r:id="rId46" xr:uid="{C8682B1F-0BD3-4C31-9135-9B5A5667C98A}"/>
    <hyperlink ref="O381" r:id="rId47" xr:uid="{7F85732B-E677-45BA-B88E-B2E0DC0E8F63}"/>
    <hyperlink ref="O380" r:id="rId48" xr:uid="{21544B9C-5165-4058-90DC-4B87F6CC9ED5}"/>
    <hyperlink ref="O379" r:id="rId49" xr:uid="{D37C7300-C397-49D1-9C42-51AB8AFC93DC}"/>
    <hyperlink ref="O377" r:id="rId50" xr:uid="{7F948BFD-4B7E-4DD1-8399-825792F26245}"/>
    <hyperlink ref="O376" r:id="rId51" xr:uid="{81A30462-063A-40A7-8CDF-F4CCB84922C0}"/>
    <hyperlink ref="O375" r:id="rId52" xr:uid="{859DB33F-75CA-46E6-AAA0-B607E903B3F8}"/>
    <hyperlink ref="O374" r:id="rId53" xr:uid="{CDDD2243-382B-48A8-A10F-E1782BB4FDE5}"/>
    <hyperlink ref="O373" r:id="rId54" xr:uid="{F0150962-813D-48F8-88AD-8CC82400562F}"/>
    <hyperlink ref="O347" r:id="rId55" xr:uid="{CB5751D6-BF9D-4C12-9B48-2D906D398878}"/>
    <hyperlink ref="O303" r:id="rId56" xr:uid="{7DBB596C-C249-47D0-8593-DC924B4E0BD9}"/>
    <hyperlink ref="O297" r:id="rId57" xr:uid="{D62AF0CC-87A5-46F2-AB84-AF8B0491EF73}"/>
    <hyperlink ref="O362" r:id="rId58" xr:uid="{A9FF0B4E-15D3-49A1-82FE-12C99F80C32D}"/>
    <hyperlink ref="O350" r:id="rId59" xr:uid="{D2281392-1B7A-4961-BAF3-C09A84B30AC1}"/>
    <hyperlink ref="O326" r:id="rId60" xr:uid="{0CD68395-6062-4E7F-A185-F9287AD631D7}"/>
    <hyperlink ref="O320" r:id="rId61" xr:uid="{6D136911-2A21-4EC2-A6BD-1D9213ABC796}"/>
    <hyperlink ref="O331" r:id="rId62" xr:uid="{E62776E7-D16C-44D7-B3AC-7C362AAD0822}"/>
    <hyperlink ref="O314" r:id="rId63" xr:uid="{320D119C-EE27-4C3F-82F1-5C9BE7700CBA}"/>
    <hyperlink ref="AA302" r:id="rId64" xr:uid="{B9BB95B1-26DB-438A-9D8B-AF175E5E7556}"/>
    <hyperlink ref="AA75" r:id="rId65" xr:uid="{07CBBB5A-9BF3-4DCE-A3CE-5E16E26956BB}"/>
    <hyperlink ref="AA74" r:id="rId66" xr:uid="{E300E239-E1E8-4F7E-AC90-A6AE9EDCFF42}"/>
    <hyperlink ref="O370" r:id="rId67" xr:uid="{FFE7A599-AF85-4B06-B01C-C47042B674CE}"/>
    <hyperlink ref="O363" r:id="rId68" xr:uid="{58D5ADCF-C07C-4468-888A-A2B158A5A211}"/>
    <hyperlink ref="O329" r:id="rId69" xr:uid="{2E660A80-4F13-46DA-B991-74F7145A99C9}"/>
    <hyperlink ref="O319" r:id="rId70" xr:uid="{18E85599-610C-401F-958E-DD6711E5C5D6}"/>
    <hyperlink ref="O318" r:id="rId71" xr:uid="{755493DF-1B0E-4CA7-BEB0-E52A6DDD3DF2}"/>
    <hyperlink ref="O290" r:id="rId72" xr:uid="{EB15EC8E-DF29-454A-BD75-0EC57165A88C}"/>
    <hyperlink ref="O307" r:id="rId73" xr:uid="{5E69065C-5618-493B-B3F8-D79037753DB1}"/>
    <hyperlink ref="O630" r:id="rId74" xr:uid="{A3E28CCB-7478-4BA6-8E65-6FB7507519D9}"/>
    <hyperlink ref="O304" r:id="rId75" xr:uid="{A876E46C-02AB-4EB3-9F74-0F2E37B81CAE}"/>
    <hyperlink ref="O291" r:id="rId76" xr:uid="{E7349D7E-6F38-42C1-82F1-29FE6475C2EA}"/>
    <hyperlink ref="O312" r:id="rId77" xr:uid="{069B3B54-CF6F-41AB-A609-EBF58F90BBBA}"/>
    <hyperlink ref="O285" r:id="rId78" xr:uid="{4AF45646-0736-44B6-A3FB-58F72AC56B7B}"/>
    <hyperlink ref="O310" r:id="rId79" xr:uid="{F08586AA-A266-4059-BC7E-402E68EC6B4E}"/>
    <hyperlink ref="O300" r:id="rId80" xr:uid="{0C59F648-1B0B-4273-B9CF-6C7D7548F6D5}"/>
    <hyperlink ref="O371" r:id="rId81" xr:uid="{D18BFE3A-70A5-41A5-95FA-6C2752BFBEAE}"/>
    <hyperlink ref="O366" r:id="rId82" xr:uid="{CF6A43F6-2E30-4F29-ABD4-98419E5A9B85}"/>
    <hyperlink ref="O365" r:id="rId83" xr:uid="{91FA0C58-3DA1-4E53-9782-2B32B8DF6DF8}"/>
    <hyperlink ref="O346" r:id="rId84" xr:uid="{719325EB-D6D6-444C-B169-9CA539BC3855}"/>
    <hyperlink ref="O325" r:id="rId85" xr:uid="{3C754FE6-1A62-4444-8D00-39E55C0842C6}"/>
    <hyperlink ref="O281" r:id="rId86" xr:uid="{F4A1B0C1-C8D7-4E5A-896B-CA4FA63D6601}"/>
    <hyperlink ref="O280" r:id="rId87" xr:uid="{F2306564-7482-4DC2-B325-610D4A80335B}"/>
    <hyperlink ref="O276" r:id="rId88" xr:uid="{3817149F-C7FA-475D-9D24-BBD21FA8CA4A}"/>
    <hyperlink ref="O368" r:id="rId89" xr:uid="{AE56E905-441B-4BC3-A506-DE66AF199865}"/>
    <hyperlink ref="O356" r:id="rId90" xr:uid="{B331A6E5-37EF-4540-A663-2EE4007DBDCE}"/>
    <hyperlink ref="O315" r:id="rId91" xr:uid="{F26016C0-6760-42A1-AF6B-07455DEC4FC5}"/>
    <hyperlink ref="O299" r:id="rId92" xr:uid="{079B038B-0768-4548-B141-F323AB7FCD57}"/>
    <hyperlink ref="O293" r:id="rId93" xr:uid="{CB82844F-90E7-4337-9B64-405FF177053C}"/>
    <hyperlink ref="O351" r:id="rId94" xr:uid="{0C1B8A3A-7197-4BBA-9BC2-1615332FF033}"/>
    <hyperlink ref="O328" r:id="rId95" xr:uid="{503D20E3-D4F9-4285-A523-A2959E31F414}"/>
    <hyperlink ref="O340" r:id="rId96" xr:uid="{14C77B07-40E5-4E83-A1DF-85F3CF2845BE}"/>
    <hyperlink ref="O339" r:id="rId97" xr:uid="{EBA31CD6-5B76-401C-A2C2-6A06392ECE90}"/>
    <hyperlink ref="O337" r:id="rId98" xr:uid="{A5728DF4-314D-492F-BEB2-89C51E74AFAA}"/>
    <hyperlink ref="O336" r:id="rId99" xr:uid="{336E0A82-08DA-4839-B218-70F48D6630E4}"/>
    <hyperlink ref="O338" r:id="rId100" xr:uid="{A51B11D0-D5E8-42B2-9514-441CFA94299D}"/>
    <hyperlink ref="O330" r:id="rId101" xr:uid="{369AA146-2B94-463F-9AA5-D37CE4E90250}"/>
    <hyperlink ref="O341" r:id="rId102" xr:uid="{43187068-915B-4F42-96A5-B6A21A38FFCD}"/>
    <hyperlink ref="O324" r:id="rId103" xr:uid="{F72084CA-8F80-4701-95C2-3CC42E99342A}"/>
    <hyperlink ref="O322" r:id="rId104" xr:uid="{651706A4-42DB-4ABE-86E0-E1279EC0924D}"/>
    <hyperlink ref="O316" r:id="rId105" xr:uid="{EC77C55B-4233-469F-951C-E49B10FD89C1}"/>
    <hyperlink ref="O270" r:id="rId106" xr:uid="{DCF6717A-E01B-48B5-8F27-4F125AB8491F}"/>
    <hyperlink ref="O266" r:id="rId107" xr:uid="{FFC36E07-9452-41EE-AAAA-FF36852E5628}"/>
    <hyperlink ref="O308" r:id="rId108" xr:uid="{C282DFED-F78D-417A-A409-2ECA8F516275}"/>
    <hyperlink ref="O295" r:id="rId109" xr:uid="{17067F18-A9D7-4E60-9AC7-9824C1EDA4B1}"/>
    <hyperlink ref="O364" r:id="rId110" xr:uid="{85C2B313-FCB7-4FC2-B5AE-09B88EDFADCC}"/>
    <hyperlink ref="O357" r:id="rId111" xr:uid="{9651E4E9-A284-4170-A265-1A606DA0B505}"/>
    <hyperlink ref="O333" r:id="rId112" xr:uid="{1A35555D-580B-4B1D-80AC-95CEB3559736}"/>
    <hyperlink ref="O321" r:id="rId113" xr:uid="{2A002F3C-282B-438A-87DA-299FC447BC71}"/>
    <hyperlink ref="O292" r:id="rId114" xr:uid="{2CEE63D8-C50E-4628-895A-370628F391DE}"/>
    <hyperlink ref="O288" r:id="rId115" xr:uid="{199307F0-1C77-486B-9886-3B04B40B50D9}"/>
    <hyperlink ref="O353" r:id="rId116" xr:uid="{C52B4504-B1D7-44B6-B0FB-613611D85CB3}"/>
    <hyperlink ref="O313" r:id="rId117" xr:uid="{D1882F7B-96A2-413D-A8B8-5F957E28B589}"/>
    <hyperlink ref="O193" r:id="rId118" xr:uid="{32A7B945-CC7C-4D5D-A54A-52379BAF94D6}"/>
    <hyperlink ref="O155" r:id="rId119" xr:uid="{8518FFE9-67E9-4C60-A23E-2C88796A81BC}"/>
    <hyperlink ref="O342" r:id="rId120" xr:uid="{145AA10F-CA19-47FC-88BA-08AACA6D2B8E}"/>
    <hyperlink ref="O327" r:id="rId121" xr:uid="{ADC35D5E-F5E8-411B-92A1-520608861072}"/>
    <hyperlink ref="O323" r:id="rId122" xr:uid="{7E5618A2-A023-4F04-A1C9-95E02C33F876}"/>
    <hyperlink ref="O352" r:id="rId123" xr:uid="{6320F613-F7E5-498F-A763-39C6E46A0088}"/>
    <hyperlink ref="O150" r:id="rId124" xr:uid="{01B9DA5D-8F66-4025-8A94-6988C3158964}"/>
    <hyperlink ref="O69" r:id="rId125" xr:uid="{44948B81-8D81-4E35-B785-321F55F435F4}"/>
    <hyperlink ref="O344" r:id="rId126" xr:uid="{1C946295-AB45-43C5-9372-6DB7789F5C25}"/>
    <hyperlink ref="O309" r:id="rId127" xr:uid="{8A3B5F84-03D4-4CCF-9D16-5AB32847323F}"/>
    <hyperlink ref="O360" r:id="rId128" xr:uid="{71D1A2CC-6554-4081-AF6F-DE81CC1422E3}"/>
    <hyperlink ref="O359" r:id="rId129" xr:uid="{6F00BD82-AC47-440D-847E-B4AEBCBB46D5}"/>
    <hyperlink ref="O296" r:id="rId130" xr:uid="{745D6858-618D-490A-9C96-0F776BDF3AE3}"/>
    <hyperlink ref="O279" r:id="rId131" xr:uid="{AF5E49A1-B370-4FF9-B5BB-DB9D09B4939C}"/>
    <hyperlink ref="O265" r:id="rId132" xr:uid="{44E0276D-403A-416D-81CB-6BEB843AA5D2}"/>
    <hyperlink ref="O302" r:id="rId133" xr:uid="{47E4591F-49E0-4108-A62C-FA5F8F7D50E3}"/>
    <hyperlink ref="O361" r:id="rId134" xr:uid="{331A2285-143B-47D6-9340-43E6141501F2}"/>
    <hyperlink ref="O355" r:id="rId135" xr:uid="{B264A44F-777F-4189-8808-93BD23DC7CF2}"/>
    <hyperlink ref="O349" r:id="rId136" xr:uid="{E8FD5523-A149-4118-8241-CC16650971C5}"/>
    <hyperlink ref="O348" r:id="rId137" xr:uid="{C0B12C67-CCC5-467E-B15D-99090B9234C6}"/>
    <hyperlink ref="O335" r:id="rId138" xr:uid="{29AF151A-09A7-4A2A-A1FE-A21D65CB3227}"/>
    <hyperlink ref="O334" r:id="rId139" xr:uid="{F4CC973C-4B01-4EDD-9BC5-B0467F806A3D}"/>
    <hyperlink ref="O332" r:id="rId140" xr:uid="{49ACB214-D049-4883-8B89-0E26F64D8BC5}"/>
    <hyperlink ref="O317" r:id="rId141" xr:uid="{144CA935-E897-4A7E-AB52-0E7C73FC563F}"/>
    <hyperlink ref="O311" r:id="rId142" xr:uid="{D6116F29-E9A8-4E3B-8396-3676378CA926}"/>
    <hyperlink ref="O369" r:id="rId143" xr:uid="{E8481AA7-B802-4D0A-A713-5D574877BB4D}"/>
    <hyperlink ref="O367" r:id="rId144" xr:uid="{952609B3-DB91-4BA0-8D4F-E474A359DE18}"/>
    <hyperlink ref="O354" r:id="rId145" xr:uid="{02F63A26-0A3A-4C3D-B9EE-D86DBD28D8AF}"/>
    <hyperlink ref="O345" r:id="rId146" xr:uid="{00FFAAB2-06E2-4E92-A855-384F3CAD26C6}"/>
    <hyperlink ref="O305" r:id="rId147" xr:uid="{93AD2B4E-9108-4286-B7E9-22C70A3F5BC2}"/>
    <hyperlink ref="O301" r:id="rId148" xr:uid="{012D422D-7990-453F-BBE3-CE07EAB5C842}"/>
    <hyperlink ref="O298" r:id="rId149" xr:uid="{A5971DFF-B2DB-4EFA-A567-66E743D60662}"/>
    <hyperlink ref="O289" r:id="rId150" xr:uid="{5460075B-F18E-4C15-A198-82938484D580}"/>
    <hyperlink ref="O267" r:id="rId151" xr:uid="{6B6BCCC9-96CF-41D6-868C-DABA67E18028}"/>
    <hyperlink ref="O294" r:id="rId152" xr:uid="{C2F34120-8730-4928-A664-80998F0E32B4}"/>
    <hyperlink ref="O286" r:id="rId153" xr:uid="{F86851AD-0C71-42F0-8263-E69BC9C47A84}"/>
    <hyperlink ref="O283" r:id="rId154" xr:uid="{203ED4A4-8B7D-4E0A-A70F-47EFD0117968}"/>
    <hyperlink ref="O278" r:id="rId155" xr:uid="{E2DDFD13-E473-4837-A1EE-B7A35C633677}"/>
    <hyperlink ref="O274" r:id="rId156" xr:uid="{BD82EA6F-6F36-4E5A-ABEE-8CC417389D8B}"/>
    <hyperlink ref="O264" r:id="rId157" xr:uid="{3EC1F8A6-578B-424F-815A-98E9DAC6632D}"/>
    <hyperlink ref="O263" r:id="rId158" xr:uid="{DA593AC5-E9F9-4B80-9A73-FCB6133D391D}"/>
    <hyperlink ref="O96" r:id="rId159" xr:uid="{2AC7470B-92F6-42DA-A272-CC52C70E6AE2}"/>
    <hyperlink ref="O94" r:id="rId160" xr:uid="{B2A84A42-20D6-41EC-BD50-0D0E8E30AA84}"/>
    <hyperlink ref="N269:O269" r:id="rId161" display="https://maps.app.goo.gl/RsDK6sYwh2wEarJo6" xr:uid="{2A39BC46-69AB-4CCA-9914-251837678674}"/>
    <hyperlink ref="O272" r:id="rId162" xr:uid="{28119533-FF4E-48D2-BD99-1C5B26A41103}"/>
    <hyperlink ref="O269" r:id="rId163" xr:uid="{F9A8C37E-F435-4390-95DA-5140E647B263}"/>
    <hyperlink ref="O79" r:id="rId164" xr:uid="{DD4AAF1A-96C3-4326-8E75-06E05A29049A}"/>
    <hyperlink ref="O275" r:id="rId165" xr:uid="{4DDC9DCD-680B-419E-A23F-4ED481D0850F}"/>
    <hyperlink ref="O253" r:id="rId166" xr:uid="{190E2FA5-21E3-4176-ADFE-D5162D07FDC7}"/>
    <hyperlink ref="O284" r:id="rId167" xr:uid="{7AF7976F-35F2-4E20-A421-72D2E565835E}"/>
    <hyperlink ref="O254" r:id="rId168" xr:uid="{E756436B-ABE9-4123-98E4-A6E996061882}"/>
    <hyperlink ref="O358" r:id="rId169" xr:uid="{7C1AC94A-66D2-4794-BAB1-F508E499A856}"/>
    <hyperlink ref="O343" r:id="rId170" xr:uid="{A94B4427-60E9-44FE-83B7-CB741E0CE618}"/>
    <hyperlink ref="O201" r:id="rId171" xr:uid="{3C3B1F17-2F3E-4FD6-9414-68BB7260BFC7}"/>
    <hyperlink ref="O147" r:id="rId172" xr:uid="{84BD0447-B6A1-4485-A01B-35C41874A7BB}"/>
    <hyperlink ref="O513" r:id="rId173" xr:uid="{F137DF09-6137-4BF4-8E51-7F7B05AE84B5}"/>
    <hyperlink ref="O40" r:id="rId174" xr:uid="{5F11A027-7F30-4955-86C1-28F602C4257E}"/>
    <hyperlink ref="O521" r:id="rId175" xr:uid="{7EE3F0A1-BC92-4CF1-9515-B1FF11A77D02}"/>
    <hyperlink ref="O439" r:id="rId176" xr:uid="{A2802DEC-01BE-433F-942E-1273DB717061}"/>
    <hyperlink ref="O641" r:id="rId177" xr:uid="{A3ED166E-1AA5-4D44-971C-CFB59B9EB766}"/>
    <hyperlink ref="O590" r:id="rId178" xr:uid="{EA3AF935-90C7-4E45-A769-4CCF0DFB6672}"/>
    <hyperlink ref="O440" r:id="rId179" xr:uid="{895D495F-429B-48EC-82F0-6D0BEC9F127D}"/>
    <hyperlink ref="O443" r:id="rId180" xr:uid="{C2B83C52-BEBF-4A7B-81A3-89D794774E51}"/>
    <hyperlink ref="O621" r:id="rId181" xr:uid="{2D27CF27-E960-4080-9870-6D69D8622358}"/>
    <hyperlink ref="O622" r:id="rId182" xr:uid="{5AF87BE2-92A7-4489-BC1F-F846AF7CC381}"/>
    <hyperlink ref="O623" r:id="rId183" xr:uid="{6B380B28-0812-4D17-BEBE-9A75B00048B0}"/>
    <hyperlink ref="O624" r:id="rId184" xr:uid="{45A644CD-2ED8-46A0-B3AC-A940064EBB96}"/>
    <hyperlink ref="O625" r:id="rId185" xr:uid="{3B7E8893-FCD6-48FD-914B-DCC63993A1B5}"/>
    <hyperlink ref="O626" r:id="rId186" xr:uid="{38EAFECE-95CA-46F7-B1C1-887E581C2A17}"/>
    <hyperlink ref="O612" r:id="rId187" xr:uid="{FC614950-1CF9-44C8-B220-232D2CE74679}"/>
    <hyperlink ref="O614" r:id="rId188" xr:uid="{19482701-2E65-4C56-8080-9CE719084874}"/>
    <hyperlink ref="O629" r:id="rId189" xr:uid="{CEBB6F30-32A4-4213-82C5-C2ECE3AA2A28}"/>
    <hyperlink ref="O640" r:id="rId190" xr:uid="{6F895665-5DB5-4D8B-A5EC-F9C9E0CEBC97}"/>
    <hyperlink ref="O49" r:id="rId191" xr:uid="{8A8F2C48-1092-4386-83B0-1F8B5B00574D}"/>
    <hyperlink ref="O441" r:id="rId192" xr:uid="{623576B2-BCC0-4D1B-8020-AA33CEC3B9A8}"/>
    <hyperlink ref="O592" r:id="rId193" xr:uid="{FECB791B-8946-4B5A-9497-93C42C08FC45}"/>
    <hyperlink ref="O593" r:id="rId194" xr:uid="{869BCE3C-72B2-4C03-AA1A-4889A2473498}"/>
    <hyperlink ref="O610" r:id="rId195" xr:uid="{D7200557-7D5A-46AD-95E8-FCAB21568050}"/>
    <hyperlink ref="O615" r:id="rId196" xr:uid="{564F5638-344D-4807-9EF3-7FB11F26FCE1}"/>
    <hyperlink ref="O632" r:id="rId197" xr:uid="{65683797-3958-4F5F-9AEB-DC70961E3751}"/>
    <hyperlink ref="O442" r:id="rId198" xr:uid="{0FA94C62-B581-40B9-827B-A0A23110F5FC}"/>
    <hyperlink ref="O633" r:id="rId199" xr:uid="{BAB8B91F-BF03-4FAA-BBA9-4B69C9FDCDF1}"/>
    <hyperlink ref="O444" r:id="rId200" xr:uid="{ABF03F9E-C92A-45C8-9EE5-4C2158BE7B70}"/>
    <hyperlink ref="O634" r:id="rId201" xr:uid="{F4C73309-1295-4DFB-8B9C-DA3961720074}"/>
    <hyperlink ref="O635" r:id="rId202" xr:uid="{404094E6-30E0-43A0-845F-9AF06C71A362}"/>
    <hyperlink ref="O636" r:id="rId203" xr:uid="{96FB7268-1E97-45DB-AEC8-49537A266860}"/>
    <hyperlink ref="O637" r:id="rId204" xr:uid="{5CA26467-3277-4859-A528-F9CC66094A4A}"/>
    <hyperlink ref="O638" r:id="rId205" xr:uid="{FD674158-86A2-4A08-9434-02CAA148F297}"/>
    <hyperlink ref="O639" r:id="rId206" xr:uid="{25A4ED31-8CEA-4C33-A593-6CB14BB9E2B1}"/>
    <hyperlink ref="O616" r:id="rId207" xr:uid="{789A1143-7D0B-4812-BC05-DF4B8BD86270}"/>
    <hyperlink ref="O617" r:id="rId208" xr:uid="{57909696-2B0B-4421-92CF-4EF6741DFEE5}"/>
    <hyperlink ref="O611" r:id="rId209" xr:uid="{6A3EDB1A-AB4B-42C4-BAAD-4B9941088DB4}"/>
    <hyperlink ref="O613" r:id="rId210" xr:uid="{3F005A48-08B8-499F-ACAB-ED54B0714321}"/>
    <hyperlink ref="O609" r:id="rId211" xr:uid="{CF66B002-530C-4469-9F71-E6DD77229938}"/>
    <hyperlink ref="O619" r:id="rId212" xr:uid="{FE2BCCA9-E277-4B11-B7B5-B4B218573C1B}"/>
    <hyperlink ref="O600" r:id="rId213" xr:uid="{4060329D-6DA8-46C4-8485-A8E09F9CD6EA}"/>
    <hyperlink ref="O602" r:id="rId214" xr:uid="{EC0FB097-1232-4564-B55B-78F25B0FC545}"/>
    <hyperlink ref="O603" r:id="rId215" xr:uid="{0EB72194-0B9C-40A6-AF5D-C7EC8FEDC43A}"/>
    <hyperlink ref="O588" r:id="rId216" xr:uid="{E1111744-CE81-4862-93B8-52C4EE0B512A}"/>
    <hyperlink ref="O582" r:id="rId217" xr:uid="{756EA0C9-6366-4273-BB69-3AE49EF70D8A}"/>
    <hyperlink ref="O583" r:id="rId218" xr:uid="{FCA0D5C8-A350-4358-AA21-EE034EE7DE2E}"/>
    <hyperlink ref="O584" r:id="rId219" xr:uid="{F7FAEB37-2ED9-41D5-A3A7-EC1B0AB4BDB7}"/>
    <hyperlink ref="O585" r:id="rId220" xr:uid="{5D3E0D48-F754-4333-AB14-A0E578E707DE}"/>
    <hyperlink ref="O586" r:id="rId221" xr:uid="{20FFDFCD-0409-4135-B517-6FFA65BFC57B}"/>
    <hyperlink ref="O587" r:id="rId222" xr:uid="{DA6AF7A4-8BD3-4807-9C63-5C4AEC6EEFE5}"/>
    <hyperlink ref="O581" r:id="rId223" xr:uid="{67264603-2DFE-4BE8-A740-6F5E13740378}"/>
    <hyperlink ref="O568" r:id="rId224" xr:uid="{F16355D8-A11F-4E3C-80A7-4279797300FD}"/>
    <hyperlink ref="O569" r:id="rId225" xr:uid="{37B22DE3-BD67-4159-B58E-E9DBA1909B8E}"/>
    <hyperlink ref="O570" r:id="rId226" xr:uid="{6371E2F5-8E6B-4FD8-87F7-466E4388859A}"/>
    <hyperlink ref="O572" r:id="rId227" xr:uid="{35603751-AE1D-4D7C-A8A5-7CB8B4E6360A}"/>
    <hyperlink ref="O573" r:id="rId228" xr:uid="{4A48455A-BD15-4B64-B96C-3B48FEEBF302}"/>
    <hyperlink ref="O574" r:id="rId229" xr:uid="{8F1F7164-D8B8-450F-8173-AC6B2540EC91}"/>
    <hyperlink ref="O575" r:id="rId230" xr:uid="{5DA981C7-AA67-46EA-BEC1-C8E61C9A7FB9}"/>
    <hyperlink ref="O576" r:id="rId231" xr:uid="{7E100CB9-AB06-4697-B746-D09447959E77}"/>
    <hyperlink ref="O577" r:id="rId232" xr:uid="{14CA77F8-7D93-474F-BFEA-9700C3E1AD41}"/>
    <hyperlink ref="O578" r:id="rId233" xr:uid="{77C09500-738C-4B9C-A9F9-AE3289F3B23B}"/>
    <hyperlink ref="O579" r:id="rId234" xr:uid="{35D25C95-AFAE-4246-98EB-DDF3ED2F0540}"/>
    <hyperlink ref="O571" r:id="rId235" xr:uid="{613FD5CC-044A-4342-8C1D-204B3C79A7BA}"/>
    <hyperlink ref="O567" r:id="rId236" xr:uid="{3EB885FD-816D-4B4E-B83B-AD279CBD84EC}"/>
    <hyperlink ref="O566" r:id="rId237" xr:uid="{59708EDC-826D-4281-9F7A-6FCD6D4C123C}"/>
    <hyperlink ref="O446" r:id="rId238" xr:uid="{F0A407D5-72FA-439D-882A-544AA663279A}"/>
    <hyperlink ref="O447" r:id="rId239" xr:uid="{7CBA954C-757A-487C-AB32-2B0A11AFE215}"/>
    <hyperlink ref="O448" r:id="rId240" xr:uid="{474605CA-6780-4C5C-86AD-828B31ABB730}"/>
    <hyperlink ref="O449" r:id="rId241" xr:uid="{1EE15DA3-DA9B-4616-A510-7750575C8E56}"/>
    <hyperlink ref="O450" r:id="rId242" xr:uid="{2736CC9E-7386-4940-B697-DA6AAF102ADC}"/>
    <hyperlink ref="O451" r:id="rId243" xr:uid="{9A123EA2-A859-4201-8A07-1F6FDE4F05A1}"/>
    <hyperlink ref="O452" r:id="rId244" xr:uid="{E4C81F48-B109-4219-B569-2582B38AC522}"/>
    <hyperlink ref="O453" r:id="rId245" xr:uid="{F4BA518F-CA2C-4047-8C79-ADA9C2AC6925}"/>
    <hyperlink ref="O565" r:id="rId246" xr:uid="{77A7190F-3D19-4158-B792-881E1E92CBA0}"/>
    <hyperlink ref="O454" r:id="rId247" xr:uid="{6BDB7504-1E4B-4CBF-B587-B612C66D9512}"/>
    <hyperlink ref="O564" r:id="rId248" xr:uid="{2D3BB7C5-F2B6-4FAB-981B-10C9E4E9BF33}"/>
    <hyperlink ref="O563" r:id="rId249" xr:uid="{A7A94F08-A0AC-46F3-8D7A-11EB4751C9E7}"/>
    <hyperlink ref="O562" r:id="rId250" xr:uid="{C4E802A9-A52E-4894-8995-5C6B7FD62E6B}"/>
    <hyperlink ref="O554" r:id="rId251" xr:uid="{FB0FD229-DD9D-4566-AE88-570D963B61CB}"/>
    <hyperlink ref="O555" r:id="rId252" xr:uid="{19073F25-2C48-4AA0-BAB6-EFA41AD4D7E4}"/>
    <hyperlink ref="O560" r:id="rId253" xr:uid="{382F11F3-A5FD-4482-8021-031D6E8B87BB}"/>
    <hyperlink ref="O561" r:id="rId254" xr:uid="{32586042-AF2D-413B-AB0E-FEC82D69CD61}"/>
    <hyperlink ref="O553" r:id="rId255" xr:uid="{9ECF9B60-5254-4682-A632-BFE63FCE595F}"/>
    <hyperlink ref="O552" r:id="rId256" xr:uid="{211A6795-EA74-492B-868D-4F7ECF79C2E8}"/>
    <hyperlink ref="O550" r:id="rId257" xr:uid="{B93956A5-76CE-4042-B140-96B161A56FBF}"/>
    <hyperlink ref="O549" r:id="rId258" xr:uid="{B2A9F5C6-6E10-40BE-B334-8956EA53B679}"/>
    <hyperlink ref="O507" r:id="rId259" xr:uid="{0816167E-EBF3-4010-9A99-75CB0DC3F358}"/>
    <hyperlink ref="O457" r:id="rId260" xr:uid="{722AEEC6-9B51-486A-AA2B-82C7571D26E6}"/>
    <hyperlink ref="O458" r:id="rId261" xr:uid="{F4F54391-58BF-4E76-B157-7F8704A9D5EE}"/>
    <hyperlink ref="O459" r:id="rId262" xr:uid="{D511935C-6A17-4C8A-B3C7-696E30EA3DBC}"/>
    <hyperlink ref="O460" r:id="rId263" xr:uid="{0E213032-5F20-4FA9-8038-D175A3A55DBF}"/>
    <hyperlink ref="O461" r:id="rId264" xr:uid="{325F4281-9AF0-4EFC-AAB4-CFC728F5E674}"/>
    <hyperlink ref="O547" r:id="rId265" xr:uid="{F07195C5-F070-4FC0-8678-1261FE9D1274}"/>
    <hyperlink ref="O546" r:id="rId266" xr:uid="{A3C90F4B-E6A8-4662-B44A-18C760285D68}"/>
    <hyperlink ref="O545" r:id="rId267" xr:uid="{2D337096-A84E-4EFF-9A46-898982A282D5}"/>
    <hyperlink ref="O544" r:id="rId268" xr:uid="{9583FED2-A9E4-4B5C-AC32-AB78152E4271}"/>
    <hyperlink ref="O543" r:id="rId269" xr:uid="{5B5CD85C-1698-440D-A7D9-463752BB158C}"/>
    <hyperlink ref="O462" r:id="rId270" xr:uid="{30726FF5-4473-49D2-99A2-6ACA2CCBF01F}"/>
    <hyperlink ref="O542" r:id="rId271" xr:uid="{4CDC8E72-AC15-4516-ABD3-131B4FFB5F20}"/>
    <hyperlink ref="O464" r:id="rId272" xr:uid="{76261D28-2628-40B3-9CE0-C2380886F16F}"/>
    <hyperlink ref="O465" r:id="rId273" xr:uid="{0D5BC626-775C-4396-9B0E-B3F8E0728925}"/>
    <hyperlink ref="O466" r:id="rId274" xr:uid="{8A7F5DD7-A134-4290-9186-1DF296061D4A}"/>
    <hyperlink ref="O468" r:id="rId275" xr:uid="{241389C1-3F10-4EC1-998D-88349735170B}"/>
    <hyperlink ref="O541" r:id="rId276" xr:uid="{E824748D-9C53-44DC-8822-2034734F69B8}"/>
    <hyperlink ref="O540" r:id="rId277" xr:uid="{39005DE0-AC14-48DE-B5D0-9A5A14A0A095}"/>
    <hyperlink ref="O539" r:id="rId278" xr:uid="{DA71A6BB-BE42-4DE1-B437-721179B086FD}"/>
    <hyperlink ref="O469" r:id="rId279" xr:uid="{A3D88078-5C26-4512-AF53-20C44583027A}"/>
    <hyperlink ref="O470" r:id="rId280" xr:uid="{9442D3B2-27CD-4E9C-83CE-E5C7C45FABB0}"/>
    <hyperlink ref="O538" r:id="rId281" xr:uid="{FADA3C35-DAA5-4D53-AC37-19504B9F9A9C}"/>
    <hyperlink ref="O537" r:id="rId282" xr:uid="{801E127B-80BA-463F-BC07-04FE1093D01A}"/>
    <hyperlink ref="O536" r:id="rId283" xr:uid="{C22DEA6F-41C1-4E12-B277-2A1F9C834D79}"/>
    <hyperlink ref="O535" r:id="rId284" xr:uid="{84925573-B190-40BD-9A84-A9889D0C326C}"/>
    <hyperlink ref="O534" r:id="rId285" xr:uid="{5E2B6C6C-8712-4D36-990A-F26E2DC0D629}"/>
    <hyperlink ref="O533" r:id="rId286" xr:uid="{75002A1E-B6EF-4C51-AA52-8CC03F2563E6}"/>
    <hyperlink ref="O532" r:id="rId287" xr:uid="{C5B52773-FAB3-481E-AFE9-9C5F047479D5}"/>
    <hyperlink ref="O471" r:id="rId288" xr:uid="{906A7B97-3D4A-4809-98DF-C2D96FE3DEDC}"/>
    <hyperlink ref="O472" r:id="rId289" xr:uid="{45F3B9A6-E7A6-4DC7-B58F-74F0E2B85ADE}"/>
    <hyperlink ref="O473" r:id="rId290" xr:uid="{F3405013-67D5-4867-AB93-1F3D1F7BCB2E}"/>
    <hyperlink ref="O474" r:id="rId291" xr:uid="{A45E617E-BBBD-4C0E-AB02-7056DE6EABD6}"/>
    <hyperlink ref="O475" r:id="rId292" xr:uid="{C8DA7FB5-2A01-40EA-A527-8EE2EE548248}"/>
    <hyperlink ref="O476" r:id="rId293" xr:uid="{02D72E92-01DF-4575-8409-813F017BA8BC}"/>
    <hyperlink ref="O477" r:id="rId294" xr:uid="{050B1234-EC00-4C8D-A1BF-72D94EA9143A}"/>
    <hyperlink ref="O485" r:id="rId295" xr:uid="{7E509F41-08D1-4F0A-B386-6ADAD653D718}"/>
    <hyperlink ref="O479" r:id="rId296" xr:uid="{78D229D3-E649-4970-A905-5FA0C8F9E7F1}"/>
    <hyperlink ref="O488" r:id="rId297" xr:uid="{3AE8474D-11A0-4D47-ADEE-749347B9888C}"/>
    <hyperlink ref="O511" r:id="rId298" xr:uid="{25059631-5292-4E2A-8BC0-40AB16F68F7E}"/>
    <hyperlink ref="O528" r:id="rId299" xr:uid="{9B47787C-EF77-47E6-B83E-F8D83D277AF2}"/>
    <hyperlink ref="O489" r:id="rId300" xr:uid="{ED23D6DD-1903-47B7-A13E-4C444D7318F5}"/>
    <hyperlink ref="O490" r:id="rId301" xr:uid="{0611765C-A970-4235-A306-21B27D788E59}"/>
    <hyperlink ref="O492" r:id="rId302" xr:uid="{3A1C33E3-3B09-43F7-81A5-65F303A46976}"/>
    <hyperlink ref="O491" r:id="rId303" xr:uid="{56247A48-7147-4C0F-94C1-FDB93913DAC2}"/>
    <hyperlink ref="O502" r:id="rId304" xr:uid="{EE459A1F-36D1-42AC-B0E3-7341EE255084}"/>
    <hyperlink ref="O493" r:id="rId305" xr:uid="{A4BB7D40-DC99-4445-99DF-B04E54CF3704}"/>
    <hyperlink ref="O494" r:id="rId306" xr:uid="{C90941ED-752D-4FB0-9962-25971013F531}"/>
    <hyperlink ref="O495" r:id="rId307" xr:uid="{2F2D083E-2DED-4603-A305-9371EAF3D48B}"/>
    <hyperlink ref="O496" r:id="rId308" xr:uid="{682B9CEF-1C77-4EC1-89A0-AC499B861FA7}"/>
    <hyperlink ref="O497" r:id="rId309" xr:uid="{D8DA0716-1189-41C6-8A76-4597800EFE24}"/>
    <hyperlink ref="O499" r:id="rId310" xr:uid="{23D5C7D7-E927-4165-95D9-4EF616647877}"/>
    <hyperlink ref="O500" r:id="rId311" xr:uid="{00B46381-3EFE-4EB0-BD77-F085292D54F3}"/>
    <hyperlink ref="O501" r:id="rId312" xr:uid="{259F6485-0801-4342-9AAE-F89AC09770ED}"/>
    <hyperlink ref="O503" r:id="rId313" xr:uid="{20ABD2D4-6500-47E2-8965-3BC37B3F2A64}"/>
    <hyperlink ref="O509" r:id="rId314" xr:uid="{94D7499F-BF30-4006-A1FC-4E324DF36888}"/>
    <hyperlink ref="O510" r:id="rId315" xr:uid="{5D9D6148-8D80-41EF-82EC-4A02E5AA4CE3}"/>
    <hyperlink ref="O512" r:id="rId316" xr:uid="{297626E6-C3DB-4BB5-A61E-40F6E832487F}"/>
    <hyperlink ref="O258" r:id="rId317" xr:uid="{615C53D5-43FA-4B66-9A5E-34426067E09E}"/>
    <hyperlink ref="O505" r:id="rId318" xr:uid="{F595E35B-D670-4108-ACDE-0E3A9D398A83}"/>
    <hyperlink ref="O506" r:id="rId319" xr:uid="{0469CF83-37F0-4766-8295-00182380C0E9}"/>
    <hyperlink ref="O508" r:id="rId320" xr:uid="{8B82560E-A206-41B3-BCD7-9002FF928A2A}"/>
    <hyperlink ref="O514" r:id="rId321" xr:uid="{6AAD32CB-CBC0-4A5A-B485-FCF60B4C50A3}"/>
    <hyperlink ref="O515" r:id="rId322" xr:uid="{8EC533A1-2FB3-4AA4-87FA-BA1724692C2E}"/>
    <hyperlink ref="O548" r:id="rId323" xr:uid="{52414571-535F-4DEA-BF1B-0ADC4AB36300}"/>
    <hyperlink ref="O516" r:id="rId324" xr:uid="{F2628FC4-C350-4A79-B379-D97A810BCC91}"/>
    <hyperlink ref="O517" r:id="rId325" xr:uid="{DE5FEE77-A778-4D73-9A83-EE99C29AA4BE}"/>
    <hyperlink ref="O518" r:id="rId326" xr:uid="{49049531-784D-47CB-A4B8-021FB70E76FD}"/>
    <hyperlink ref="O519" r:id="rId327" xr:uid="{110BD986-44FC-4D29-83E0-814EAC615561}"/>
    <hyperlink ref="O522" r:id="rId328" xr:uid="{835C732A-C7B8-498C-8595-4F571451B9A1}"/>
    <hyperlink ref="O523" r:id="rId329" xr:uid="{7334B0AC-5CDF-45E4-A0EF-356992BAE831}"/>
    <hyperlink ref="O525" r:id="rId330" xr:uid="{37F3469A-3B19-4BA2-876F-701B830C0FA9}"/>
    <hyperlink ref="O529" r:id="rId331" xr:uid="{17A19A93-D7BD-494A-942E-0C5E869E24E6}"/>
    <hyperlink ref="O530" r:id="rId332" xr:uid="{13C3DA36-4905-422F-B3EF-6DDB3524B84C}"/>
    <hyperlink ref="O646" r:id="rId333" xr:uid="{2FFEF88B-550C-49D9-8832-39F6DF292EAA}"/>
    <hyperlink ref="O647" r:id="rId334" xr:uid="{94D79DFD-50AA-4937-9074-A4A9C33722DB}"/>
    <hyperlink ref="O648" r:id="rId335" xr:uid="{09008CBE-F171-4F8C-BB84-553DA6B90C8E}"/>
    <hyperlink ref="O649" r:id="rId336" xr:uid="{3EB107F7-63A1-4E5A-A3BF-9C249DE614A7}"/>
    <hyperlink ref="O656" r:id="rId337" xr:uid="{EA9DCE70-F038-485F-B2FF-91620E732CC8}"/>
    <hyperlink ref="O657" r:id="rId338" xr:uid="{79BF1A1D-7386-46E5-BC93-A63FFB241A09}"/>
    <hyperlink ref="O662:O665" r:id="rId339" display="https://maps.app.goo.gl/rbvyHGELnx5Qin5V6" xr:uid="{802DF4D2-679D-43BD-BE0E-9D5CAA0EA559}"/>
    <hyperlink ref="O660" r:id="rId340" xr:uid="{773DADC9-D131-4D85-A3DD-BE91D382659D}"/>
    <hyperlink ref="O653" r:id="rId341" xr:uid="{3A775428-22DB-46EA-9084-3EF5B1D06F80}"/>
    <hyperlink ref="O654" r:id="rId342" xr:uid="{EF46F742-F066-4FD4-AFA7-09B73B6C348A}"/>
    <hyperlink ref="O642" r:id="rId343" xr:uid="{1F89FD6E-6973-433E-8E25-C2FE50DD78DB}"/>
    <hyperlink ref="O667" r:id="rId344" xr:uid="{D5359BB5-43C3-4737-A51E-849AA1371D42}"/>
    <hyperlink ref="W630" r:id="rId345" xr:uid="{8CA4CCE7-DEB9-4259-B477-716B9F2475CD}"/>
    <hyperlink ref="N681:O681" r:id="rId346" display="https://maps.app.goo.gl/RsDK6sYwh2wEarJo6" xr:uid="{A0AD6B0D-35A0-431A-91CD-777716E1279C}"/>
    <hyperlink ref="O687" r:id="rId347" xr:uid="{AB1559F1-28D3-4BD3-B02C-CCEE1B13C17D}"/>
    <hyperlink ref="O669" r:id="rId348" xr:uid="{4C8AAC13-F1AC-430F-9FBA-02C92EE550DA}"/>
    <hyperlink ref="O670" r:id="rId349" xr:uid="{B91BE452-7FC3-4BF4-9171-B7E9F74D2742}"/>
    <hyperlink ref="O675" r:id="rId350" xr:uid="{37BA77F7-2681-4953-AB65-AD5D4663CC1F}"/>
    <hyperlink ref="O676" r:id="rId351" xr:uid="{D879485F-D955-4749-BE41-96E2838C18D4}"/>
    <hyperlink ref="O677" r:id="rId352" xr:uid="{8C7515A8-240F-4C40-A3B3-56274A9A9E89}"/>
    <hyperlink ref="O682" r:id="rId353" xr:uid="{F33F7B99-EAD6-4E09-BCED-D8A8480FBEB9}"/>
    <hyperlink ref="O685" r:id="rId354" xr:uid="{83A22FF9-26D1-4C70-879B-CB7859ED9DC8}"/>
    <hyperlink ref="O699" r:id="rId355" xr:uid="{6D9B885E-FC0E-42B0-9FE0-F4D331D5AA60}"/>
    <hyperlink ref="O700" r:id="rId356" xr:uid="{A06DE99A-63C6-4E59-891B-CA75916E96F9}"/>
    <hyperlink ref="O712" r:id="rId357" xr:uid="{0E06A379-9048-488F-BBF7-01371871415A}"/>
    <hyperlink ref="O718" r:id="rId358" xr:uid="{A9D129E9-643A-4522-B987-A22F120E59D1}"/>
    <hyperlink ref="O713" r:id="rId359" xr:uid="{A93F0A6F-DD20-4E2A-BF44-CFA96A37B5E1}"/>
    <hyperlink ref="O716" r:id="rId360" xr:uid="{22CFCA1E-D271-41EC-8299-96F0BE9DA7CE}"/>
    <hyperlink ref="O668" r:id="rId361" xr:uid="{88EEF926-EB5A-4381-A1E0-87911090EE17}"/>
    <hyperlink ref="O733" r:id="rId362" xr:uid="{AF76DDD8-B3FE-495C-A39B-CD92D79B55FE}"/>
    <hyperlink ref="O728" r:id="rId363" xr:uid="{41D13354-02FB-4CA4-9CFF-5F3EF50A4E78}"/>
    <hyperlink ref="O730" r:id="rId364" xr:uid="{E5DF9EFC-7BC9-44C8-AE68-3FAD65051495}"/>
    <hyperlink ref="O707" r:id="rId365" xr:uid="{753F8BF6-C087-493D-98A9-FAB381617A6E}"/>
    <hyperlink ref="O711" r:id="rId366" xr:uid="{E6DE38A9-E2B9-4095-847E-BA34C46DD674}"/>
    <hyperlink ref="O709" r:id="rId367" xr:uid="{6211B345-62FC-4663-89E3-A63F641D117F}"/>
    <hyperlink ref="O714" r:id="rId368" xr:uid="{99804E21-FC3C-4CEA-9CC9-65569254E0BA}"/>
    <hyperlink ref="O721" r:id="rId369" xr:uid="{23DC2837-50BD-4663-BF69-F86F6D5ED807}"/>
    <hyperlink ref="O719" r:id="rId370" xr:uid="{AA576A7D-DD16-4558-9161-6B83DC4DE358}"/>
    <hyperlink ref="O683" r:id="rId371" xr:uid="{1AAAAAF7-5379-4DC6-8AA7-7A55AFA85B0F}"/>
    <hyperlink ref="O689" r:id="rId372" xr:uid="{2B598A64-7385-4995-BE8D-829A271F6D77}"/>
    <hyperlink ref="O692" r:id="rId373" xr:uid="{1B08FBDE-A6CF-482A-92B4-52607FDCD39C}"/>
    <hyperlink ref="O693" r:id="rId374" xr:uid="{EB511046-8ED8-47CF-BC3C-632701C62A18}"/>
    <hyperlink ref="O694" r:id="rId375" xr:uid="{AF2A58B5-2797-4083-99DB-9218FEBE0E25}"/>
    <hyperlink ref="O695" r:id="rId376" xr:uid="{A886D016-059B-497D-A3D7-9B68B2AF8232}"/>
    <hyperlink ref="O703" r:id="rId377" xr:uid="{D0CBE77E-99CF-4480-AB40-AB19AB3CAFC7}"/>
    <hyperlink ref="O706" r:id="rId378" xr:uid="{8942EE8B-1A43-4E11-8F04-D5B9C5934B6A}"/>
    <hyperlink ref="O720" r:id="rId379" xr:uid="{75CA2DAA-1652-4F4A-8CF7-C88920518EE9}"/>
    <hyperlink ref="O674" r:id="rId380" xr:uid="{686D180A-7878-4A85-81F7-110E3F1EF691}"/>
    <hyperlink ref="O680" r:id="rId381" xr:uid="{328A1E0E-A90C-4206-9DC7-5EFA3584A5B6}"/>
    <hyperlink ref="O684" r:id="rId382" xr:uid="{5D232301-24CE-46BC-B078-963F1CD1B897}"/>
    <hyperlink ref="O686" r:id="rId383" xr:uid="{15A3C91B-C20F-42DB-A416-7B064E2090C8}"/>
    <hyperlink ref="O688" r:id="rId384" xr:uid="{84B3CA90-BA6D-4699-B3D3-7E44DD7B36C1}"/>
    <hyperlink ref="O691" r:id="rId385" xr:uid="{7ABF7762-1033-4654-9424-A808D49A23F3}"/>
    <hyperlink ref="O697" r:id="rId386" xr:uid="{3DD740EE-0DB3-4434-8EFD-CA887D29E19A}"/>
    <hyperlink ref="O698" r:id="rId387" xr:uid="{3C915E60-9E6B-4619-A2E7-62C26E081C06}"/>
    <hyperlink ref="O701" r:id="rId388" xr:uid="{4AB520FE-08F4-4E8A-95CC-CC86A702748B}"/>
    <hyperlink ref="O702" r:id="rId389" xr:uid="{30A4F9A1-D526-432C-AC7C-4FF34545CB7C}"/>
    <hyperlink ref="O704" r:id="rId390" xr:uid="{BAE7174D-68A9-4277-A271-24C7C37C39D5}"/>
    <hyperlink ref="O705" r:id="rId391" xr:uid="{0B7A4FF1-F802-498D-8EE3-57B622911244}"/>
    <hyperlink ref="O708" r:id="rId392" xr:uid="{420D03E8-DE05-4EC5-84F0-44DE401FCCA6}"/>
    <hyperlink ref="O710" r:id="rId393" xr:uid="{1B46382C-2328-4F0D-A3D3-ACD163459FCB}"/>
    <hyperlink ref="O717" r:id="rId394" xr:uid="{BEDD6028-B18E-4D75-8A6B-CF3883B0CCDC}"/>
    <hyperlink ref="O722" r:id="rId395" xr:uid="{33299728-1FF9-4CDC-A191-2AEB6D26C828}"/>
    <hyperlink ref="O723" r:id="rId396" xr:uid="{8779F8B9-70E0-4A71-8E0F-AA0EA74D7387}"/>
    <hyperlink ref="O724" r:id="rId397" xr:uid="{CC8B32FD-5785-43E6-8A68-3B27534C8D87}"/>
    <hyperlink ref="O725" r:id="rId398" xr:uid="{E0A03F15-5480-4A27-B3E1-9103EDF71950}"/>
    <hyperlink ref="O726" r:id="rId399" xr:uid="{6441AABD-9AAE-4145-A019-C049DB43EC78}"/>
    <hyperlink ref="O727" r:id="rId400" xr:uid="{8FA55A5B-FB40-457F-BFE1-5E040850F7FE}"/>
    <hyperlink ref="O731" r:id="rId401" xr:uid="{021196F2-97BD-445F-8776-08678E54347E}"/>
    <hyperlink ref="O732" r:id="rId402" xr:uid="{2E65EDD4-2163-4112-8281-F9428AFFCE8B}"/>
    <hyperlink ref="O734" r:id="rId403" xr:uid="{537BBAB4-A0A4-46F1-B614-F0B01EA066F2}"/>
    <hyperlink ref="O735" r:id="rId404" xr:uid="{CE164765-43EB-48FC-8F57-688504589393}"/>
    <hyperlink ref="O736" r:id="rId405" xr:uid="{6B8DD3B6-BAC8-4300-9B35-B9F15BDFCED7}"/>
    <hyperlink ref="O737" r:id="rId406" xr:uid="{88472AE8-34BD-4395-9FEF-C88F5C655733}"/>
    <hyperlink ref="O738" r:id="rId407" xr:uid="{29264404-8621-4E2C-ACB2-4D45E07BE8E4}"/>
    <hyperlink ref="O467" r:id="rId408" xr:uid="{82AE2D2F-EDC9-4AF4-BB5F-8A77C29BBF61}"/>
    <hyperlink ref="O526" r:id="rId409" xr:uid="{D1A01525-A69B-4716-904A-0ECAEB345A80}"/>
    <hyperlink ref="O739" r:id="rId410" xr:uid="{D79B2F29-9DA5-43BC-A1D8-08A7ED8017D6}"/>
    <hyperlink ref="O715" r:id="rId411" xr:uid="{0C5202C1-E569-4D49-B359-84A14512680A}"/>
    <hyperlink ref="O846" r:id="rId412" xr:uid="{EA215562-80C3-4FFD-8470-2F2BE3F97506}"/>
    <hyperlink ref="O847" r:id="rId413" xr:uid="{CF0F7EDA-9329-4410-8873-21711B35C492}"/>
    <hyperlink ref="O740" r:id="rId414" xr:uid="{8F66C46F-AB74-45B3-ABD6-8D00CB4EA016}"/>
    <hyperlink ref="O742" r:id="rId415" xr:uid="{0CE4D615-0C7A-4C16-B0A3-EE53772F8BC9}"/>
    <hyperlink ref="O743" r:id="rId416" xr:uid="{2941FF1C-04A9-44BA-9EAD-98784262F69C}"/>
    <hyperlink ref="O753" r:id="rId417" xr:uid="{55973AEB-7C84-48DA-BC6E-B7283E298ECD}"/>
    <hyperlink ref="O760" r:id="rId418" xr:uid="{7DFB0B24-5FC7-4B77-BCF5-7FA29BFB720F}"/>
    <hyperlink ref="O761" r:id="rId419" xr:uid="{F6DC05B5-1AC1-4C4F-8282-C4DB3CCA414E}"/>
    <hyperlink ref="O762" r:id="rId420" xr:uid="{898C581A-E61B-43F8-B718-1CC0A5C8658B}"/>
    <hyperlink ref="O763" r:id="rId421" xr:uid="{C810AD49-36A4-4B5C-BA3A-FB04C9182035}"/>
    <hyperlink ref="O764" r:id="rId422" xr:uid="{2E781834-B30A-46C1-B404-C69F7EFA997B}"/>
    <hyperlink ref="O765" r:id="rId423" xr:uid="{6BC1FB28-95E7-4F2C-A990-F8A556E94BDF}"/>
    <hyperlink ref="O767" r:id="rId424" xr:uid="{B026CD50-8C2D-476D-AA3C-C4E007D10BA2}"/>
    <hyperlink ref="O770" r:id="rId425" xr:uid="{FB41F34D-EEFB-4983-B60F-353DDACEC78E}"/>
    <hyperlink ref="O771" r:id="rId426" xr:uid="{8776B753-DC58-4376-B45B-705A9575456D}"/>
    <hyperlink ref="O772" r:id="rId427" xr:uid="{FD426C54-98B8-4577-8947-8D743D210EAC}"/>
    <hyperlink ref="O776" r:id="rId428" xr:uid="{DD76797D-DC07-4BDD-BE73-2380DAE162E3}"/>
    <hyperlink ref="O777" r:id="rId429" xr:uid="{95DDFCEA-3EBA-432E-9EFC-13A251AFE177}"/>
    <hyperlink ref="O780" r:id="rId430" xr:uid="{B7BC83C8-96CC-4B18-9176-4AE902853CA5}"/>
    <hyperlink ref="O797" r:id="rId431" xr:uid="{F87C5CA2-1D9D-4804-B5BC-0CFB102EA907}"/>
    <hyperlink ref="O798" r:id="rId432" xr:uid="{98E1EAFD-46FD-49BA-B779-3A7ED0219A30}"/>
    <hyperlink ref="O799" r:id="rId433" xr:uid="{E42C4D21-C3D0-4F3C-ADF9-CA9521A4425F}"/>
    <hyperlink ref="O800" r:id="rId434" xr:uid="{4037A674-0A3D-4813-91D3-F00D6D621534}"/>
    <hyperlink ref="O803" r:id="rId435" xr:uid="{78797D27-8BDB-42B8-8DCF-E5A0EA5BC871}"/>
    <hyperlink ref="O806" r:id="rId436" xr:uid="{2EF057B4-98D9-4BCA-968F-44281AA6619D}"/>
    <hyperlink ref="O807" r:id="rId437" xr:uid="{C4645AD7-F84D-4863-B091-601578CC20F1}"/>
    <hyperlink ref="O808" r:id="rId438" xr:uid="{2E240CB7-CE3C-469A-989E-ECD4B0F0FF5E}"/>
    <hyperlink ref="O809" r:id="rId439" xr:uid="{AF9D4B0A-4AEA-43EC-91BE-FC9301CA121F}"/>
    <hyperlink ref="O811" r:id="rId440" xr:uid="{B1FB67E1-18C2-4A4B-B227-690A6F948B74}"/>
    <hyperlink ref="O812" r:id="rId441" xr:uid="{D84062F2-6190-4FE6-85B3-177F707D8E74}"/>
    <hyperlink ref="O819" r:id="rId442" xr:uid="{5C9EEDD0-B4D7-4EB5-8124-F2D52BEABF83}"/>
    <hyperlink ref="O820" r:id="rId443" xr:uid="{FB37EDEC-F2E9-48FE-A1C0-513735E69955}"/>
    <hyperlink ref="O821" r:id="rId444" xr:uid="{1ACD2173-DCD4-4C29-B512-D7E376A35148}"/>
    <hyperlink ref="O822" r:id="rId445" xr:uid="{9F0C70F6-53BC-4EFA-B3A1-EDA0C505FDCB}"/>
    <hyperlink ref="O823" r:id="rId446" xr:uid="{0FAF010D-7CF3-40DE-A105-63F86E83DFEE}"/>
    <hyperlink ref="O824" r:id="rId447" xr:uid="{9F5D26A6-18A4-4567-A6E6-552CD1B06121}"/>
    <hyperlink ref="O825" r:id="rId448" xr:uid="{29674187-E756-4DB4-A7B4-ECC14F6C2D03}"/>
    <hyperlink ref="O826" r:id="rId449" xr:uid="{D5DA610F-7A53-4247-BAD3-11885D444F6D}"/>
    <hyperlink ref="O831" r:id="rId450" xr:uid="{C22CA171-2AA3-4619-90BA-1F39AA88A8AC}"/>
    <hyperlink ref="O835" r:id="rId451" xr:uid="{B2EEA1C9-2E36-43E5-A2D2-A399C7C5DB2A}"/>
    <hyperlink ref="O839" r:id="rId452" xr:uid="{8A6D3B37-408F-432F-9A2E-7D3335D295C8}"/>
    <hyperlink ref="O840" r:id="rId453" xr:uid="{0BA05FD7-F6D6-4105-B107-217ECD35DFA8}"/>
    <hyperlink ref="O843" r:id="rId454" xr:uid="{9A8E375F-52FC-4571-926D-71A12EFE4954}"/>
    <hyperlink ref="O849" r:id="rId455" xr:uid="{47E699CA-05C3-4923-9137-B6AB68E6580D}"/>
    <hyperlink ref="O848" r:id="rId456" xr:uid="{C0F8040E-B049-4ACE-ADFA-EDFF7B9DA2B6}"/>
    <hyperlink ref="O857" r:id="rId457" xr:uid="{C75EE156-BC50-44AF-95BE-DD10E438217D}"/>
    <hyperlink ref="O858" r:id="rId458" xr:uid="{95BA9473-3128-4788-BB71-64C42C5EFA10}"/>
    <hyperlink ref="O859" r:id="rId459" xr:uid="{BC097E0B-566D-4685-B75B-3377C3E4B8EA}"/>
    <hyperlink ref="O860" r:id="rId460" xr:uid="{2EDDB105-C271-4DE6-BA2E-B55E018A3492}"/>
    <hyperlink ref="O861" r:id="rId461" xr:uid="{407AD6DA-FA18-404A-A9EC-6D3DCEDC1E68}"/>
    <hyperlink ref="O862" r:id="rId462" xr:uid="{DB6472DF-1EB2-41EE-A5CD-608907B60491}"/>
    <hyperlink ref="O863" r:id="rId463" xr:uid="{267936F0-729D-4EE9-9C39-F6D9D2D14B5F}"/>
    <hyperlink ref="O864" r:id="rId464" xr:uid="{F36E9A74-B342-4318-BFB6-0A924BCB9230}"/>
    <hyperlink ref="O865" r:id="rId465" xr:uid="{7AC6EBEF-ADE3-4EB0-935A-3599C573D7D0}"/>
    <hyperlink ref="O866" r:id="rId466" xr:uid="{A597D7BD-90A0-400F-944D-B090ECE3348A}"/>
    <hyperlink ref="O871" r:id="rId467" xr:uid="{5F734520-A668-4784-A83D-9413F3A2822E}"/>
    <hyperlink ref="O874" r:id="rId468" xr:uid="{E3D85B06-9184-4AA4-A9F8-2C9D3A567F3E}"/>
    <hyperlink ref="O741" r:id="rId469" xr:uid="{CBE80D39-938D-4AE4-A866-0ECC622F1852}"/>
    <hyperlink ref="O744" r:id="rId470" xr:uid="{DD0E857A-7753-44DB-B445-33E894F79EDE}"/>
    <hyperlink ref="O745" r:id="rId471" xr:uid="{0CC7C8D4-2CB1-4041-A911-158DEF36A76C}"/>
    <hyperlink ref="O746" r:id="rId472" xr:uid="{D7B87457-4ED7-4E9F-95D2-AF338DAF56CB}"/>
    <hyperlink ref="O747" r:id="rId473" xr:uid="{6EDD4E35-FE49-48D1-A308-274BCE4CDED1}"/>
    <hyperlink ref="O748" r:id="rId474" xr:uid="{7604AF36-163B-473D-BC52-DEC469F9A317}"/>
    <hyperlink ref="O749" r:id="rId475" xr:uid="{6D839EE3-2B40-4934-83F1-7EFC36D57D22}"/>
    <hyperlink ref="O750" r:id="rId476" xr:uid="{2771FF48-49D7-46A7-8AC0-5214D6F3E73D}"/>
    <hyperlink ref="O751" r:id="rId477" xr:uid="{AE85FDE7-2246-4AC3-87E8-211F16049477}"/>
    <hyperlink ref="O754" r:id="rId478" xr:uid="{40536E5B-0500-4AD7-840E-C45DD3D5B6CD}"/>
    <hyperlink ref="O755" r:id="rId479" xr:uid="{43023712-6700-48BA-AF8E-773FCDC5B150}"/>
    <hyperlink ref="O756" r:id="rId480" xr:uid="{E814731D-655C-47D6-B608-A1B7D738A131}"/>
    <hyperlink ref="O757" r:id="rId481" xr:uid="{788AC3F9-8D2D-4695-B1DF-BEB65D0A4BFB}"/>
    <hyperlink ref="O758" r:id="rId482" xr:uid="{A7581325-3858-4D18-BCA8-CAB6C43A16FB}"/>
    <hyperlink ref="O759" r:id="rId483" xr:uid="{126DB097-50BC-4C43-9C53-A3D511A3CD34}"/>
    <hyperlink ref="O791" r:id="rId484" xr:uid="{22019018-64D0-411E-A0F4-A2C656683CC5}"/>
    <hyperlink ref="O792" r:id="rId485" xr:uid="{CF45E92D-2574-48F7-9497-70F9D651C0D0}"/>
    <hyperlink ref="O793" r:id="rId486" xr:uid="{F5BA7A99-A6FD-4D0E-B851-CEC94C176923}"/>
    <hyperlink ref="O794" r:id="rId487" xr:uid="{3412BB15-EA4A-4796-9411-7EC4E9F4F792}"/>
    <hyperlink ref="O795" r:id="rId488" xr:uid="{14638D42-EF06-48A1-A7FD-15F9EBF3682E}"/>
    <hyperlink ref="O796" r:id="rId489" xr:uid="{F778C0C5-DD39-4EDC-938C-DC075A096350}"/>
    <hyperlink ref="O766" r:id="rId490" xr:uid="{0670BF0D-F58C-4FE4-B7F7-925AB4342E84}"/>
    <hyperlink ref="O768" r:id="rId491" xr:uid="{167A3183-D045-47C2-9B70-D39F021B5876}"/>
    <hyperlink ref="O773" r:id="rId492" xr:uid="{F3DF5A06-8002-4FD6-B631-72481E18F08A}"/>
    <hyperlink ref="O769" r:id="rId493" xr:uid="{3F872FBA-3CB4-42DA-8B11-A63723D684E2}"/>
    <hyperlink ref="O775" r:id="rId494" xr:uid="{23D7051E-173D-453B-A667-813FAF86026A}"/>
    <hyperlink ref="O778" r:id="rId495" xr:uid="{29D5A335-6ED3-4564-BB0A-98F6C760F1D4}"/>
    <hyperlink ref="O779" r:id="rId496" xr:uid="{36F1FA4C-4F76-4786-BFAE-88017B5B5EDA}"/>
    <hyperlink ref="O781" r:id="rId497" xr:uid="{83B95437-8FAF-42A7-9571-8EB944F51406}"/>
    <hyperlink ref="O782" r:id="rId498" xr:uid="{AFFC6C6B-F016-4B73-AABC-06FF80429990}"/>
    <hyperlink ref="O783" r:id="rId499" xr:uid="{7657C333-F026-4F32-954F-6CA5090183E2}"/>
    <hyperlink ref="O784" r:id="rId500" xr:uid="{2C571C6A-A3F6-4DDF-A83A-9C77E3D09F90}"/>
    <hyperlink ref="O785" r:id="rId501" xr:uid="{A67F58AC-C8A5-4212-8042-1F0C8DB52C93}"/>
    <hyperlink ref="O786" r:id="rId502" xr:uid="{E431B028-B398-4D2B-A199-A50FA141EF19}"/>
    <hyperlink ref="O787" r:id="rId503" xr:uid="{A85E4C15-47A2-41C7-8209-91574FF83A58}"/>
    <hyperlink ref="O802" r:id="rId504" xr:uid="{B88C0C9D-F3BF-46AF-94BA-CDDBEED4CE91}"/>
    <hyperlink ref="O813" r:id="rId505" xr:uid="{62A262E2-62FC-4740-A24F-3EFCEDA38D66}"/>
    <hyperlink ref="O815" r:id="rId506" xr:uid="{C434F430-F133-4B9E-B3F8-2948F8B017D7}"/>
    <hyperlink ref="O816" r:id="rId507" xr:uid="{F96DEBBB-CC9E-4E0A-987A-C40B04277718}"/>
    <hyperlink ref="O827" r:id="rId508" xr:uid="{A76C5848-804B-4293-B2D5-57DD8EE3BE37}"/>
    <hyperlink ref="O828" r:id="rId509" xr:uid="{73501A11-AD93-4F2C-800F-D9510640B630}"/>
    <hyperlink ref="O829" r:id="rId510" xr:uid="{05CB3E1D-3E4F-46FA-9CA4-1F4A3767DB48}"/>
    <hyperlink ref="O830" r:id="rId511" xr:uid="{E09FD209-4587-4EBA-B4D4-56E2BA186D4D}"/>
    <hyperlink ref="O832" r:id="rId512" xr:uid="{6A19CB2A-C961-4C20-AE2C-5DD999EBB509}"/>
    <hyperlink ref="O834" r:id="rId513" xr:uid="{C6A707A2-B171-4B55-A2E9-C626D2C4D62D}"/>
    <hyperlink ref="O836" r:id="rId514" xr:uid="{C852A0BD-EB8F-4A15-8FA4-91640BCD0BB5}"/>
    <hyperlink ref="O837" r:id="rId515" xr:uid="{B6FB2044-AF57-4C8B-A16A-B14086099C1A}"/>
    <hyperlink ref="O844" r:id="rId516" xr:uid="{E1AAB304-CE14-4D5E-BE69-DC671E5A13E9}"/>
    <hyperlink ref="O845" r:id="rId517" xr:uid="{46C6EC26-695E-4887-AFBE-8FFF018E2A73}"/>
    <hyperlink ref="O850" r:id="rId518" xr:uid="{79CF2923-03A0-4BB2-B277-2CB528FC47CC}"/>
    <hyperlink ref="O851" r:id="rId519" xr:uid="{833E086E-BDC9-4CF7-BAF8-347AE605D774}"/>
    <hyperlink ref="O854" r:id="rId520" xr:uid="{3E6E7D02-2B91-4821-9959-7A06B470897D}"/>
    <hyperlink ref="O855" r:id="rId521" xr:uid="{442C4017-1B96-4EE0-9288-3E8CE38790C3}"/>
    <hyperlink ref="O856" r:id="rId522" xr:uid="{2AB20428-422A-4626-8B33-EBA45947CE7A}"/>
    <hyperlink ref="O867" r:id="rId523" xr:uid="{9AE95479-37C7-4DB4-87AE-9D3C312C205F}"/>
    <hyperlink ref="O868" r:id="rId524" xr:uid="{FF860FE7-043C-4408-B665-D01BB883DF39}"/>
    <hyperlink ref="O869" r:id="rId525" xr:uid="{B30FF91F-37AD-4059-898A-A86DAA206112}"/>
    <hyperlink ref="O870" r:id="rId526" xr:uid="{69B7BB77-6EB7-454F-BAE1-7DC62BD7F326}"/>
    <hyperlink ref="O872" r:id="rId527" xr:uid="{C18ECD1E-9827-4AC9-90B9-0667C96F7F87}"/>
    <hyperlink ref="O873" r:id="rId528" xr:uid="{A5738F8D-1682-4510-9176-3C316208A8AF}"/>
    <hyperlink ref="O875" r:id="rId529" xr:uid="{39F25A98-AAE7-4963-AAB5-708E938BBBEF}"/>
    <hyperlink ref="O876" r:id="rId530" xr:uid="{C0152D0E-9D7E-44E9-967C-F82D030D8E84}"/>
    <hyperlink ref="O877" r:id="rId531" xr:uid="{725B2D81-EFAD-47DA-A613-46E57F1BE1B4}"/>
    <hyperlink ref="O878" r:id="rId532" xr:uid="{683634CD-8E66-4D14-8675-6135F5CE58DE}"/>
    <hyperlink ref="O879" r:id="rId533" xr:uid="{8B66ABA8-42D7-4DEE-9D2D-049B8D6CB0D1}"/>
    <hyperlink ref="O880" r:id="rId534" xr:uid="{4A593ED9-F356-4EA7-9239-C08B8BCCED14}"/>
    <hyperlink ref="O881" r:id="rId535" xr:uid="{F8021A11-C953-4F60-B5B3-9FA2444B1B79}"/>
    <hyperlink ref="O883" r:id="rId536" xr:uid="{B342E216-4C71-4F01-87CF-359357D558AF}"/>
    <hyperlink ref="O882" r:id="rId537" xr:uid="{09CC6DAE-3443-4B3F-98D6-47B886CE05C3}"/>
    <hyperlink ref="O884" r:id="rId538" xr:uid="{F4DF3B79-CEED-49E9-9B9E-52ACED0C7C08}"/>
    <hyperlink ref="O885" r:id="rId539" xr:uid="{2717D05F-B25B-4C01-82E2-6C91BC9BE528}"/>
    <hyperlink ref="O241" r:id="rId540" xr:uid="{8E2D8371-A564-43D4-AC34-4A179B446128}"/>
    <hyperlink ref="O886" r:id="rId541" xr:uid="{389CE819-BB9E-43E3-A546-EF00D70C428A}"/>
    <hyperlink ref="O887" r:id="rId542" xr:uid="{2D1B7078-86D8-4111-989C-53C7471C0515}"/>
    <hyperlink ref="O888" r:id="rId543" xr:uid="{8FA39CC4-4A33-4A75-B92D-B564C5B5ECCA}"/>
    <hyperlink ref="O889" r:id="rId544" xr:uid="{39D9A461-BA5E-474D-ABFA-A95B0794C932}"/>
    <hyperlink ref="W277" r:id="rId545" xr:uid="{5B4E20EA-2F6F-40A4-871E-AEDADEFCF298}"/>
    <hyperlink ref="V865" r:id="rId546" display="(46) 99919.1443" xr:uid="{79F3E953-E360-4241-A472-E7E3295CB054}"/>
    <hyperlink ref="V866" r:id="rId547" display="(46) 99919.1443" xr:uid="{0E97BA2A-7545-4B36-9FB4-3BEAE1C80F6C}"/>
    <hyperlink ref="W865" r:id="rId548" xr:uid="{EC06F141-15C4-47A1-A307-57864D034E06}"/>
    <hyperlink ref="W866" r:id="rId549" xr:uid="{1B110541-38DE-4090-BCE8-1126FACA41F7}"/>
    <hyperlink ref="W161" r:id="rId550" xr:uid="{39463DB9-3278-492E-985E-6E6C53CE3893}"/>
    <hyperlink ref="W609" r:id="rId551" xr:uid="{8059A1D6-7410-4F2C-A7B2-BA8AE85AE4BD}"/>
    <hyperlink ref="W814" r:id="rId552" xr:uid="{40285067-CED1-4E56-B4BD-AA2421B504A5}"/>
  </hyperlinks>
  <pageMargins left="0.511811024" right="0.511811024" top="0.78740157499999996" bottom="0.78740157499999996" header="0.31496062000000002" footer="0.31496062000000002"/>
  <legacyDrawing r:id="rId553"/>
  <tableParts count="1">
    <tablePart r:id="rId55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19B38D-5D13-4211-B3FB-9288CA8FBDD2}">
          <x14:formula1>
            <xm:f>'Dados das Regiões '!$M$2</xm:f>
          </x14:formula1>
          <xm:sqref>D1047936:D1048576 F1047936:F1048576 F2:F1047934 D2:D1047934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4FB33-CFCE-492A-8C0E-A59776E3966D}">
  <sheetPr codeName="Planilha21"/>
  <dimension ref="A1:P5000"/>
  <sheetViews>
    <sheetView zoomScale="85" zoomScaleNormal="85" workbookViewId="0">
      <selection activeCell="J11" sqref="J11"/>
    </sheetView>
  </sheetViews>
  <sheetFormatPr defaultRowHeight="15"/>
  <cols>
    <col min="1" max="1" width="28.28515625" bestFit="1" customWidth="1"/>
    <col min="2" max="2" width="15.28515625" bestFit="1" customWidth="1"/>
    <col min="3" max="3" width="10.28515625" bestFit="1" customWidth="1"/>
    <col min="4" max="4" width="4.7109375" bestFit="1" customWidth="1"/>
    <col min="5" max="5" width="34.5703125" bestFit="1" customWidth="1"/>
    <col min="6" max="6" width="79.5703125" bestFit="1" customWidth="1"/>
    <col min="7" max="7" width="31.85546875" bestFit="1" customWidth="1"/>
    <col min="8" max="8" width="43.7109375" bestFit="1" customWidth="1"/>
    <col min="9" max="9" width="12.42578125" bestFit="1" customWidth="1"/>
    <col min="10" max="10" width="15.5703125" bestFit="1" customWidth="1"/>
    <col min="11" max="11" width="31.85546875" bestFit="1" customWidth="1"/>
    <col min="12" max="12" width="14.28515625" bestFit="1" customWidth="1"/>
    <col min="13" max="13" width="32.140625" bestFit="1" customWidth="1"/>
    <col min="14" max="14" width="21" bestFit="1" customWidth="1"/>
    <col min="15" max="15" width="10" bestFit="1" customWidth="1"/>
    <col min="16" max="16" width="60.7109375" customWidth="1"/>
  </cols>
  <sheetData>
    <row r="1" spans="1:16" s="128" customFormat="1" ht="18.75">
      <c r="A1" s="733" t="s">
        <v>6998</v>
      </c>
      <c r="B1" s="734"/>
      <c r="C1" s="734"/>
      <c r="D1" s="734"/>
      <c r="E1" s="734"/>
      <c r="F1" s="734"/>
      <c r="G1" s="734"/>
      <c r="H1" s="734"/>
      <c r="I1" s="574"/>
      <c r="J1" s="574"/>
      <c r="K1" s="574"/>
      <c r="L1" s="574"/>
      <c r="M1" s="574"/>
      <c r="N1" s="574"/>
      <c r="O1" s="574"/>
      <c r="P1" s="575"/>
    </row>
    <row r="2" spans="1:16" s="573" customFormat="1" ht="15.75">
      <c r="A2" s="566" t="s">
        <v>514</v>
      </c>
      <c r="B2" s="567" t="s">
        <v>608</v>
      </c>
      <c r="C2" s="568" t="s">
        <v>0</v>
      </c>
      <c r="D2" s="569" t="s">
        <v>3110</v>
      </c>
      <c r="E2" s="569" t="s">
        <v>516</v>
      </c>
      <c r="F2" s="570" t="s">
        <v>517</v>
      </c>
      <c r="G2" s="570" t="s">
        <v>518</v>
      </c>
      <c r="H2" s="570" t="s">
        <v>6999</v>
      </c>
      <c r="I2" s="571" t="s">
        <v>603</v>
      </c>
      <c r="J2" s="570" t="s">
        <v>521</v>
      </c>
      <c r="K2" s="571" t="s">
        <v>606</v>
      </c>
      <c r="L2" s="570" t="s">
        <v>523</v>
      </c>
      <c r="M2" s="570" t="s">
        <v>524</v>
      </c>
      <c r="N2" s="569" t="s">
        <v>7000</v>
      </c>
      <c r="O2" s="569" t="s">
        <v>7001</v>
      </c>
      <c r="P2" s="572" t="s">
        <v>525</v>
      </c>
    </row>
    <row r="3" spans="1:16">
      <c r="A3" s="532"/>
      <c r="B3" s="545"/>
      <c r="C3" s="546"/>
      <c r="D3" s="546"/>
      <c r="E3" s="546"/>
      <c r="F3" s="546"/>
      <c r="G3" s="546"/>
      <c r="H3" s="547"/>
      <c r="I3" s="548"/>
      <c r="J3" s="533"/>
      <c r="K3" s="533"/>
      <c r="L3" s="546"/>
      <c r="M3" s="546"/>
      <c r="N3" s="546"/>
      <c r="O3" s="549"/>
      <c r="P3" s="549"/>
    </row>
    <row r="4" spans="1:16">
      <c r="A4" s="532"/>
      <c r="B4" s="550"/>
      <c r="C4" s="549"/>
      <c r="D4" s="546"/>
      <c r="E4" s="549"/>
      <c r="F4" s="549"/>
      <c r="G4" s="549"/>
      <c r="H4" s="551"/>
      <c r="I4" s="549"/>
      <c r="J4" s="532"/>
      <c r="K4" s="522"/>
      <c r="L4" s="549"/>
      <c r="M4" s="549"/>
      <c r="N4" s="549"/>
      <c r="O4" s="549"/>
      <c r="P4" s="549"/>
    </row>
    <row r="5" spans="1:16">
      <c r="A5" s="532"/>
      <c r="B5" s="545"/>
      <c r="C5" s="546"/>
      <c r="D5" s="549"/>
      <c r="E5" s="546"/>
      <c r="F5" s="546"/>
      <c r="G5" s="546"/>
      <c r="H5" s="547"/>
      <c r="I5" s="546"/>
      <c r="J5" s="532"/>
      <c r="K5" s="533"/>
      <c r="L5" s="546"/>
      <c r="M5" s="546"/>
      <c r="N5" s="546"/>
      <c r="O5" s="549"/>
      <c r="P5" s="549"/>
    </row>
    <row r="6" spans="1:16">
      <c r="A6" s="532"/>
      <c r="B6" s="545"/>
      <c r="C6" s="549"/>
      <c r="D6" s="549"/>
      <c r="E6" s="549"/>
      <c r="F6" s="549"/>
      <c r="G6" s="549"/>
      <c r="H6" s="551"/>
      <c r="I6" s="549"/>
      <c r="J6" s="533"/>
      <c r="K6" s="532"/>
      <c r="L6" s="549"/>
      <c r="M6" s="549"/>
      <c r="N6" s="549"/>
      <c r="O6" s="546"/>
      <c r="P6" s="549"/>
    </row>
    <row r="7" spans="1:16">
      <c r="A7" s="532"/>
      <c r="B7" s="550"/>
      <c r="C7" s="546"/>
      <c r="D7" s="546"/>
      <c r="E7" s="546"/>
      <c r="F7" s="546"/>
      <c r="G7" s="546"/>
      <c r="H7" s="547"/>
      <c r="I7" s="546"/>
      <c r="J7" s="532"/>
      <c r="K7" s="533"/>
      <c r="L7" s="546"/>
      <c r="M7" s="546"/>
      <c r="N7" s="546"/>
      <c r="O7" s="546"/>
      <c r="P7" s="522"/>
    </row>
    <row r="8" spans="1:16">
      <c r="A8" s="532"/>
      <c r="B8" s="545"/>
      <c r="C8" s="549"/>
      <c r="D8" s="546"/>
      <c r="E8" s="549"/>
      <c r="F8" s="549"/>
      <c r="G8" s="549"/>
      <c r="H8" s="551"/>
      <c r="I8" s="549"/>
      <c r="J8" s="533"/>
      <c r="K8" s="532"/>
      <c r="L8" s="549"/>
      <c r="M8" s="549"/>
      <c r="N8" s="549"/>
      <c r="O8" s="549"/>
      <c r="P8" s="549"/>
    </row>
    <row r="9" spans="1:16">
      <c r="A9" s="532"/>
      <c r="B9" s="550"/>
      <c r="C9" s="546"/>
      <c r="D9" s="546"/>
      <c r="E9" s="546"/>
      <c r="F9" s="546"/>
      <c r="G9" s="546"/>
      <c r="H9" s="547"/>
      <c r="I9" s="546"/>
      <c r="J9" s="532"/>
      <c r="K9" s="533"/>
      <c r="L9" s="546"/>
      <c r="M9" s="546"/>
      <c r="N9" s="546"/>
      <c r="O9" s="546"/>
      <c r="P9" s="549"/>
    </row>
    <row r="10" spans="1:16">
      <c r="A10" s="532"/>
      <c r="B10" s="545"/>
      <c r="C10" s="549"/>
      <c r="D10" s="546"/>
      <c r="E10" s="549"/>
      <c r="F10" s="549"/>
      <c r="G10" s="549"/>
      <c r="H10" s="551"/>
      <c r="I10" s="549"/>
      <c r="J10" s="534"/>
      <c r="K10" s="532"/>
      <c r="L10" s="549"/>
      <c r="M10" s="549"/>
      <c r="N10" s="549"/>
      <c r="O10" s="549"/>
      <c r="P10" s="549"/>
    </row>
    <row r="11" spans="1:16">
      <c r="A11" s="532"/>
      <c r="B11" s="552"/>
      <c r="C11" s="546"/>
      <c r="D11" s="549"/>
      <c r="E11" s="546"/>
      <c r="F11" s="546"/>
      <c r="G11" s="546"/>
      <c r="H11" s="546"/>
      <c r="I11" s="546"/>
      <c r="J11" s="533"/>
      <c r="K11" s="533"/>
      <c r="L11" s="546"/>
      <c r="M11" s="546"/>
      <c r="N11" s="546"/>
      <c r="O11" s="546"/>
      <c r="P11" s="549"/>
    </row>
    <row r="12" spans="1:16">
      <c r="A12" s="532"/>
      <c r="B12" s="545"/>
      <c r="C12" s="549"/>
      <c r="D12" s="549"/>
      <c r="E12" s="549"/>
      <c r="F12" s="549"/>
      <c r="G12" s="549"/>
      <c r="H12" s="551"/>
      <c r="I12" s="549"/>
      <c r="J12" s="532"/>
      <c r="K12" s="532"/>
      <c r="L12" s="549"/>
      <c r="M12" s="549"/>
      <c r="N12" s="549"/>
      <c r="O12" s="549"/>
      <c r="P12" s="549"/>
    </row>
    <row r="13" spans="1:16">
      <c r="A13" s="532"/>
      <c r="B13" s="550"/>
      <c r="C13" s="546"/>
      <c r="D13" s="549"/>
      <c r="E13" s="546"/>
      <c r="F13" s="546"/>
      <c r="G13" s="546"/>
      <c r="H13" s="547"/>
      <c r="I13" s="546"/>
      <c r="J13" s="533"/>
      <c r="K13" s="533"/>
      <c r="L13" s="546"/>
      <c r="M13" s="546"/>
      <c r="N13" s="546"/>
      <c r="O13" s="546"/>
      <c r="P13" s="549"/>
    </row>
    <row r="14" spans="1:16">
      <c r="A14" s="532"/>
      <c r="B14" s="545"/>
      <c r="C14" s="549"/>
      <c r="D14" s="549"/>
      <c r="E14" s="549"/>
      <c r="F14" s="549"/>
      <c r="G14" s="549"/>
      <c r="H14" s="551"/>
      <c r="I14" s="549"/>
      <c r="J14" s="532"/>
      <c r="K14" s="532"/>
      <c r="L14" s="549"/>
      <c r="M14" s="549"/>
      <c r="N14" s="549"/>
      <c r="O14" s="549"/>
      <c r="P14" s="549"/>
    </row>
    <row r="15" spans="1:16">
      <c r="A15" s="532"/>
      <c r="B15" s="550"/>
      <c r="C15" s="546"/>
      <c r="D15" s="549"/>
      <c r="E15" s="546"/>
      <c r="F15" s="546"/>
      <c r="G15" s="546"/>
      <c r="H15" s="547"/>
      <c r="I15" s="548"/>
      <c r="J15" s="533"/>
      <c r="K15" s="533"/>
      <c r="L15" s="546"/>
      <c r="M15" s="549"/>
      <c r="N15" s="546"/>
      <c r="O15" s="546"/>
      <c r="P15" s="549"/>
    </row>
    <row r="16" spans="1:16">
      <c r="A16" s="532"/>
      <c r="B16" s="550"/>
      <c r="C16" s="546"/>
      <c r="D16" s="549"/>
      <c r="E16" s="546"/>
      <c r="F16" s="546"/>
      <c r="G16" s="546"/>
      <c r="H16" s="547"/>
      <c r="I16" s="548"/>
      <c r="J16" s="533"/>
      <c r="K16" s="533"/>
      <c r="L16" s="546"/>
      <c r="M16" s="549"/>
      <c r="N16" s="546"/>
      <c r="O16" s="546"/>
      <c r="P16" s="549"/>
    </row>
    <row r="17" spans="1:16">
      <c r="A17" s="532"/>
      <c r="B17" s="545"/>
      <c r="C17" s="549"/>
      <c r="D17" s="549"/>
      <c r="E17" s="549"/>
      <c r="F17" s="549"/>
      <c r="G17" s="549"/>
      <c r="H17" s="551"/>
      <c r="I17" s="549"/>
      <c r="J17" s="532"/>
      <c r="K17" s="532"/>
      <c r="L17" s="549"/>
      <c r="M17" s="549"/>
      <c r="N17" s="549"/>
      <c r="O17" s="549"/>
      <c r="P17" s="549"/>
    </row>
    <row r="18" spans="1:16">
      <c r="A18" s="532"/>
      <c r="B18" s="545"/>
      <c r="C18" s="549"/>
      <c r="D18" s="549"/>
      <c r="E18" s="549"/>
      <c r="F18" s="549"/>
      <c r="G18" s="549"/>
      <c r="H18" s="551"/>
      <c r="I18" s="553"/>
      <c r="J18" s="532"/>
      <c r="K18" s="532"/>
      <c r="L18" s="549"/>
      <c r="M18" s="549"/>
      <c r="N18" s="549"/>
      <c r="O18" s="549"/>
      <c r="P18" s="549"/>
    </row>
    <row r="19" spans="1:16">
      <c r="A19" s="532"/>
      <c r="B19" s="545"/>
      <c r="C19" s="549"/>
      <c r="D19" s="549"/>
      <c r="E19" s="549"/>
      <c r="F19" s="549"/>
      <c r="G19" s="549"/>
      <c r="H19" s="551"/>
      <c r="I19" s="553"/>
      <c r="J19" s="532"/>
      <c r="K19" s="532"/>
      <c r="L19" s="549"/>
      <c r="M19" s="549"/>
      <c r="N19" s="549"/>
      <c r="O19" s="549"/>
      <c r="P19" s="549"/>
    </row>
    <row r="20" spans="1:16">
      <c r="A20" s="532"/>
      <c r="B20" s="550"/>
      <c r="C20" s="546"/>
      <c r="D20" s="549"/>
      <c r="E20" s="546"/>
      <c r="F20" s="546"/>
      <c r="G20" s="546"/>
      <c r="H20" s="547"/>
      <c r="I20" s="548"/>
      <c r="J20" s="533"/>
      <c r="K20" s="533"/>
      <c r="L20" s="546"/>
      <c r="M20" s="549"/>
      <c r="N20" s="546"/>
      <c r="O20" s="546"/>
      <c r="P20" s="549"/>
    </row>
    <row r="21" spans="1:16">
      <c r="A21" s="532"/>
      <c r="B21" s="545"/>
      <c r="C21" s="549"/>
      <c r="D21" s="549"/>
      <c r="E21" s="549"/>
      <c r="F21" s="549"/>
      <c r="G21" s="549"/>
      <c r="H21" s="551"/>
      <c r="I21" s="553"/>
      <c r="J21" s="532"/>
      <c r="K21" s="532"/>
      <c r="L21" s="549"/>
      <c r="M21" s="549"/>
      <c r="N21" s="549"/>
      <c r="O21" s="549"/>
      <c r="P21" s="549"/>
    </row>
    <row r="22" spans="1:16">
      <c r="A22" s="532"/>
      <c r="B22" s="545"/>
      <c r="C22" s="549"/>
      <c r="D22" s="549"/>
      <c r="E22" s="549"/>
      <c r="F22" s="549"/>
      <c r="G22" s="549"/>
      <c r="H22" s="551"/>
      <c r="I22" s="549"/>
      <c r="J22" s="532"/>
      <c r="K22" s="532"/>
      <c r="L22" s="549"/>
      <c r="M22" s="549"/>
      <c r="N22" s="549"/>
      <c r="O22" s="549"/>
      <c r="P22" s="549"/>
    </row>
    <row r="23" spans="1:16">
      <c r="A23" s="532"/>
      <c r="B23" s="545"/>
      <c r="C23" s="549"/>
      <c r="D23" s="549"/>
      <c r="E23" s="549"/>
      <c r="F23" s="549"/>
      <c r="G23" s="549"/>
      <c r="H23" s="551"/>
      <c r="I23" s="553"/>
      <c r="J23" s="532"/>
      <c r="K23" s="532"/>
      <c r="L23" s="549"/>
      <c r="M23" s="549"/>
      <c r="N23" s="549"/>
      <c r="O23" s="549"/>
      <c r="P23" s="549"/>
    </row>
    <row r="24" spans="1:16">
      <c r="A24" s="532"/>
      <c r="B24" s="545"/>
      <c r="C24" s="549"/>
      <c r="D24" s="549"/>
      <c r="E24" s="549"/>
      <c r="F24" s="549"/>
      <c r="G24" s="549"/>
      <c r="H24" s="551"/>
      <c r="I24" s="553"/>
      <c r="J24" s="532"/>
      <c r="K24" s="532"/>
      <c r="L24" s="549"/>
      <c r="M24" s="549"/>
      <c r="N24" s="549"/>
      <c r="O24" s="549"/>
      <c r="P24" s="549"/>
    </row>
    <row r="25" spans="1:16">
      <c r="A25" s="532"/>
      <c r="B25" s="550"/>
      <c r="C25" s="546"/>
      <c r="D25" s="549"/>
      <c r="E25" s="546"/>
      <c r="F25" s="546"/>
      <c r="G25" s="546"/>
      <c r="H25" s="547"/>
      <c r="I25" s="548"/>
      <c r="J25" s="533"/>
      <c r="K25" s="533"/>
      <c r="L25" s="546"/>
      <c r="M25" s="549"/>
      <c r="N25" s="546"/>
      <c r="O25" s="546"/>
      <c r="P25" s="549"/>
    </row>
    <row r="26" spans="1:16">
      <c r="A26" s="532"/>
      <c r="B26" s="545"/>
      <c r="C26" s="549"/>
      <c r="D26" s="549"/>
      <c r="E26" s="549"/>
      <c r="F26" s="549"/>
      <c r="G26" s="549"/>
      <c r="H26" s="551"/>
      <c r="I26" s="553"/>
      <c r="J26" s="532"/>
      <c r="K26" s="532"/>
      <c r="L26" s="549"/>
      <c r="M26" s="549"/>
      <c r="N26" s="549"/>
      <c r="O26" s="549"/>
      <c r="P26" s="549"/>
    </row>
    <row r="27" spans="1:16">
      <c r="A27" s="532"/>
      <c r="B27" s="545"/>
      <c r="C27" s="549"/>
      <c r="D27" s="549"/>
      <c r="E27" s="549"/>
      <c r="F27" s="549"/>
      <c r="G27" s="549"/>
      <c r="H27" s="551"/>
      <c r="I27" s="549"/>
      <c r="J27" s="532"/>
      <c r="K27" s="532"/>
      <c r="L27" s="549"/>
      <c r="M27" s="549"/>
      <c r="N27" s="549"/>
      <c r="O27" s="549"/>
      <c r="P27" s="549"/>
    </row>
    <row r="28" spans="1:16">
      <c r="A28" s="532"/>
      <c r="B28" s="545"/>
      <c r="C28" s="549"/>
      <c r="D28" s="549"/>
      <c r="E28" s="549"/>
      <c r="F28" s="549"/>
      <c r="G28" s="549"/>
      <c r="H28" s="551"/>
      <c r="I28" s="553"/>
      <c r="J28" s="532"/>
      <c r="K28" s="532"/>
      <c r="L28" s="549"/>
      <c r="M28" s="549"/>
      <c r="N28" s="549"/>
      <c r="O28" s="549"/>
      <c r="P28" s="549"/>
    </row>
    <row r="29" spans="1:16">
      <c r="A29" s="532"/>
      <c r="B29" s="545"/>
      <c r="C29" s="549"/>
      <c r="D29" s="549"/>
      <c r="E29" s="549"/>
      <c r="F29" s="549"/>
      <c r="G29" s="549"/>
      <c r="H29" s="551"/>
      <c r="I29" s="553"/>
      <c r="J29" s="532"/>
      <c r="K29" s="532"/>
      <c r="L29" s="549"/>
      <c r="M29" s="549"/>
      <c r="N29" s="549"/>
      <c r="O29" s="549"/>
      <c r="P29" s="549"/>
    </row>
    <row r="30" spans="1:16">
      <c r="A30" s="532"/>
      <c r="B30" s="550"/>
      <c r="C30" s="546"/>
      <c r="D30" s="549"/>
      <c r="E30" s="546"/>
      <c r="F30" s="546"/>
      <c r="G30" s="546"/>
      <c r="H30" s="547"/>
      <c r="I30" s="548"/>
      <c r="J30" s="533"/>
      <c r="K30" s="533"/>
      <c r="L30" s="546"/>
      <c r="M30" s="549"/>
      <c r="N30" s="546"/>
      <c r="O30" s="546"/>
      <c r="P30" s="549"/>
    </row>
    <row r="31" spans="1:16">
      <c r="A31" s="532"/>
      <c r="B31" s="545"/>
      <c r="C31" s="549"/>
      <c r="D31" s="549"/>
      <c r="E31" s="549"/>
      <c r="F31" s="549"/>
      <c r="G31" s="549"/>
      <c r="H31" s="551"/>
      <c r="I31" s="553"/>
      <c r="J31" s="532"/>
      <c r="K31" s="532"/>
      <c r="L31" s="549"/>
      <c r="M31" s="549"/>
      <c r="N31" s="549"/>
      <c r="O31" s="549"/>
      <c r="P31" s="549"/>
    </row>
    <row r="32" spans="1:16">
      <c r="A32" s="554"/>
      <c r="B32" s="555"/>
      <c r="C32" s="554"/>
      <c r="D32" s="554"/>
      <c r="E32" s="554"/>
      <c r="F32" s="554"/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>
      <c r="A33" s="522"/>
      <c r="B33" s="556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</row>
    <row r="34" spans="1:16">
      <c r="A34" s="735" t="s">
        <v>542</v>
      </c>
      <c r="B34" s="736"/>
      <c r="C34" s="737"/>
      <c r="D34" s="737"/>
      <c r="E34" s="737"/>
      <c r="F34" s="737"/>
      <c r="G34" s="737"/>
      <c r="H34" s="737"/>
      <c r="I34" s="809"/>
      <c r="J34" s="809"/>
      <c r="K34" s="809"/>
      <c r="L34" s="809"/>
      <c r="M34" s="809"/>
      <c r="N34" s="522"/>
      <c r="O34" s="522"/>
      <c r="P34" s="522"/>
    </row>
    <row r="35" spans="1:16">
      <c r="A35" s="557" t="s">
        <v>543</v>
      </c>
      <c r="B35" s="558" t="s">
        <v>544</v>
      </c>
      <c r="C35" s="559" t="s">
        <v>545</v>
      </c>
      <c r="D35" s="560"/>
      <c r="E35" s="810" t="s">
        <v>546</v>
      </c>
      <c r="F35" s="810"/>
      <c r="G35" s="559" t="s">
        <v>545</v>
      </c>
      <c r="H35" s="560" t="s">
        <v>547</v>
      </c>
      <c r="I35" s="535" t="s">
        <v>548</v>
      </c>
      <c r="J35" s="536"/>
      <c r="K35" s="536"/>
      <c r="L35" s="536"/>
      <c r="M35" s="536"/>
      <c r="N35" s="536"/>
      <c r="O35" s="536"/>
      <c r="P35" s="536"/>
    </row>
    <row r="36" spans="1:16">
      <c r="A36" s="537"/>
      <c r="B36" s="543"/>
      <c r="C36" s="537"/>
      <c r="D36" s="730"/>
      <c r="E36" s="731"/>
      <c r="F36" s="732"/>
      <c r="G36" s="537"/>
      <c r="H36" s="538"/>
      <c r="I36" s="561"/>
      <c r="J36" s="522"/>
      <c r="K36" s="522"/>
      <c r="L36" s="522"/>
      <c r="M36" s="522"/>
      <c r="N36" s="522"/>
      <c r="O36" s="522"/>
      <c r="P36" s="522"/>
    </row>
    <row r="37" spans="1:16">
      <c r="A37" s="537"/>
      <c r="B37" s="543"/>
      <c r="C37" s="537"/>
      <c r="D37" s="730"/>
      <c r="E37" s="731"/>
      <c r="F37" s="732"/>
      <c r="G37" s="537"/>
      <c r="H37" s="538"/>
      <c r="I37" s="562"/>
      <c r="J37" s="522"/>
      <c r="K37" s="522"/>
      <c r="L37" s="522"/>
      <c r="M37" s="522"/>
      <c r="N37" s="522"/>
      <c r="O37" s="522"/>
      <c r="P37" s="522"/>
    </row>
    <row r="38" spans="1:16">
      <c r="A38" s="537"/>
      <c r="B38" s="563"/>
      <c r="C38" s="6"/>
      <c r="D38" s="811"/>
      <c r="E38" s="812"/>
      <c r="F38" s="813"/>
      <c r="G38" s="6"/>
      <c r="H38" s="538"/>
      <c r="I38" s="522"/>
      <c r="J38" s="522"/>
      <c r="K38" s="522"/>
      <c r="L38" s="522"/>
      <c r="M38" s="522"/>
      <c r="N38" s="522"/>
      <c r="O38" s="522"/>
      <c r="P38" s="522"/>
    </row>
    <row r="39" spans="1:16">
      <c r="A39" s="537"/>
      <c r="B39" s="543"/>
      <c r="C39" s="537"/>
      <c r="D39" s="730"/>
      <c r="E39" s="731"/>
      <c r="F39" s="732"/>
      <c r="G39" s="537"/>
      <c r="H39" s="538"/>
      <c r="I39" s="522"/>
      <c r="J39" s="522"/>
      <c r="K39" s="522"/>
      <c r="L39" s="522"/>
      <c r="M39" s="522"/>
      <c r="N39" s="522"/>
      <c r="O39" s="522"/>
      <c r="P39" s="522"/>
    </row>
    <row r="40" spans="1:16">
      <c r="A40" s="537"/>
      <c r="B40" s="543"/>
      <c r="C40" s="537"/>
      <c r="D40" s="730"/>
      <c r="E40" s="731"/>
      <c r="F40" s="732"/>
      <c r="G40" s="537"/>
      <c r="H40" s="539"/>
      <c r="I40" s="522"/>
      <c r="J40" s="522"/>
      <c r="K40" s="522"/>
      <c r="L40" s="522"/>
      <c r="M40" s="522"/>
      <c r="N40" s="522"/>
      <c r="O40" s="522"/>
      <c r="P40" s="522"/>
    </row>
    <row r="41" spans="1:16">
      <c r="A41" s="537"/>
      <c r="B41" s="544"/>
      <c r="C41" s="540"/>
      <c r="D41" s="738" t="s">
        <v>551</v>
      </c>
      <c r="E41" s="739"/>
      <c r="F41" s="739"/>
      <c r="G41" s="740"/>
      <c r="H41" s="541"/>
      <c r="I41" s="522"/>
      <c r="J41" s="522"/>
      <c r="K41" s="522"/>
      <c r="L41" s="522"/>
      <c r="M41" s="522"/>
      <c r="N41" s="522"/>
      <c r="O41" s="522"/>
      <c r="P41" s="522"/>
    </row>
    <row r="42" spans="1:16">
      <c r="A42" s="522"/>
      <c r="B42" s="556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</row>
    <row r="43" spans="1:16">
      <c r="A43" s="735" t="s">
        <v>552</v>
      </c>
      <c r="B43" s="736"/>
      <c r="C43" s="737"/>
      <c r="D43" s="737"/>
      <c r="E43" s="737"/>
      <c r="F43" s="737"/>
      <c r="G43" s="737"/>
      <c r="H43" s="522"/>
      <c r="I43" s="522"/>
      <c r="J43" s="522"/>
      <c r="K43" s="522"/>
      <c r="L43" s="522"/>
      <c r="M43" s="522"/>
      <c r="N43" s="522"/>
      <c r="O43" s="522"/>
      <c r="P43" s="522"/>
    </row>
    <row r="44" spans="1:16">
      <c r="A44" s="741" t="s">
        <v>553</v>
      </c>
      <c r="B44" s="742"/>
      <c r="C44" s="743"/>
      <c r="D44" s="542"/>
      <c r="E44" s="743" t="s">
        <v>554</v>
      </c>
      <c r="F44" s="743"/>
      <c r="G44" s="743"/>
      <c r="H44" s="522"/>
      <c r="I44" s="522"/>
      <c r="J44" s="522"/>
      <c r="K44" s="522"/>
      <c r="L44" s="522"/>
      <c r="M44" s="522"/>
      <c r="N44" s="522"/>
      <c r="O44" s="522"/>
      <c r="P44" s="522"/>
    </row>
    <row r="45" spans="1:16">
      <c r="A45" s="814"/>
      <c r="B45" s="815"/>
      <c r="C45" s="816"/>
      <c r="D45" s="564"/>
      <c r="E45" s="816"/>
      <c r="F45" s="816"/>
      <c r="G45" s="816"/>
      <c r="H45" s="522"/>
      <c r="I45" s="522"/>
      <c r="J45" s="522"/>
      <c r="K45" s="522"/>
      <c r="L45" s="522"/>
      <c r="M45" s="522"/>
      <c r="N45" s="522"/>
      <c r="O45" s="522"/>
      <c r="P45" s="522"/>
    </row>
    <row r="46" spans="1:16">
      <c r="A46" s="522"/>
      <c r="B46" s="556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</row>
    <row r="47" spans="1:16">
      <c r="A47" s="522"/>
      <c r="B47" s="556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</row>
    <row r="48" spans="1:16">
      <c r="A48" s="522"/>
      <c r="B48" s="556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</row>
    <row r="49" spans="1:16">
      <c r="A49" s="522"/>
      <c r="B49" s="556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</row>
    <row r="50" spans="1:16">
      <c r="A50" s="522"/>
      <c r="B50" s="556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</row>
    <row r="51" spans="1:16">
      <c r="A51" s="522"/>
      <c r="B51" s="556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</row>
    <row r="52" spans="1:16">
      <c r="A52" s="522"/>
      <c r="B52" s="556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</row>
    <row r="53" spans="1:16">
      <c r="A53" s="522"/>
      <c r="B53" s="556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</row>
    <row r="54" spans="1:16">
      <c r="A54" s="522"/>
      <c r="B54" s="556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</row>
    <row r="55" spans="1:16">
      <c r="B55" s="565"/>
    </row>
    <row r="56" spans="1:16">
      <c r="B56" s="565"/>
    </row>
    <row r="57" spans="1:16">
      <c r="B57" s="565"/>
    </row>
    <row r="58" spans="1:16">
      <c r="B58" s="565"/>
    </row>
    <row r="59" spans="1:16">
      <c r="B59" s="565"/>
    </row>
    <row r="60" spans="1:16">
      <c r="B60" s="565"/>
    </row>
    <row r="61" spans="1:16">
      <c r="B61" s="565"/>
    </row>
    <row r="62" spans="1:16">
      <c r="B62" s="565"/>
    </row>
    <row r="63" spans="1:16">
      <c r="B63" s="565"/>
    </row>
    <row r="64" spans="1:16">
      <c r="B64" s="565"/>
    </row>
    <row r="65" spans="2:2">
      <c r="B65" s="565"/>
    </row>
    <row r="66" spans="2:2">
      <c r="B66" s="565"/>
    </row>
    <row r="67" spans="2:2">
      <c r="B67" s="565"/>
    </row>
    <row r="68" spans="2:2">
      <c r="B68" s="565"/>
    </row>
    <row r="69" spans="2:2">
      <c r="B69" s="565"/>
    </row>
    <row r="70" spans="2:2">
      <c r="B70" s="565"/>
    </row>
    <row r="71" spans="2:2">
      <c r="B71" s="565"/>
    </row>
    <row r="72" spans="2:2">
      <c r="B72" s="565"/>
    </row>
    <row r="73" spans="2:2">
      <c r="B73" s="565"/>
    </row>
    <row r="74" spans="2:2">
      <c r="B74" s="565"/>
    </row>
    <row r="75" spans="2:2">
      <c r="B75" s="565"/>
    </row>
    <row r="76" spans="2:2">
      <c r="B76" s="565"/>
    </row>
    <row r="77" spans="2:2">
      <c r="B77" s="565"/>
    </row>
    <row r="78" spans="2:2">
      <c r="B78" s="565"/>
    </row>
    <row r="79" spans="2:2">
      <c r="B79" s="565"/>
    </row>
    <row r="80" spans="2:2">
      <c r="B80" s="565"/>
    </row>
    <row r="81" spans="2:2">
      <c r="B81" s="565"/>
    </row>
    <row r="82" spans="2:2">
      <c r="B82" s="565"/>
    </row>
    <row r="83" spans="2:2">
      <c r="B83" s="565"/>
    </row>
    <row r="84" spans="2:2">
      <c r="B84" s="565"/>
    </row>
    <row r="85" spans="2:2">
      <c r="B85" s="565"/>
    </row>
    <row r="86" spans="2:2">
      <c r="B86" s="565"/>
    </row>
    <row r="87" spans="2:2">
      <c r="B87" s="565"/>
    </row>
    <row r="88" spans="2:2">
      <c r="B88" s="565"/>
    </row>
    <row r="89" spans="2:2">
      <c r="B89" s="565"/>
    </row>
    <row r="90" spans="2:2">
      <c r="B90" s="565"/>
    </row>
    <row r="91" spans="2:2">
      <c r="B91" s="565"/>
    </row>
    <row r="92" spans="2:2">
      <c r="B92" s="565"/>
    </row>
    <row r="93" spans="2:2">
      <c r="B93" s="565"/>
    </row>
    <row r="94" spans="2:2">
      <c r="B94" s="565"/>
    </row>
    <row r="95" spans="2:2">
      <c r="B95" s="565"/>
    </row>
    <row r="96" spans="2:2">
      <c r="B96" s="565"/>
    </row>
    <row r="97" spans="2:2">
      <c r="B97" s="565"/>
    </row>
    <row r="98" spans="2:2">
      <c r="B98" s="565"/>
    </row>
    <row r="99" spans="2:2">
      <c r="B99" s="565"/>
    </row>
    <row r="100" spans="2:2">
      <c r="B100" s="565"/>
    </row>
    <row r="101" spans="2:2">
      <c r="B101" s="565"/>
    </row>
    <row r="102" spans="2:2">
      <c r="B102" s="565"/>
    </row>
    <row r="103" spans="2:2">
      <c r="B103" s="565"/>
    </row>
    <row r="104" spans="2:2">
      <c r="B104" s="565"/>
    </row>
    <row r="105" spans="2:2">
      <c r="B105" s="565"/>
    </row>
    <row r="106" spans="2:2">
      <c r="B106" s="565"/>
    </row>
    <row r="107" spans="2:2">
      <c r="B107" s="565"/>
    </row>
    <row r="108" spans="2:2">
      <c r="B108" s="565"/>
    </row>
    <row r="109" spans="2:2">
      <c r="B109" s="565"/>
    </row>
    <row r="110" spans="2:2">
      <c r="B110" s="565"/>
    </row>
    <row r="111" spans="2:2">
      <c r="B111" s="565"/>
    </row>
    <row r="112" spans="2:2">
      <c r="B112" s="565"/>
    </row>
    <row r="113" spans="2:2">
      <c r="B113" s="565"/>
    </row>
    <row r="114" spans="2:2">
      <c r="B114" s="565"/>
    </row>
    <row r="115" spans="2:2">
      <c r="B115" s="565"/>
    </row>
    <row r="116" spans="2:2">
      <c r="B116" s="565"/>
    </row>
    <row r="117" spans="2:2">
      <c r="B117" s="565"/>
    </row>
    <row r="118" spans="2:2">
      <c r="B118" s="565"/>
    </row>
    <row r="119" spans="2:2">
      <c r="B119" s="565"/>
    </row>
    <row r="120" spans="2:2">
      <c r="B120" s="565"/>
    </row>
    <row r="121" spans="2:2">
      <c r="B121" s="565"/>
    </row>
    <row r="122" spans="2:2">
      <c r="B122" s="565"/>
    </row>
    <row r="123" spans="2:2">
      <c r="B123" s="565"/>
    </row>
    <row r="124" spans="2:2">
      <c r="B124" s="565"/>
    </row>
    <row r="125" spans="2:2">
      <c r="B125" s="565"/>
    </row>
    <row r="126" spans="2:2">
      <c r="B126" s="565"/>
    </row>
    <row r="127" spans="2:2">
      <c r="B127" s="565"/>
    </row>
    <row r="128" spans="2:2">
      <c r="B128" s="565"/>
    </row>
    <row r="129" spans="2:2">
      <c r="B129" s="565"/>
    </row>
    <row r="130" spans="2:2">
      <c r="B130" s="565"/>
    </row>
    <row r="131" spans="2:2">
      <c r="B131" s="565"/>
    </row>
    <row r="132" spans="2:2">
      <c r="B132" s="565"/>
    </row>
    <row r="133" spans="2:2">
      <c r="B133" s="565"/>
    </row>
    <row r="134" spans="2:2">
      <c r="B134" s="565"/>
    </row>
    <row r="135" spans="2:2">
      <c r="B135" s="565"/>
    </row>
    <row r="136" spans="2:2">
      <c r="B136" s="565"/>
    </row>
    <row r="137" spans="2:2">
      <c r="B137" s="565"/>
    </row>
    <row r="138" spans="2:2">
      <c r="B138" s="565"/>
    </row>
    <row r="139" spans="2:2">
      <c r="B139" s="565"/>
    </row>
    <row r="140" spans="2:2">
      <c r="B140" s="565"/>
    </row>
    <row r="141" spans="2:2">
      <c r="B141" s="565"/>
    </row>
    <row r="142" spans="2:2">
      <c r="B142" s="565"/>
    </row>
    <row r="143" spans="2:2">
      <c r="B143" s="565"/>
    </row>
    <row r="144" spans="2:2">
      <c r="B144" s="565"/>
    </row>
    <row r="145" spans="2:2">
      <c r="B145" s="565"/>
    </row>
    <row r="146" spans="2:2">
      <c r="B146" s="565"/>
    </row>
    <row r="147" spans="2:2">
      <c r="B147" s="565"/>
    </row>
    <row r="148" spans="2:2">
      <c r="B148" s="565"/>
    </row>
    <row r="149" spans="2:2">
      <c r="B149" s="565"/>
    </row>
    <row r="150" spans="2:2">
      <c r="B150" s="565"/>
    </row>
    <row r="151" spans="2:2">
      <c r="B151" s="565"/>
    </row>
    <row r="152" spans="2:2">
      <c r="B152" s="565"/>
    </row>
    <row r="153" spans="2:2">
      <c r="B153" s="565"/>
    </row>
    <row r="154" spans="2:2">
      <c r="B154" s="565"/>
    </row>
    <row r="155" spans="2:2">
      <c r="B155" s="565"/>
    </row>
    <row r="156" spans="2:2">
      <c r="B156" s="565"/>
    </row>
    <row r="157" spans="2:2">
      <c r="B157" s="565"/>
    </row>
    <row r="158" spans="2:2">
      <c r="B158" s="565"/>
    </row>
    <row r="159" spans="2:2">
      <c r="B159" s="565"/>
    </row>
    <row r="160" spans="2:2">
      <c r="B160" s="565"/>
    </row>
    <row r="161" spans="2:2">
      <c r="B161" s="565"/>
    </row>
    <row r="162" spans="2:2">
      <c r="B162" s="565"/>
    </row>
    <row r="163" spans="2:2">
      <c r="B163" s="565"/>
    </row>
    <row r="164" spans="2:2">
      <c r="B164" s="565"/>
    </row>
    <row r="165" spans="2:2">
      <c r="B165" s="565"/>
    </row>
    <row r="166" spans="2:2">
      <c r="B166" s="565"/>
    </row>
    <row r="167" spans="2:2">
      <c r="B167" s="565"/>
    </row>
    <row r="168" spans="2:2">
      <c r="B168" s="565"/>
    </row>
    <row r="169" spans="2:2">
      <c r="B169" s="565"/>
    </row>
    <row r="170" spans="2:2">
      <c r="B170" s="565"/>
    </row>
    <row r="171" spans="2:2">
      <c r="B171" s="565"/>
    </row>
    <row r="172" spans="2:2">
      <c r="B172" s="565"/>
    </row>
    <row r="173" spans="2:2">
      <c r="B173" s="565"/>
    </row>
    <row r="174" spans="2:2">
      <c r="B174" s="565"/>
    </row>
    <row r="175" spans="2:2">
      <c r="B175" s="565"/>
    </row>
    <row r="176" spans="2:2">
      <c r="B176" s="565"/>
    </row>
    <row r="177" spans="2:2">
      <c r="B177" s="565"/>
    </row>
    <row r="178" spans="2:2">
      <c r="B178" s="565"/>
    </row>
    <row r="179" spans="2:2">
      <c r="B179" s="565"/>
    </row>
    <row r="180" spans="2:2">
      <c r="B180" s="565"/>
    </row>
    <row r="181" spans="2:2">
      <c r="B181" s="565"/>
    </row>
    <row r="182" spans="2:2">
      <c r="B182" s="565"/>
    </row>
    <row r="183" spans="2:2">
      <c r="B183" s="565"/>
    </row>
    <row r="184" spans="2:2">
      <c r="B184" s="565"/>
    </row>
    <row r="185" spans="2:2">
      <c r="B185" s="565"/>
    </row>
    <row r="186" spans="2:2">
      <c r="B186" s="565"/>
    </row>
    <row r="187" spans="2:2">
      <c r="B187" s="565"/>
    </row>
    <row r="188" spans="2:2">
      <c r="B188" s="565"/>
    </row>
    <row r="189" spans="2:2">
      <c r="B189" s="565"/>
    </row>
    <row r="190" spans="2:2">
      <c r="B190" s="565"/>
    </row>
    <row r="191" spans="2:2">
      <c r="B191" s="565"/>
    </row>
    <row r="192" spans="2:2">
      <c r="B192" s="565"/>
    </row>
    <row r="193" spans="2:2">
      <c r="B193" s="565"/>
    </row>
    <row r="194" spans="2:2">
      <c r="B194" s="565"/>
    </row>
    <row r="195" spans="2:2">
      <c r="B195" s="565"/>
    </row>
    <row r="196" spans="2:2">
      <c r="B196" s="565"/>
    </row>
    <row r="197" spans="2:2">
      <c r="B197" s="565"/>
    </row>
    <row r="198" spans="2:2">
      <c r="B198" s="565"/>
    </row>
    <row r="199" spans="2:2">
      <c r="B199" s="565"/>
    </row>
    <row r="200" spans="2:2">
      <c r="B200" s="565"/>
    </row>
    <row r="201" spans="2:2">
      <c r="B201" s="565"/>
    </row>
    <row r="202" spans="2:2">
      <c r="B202" s="565"/>
    </row>
    <row r="203" spans="2:2">
      <c r="B203" s="565"/>
    </row>
    <row r="204" spans="2:2">
      <c r="B204" s="565"/>
    </row>
    <row r="205" spans="2:2">
      <c r="B205" s="565"/>
    </row>
    <row r="206" spans="2:2">
      <c r="B206" s="565"/>
    </row>
    <row r="207" spans="2:2">
      <c r="B207" s="565"/>
    </row>
    <row r="208" spans="2:2">
      <c r="B208" s="565"/>
    </row>
    <row r="209" spans="2:2">
      <c r="B209" s="565"/>
    </row>
    <row r="210" spans="2:2">
      <c r="B210" s="565"/>
    </row>
    <row r="211" spans="2:2">
      <c r="B211" s="565"/>
    </row>
    <row r="212" spans="2:2">
      <c r="B212" s="565"/>
    </row>
    <row r="213" spans="2:2">
      <c r="B213" s="565"/>
    </row>
    <row r="214" spans="2:2">
      <c r="B214" s="565"/>
    </row>
    <row r="215" spans="2:2">
      <c r="B215" s="565"/>
    </row>
    <row r="216" spans="2:2">
      <c r="B216" s="565"/>
    </row>
    <row r="217" spans="2:2">
      <c r="B217" s="565"/>
    </row>
    <row r="218" spans="2:2">
      <c r="B218" s="565"/>
    </row>
    <row r="219" spans="2:2">
      <c r="B219" s="565"/>
    </row>
    <row r="220" spans="2:2">
      <c r="B220" s="565"/>
    </row>
    <row r="221" spans="2:2">
      <c r="B221" s="565"/>
    </row>
    <row r="222" spans="2:2">
      <c r="B222" s="565"/>
    </row>
    <row r="223" spans="2:2">
      <c r="B223" s="565"/>
    </row>
    <row r="224" spans="2:2">
      <c r="B224" s="565"/>
    </row>
    <row r="225" spans="2:2">
      <c r="B225" s="565"/>
    </row>
    <row r="226" spans="2:2">
      <c r="B226" s="565"/>
    </row>
    <row r="227" spans="2:2">
      <c r="B227" s="565"/>
    </row>
    <row r="228" spans="2:2">
      <c r="B228" s="565"/>
    </row>
    <row r="229" spans="2:2">
      <c r="B229" s="565"/>
    </row>
    <row r="230" spans="2:2">
      <c r="B230" s="565"/>
    </row>
    <row r="231" spans="2:2">
      <c r="B231" s="565"/>
    </row>
    <row r="232" spans="2:2">
      <c r="B232" s="565"/>
    </row>
    <row r="233" spans="2:2">
      <c r="B233" s="565"/>
    </row>
    <row r="234" spans="2:2">
      <c r="B234" s="565"/>
    </row>
    <row r="235" spans="2:2">
      <c r="B235" s="565"/>
    </row>
    <row r="236" spans="2:2">
      <c r="B236" s="565"/>
    </row>
    <row r="237" spans="2:2">
      <c r="B237" s="565"/>
    </row>
    <row r="238" spans="2:2">
      <c r="B238" s="565"/>
    </row>
    <row r="239" spans="2:2">
      <c r="B239" s="565"/>
    </row>
    <row r="240" spans="2:2">
      <c r="B240" s="565"/>
    </row>
    <row r="241" spans="2:2">
      <c r="B241" s="565"/>
    </row>
    <row r="242" spans="2:2">
      <c r="B242" s="565"/>
    </row>
    <row r="243" spans="2:2">
      <c r="B243" s="565"/>
    </row>
    <row r="244" spans="2:2">
      <c r="B244" s="565"/>
    </row>
    <row r="245" spans="2:2">
      <c r="B245" s="565"/>
    </row>
    <row r="246" spans="2:2">
      <c r="B246" s="565"/>
    </row>
    <row r="247" spans="2:2">
      <c r="B247" s="565"/>
    </row>
    <row r="248" spans="2:2">
      <c r="B248" s="565"/>
    </row>
    <row r="249" spans="2:2">
      <c r="B249" s="565"/>
    </row>
    <row r="250" spans="2:2">
      <c r="B250" s="565"/>
    </row>
    <row r="251" spans="2:2">
      <c r="B251" s="565"/>
    </row>
    <row r="252" spans="2:2">
      <c r="B252" s="565"/>
    </row>
    <row r="253" spans="2:2">
      <c r="B253" s="565"/>
    </row>
    <row r="254" spans="2:2">
      <c r="B254" s="565"/>
    </row>
    <row r="255" spans="2:2">
      <c r="B255" s="565"/>
    </row>
    <row r="256" spans="2:2">
      <c r="B256" s="565"/>
    </row>
    <row r="257" spans="2:2">
      <c r="B257" s="565"/>
    </row>
    <row r="258" spans="2:2">
      <c r="B258" s="565"/>
    </row>
    <row r="259" spans="2:2">
      <c r="B259" s="565"/>
    </row>
    <row r="260" spans="2:2">
      <c r="B260" s="565"/>
    </row>
    <row r="261" spans="2:2">
      <c r="B261" s="565"/>
    </row>
    <row r="262" spans="2:2">
      <c r="B262" s="565"/>
    </row>
    <row r="263" spans="2:2">
      <c r="B263" s="565"/>
    </row>
    <row r="264" spans="2:2">
      <c r="B264" s="565"/>
    </row>
    <row r="265" spans="2:2">
      <c r="B265" s="565"/>
    </row>
    <row r="266" spans="2:2">
      <c r="B266" s="565"/>
    </row>
    <row r="267" spans="2:2">
      <c r="B267" s="565"/>
    </row>
    <row r="268" spans="2:2">
      <c r="B268" s="565"/>
    </row>
    <row r="269" spans="2:2">
      <c r="B269" s="565"/>
    </row>
    <row r="270" spans="2:2">
      <c r="B270" s="565"/>
    </row>
    <row r="271" spans="2:2">
      <c r="B271" s="565"/>
    </row>
    <row r="272" spans="2:2">
      <c r="B272" s="565"/>
    </row>
    <row r="273" spans="2:2">
      <c r="B273" s="565"/>
    </row>
    <row r="274" spans="2:2">
      <c r="B274" s="565"/>
    </row>
    <row r="275" spans="2:2">
      <c r="B275" s="565"/>
    </row>
    <row r="276" spans="2:2">
      <c r="B276" s="565"/>
    </row>
    <row r="277" spans="2:2">
      <c r="B277" s="565"/>
    </row>
    <row r="278" spans="2:2">
      <c r="B278" s="565"/>
    </row>
    <row r="279" spans="2:2">
      <c r="B279" s="565"/>
    </row>
    <row r="280" spans="2:2">
      <c r="B280" s="565"/>
    </row>
    <row r="281" spans="2:2">
      <c r="B281" s="565"/>
    </row>
    <row r="282" spans="2:2">
      <c r="B282" s="565"/>
    </row>
    <row r="283" spans="2:2">
      <c r="B283" s="565"/>
    </row>
    <row r="284" spans="2:2">
      <c r="B284" s="565"/>
    </row>
    <row r="285" spans="2:2">
      <c r="B285" s="565"/>
    </row>
    <row r="286" spans="2:2">
      <c r="B286" s="565"/>
    </row>
    <row r="287" spans="2:2">
      <c r="B287" s="565"/>
    </row>
    <row r="288" spans="2:2">
      <c r="B288" s="565"/>
    </row>
    <row r="289" spans="2:2">
      <c r="B289" s="565"/>
    </row>
    <row r="290" spans="2:2">
      <c r="B290" s="565"/>
    </row>
    <row r="291" spans="2:2">
      <c r="B291" s="565"/>
    </row>
    <row r="292" spans="2:2">
      <c r="B292" s="565"/>
    </row>
    <row r="293" spans="2:2">
      <c r="B293" s="565"/>
    </row>
    <row r="294" spans="2:2">
      <c r="B294" s="565"/>
    </row>
    <row r="295" spans="2:2">
      <c r="B295" s="565"/>
    </row>
    <row r="296" spans="2:2">
      <c r="B296" s="565"/>
    </row>
    <row r="297" spans="2:2">
      <c r="B297" s="565"/>
    </row>
    <row r="298" spans="2:2">
      <c r="B298" s="565"/>
    </row>
    <row r="299" spans="2:2">
      <c r="B299" s="565"/>
    </row>
    <row r="300" spans="2:2">
      <c r="B300" s="565"/>
    </row>
    <row r="301" spans="2:2">
      <c r="B301" s="565"/>
    </row>
    <row r="302" spans="2:2">
      <c r="B302" s="565"/>
    </row>
    <row r="303" spans="2:2">
      <c r="B303" s="565"/>
    </row>
    <row r="304" spans="2:2">
      <c r="B304" s="565"/>
    </row>
    <row r="305" spans="2:2">
      <c r="B305" s="565"/>
    </row>
    <row r="306" spans="2:2">
      <c r="B306" s="565"/>
    </row>
    <row r="307" spans="2:2">
      <c r="B307" s="565"/>
    </row>
    <row r="308" spans="2:2">
      <c r="B308" s="565"/>
    </row>
    <row r="309" spans="2:2">
      <c r="B309" s="565"/>
    </row>
    <row r="310" spans="2:2">
      <c r="B310" s="565"/>
    </row>
    <row r="311" spans="2:2">
      <c r="B311" s="565"/>
    </row>
    <row r="312" spans="2:2">
      <c r="B312" s="565"/>
    </row>
    <row r="313" spans="2:2">
      <c r="B313" s="565"/>
    </row>
    <row r="314" spans="2:2">
      <c r="B314" s="565"/>
    </row>
    <row r="315" spans="2:2">
      <c r="B315" s="565"/>
    </row>
    <row r="316" spans="2:2">
      <c r="B316" s="565"/>
    </row>
    <row r="317" spans="2:2">
      <c r="B317" s="565"/>
    </row>
    <row r="318" spans="2:2">
      <c r="B318" s="565"/>
    </row>
    <row r="319" spans="2:2">
      <c r="B319" s="565"/>
    </row>
    <row r="320" spans="2:2">
      <c r="B320" s="565"/>
    </row>
    <row r="321" spans="2:2">
      <c r="B321" s="565"/>
    </row>
    <row r="322" spans="2:2">
      <c r="B322" s="565"/>
    </row>
    <row r="323" spans="2:2">
      <c r="B323" s="565"/>
    </row>
    <row r="324" spans="2:2">
      <c r="B324" s="565"/>
    </row>
    <row r="325" spans="2:2">
      <c r="B325" s="565"/>
    </row>
    <row r="326" spans="2:2">
      <c r="B326" s="565"/>
    </row>
    <row r="327" spans="2:2">
      <c r="B327" s="565"/>
    </row>
    <row r="328" spans="2:2">
      <c r="B328" s="565"/>
    </row>
    <row r="329" spans="2:2">
      <c r="B329" s="565"/>
    </row>
    <row r="330" spans="2:2">
      <c r="B330" s="565"/>
    </row>
    <row r="331" spans="2:2">
      <c r="B331" s="565"/>
    </row>
    <row r="332" spans="2:2">
      <c r="B332" s="565"/>
    </row>
    <row r="333" spans="2:2">
      <c r="B333" s="565"/>
    </row>
    <row r="334" spans="2:2">
      <c r="B334" s="565"/>
    </row>
    <row r="335" spans="2:2">
      <c r="B335" s="565"/>
    </row>
    <row r="336" spans="2:2">
      <c r="B336" s="565"/>
    </row>
    <row r="337" spans="2:2">
      <c r="B337" s="565"/>
    </row>
    <row r="338" spans="2:2">
      <c r="B338" s="565"/>
    </row>
    <row r="339" spans="2:2">
      <c r="B339" s="565"/>
    </row>
    <row r="340" spans="2:2">
      <c r="B340" s="565"/>
    </row>
    <row r="341" spans="2:2">
      <c r="B341" s="565"/>
    </row>
    <row r="342" spans="2:2">
      <c r="B342" s="565"/>
    </row>
    <row r="343" spans="2:2">
      <c r="B343" s="565"/>
    </row>
    <row r="344" spans="2:2">
      <c r="B344" s="565"/>
    </row>
    <row r="345" spans="2:2">
      <c r="B345" s="565"/>
    </row>
    <row r="346" spans="2:2">
      <c r="B346" s="565"/>
    </row>
    <row r="347" spans="2:2">
      <c r="B347" s="565"/>
    </row>
    <row r="348" spans="2:2">
      <c r="B348" s="565"/>
    </row>
    <row r="349" spans="2:2">
      <c r="B349" s="565"/>
    </row>
    <row r="350" spans="2:2">
      <c r="B350" s="565"/>
    </row>
    <row r="351" spans="2:2">
      <c r="B351" s="565"/>
    </row>
    <row r="352" spans="2:2">
      <c r="B352" s="565"/>
    </row>
    <row r="353" spans="2:2">
      <c r="B353" s="565"/>
    </row>
    <row r="354" spans="2:2">
      <c r="B354" s="565"/>
    </row>
    <row r="355" spans="2:2">
      <c r="B355" s="565"/>
    </row>
    <row r="356" spans="2:2">
      <c r="B356" s="565"/>
    </row>
    <row r="357" spans="2:2">
      <c r="B357" s="565"/>
    </row>
    <row r="358" spans="2:2">
      <c r="B358" s="565"/>
    </row>
    <row r="359" spans="2:2">
      <c r="B359" s="565"/>
    </row>
    <row r="360" spans="2:2">
      <c r="B360" s="565"/>
    </row>
    <row r="361" spans="2:2">
      <c r="B361" s="565"/>
    </row>
    <row r="362" spans="2:2">
      <c r="B362" s="565"/>
    </row>
    <row r="363" spans="2:2">
      <c r="B363" s="565"/>
    </row>
    <row r="364" spans="2:2">
      <c r="B364" s="565"/>
    </row>
    <row r="365" spans="2:2">
      <c r="B365" s="565"/>
    </row>
    <row r="366" spans="2:2">
      <c r="B366" s="565"/>
    </row>
    <row r="367" spans="2:2">
      <c r="B367" s="565"/>
    </row>
    <row r="368" spans="2:2">
      <c r="B368" s="565"/>
    </row>
    <row r="369" spans="2:2">
      <c r="B369" s="565"/>
    </row>
    <row r="370" spans="2:2">
      <c r="B370" s="565"/>
    </row>
    <row r="371" spans="2:2">
      <c r="B371" s="565"/>
    </row>
    <row r="372" spans="2:2">
      <c r="B372" s="565"/>
    </row>
    <row r="373" spans="2:2">
      <c r="B373" s="565"/>
    </row>
    <row r="374" spans="2:2">
      <c r="B374" s="565"/>
    </row>
    <row r="375" spans="2:2">
      <c r="B375" s="565"/>
    </row>
    <row r="376" spans="2:2">
      <c r="B376" s="565"/>
    </row>
    <row r="377" spans="2:2">
      <c r="B377" s="565"/>
    </row>
    <row r="378" spans="2:2">
      <c r="B378" s="565"/>
    </row>
    <row r="379" spans="2:2">
      <c r="B379" s="565"/>
    </row>
    <row r="380" spans="2:2">
      <c r="B380" s="565"/>
    </row>
    <row r="381" spans="2:2">
      <c r="B381" s="565"/>
    </row>
    <row r="382" spans="2:2">
      <c r="B382" s="565"/>
    </row>
    <row r="383" spans="2:2">
      <c r="B383" s="565"/>
    </row>
    <row r="384" spans="2:2">
      <c r="B384" s="565"/>
    </row>
    <row r="385" spans="2:2">
      <c r="B385" s="565"/>
    </row>
    <row r="386" spans="2:2">
      <c r="B386" s="565"/>
    </row>
    <row r="387" spans="2:2">
      <c r="B387" s="565"/>
    </row>
    <row r="388" spans="2:2">
      <c r="B388" s="565"/>
    </row>
    <row r="389" spans="2:2">
      <c r="B389" s="565"/>
    </row>
    <row r="390" spans="2:2">
      <c r="B390" s="565"/>
    </row>
    <row r="391" spans="2:2">
      <c r="B391" s="565"/>
    </row>
    <row r="392" spans="2:2">
      <c r="B392" s="565"/>
    </row>
    <row r="393" spans="2:2">
      <c r="B393" s="565"/>
    </row>
    <row r="394" spans="2:2">
      <c r="B394" s="565"/>
    </row>
    <row r="395" spans="2:2">
      <c r="B395" s="565"/>
    </row>
    <row r="396" spans="2:2">
      <c r="B396" s="565"/>
    </row>
    <row r="397" spans="2:2">
      <c r="B397" s="565"/>
    </row>
    <row r="398" spans="2:2">
      <c r="B398" s="565"/>
    </row>
    <row r="399" spans="2:2">
      <c r="B399" s="565"/>
    </row>
    <row r="400" spans="2:2">
      <c r="B400" s="565"/>
    </row>
    <row r="401" spans="2:2">
      <c r="B401" s="565"/>
    </row>
    <row r="402" spans="2:2">
      <c r="B402" s="565"/>
    </row>
    <row r="403" spans="2:2">
      <c r="B403" s="565"/>
    </row>
    <row r="404" spans="2:2">
      <c r="B404" s="565"/>
    </row>
    <row r="405" spans="2:2">
      <c r="B405" s="565"/>
    </row>
    <row r="406" spans="2:2">
      <c r="B406" s="565"/>
    </row>
    <row r="407" spans="2:2">
      <c r="B407" s="565"/>
    </row>
    <row r="408" spans="2:2">
      <c r="B408" s="565"/>
    </row>
    <row r="409" spans="2:2">
      <c r="B409" s="565"/>
    </row>
    <row r="410" spans="2:2">
      <c r="B410" s="565"/>
    </row>
    <row r="411" spans="2:2">
      <c r="B411" s="565"/>
    </row>
    <row r="412" spans="2:2">
      <c r="B412" s="565"/>
    </row>
    <row r="413" spans="2:2">
      <c r="B413" s="565"/>
    </row>
    <row r="414" spans="2:2">
      <c r="B414" s="565"/>
    </row>
    <row r="415" spans="2:2">
      <c r="B415" s="565"/>
    </row>
    <row r="416" spans="2:2">
      <c r="B416" s="565"/>
    </row>
    <row r="417" spans="2:2">
      <c r="B417" s="565"/>
    </row>
    <row r="418" spans="2:2">
      <c r="B418" s="565"/>
    </row>
    <row r="419" spans="2:2">
      <c r="B419" s="565"/>
    </row>
    <row r="420" spans="2:2">
      <c r="B420" s="565"/>
    </row>
    <row r="421" spans="2:2">
      <c r="B421" s="565"/>
    </row>
    <row r="422" spans="2:2">
      <c r="B422" s="565"/>
    </row>
    <row r="423" spans="2:2">
      <c r="B423" s="565"/>
    </row>
    <row r="424" spans="2:2">
      <c r="B424" s="565"/>
    </row>
    <row r="425" spans="2:2">
      <c r="B425" s="565"/>
    </row>
    <row r="426" spans="2:2">
      <c r="B426" s="565"/>
    </row>
    <row r="427" spans="2:2">
      <c r="B427" s="565"/>
    </row>
    <row r="428" spans="2:2">
      <c r="B428" s="565"/>
    </row>
    <row r="429" spans="2:2">
      <c r="B429" s="565"/>
    </row>
    <row r="430" spans="2:2">
      <c r="B430" s="565"/>
    </row>
    <row r="431" spans="2:2">
      <c r="B431" s="565"/>
    </row>
    <row r="432" spans="2:2">
      <c r="B432" s="565"/>
    </row>
    <row r="433" spans="2:2">
      <c r="B433" s="565"/>
    </row>
    <row r="434" spans="2:2">
      <c r="B434" s="565"/>
    </row>
    <row r="435" spans="2:2">
      <c r="B435" s="565"/>
    </row>
    <row r="436" spans="2:2">
      <c r="B436" s="565"/>
    </row>
    <row r="437" spans="2:2">
      <c r="B437" s="565"/>
    </row>
    <row r="438" spans="2:2">
      <c r="B438" s="565"/>
    </row>
    <row r="439" spans="2:2">
      <c r="B439" s="565"/>
    </row>
    <row r="440" spans="2:2">
      <c r="B440" s="565"/>
    </row>
    <row r="441" spans="2:2">
      <c r="B441" s="565"/>
    </row>
    <row r="442" spans="2:2">
      <c r="B442" s="565"/>
    </row>
    <row r="443" spans="2:2">
      <c r="B443" s="565"/>
    </row>
    <row r="444" spans="2:2">
      <c r="B444" s="565"/>
    </row>
    <row r="445" spans="2:2">
      <c r="B445" s="565"/>
    </row>
    <row r="446" spans="2:2">
      <c r="B446" s="565"/>
    </row>
    <row r="447" spans="2:2">
      <c r="B447" s="565"/>
    </row>
    <row r="448" spans="2:2">
      <c r="B448" s="565"/>
    </row>
    <row r="449" spans="2:2">
      <c r="B449" s="565"/>
    </row>
    <row r="450" spans="2:2">
      <c r="B450" s="565"/>
    </row>
    <row r="451" spans="2:2">
      <c r="B451" s="565"/>
    </row>
    <row r="452" spans="2:2">
      <c r="B452" s="565"/>
    </row>
    <row r="453" spans="2:2">
      <c r="B453" s="565"/>
    </row>
    <row r="454" spans="2:2">
      <c r="B454" s="565"/>
    </row>
    <row r="455" spans="2:2">
      <c r="B455" s="565"/>
    </row>
    <row r="456" spans="2:2">
      <c r="B456" s="565"/>
    </row>
    <row r="457" spans="2:2">
      <c r="B457" s="565"/>
    </row>
    <row r="458" spans="2:2">
      <c r="B458" s="565"/>
    </row>
    <row r="459" spans="2:2">
      <c r="B459" s="565"/>
    </row>
    <row r="460" spans="2:2">
      <c r="B460" s="565"/>
    </row>
    <row r="461" spans="2:2">
      <c r="B461" s="565"/>
    </row>
    <row r="462" spans="2:2">
      <c r="B462" s="565"/>
    </row>
    <row r="463" spans="2:2">
      <c r="B463" s="565"/>
    </row>
    <row r="464" spans="2:2">
      <c r="B464" s="565"/>
    </row>
    <row r="465" spans="2:2">
      <c r="B465" s="565"/>
    </row>
    <row r="466" spans="2:2">
      <c r="B466" s="565"/>
    </row>
    <row r="467" spans="2:2">
      <c r="B467" s="565"/>
    </row>
    <row r="468" spans="2:2">
      <c r="B468" s="565"/>
    </row>
    <row r="469" spans="2:2">
      <c r="B469" s="565"/>
    </row>
    <row r="470" spans="2:2">
      <c r="B470" s="565"/>
    </row>
    <row r="471" spans="2:2">
      <c r="B471" s="565"/>
    </row>
    <row r="472" spans="2:2">
      <c r="B472" s="565"/>
    </row>
    <row r="473" spans="2:2">
      <c r="B473" s="565"/>
    </row>
    <row r="474" spans="2:2">
      <c r="B474" s="565"/>
    </row>
    <row r="475" spans="2:2">
      <c r="B475" s="565"/>
    </row>
    <row r="476" spans="2:2">
      <c r="B476" s="565"/>
    </row>
    <row r="477" spans="2:2">
      <c r="B477" s="565"/>
    </row>
    <row r="478" spans="2:2">
      <c r="B478" s="565"/>
    </row>
    <row r="479" spans="2:2">
      <c r="B479" s="565"/>
    </row>
    <row r="480" spans="2:2">
      <c r="B480" s="565"/>
    </row>
    <row r="481" spans="2:2">
      <c r="B481" s="565"/>
    </row>
    <row r="482" spans="2:2">
      <c r="B482" s="565"/>
    </row>
    <row r="483" spans="2:2">
      <c r="B483" s="565"/>
    </row>
    <row r="484" spans="2:2">
      <c r="B484" s="565"/>
    </row>
    <row r="485" spans="2:2">
      <c r="B485" s="565"/>
    </row>
    <row r="486" spans="2:2">
      <c r="B486" s="565"/>
    </row>
    <row r="487" spans="2:2">
      <c r="B487" s="565"/>
    </row>
    <row r="488" spans="2:2">
      <c r="B488" s="565"/>
    </row>
    <row r="489" spans="2:2">
      <c r="B489" s="565"/>
    </row>
    <row r="490" spans="2:2">
      <c r="B490" s="565"/>
    </row>
    <row r="491" spans="2:2">
      <c r="B491" s="565"/>
    </row>
    <row r="492" spans="2:2">
      <c r="B492" s="565"/>
    </row>
    <row r="493" spans="2:2">
      <c r="B493" s="565"/>
    </row>
    <row r="494" spans="2:2">
      <c r="B494" s="565"/>
    </row>
    <row r="495" spans="2:2">
      <c r="B495" s="565"/>
    </row>
    <row r="496" spans="2:2">
      <c r="B496" s="565"/>
    </row>
    <row r="497" spans="2:2">
      <c r="B497" s="565"/>
    </row>
    <row r="498" spans="2:2">
      <c r="B498" s="565"/>
    </row>
    <row r="499" spans="2:2">
      <c r="B499" s="565"/>
    </row>
    <row r="500" spans="2:2">
      <c r="B500" s="565"/>
    </row>
    <row r="501" spans="2:2">
      <c r="B501" s="565"/>
    </row>
    <row r="502" spans="2:2">
      <c r="B502" s="565"/>
    </row>
    <row r="503" spans="2:2">
      <c r="B503" s="565"/>
    </row>
    <row r="504" spans="2:2">
      <c r="B504" s="565"/>
    </row>
    <row r="505" spans="2:2">
      <c r="B505" s="565"/>
    </row>
    <row r="506" spans="2:2">
      <c r="B506" s="565"/>
    </row>
    <row r="507" spans="2:2">
      <c r="B507" s="565"/>
    </row>
    <row r="508" spans="2:2">
      <c r="B508" s="565"/>
    </row>
    <row r="509" spans="2:2">
      <c r="B509" s="565"/>
    </row>
    <row r="510" spans="2:2">
      <c r="B510" s="565"/>
    </row>
    <row r="511" spans="2:2">
      <c r="B511" s="565"/>
    </row>
    <row r="512" spans="2:2">
      <c r="B512" s="565"/>
    </row>
    <row r="513" spans="2:2">
      <c r="B513" s="565"/>
    </row>
    <row r="514" spans="2:2">
      <c r="B514" s="565"/>
    </row>
    <row r="515" spans="2:2">
      <c r="B515" s="565"/>
    </row>
    <row r="516" spans="2:2">
      <c r="B516" s="565"/>
    </row>
    <row r="517" spans="2:2">
      <c r="B517" s="565"/>
    </row>
    <row r="518" spans="2:2">
      <c r="B518" s="565"/>
    </row>
    <row r="519" spans="2:2">
      <c r="B519" s="565"/>
    </row>
    <row r="520" spans="2:2">
      <c r="B520" s="565"/>
    </row>
    <row r="521" spans="2:2">
      <c r="B521" s="565"/>
    </row>
    <row r="522" spans="2:2">
      <c r="B522" s="565"/>
    </row>
    <row r="523" spans="2:2">
      <c r="B523" s="565"/>
    </row>
    <row r="524" spans="2:2">
      <c r="B524" s="565"/>
    </row>
    <row r="525" spans="2:2">
      <c r="B525" s="565"/>
    </row>
    <row r="526" spans="2:2">
      <c r="B526" s="565"/>
    </row>
    <row r="527" spans="2:2">
      <c r="B527" s="565"/>
    </row>
    <row r="528" spans="2:2">
      <c r="B528" s="565"/>
    </row>
    <row r="529" spans="2:2">
      <c r="B529" s="565"/>
    </row>
    <row r="530" spans="2:2">
      <c r="B530" s="565"/>
    </row>
    <row r="531" spans="2:2">
      <c r="B531" s="565"/>
    </row>
    <row r="532" spans="2:2">
      <c r="B532" s="565"/>
    </row>
    <row r="533" spans="2:2">
      <c r="B533" s="565"/>
    </row>
    <row r="534" spans="2:2">
      <c r="B534" s="565"/>
    </row>
    <row r="535" spans="2:2">
      <c r="B535" s="565"/>
    </row>
    <row r="536" spans="2:2">
      <c r="B536" s="565"/>
    </row>
    <row r="537" spans="2:2">
      <c r="B537" s="565"/>
    </row>
    <row r="538" spans="2:2">
      <c r="B538" s="565"/>
    </row>
    <row r="539" spans="2:2">
      <c r="B539" s="565"/>
    </row>
    <row r="540" spans="2:2">
      <c r="B540" s="565"/>
    </row>
    <row r="541" spans="2:2">
      <c r="B541" s="565"/>
    </row>
    <row r="542" spans="2:2">
      <c r="B542" s="565"/>
    </row>
    <row r="543" spans="2:2">
      <c r="B543" s="565"/>
    </row>
    <row r="544" spans="2:2">
      <c r="B544" s="565"/>
    </row>
    <row r="545" spans="2:2">
      <c r="B545" s="565"/>
    </row>
    <row r="546" spans="2:2">
      <c r="B546" s="565"/>
    </row>
    <row r="547" spans="2:2">
      <c r="B547" s="565"/>
    </row>
    <row r="548" spans="2:2">
      <c r="B548" s="565"/>
    </row>
    <row r="549" spans="2:2">
      <c r="B549" s="565"/>
    </row>
    <row r="550" spans="2:2">
      <c r="B550" s="565"/>
    </row>
    <row r="551" spans="2:2">
      <c r="B551" s="565"/>
    </row>
    <row r="552" spans="2:2">
      <c r="B552" s="565"/>
    </row>
    <row r="553" spans="2:2">
      <c r="B553" s="565"/>
    </row>
    <row r="554" spans="2:2">
      <c r="B554" s="565"/>
    </row>
    <row r="555" spans="2:2">
      <c r="B555" s="565"/>
    </row>
    <row r="556" spans="2:2">
      <c r="B556" s="565"/>
    </row>
    <row r="557" spans="2:2">
      <c r="B557" s="565"/>
    </row>
    <row r="558" spans="2:2">
      <c r="B558" s="565"/>
    </row>
    <row r="559" spans="2:2">
      <c r="B559" s="565"/>
    </row>
    <row r="560" spans="2:2">
      <c r="B560" s="565"/>
    </row>
    <row r="561" spans="2:2">
      <c r="B561" s="565"/>
    </row>
    <row r="562" spans="2:2">
      <c r="B562" s="565"/>
    </row>
    <row r="563" spans="2:2">
      <c r="B563" s="565"/>
    </row>
    <row r="564" spans="2:2">
      <c r="B564" s="565"/>
    </row>
    <row r="565" spans="2:2">
      <c r="B565" s="565"/>
    </row>
    <row r="566" spans="2:2">
      <c r="B566" s="565"/>
    </row>
    <row r="567" spans="2:2">
      <c r="B567" s="565"/>
    </row>
    <row r="568" spans="2:2">
      <c r="B568" s="565"/>
    </row>
    <row r="569" spans="2:2">
      <c r="B569" s="565"/>
    </row>
    <row r="570" spans="2:2">
      <c r="B570" s="565"/>
    </row>
    <row r="571" spans="2:2">
      <c r="B571" s="565"/>
    </row>
    <row r="572" spans="2:2">
      <c r="B572" s="565"/>
    </row>
    <row r="573" spans="2:2">
      <c r="B573" s="565"/>
    </row>
    <row r="574" spans="2:2">
      <c r="B574" s="565"/>
    </row>
    <row r="575" spans="2:2">
      <c r="B575" s="565"/>
    </row>
    <row r="576" spans="2:2">
      <c r="B576" s="565"/>
    </row>
    <row r="577" spans="2:2">
      <c r="B577" s="565"/>
    </row>
    <row r="578" spans="2:2">
      <c r="B578" s="565"/>
    </row>
    <row r="579" spans="2:2">
      <c r="B579" s="565"/>
    </row>
    <row r="580" spans="2:2">
      <c r="B580" s="565"/>
    </row>
    <row r="581" spans="2:2">
      <c r="B581" s="565"/>
    </row>
    <row r="582" spans="2:2">
      <c r="B582" s="565"/>
    </row>
    <row r="583" spans="2:2">
      <c r="B583" s="565"/>
    </row>
    <row r="584" spans="2:2">
      <c r="B584" s="565"/>
    </row>
    <row r="585" spans="2:2">
      <c r="B585" s="565"/>
    </row>
    <row r="586" spans="2:2">
      <c r="B586" s="565"/>
    </row>
    <row r="587" spans="2:2">
      <c r="B587" s="565"/>
    </row>
    <row r="588" spans="2:2">
      <c r="B588" s="565"/>
    </row>
    <row r="589" spans="2:2">
      <c r="B589" s="565"/>
    </row>
    <row r="590" spans="2:2">
      <c r="B590" s="565"/>
    </row>
    <row r="591" spans="2:2">
      <c r="B591" s="565"/>
    </row>
    <row r="592" spans="2:2">
      <c r="B592" s="565"/>
    </row>
    <row r="593" spans="2:2">
      <c r="B593" s="565"/>
    </row>
    <row r="594" spans="2:2">
      <c r="B594" s="565"/>
    </row>
    <row r="595" spans="2:2">
      <c r="B595" s="565"/>
    </row>
    <row r="596" spans="2:2">
      <c r="B596" s="565"/>
    </row>
    <row r="597" spans="2:2">
      <c r="B597" s="565"/>
    </row>
    <row r="598" spans="2:2">
      <c r="B598" s="565"/>
    </row>
    <row r="599" spans="2:2">
      <c r="B599" s="565"/>
    </row>
    <row r="600" spans="2:2">
      <c r="B600" s="565"/>
    </row>
    <row r="601" spans="2:2">
      <c r="B601" s="565"/>
    </row>
    <row r="602" spans="2:2">
      <c r="B602" s="565"/>
    </row>
    <row r="603" spans="2:2">
      <c r="B603" s="565"/>
    </row>
    <row r="604" spans="2:2">
      <c r="B604" s="565"/>
    </row>
    <row r="605" spans="2:2">
      <c r="B605" s="565"/>
    </row>
    <row r="606" spans="2:2">
      <c r="B606" s="565"/>
    </row>
    <row r="607" spans="2:2">
      <c r="B607" s="565"/>
    </row>
    <row r="608" spans="2:2">
      <c r="B608" s="565"/>
    </row>
    <row r="609" spans="2:2">
      <c r="B609" s="565"/>
    </row>
    <row r="610" spans="2:2">
      <c r="B610" s="565"/>
    </row>
    <row r="611" spans="2:2">
      <c r="B611" s="565"/>
    </row>
    <row r="612" spans="2:2">
      <c r="B612" s="565"/>
    </row>
    <row r="613" spans="2:2">
      <c r="B613" s="565"/>
    </row>
    <row r="614" spans="2:2">
      <c r="B614" s="565"/>
    </row>
    <row r="615" spans="2:2">
      <c r="B615" s="565"/>
    </row>
    <row r="616" spans="2:2">
      <c r="B616" s="565"/>
    </row>
    <row r="617" spans="2:2">
      <c r="B617" s="565"/>
    </row>
    <row r="618" spans="2:2">
      <c r="B618" s="565"/>
    </row>
    <row r="619" spans="2:2">
      <c r="B619" s="565"/>
    </row>
    <row r="620" spans="2:2">
      <c r="B620" s="565"/>
    </row>
    <row r="621" spans="2:2">
      <c r="B621" s="565"/>
    </row>
    <row r="622" spans="2:2">
      <c r="B622" s="565"/>
    </row>
    <row r="623" spans="2:2">
      <c r="B623" s="565"/>
    </row>
    <row r="624" spans="2:2">
      <c r="B624" s="565"/>
    </row>
    <row r="625" spans="2:2">
      <c r="B625" s="565"/>
    </row>
    <row r="626" spans="2:2">
      <c r="B626" s="565"/>
    </row>
    <row r="627" spans="2:2">
      <c r="B627" s="565"/>
    </row>
    <row r="628" spans="2:2">
      <c r="B628" s="565"/>
    </row>
    <row r="629" spans="2:2">
      <c r="B629" s="565"/>
    </row>
    <row r="630" spans="2:2">
      <c r="B630" s="565"/>
    </row>
    <row r="631" spans="2:2">
      <c r="B631" s="565"/>
    </row>
    <row r="632" spans="2:2">
      <c r="B632" s="565"/>
    </row>
    <row r="633" spans="2:2">
      <c r="B633" s="565"/>
    </row>
    <row r="634" spans="2:2">
      <c r="B634" s="565"/>
    </row>
    <row r="635" spans="2:2">
      <c r="B635" s="565"/>
    </row>
    <row r="636" spans="2:2">
      <c r="B636" s="565"/>
    </row>
    <row r="637" spans="2:2">
      <c r="B637" s="565"/>
    </row>
    <row r="638" spans="2:2">
      <c r="B638" s="565"/>
    </row>
    <row r="639" spans="2:2">
      <c r="B639" s="565"/>
    </row>
    <row r="640" spans="2:2">
      <c r="B640" s="565"/>
    </row>
    <row r="641" spans="2:2">
      <c r="B641" s="565"/>
    </row>
    <row r="642" spans="2:2">
      <c r="B642" s="565"/>
    </row>
    <row r="643" spans="2:2">
      <c r="B643" s="565"/>
    </row>
    <row r="644" spans="2:2">
      <c r="B644" s="565"/>
    </row>
    <row r="645" spans="2:2">
      <c r="B645" s="565"/>
    </row>
    <row r="646" spans="2:2">
      <c r="B646" s="565"/>
    </row>
    <row r="647" spans="2:2">
      <c r="B647" s="565"/>
    </row>
    <row r="648" spans="2:2">
      <c r="B648" s="565"/>
    </row>
    <row r="649" spans="2:2">
      <c r="B649" s="565"/>
    </row>
    <row r="650" spans="2:2">
      <c r="B650" s="565"/>
    </row>
    <row r="651" spans="2:2">
      <c r="B651" s="565"/>
    </row>
    <row r="652" spans="2:2">
      <c r="B652" s="565"/>
    </row>
    <row r="653" spans="2:2">
      <c r="B653" s="565"/>
    </row>
    <row r="654" spans="2:2">
      <c r="B654" s="565"/>
    </row>
    <row r="655" spans="2:2">
      <c r="B655" s="565"/>
    </row>
    <row r="656" spans="2:2">
      <c r="B656" s="565"/>
    </row>
    <row r="657" spans="2:2">
      <c r="B657" s="565"/>
    </row>
    <row r="658" spans="2:2">
      <c r="B658" s="565"/>
    </row>
    <row r="659" spans="2:2">
      <c r="B659" s="565"/>
    </row>
    <row r="660" spans="2:2">
      <c r="B660" s="565"/>
    </row>
    <row r="661" spans="2:2">
      <c r="B661" s="565"/>
    </row>
    <row r="662" spans="2:2">
      <c r="B662" s="565"/>
    </row>
    <row r="663" spans="2:2">
      <c r="B663" s="565"/>
    </row>
    <row r="664" spans="2:2">
      <c r="B664" s="565"/>
    </row>
    <row r="665" spans="2:2">
      <c r="B665" s="565"/>
    </row>
    <row r="666" spans="2:2">
      <c r="B666" s="565"/>
    </row>
    <row r="667" spans="2:2">
      <c r="B667" s="565"/>
    </row>
    <row r="668" spans="2:2">
      <c r="B668" s="565"/>
    </row>
    <row r="669" spans="2:2">
      <c r="B669" s="565"/>
    </row>
    <row r="670" spans="2:2">
      <c r="B670" s="565"/>
    </row>
    <row r="671" spans="2:2">
      <c r="B671" s="565"/>
    </row>
    <row r="672" spans="2:2">
      <c r="B672" s="565"/>
    </row>
    <row r="673" spans="2:2">
      <c r="B673" s="565"/>
    </row>
    <row r="674" spans="2:2">
      <c r="B674" s="565"/>
    </row>
    <row r="675" spans="2:2">
      <c r="B675" s="565"/>
    </row>
    <row r="676" spans="2:2">
      <c r="B676" s="565"/>
    </row>
    <row r="677" spans="2:2">
      <c r="B677" s="565"/>
    </row>
    <row r="678" spans="2:2">
      <c r="B678" s="565"/>
    </row>
    <row r="679" spans="2:2">
      <c r="B679" s="565"/>
    </row>
    <row r="680" spans="2:2">
      <c r="B680" s="565"/>
    </row>
    <row r="681" spans="2:2">
      <c r="B681" s="565"/>
    </row>
    <row r="682" spans="2:2">
      <c r="B682" s="565"/>
    </row>
    <row r="683" spans="2:2">
      <c r="B683" s="565"/>
    </row>
    <row r="684" spans="2:2">
      <c r="B684" s="565"/>
    </row>
    <row r="685" spans="2:2">
      <c r="B685" s="565"/>
    </row>
    <row r="686" spans="2:2">
      <c r="B686" s="565"/>
    </row>
    <row r="687" spans="2:2">
      <c r="B687" s="565"/>
    </row>
    <row r="688" spans="2:2">
      <c r="B688" s="565"/>
    </row>
    <row r="689" spans="2:2">
      <c r="B689" s="565"/>
    </row>
    <row r="690" spans="2:2">
      <c r="B690" s="565"/>
    </row>
    <row r="691" spans="2:2">
      <c r="B691" s="565"/>
    </row>
    <row r="692" spans="2:2">
      <c r="B692" s="565"/>
    </row>
    <row r="693" spans="2:2">
      <c r="B693" s="565"/>
    </row>
    <row r="694" spans="2:2">
      <c r="B694" s="565"/>
    </row>
    <row r="695" spans="2:2">
      <c r="B695" s="565"/>
    </row>
    <row r="696" spans="2:2">
      <c r="B696" s="565"/>
    </row>
    <row r="697" spans="2:2">
      <c r="B697" s="565"/>
    </row>
    <row r="698" spans="2:2">
      <c r="B698" s="565"/>
    </row>
    <row r="699" spans="2:2">
      <c r="B699" s="565"/>
    </row>
    <row r="700" spans="2:2">
      <c r="B700" s="565"/>
    </row>
    <row r="701" spans="2:2">
      <c r="B701" s="565"/>
    </row>
    <row r="702" spans="2:2">
      <c r="B702" s="565"/>
    </row>
    <row r="703" spans="2:2">
      <c r="B703" s="565"/>
    </row>
    <row r="704" spans="2:2">
      <c r="B704" s="565"/>
    </row>
    <row r="705" spans="2:2">
      <c r="B705" s="565"/>
    </row>
    <row r="706" spans="2:2">
      <c r="B706" s="565"/>
    </row>
    <row r="707" spans="2:2">
      <c r="B707" s="565"/>
    </row>
    <row r="708" spans="2:2">
      <c r="B708" s="565"/>
    </row>
    <row r="709" spans="2:2">
      <c r="B709" s="565"/>
    </row>
    <row r="710" spans="2:2">
      <c r="B710" s="565"/>
    </row>
    <row r="711" spans="2:2">
      <c r="B711" s="565"/>
    </row>
    <row r="712" spans="2:2">
      <c r="B712" s="565"/>
    </row>
    <row r="713" spans="2:2">
      <c r="B713" s="565"/>
    </row>
    <row r="714" spans="2:2">
      <c r="B714" s="565"/>
    </row>
    <row r="715" spans="2:2">
      <c r="B715" s="565"/>
    </row>
    <row r="716" spans="2:2">
      <c r="B716" s="565"/>
    </row>
    <row r="717" spans="2:2">
      <c r="B717" s="565"/>
    </row>
    <row r="718" spans="2:2">
      <c r="B718" s="565"/>
    </row>
    <row r="719" spans="2:2">
      <c r="B719" s="565"/>
    </row>
    <row r="720" spans="2:2">
      <c r="B720" s="565"/>
    </row>
    <row r="721" spans="2:2">
      <c r="B721" s="565"/>
    </row>
    <row r="722" spans="2:2">
      <c r="B722" s="565"/>
    </row>
    <row r="723" spans="2:2">
      <c r="B723" s="565"/>
    </row>
    <row r="724" spans="2:2">
      <c r="B724" s="565"/>
    </row>
    <row r="725" spans="2:2">
      <c r="B725" s="565"/>
    </row>
    <row r="726" spans="2:2">
      <c r="B726" s="565"/>
    </row>
    <row r="727" spans="2:2">
      <c r="B727" s="565"/>
    </row>
    <row r="728" spans="2:2">
      <c r="B728" s="565"/>
    </row>
    <row r="729" spans="2:2">
      <c r="B729" s="565"/>
    </row>
    <row r="730" spans="2:2">
      <c r="B730" s="565"/>
    </row>
    <row r="731" spans="2:2">
      <c r="B731" s="565"/>
    </row>
    <row r="732" spans="2:2">
      <c r="B732" s="565"/>
    </row>
    <row r="733" spans="2:2">
      <c r="B733" s="565"/>
    </row>
    <row r="734" spans="2:2">
      <c r="B734" s="565"/>
    </row>
    <row r="735" spans="2:2">
      <c r="B735" s="565"/>
    </row>
    <row r="736" spans="2:2">
      <c r="B736" s="565"/>
    </row>
    <row r="737" spans="2:2">
      <c r="B737" s="565"/>
    </row>
    <row r="738" spans="2:2">
      <c r="B738" s="565"/>
    </row>
    <row r="739" spans="2:2">
      <c r="B739" s="565"/>
    </row>
    <row r="740" spans="2:2">
      <c r="B740" s="565"/>
    </row>
    <row r="741" spans="2:2">
      <c r="B741" s="565"/>
    </row>
    <row r="742" spans="2:2">
      <c r="B742" s="565"/>
    </row>
    <row r="743" spans="2:2">
      <c r="B743" s="565"/>
    </row>
    <row r="744" spans="2:2">
      <c r="B744" s="565"/>
    </row>
    <row r="745" spans="2:2">
      <c r="B745" s="565"/>
    </row>
    <row r="746" spans="2:2">
      <c r="B746" s="565"/>
    </row>
    <row r="747" spans="2:2">
      <c r="B747" s="565"/>
    </row>
    <row r="748" spans="2:2">
      <c r="B748" s="565"/>
    </row>
    <row r="749" spans="2:2">
      <c r="B749" s="565"/>
    </row>
    <row r="750" spans="2:2">
      <c r="B750" s="565"/>
    </row>
    <row r="751" spans="2:2">
      <c r="B751" s="565"/>
    </row>
    <row r="752" spans="2:2">
      <c r="B752" s="565"/>
    </row>
    <row r="753" spans="2:2">
      <c r="B753" s="565"/>
    </row>
    <row r="754" spans="2:2">
      <c r="B754" s="565"/>
    </row>
    <row r="755" spans="2:2">
      <c r="B755" s="565"/>
    </row>
    <row r="756" spans="2:2">
      <c r="B756" s="565"/>
    </row>
    <row r="757" spans="2:2">
      <c r="B757" s="565"/>
    </row>
    <row r="758" spans="2:2">
      <c r="B758" s="565"/>
    </row>
    <row r="759" spans="2:2">
      <c r="B759" s="565"/>
    </row>
    <row r="760" spans="2:2">
      <c r="B760" s="565"/>
    </row>
    <row r="761" spans="2:2">
      <c r="B761" s="565"/>
    </row>
    <row r="762" spans="2:2">
      <c r="B762" s="565"/>
    </row>
    <row r="763" spans="2:2">
      <c r="B763" s="565"/>
    </row>
    <row r="764" spans="2:2">
      <c r="B764" s="565"/>
    </row>
    <row r="765" spans="2:2">
      <c r="B765" s="565"/>
    </row>
    <row r="766" spans="2:2">
      <c r="B766" s="565"/>
    </row>
    <row r="767" spans="2:2">
      <c r="B767" s="565"/>
    </row>
    <row r="768" spans="2:2">
      <c r="B768" s="565"/>
    </row>
    <row r="769" spans="2:2">
      <c r="B769" s="565"/>
    </row>
    <row r="770" spans="2:2">
      <c r="B770" s="565"/>
    </row>
    <row r="771" spans="2:2">
      <c r="B771" s="565"/>
    </row>
    <row r="772" spans="2:2">
      <c r="B772" s="565"/>
    </row>
    <row r="773" spans="2:2">
      <c r="B773" s="565"/>
    </row>
    <row r="774" spans="2:2">
      <c r="B774" s="565"/>
    </row>
    <row r="775" spans="2:2">
      <c r="B775" s="565"/>
    </row>
    <row r="776" spans="2:2">
      <c r="B776" s="565"/>
    </row>
    <row r="777" spans="2:2">
      <c r="B777" s="565"/>
    </row>
    <row r="778" spans="2:2">
      <c r="B778" s="565"/>
    </row>
    <row r="779" spans="2:2">
      <c r="B779" s="565"/>
    </row>
    <row r="780" spans="2:2">
      <c r="B780" s="565"/>
    </row>
    <row r="781" spans="2:2">
      <c r="B781" s="565"/>
    </row>
    <row r="782" spans="2:2">
      <c r="B782" s="565"/>
    </row>
    <row r="783" spans="2:2">
      <c r="B783" s="565"/>
    </row>
    <row r="784" spans="2:2">
      <c r="B784" s="565"/>
    </row>
    <row r="785" spans="2:2">
      <c r="B785" s="565"/>
    </row>
    <row r="786" spans="2:2">
      <c r="B786" s="565"/>
    </row>
    <row r="787" spans="2:2">
      <c r="B787" s="565"/>
    </row>
    <row r="788" spans="2:2">
      <c r="B788" s="565"/>
    </row>
    <row r="789" spans="2:2">
      <c r="B789" s="565"/>
    </row>
    <row r="790" spans="2:2">
      <c r="B790" s="565"/>
    </row>
    <row r="791" spans="2:2">
      <c r="B791" s="565"/>
    </row>
    <row r="792" spans="2:2">
      <c r="B792" s="565"/>
    </row>
    <row r="793" spans="2:2">
      <c r="B793" s="565"/>
    </row>
    <row r="794" spans="2:2">
      <c r="B794" s="565"/>
    </row>
    <row r="795" spans="2:2">
      <c r="B795" s="565"/>
    </row>
    <row r="796" spans="2:2">
      <c r="B796" s="565"/>
    </row>
    <row r="797" spans="2:2">
      <c r="B797" s="565"/>
    </row>
    <row r="798" spans="2:2">
      <c r="B798" s="565"/>
    </row>
    <row r="799" spans="2:2">
      <c r="B799" s="565"/>
    </row>
    <row r="800" spans="2:2">
      <c r="B800" s="565"/>
    </row>
    <row r="801" spans="2:2">
      <c r="B801" s="565"/>
    </row>
    <row r="802" spans="2:2">
      <c r="B802" s="565"/>
    </row>
    <row r="803" spans="2:2">
      <c r="B803" s="565"/>
    </row>
    <row r="804" spans="2:2">
      <c r="B804" s="565"/>
    </row>
    <row r="805" spans="2:2">
      <c r="B805" s="565"/>
    </row>
    <row r="806" spans="2:2">
      <c r="B806" s="565"/>
    </row>
    <row r="807" spans="2:2">
      <c r="B807" s="565"/>
    </row>
    <row r="808" spans="2:2">
      <c r="B808" s="565"/>
    </row>
    <row r="809" spans="2:2">
      <c r="B809" s="565"/>
    </row>
    <row r="810" spans="2:2">
      <c r="B810" s="565"/>
    </row>
    <row r="811" spans="2:2">
      <c r="B811" s="565"/>
    </row>
    <row r="812" spans="2:2">
      <c r="B812" s="565"/>
    </row>
    <row r="813" spans="2:2">
      <c r="B813" s="565"/>
    </row>
    <row r="814" spans="2:2">
      <c r="B814" s="565"/>
    </row>
    <row r="815" spans="2:2">
      <c r="B815" s="565"/>
    </row>
    <row r="816" spans="2:2">
      <c r="B816" s="565"/>
    </row>
    <row r="817" spans="2:2">
      <c r="B817" s="565"/>
    </row>
    <row r="818" spans="2:2">
      <c r="B818" s="565"/>
    </row>
    <row r="819" spans="2:2">
      <c r="B819" s="565"/>
    </row>
    <row r="820" spans="2:2">
      <c r="B820" s="565"/>
    </row>
    <row r="821" spans="2:2">
      <c r="B821" s="565"/>
    </row>
    <row r="822" spans="2:2">
      <c r="B822" s="565"/>
    </row>
    <row r="823" spans="2:2">
      <c r="B823" s="565"/>
    </row>
    <row r="824" spans="2:2">
      <c r="B824" s="565"/>
    </row>
    <row r="825" spans="2:2">
      <c r="B825" s="565"/>
    </row>
    <row r="826" spans="2:2">
      <c r="B826" s="565"/>
    </row>
    <row r="827" spans="2:2">
      <c r="B827" s="565"/>
    </row>
    <row r="828" spans="2:2">
      <c r="B828" s="565"/>
    </row>
    <row r="829" spans="2:2">
      <c r="B829" s="565"/>
    </row>
    <row r="830" spans="2:2">
      <c r="B830" s="565"/>
    </row>
    <row r="831" spans="2:2">
      <c r="B831" s="565"/>
    </row>
    <row r="832" spans="2:2">
      <c r="B832" s="565"/>
    </row>
    <row r="833" spans="2:2">
      <c r="B833" s="565"/>
    </row>
    <row r="834" spans="2:2">
      <c r="B834" s="565"/>
    </row>
    <row r="835" spans="2:2">
      <c r="B835" s="565"/>
    </row>
    <row r="836" spans="2:2">
      <c r="B836" s="565"/>
    </row>
    <row r="837" spans="2:2">
      <c r="B837" s="565"/>
    </row>
    <row r="838" spans="2:2">
      <c r="B838" s="565"/>
    </row>
    <row r="839" spans="2:2">
      <c r="B839" s="565"/>
    </row>
    <row r="840" spans="2:2">
      <c r="B840" s="565"/>
    </row>
    <row r="841" spans="2:2">
      <c r="B841" s="565"/>
    </row>
    <row r="842" spans="2:2">
      <c r="B842" s="565"/>
    </row>
    <row r="843" spans="2:2">
      <c r="B843" s="565"/>
    </row>
    <row r="844" spans="2:2">
      <c r="B844" s="565"/>
    </row>
    <row r="845" spans="2:2">
      <c r="B845" s="565"/>
    </row>
    <row r="846" spans="2:2">
      <c r="B846" s="565"/>
    </row>
    <row r="847" spans="2:2">
      <c r="B847" s="565"/>
    </row>
    <row r="848" spans="2:2">
      <c r="B848" s="565"/>
    </row>
    <row r="849" spans="2:2">
      <c r="B849" s="565"/>
    </row>
    <row r="850" spans="2:2">
      <c r="B850" s="565"/>
    </row>
    <row r="851" spans="2:2">
      <c r="B851" s="565"/>
    </row>
    <row r="852" spans="2:2">
      <c r="B852" s="565"/>
    </row>
    <row r="853" spans="2:2">
      <c r="B853" s="565"/>
    </row>
    <row r="854" spans="2:2">
      <c r="B854" s="565"/>
    </row>
    <row r="855" spans="2:2">
      <c r="B855" s="565"/>
    </row>
    <row r="856" spans="2:2">
      <c r="B856" s="565"/>
    </row>
    <row r="857" spans="2:2">
      <c r="B857" s="565"/>
    </row>
    <row r="858" spans="2:2">
      <c r="B858" s="565"/>
    </row>
    <row r="859" spans="2:2">
      <c r="B859" s="565"/>
    </row>
    <row r="860" spans="2:2">
      <c r="B860" s="565"/>
    </row>
    <row r="861" spans="2:2">
      <c r="B861" s="565"/>
    </row>
    <row r="862" spans="2:2">
      <c r="B862" s="565"/>
    </row>
    <row r="863" spans="2:2">
      <c r="B863" s="565"/>
    </row>
    <row r="864" spans="2:2">
      <c r="B864" s="565"/>
    </row>
    <row r="865" spans="2:2">
      <c r="B865" s="565"/>
    </row>
    <row r="866" spans="2:2">
      <c r="B866" s="565"/>
    </row>
    <row r="867" spans="2:2">
      <c r="B867" s="565"/>
    </row>
    <row r="868" spans="2:2">
      <c r="B868" s="565"/>
    </row>
    <row r="869" spans="2:2">
      <c r="B869" s="565"/>
    </row>
    <row r="870" spans="2:2">
      <c r="B870" s="565"/>
    </row>
    <row r="871" spans="2:2">
      <c r="B871" s="565"/>
    </row>
    <row r="872" spans="2:2">
      <c r="B872" s="565"/>
    </row>
    <row r="873" spans="2:2">
      <c r="B873" s="565"/>
    </row>
    <row r="874" spans="2:2">
      <c r="B874" s="565"/>
    </row>
    <row r="875" spans="2:2">
      <c r="B875" s="565"/>
    </row>
    <row r="876" spans="2:2">
      <c r="B876" s="565"/>
    </row>
    <row r="877" spans="2:2">
      <c r="B877" s="565"/>
    </row>
    <row r="878" spans="2:2">
      <c r="B878" s="565"/>
    </row>
    <row r="879" spans="2:2">
      <c r="B879" s="565"/>
    </row>
    <row r="880" spans="2:2">
      <c r="B880" s="565"/>
    </row>
    <row r="881" spans="2:2">
      <c r="B881" s="565"/>
    </row>
    <row r="882" spans="2:2">
      <c r="B882" s="565"/>
    </row>
    <row r="883" spans="2:2">
      <c r="B883" s="565"/>
    </row>
    <row r="884" spans="2:2">
      <c r="B884" s="565"/>
    </row>
    <row r="885" spans="2:2">
      <c r="B885" s="565"/>
    </row>
    <row r="886" spans="2:2">
      <c r="B886" s="565"/>
    </row>
    <row r="887" spans="2:2">
      <c r="B887" s="565"/>
    </row>
    <row r="888" spans="2:2">
      <c r="B888" s="565"/>
    </row>
    <row r="889" spans="2:2">
      <c r="B889" s="565"/>
    </row>
    <row r="890" spans="2:2">
      <c r="B890" s="565"/>
    </row>
    <row r="891" spans="2:2">
      <c r="B891" s="565"/>
    </row>
    <row r="892" spans="2:2">
      <c r="B892" s="565"/>
    </row>
    <row r="893" spans="2:2">
      <c r="B893" s="565"/>
    </row>
    <row r="894" spans="2:2">
      <c r="B894" s="565"/>
    </row>
    <row r="895" spans="2:2">
      <c r="B895" s="565"/>
    </row>
    <row r="896" spans="2:2">
      <c r="B896" s="565"/>
    </row>
    <row r="897" spans="2:2">
      <c r="B897" s="565"/>
    </row>
    <row r="898" spans="2:2">
      <c r="B898" s="565"/>
    </row>
    <row r="899" spans="2:2">
      <c r="B899" s="565"/>
    </row>
    <row r="900" spans="2:2">
      <c r="B900" s="565"/>
    </row>
    <row r="901" spans="2:2">
      <c r="B901" s="565"/>
    </row>
    <row r="902" spans="2:2">
      <c r="B902" s="565"/>
    </row>
    <row r="903" spans="2:2">
      <c r="B903" s="565"/>
    </row>
    <row r="904" spans="2:2">
      <c r="B904" s="565"/>
    </row>
    <row r="905" spans="2:2">
      <c r="B905" s="565"/>
    </row>
    <row r="906" spans="2:2">
      <c r="B906" s="565"/>
    </row>
    <row r="907" spans="2:2">
      <c r="B907" s="565"/>
    </row>
    <row r="908" spans="2:2">
      <c r="B908" s="565"/>
    </row>
    <row r="909" spans="2:2">
      <c r="B909" s="565"/>
    </row>
    <row r="910" spans="2:2">
      <c r="B910" s="565"/>
    </row>
    <row r="911" spans="2:2">
      <c r="B911" s="565"/>
    </row>
    <row r="912" spans="2:2">
      <c r="B912" s="565"/>
    </row>
    <row r="913" spans="2:2">
      <c r="B913" s="565"/>
    </row>
    <row r="914" spans="2:2">
      <c r="B914" s="565"/>
    </row>
    <row r="915" spans="2:2">
      <c r="B915" s="565"/>
    </row>
    <row r="916" spans="2:2">
      <c r="B916" s="565"/>
    </row>
    <row r="917" spans="2:2">
      <c r="B917" s="565"/>
    </row>
    <row r="918" spans="2:2">
      <c r="B918" s="565"/>
    </row>
    <row r="919" spans="2:2">
      <c r="B919" s="565"/>
    </row>
    <row r="920" spans="2:2">
      <c r="B920" s="565"/>
    </row>
    <row r="921" spans="2:2">
      <c r="B921" s="565"/>
    </row>
    <row r="922" spans="2:2">
      <c r="B922" s="565"/>
    </row>
    <row r="923" spans="2:2">
      <c r="B923" s="565"/>
    </row>
    <row r="924" spans="2:2">
      <c r="B924" s="565"/>
    </row>
    <row r="925" spans="2:2">
      <c r="B925" s="565"/>
    </row>
    <row r="926" spans="2:2">
      <c r="B926" s="565"/>
    </row>
    <row r="927" spans="2:2">
      <c r="B927" s="565"/>
    </row>
    <row r="928" spans="2:2">
      <c r="B928" s="565"/>
    </row>
    <row r="929" spans="2:2">
      <c r="B929" s="565"/>
    </row>
    <row r="930" spans="2:2">
      <c r="B930" s="565"/>
    </row>
    <row r="931" spans="2:2">
      <c r="B931" s="565"/>
    </row>
    <row r="932" spans="2:2">
      <c r="B932" s="565"/>
    </row>
    <row r="933" spans="2:2">
      <c r="B933" s="565"/>
    </row>
    <row r="934" spans="2:2">
      <c r="B934" s="565"/>
    </row>
    <row r="935" spans="2:2">
      <c r="B935" s="565"/>
    </row>
    <row r="936" spans="2:2">
      <c r="B936" s="565"/>
    </row>
    <row r="937" spans="2:2">
      <c r="B937" s="565"/>
    </row>
    <row r="938" spans="2:2">
      <c r="B938" s="565"/>
    </row>
    <row r="939" spans="2:2">
      <c r="B939" s="565"/>
    </row>
    <row r="940" spans="2:2">
      <c r="B940" s="565"/>
    </row>
    <row r="941" spans="2:2">
      <c r="B941" s="565"/>
    </row>
    <row r="942" spans="2:2">
      <c r="B942" s="565"/>
    </row>
    <row r="943" spans="2:2">
      <c r="B943" s="565"/>
    </row>
    <row r="944" spans="2:2">
      <c r="B944" s="565"/>
    </row>
    <row r="945" spans="2:2">
      <c r="B945" s="565"/>
    </row>
    <row r="946" spans="2:2">
      <c r="B946" s="565"/>
    </row>
    <row r="947" spans="2:2">
      <c r="B947" s="565"/>
    </row>
    <row r="948" spans="2:2">
      <c r="B948" s="565"/>
    </row>
    <row r="949" spans="2:2">
      <c r="B949" s="565"/>
    </row>
    <row r="950" spans="2:2">
      <c r="B950" s="565"/>
    </row>
    <row r="951" spans="2:2">
      <c r="B951" s="565"/>
    </row>
    <row r="952" spans="2:2">
      <c r="B952" s="565"/>
    </row>
    <row r="953" spans="2:2">
      <c r="B953" s="565"/>
    </row>
    <row r="954" spans="2:2">
      <c r="B954" s="565"/>
    </row>
    <row r="955" spans="2:2">
      <c r="B955" s="565"/>
    </row>
    <row r="956" spans="2:2">
      <c r="B956" s="565"/>
    </row>
    <row r="957" spans="2:2">
      <c r="B957" s="565"/>
    </row>
    <row r="958" spans="2:2">
      <c r="B958" s="565"/>
    </row>
    <row r="959" spans="2:2">
      <c r="B959" s="565"/>
    </row>
    <row r="960" spans="2:2">
      <c r="B960" s="565"/>
    </row>
    <row r="961" spans="2:2">
      <c r="B961" s="565"/>
    </row>
    <row r="962" spans="2:2">
      <c r="B962" s="565"/>
    </row>
    <row r="963" spans="2:2">
      <c r="B963" s="565"/>
    </row>
    <row r="964" spans="2:2">
      <c r="B964" s="565"/>
    </row>
    <row r="965" spans="2:2">
      <c r="B965" s="565"/>
    </row>
    <row r="966" spans="2:2">
      <c r="B966" s="565"/>
    </row>
    <row r="967" spans="2:2">
      <c r="B967" s="565"/>
    </row>
    <row r="968" spans="2:2">
      <c r="B968" s="565"/>
    </row>
    <row r="969" spans="2:2">
      <c r="B969" s="565"/>
    </row>
    <row r="970" spans="2:2">
      <c r="B970" s="565"/>
    </row>
    <row r="971" spans="2:2">
      <c r="B971" s="565"/>
    </row>
    <row r="972" spans="2:2">
      <c r="B972" s="565"/>
    </row>
    <row r="973" spans="2:2">
      <c r="B973" s="565"/>
    </row>
    <row r="974" spans="2:2">
      <c r="B974" s="565"/>
    </row>
    <row r="975" spans="2:2">
      <c r="B975" s="565"/>
    </row>
    <row r="976" spans="2:2">
      <c r="B976" s="565"/>
    </row>
    <row r="977" spans="2:2">
      <c r="B977" s="565"/>
    </row>
    <row r="978" spans="2:2">
      <c r="B978" s="565"/>
    </row>
    <row r="979" spans="2:2">
      <c r="B979" s="565"/>
    </row>
    <row r="980" spans="2:2">
      <c r="B980" s="565"/>
    </row>
    <row r="981" spans="2:2">
      <c r="B981" s="565"/>
    </row>
    <row r="982" spans="2:2">
      <c r="B982" s="565"/>
    </row>
    <row r="983" spans="2:2">
      <c r="B983" s="565"/>
    </row>
    <row r="984" spans="2:2">
      <c r="B984" s="565"/>
    </row>
    <row r="985" spans="2:2">
      <c r="B985" s="565"/>
    </row>
    <row r="986" spans="2:2">
      <c r="B986" s="565"/>
    </row>
    <row r="987" spans="2:2">
      <c r="B987" s="565"/>
    </row>
    <row r="988" spans="2:2">
      <c r="B988" s="565"/>
    </row>
    <row r="989" spans="2:2">
      <c r="B989" s="565"/>
    </row>
    <row r="990" spans="2:2">
      <c r="B990" s="565"/>
    </row>
    <row r="991" spans="2:2">
      <c r="B991" s="565"/>
    </row>
    <row r="992" spans="2:2">
      <c r="B992" s="565"/>
    </row>
    <row r="993" spans="2:2">
      <c r="B993" s="565"/>
    </row>
    <row r="994" spans="2:2">
      <c r="B994" s="565"/>
    </row>
    <row r="995" spans="2:2">
      <c r="B995" s="565"/>
    </row>
    <row r="996" spans="2:2">
      <c r="B996" s="565"/>
    </row>
    <row r="997" spans="2:2">
      <c r="B997" s="565"/>
    </row>
    <row r="998" spans="2:2">
      <c r="B998" s="565"/>
    </row>
    <row r="999" spans="2:2">
      <c r="B999" s="565"/>
    </row>
    <row r="1000" spans="2:2">
      <c r="B1000" s="565"/>
    </row>
    <row r="1001" spans="2:2">
      <c r="B1001" s="565"/>
    </row>
    <row r="1002" spans="2:2">
      <c r="B1002" s="565"/>
    </row>
    <row r="1003" spans="2:2">
      <c r="B1003" s="565"/>
    </row>
    <row r="1004" spans="2:2">
      <c r="B1004" s="565"/>
    </row>
    <row r="1005" spans="2:2">
      <c r="B1005" s="565"/>
    </row>
    <row r="1006" spans="2:2">
      <c r="B1006" s="565"/>
    </row>
    <row r="1007" spans="2:2">
      <c r="B1007" s="565"/>
    </row>
    <row r="1008" spans="2:2">
      <c r="B1008" s="565"/>
    </row>
    <row r="1009" spans="2:2">
      <c r="B1009" s="565"/>
    </row>
    <row r="1010" spans="2:2">
      <c r="B1010" s="565"/>
    </row>
    <row r="1011" spans="2:2">
      <c r="B1011" s="565"/>
    </row>
    <row r="1012" spans="2:2">
      <c r="B1012" s="565"/>
    </row>
    <row r="1013" spans="2:2">
      <c r="B1013" s="565"/>
    </row>
    <row r="1014" spans="2:2">
      <c r="B1014" s="565"/>
    </row>
    <row r="1015" spans="2:2">
      <c r="B1015" s="565"/>
    </row>
    <row r="1016" spans="2:2">
      <c r="B1016" s="565"/>
    </row>
    <row r="1017" spans="2:2">
      <c r="B1017" s="565"/>
    </row>
    <row r="1018" spans="2:2">
      <c r="B1018" s="565"/>
    </row>
    <row r="1019" spans="2:2">
      <c r="B1019" s="565"/>
    </row>
    <row r="1020" spans="2:2">
      <c r="B1020" s="565"/>
    </row>
    <row r="1021" spans="2:2">
      <c r="B1021" s="565"/>
    </row>
    <row r="1022" spans="2:2">
      <c r="B1022" s="565"/>
    </row>
    <row r="1023" spans="2:2">
      <c r="B1023" s="565"/>
    </row>
    <row r="1024" spans="2:2">
      <c r="B1024" s="565"/>
    </row>
    <row r="1025" spans="2:2">
      <c r="B1025" s="565"/>
    </row>
    <row r="1026" spans="2:2">
      <c r="B1026" s="565"/>
    </row>
    <row r="1027" spans="2:2">
      <c r="B1027" s="565"/>
    </row>
    <row r="1028" spans="2:2">
      <c r="B1028" s="565"/>
    </row>
    <row r="1029" spans="2:2">
      <c r="B1029" s="565"/>
    </row>
    <row r="1030" spans="2:2">
      <c r="B1030" s="565"/>
    </row>
    <row r="1031" spans="2:2">
      <c r="B1031" s="565"/>
    </row>
    <row r="1032" spans="2:2">
      <c r="B1032" s="565"/>
    </row>
    <row r="1033" spans="2:2">
      <c r="B1033" s="565"/>
    </row>
    <row r="1034" spans="2:2">
      <c r="B1034" s="565"/>
    </row>
    <row r="1035" spans="2:2">
      <c r="B1035" s="565"/>
    </row>
    <row r="1036" spans="2:2">
      <c r="B1036" s="565"/>
    </row>
    <row r="1037" spans="2:2">
      <c r="B1037" s="565"/>
    </row>
    <row r="1038" spans="2:2">
      <c r="B1038" s="565"/>
    </row>
    <row r="1039" spans="2:2">
      <c r="B1039" s="565"/>
    </row>
    <row r="1040" spans="2:2">
      <c r="B1040" s="565"/>
    </row>
    <row r="1041" spans="2:2">
      <c r="B1041" s="565"/>
    </row>
    <row r="1042" spans="2:2">
      <c r="B1042" s="565"/>
    </row>
    <row r="1043" spans="2:2">
      <c r="B1043" s="565"/>
    </row>
    <row r="1044" spans="2:2">
      <c r="B1044" s="565"/>
    </row>
    <row r="1045" spans="2:2">
      <c r="B1045" s="565"/>
    </row>
    <row r="1046" spans="2:2">
      <c r="B1046" s="565"/>
    </row>
    <row r="1047" spans="2:2">
      <c r="B1047" s="565"/>
    </row>
    <row r="1048" spans="2:2">
      <c r="B1048" s="565"/>
    </row>
    <row r="1049" spans="2:2">
      <c r="B1049" s="565"/>
    </row>
    <row r="1050" spans="2:2">
      <c r="B1050" s="565"/>
    </row>
    <row r="1051" spans="2:2">
      <c r="B1051" s="565"/>
    </row>
    <row r="1052" spans="2:2">
      <c r="B1052" s="565"/>
    </row>
    <row r="1053" spans="2:2">
      <c r="B1053" s="565"/>
    </row>
    <row r="1054" spans="2:2">
      <c r="B1054" s="565"/>
    </row>
    <row r="1055" spans="2:2">
      <c r="B1055" s="565"/>
    </row>
    <row r="1056" spans="2:2">
      <c r="B1056" s="565"/>
    </row>
    <row r="1057" spans="2:2">
      <c r="B1057" s="565"/>
    </row>
    <row r="1058" spans="2:2">
      <c r="B1058" s="565"/>
    </row>
    <row r="1059" spans="2:2">
      <c r="B1059" s="565"/>
    </row>
    <row r="1060" spans="2:2">
      <c r="B1060" s="565"/>
    </row>
    <row r="1061" spans="2:2">
      <c r="B1061" s="565"/>
    </row>
    <row r="1062" spans="2:2">
      <c r="B1062" s="565"/>
    </row>
    <row r="1063" spans="2:2">
      <c r="B1063" s="565"/>
    </row>
    <row r="1064" spans="2:2">
      <c r="B1064" s="565"/>
    </row>
    <row r="1065" spans="2:2">
      <c r="B1065" s="565"/>
    </row>
    <row r="1066" spans="2:2">
      <c r="B1066" s="565"/>
    </row>
    <row r="1067" spans="2:2">
      <c r="B1067" s="565"/>
    </row>
    <row r="1068" spans="2:2">
      <c r="B1068" s="565"/>
    </row>
    <row r="1069" spans="2:2">
      <c r="B1069" s="565"/>
    </row>
    <row r="1070" spans="2:2">
      <c r="B1070" s="565"/>
    </row>
    <row r="1071" spans="2:2">
      <c r="B1071" s="565"/>
    </row>
    <row r="1072" spans="2:2">
      <c r="B1072" s="565"/>
    </row>
    <row r="1073" spans="2:2">
      <c r="B1073" s="565"/>
    </row>
    <row r="1074" spans="2:2">
      <c r="B1074" s="565"/>
    </row>
    <row r="1075" spans="2:2">
      <c r="B1075" s="565"/>
    </row>
    <row r="1076" spans="2:2">
      <c r="B1076" s="565"/>
    </row>
    <row r="1077" spans="2:2">
      <c r="B1077" s="565"/>
    </row>
    <row r="1078" spans="2:2">
      <c r="B1078" s="565"/>
    </row>
    <row r="1079" spans="2:2">
      <c r="B1079" s="565"/>
    </row>
    <row r="1080" spans="2:2">
      <c r="B1080" s="565"/>
    </row>
    <row r="1081" spans="2:2">
      <c r="B1081" s="565"/>
    </row>
    <row r="1082" spans="2:2">
      <c r="B1082" s="565"/>
    </row>
    <row r="1083" spans="2:2">
      <c r="B1083" s="565"/>
    </row>
    <row r="1084" spans="2:2">
      <c r="B1084" s="565"/>
    </row>
    <row r="1085" spans="2:2">
      <c r="B1085" s="565"/>
    </row>
    <row r="1086" spans="2:2">
      <c r="B1086" s="565"/>
    </row>
    <row r="1087" spans="2:2">
      <c r="B1087" s="565"/>
    </row>
    <row r="1088" spans="2:2">
      <c r="B1088" s="565"/>
    </row>
    <row r="1089" spans="2:2">
      <c r="B1089" s="565"/>
    </row>
    <row r="1090" spans="2:2">
      <c r="B1090" s="565"/>
    </row>
    <row r="1091" spans="2:2">
      <c r="B1091" s="565"/>
    </row>
    <row r="1092" spans="2:2">
      <c r="B1092" s="565"/>
    </row>
    <row r="1093" spans="2:2">
      <c r="B1093" s="565"/>
    </row>
    <row r="1094" spans="2:2">
      <c r="B1094" s="565"/>
    </row>
    <row r="1095" spans="2:2">
      <c r="B1095" s="565"/>
    </row>
    <row r="1096" spans="2:2">
      <c r="B1096" s="565"/>
    </row>
    <row r="1097" spans="2:2">
      <c r="B1097" s="565"/>
    </row>
    <row r="1098" spans="2:2">
      <c r="B1098" s="565"/>
    </row>
    <row r="1099" spans="2:2">
      <c r="B1099" s="565"/>
    </row>
    <row r="1100" spans="2:2">
      <c r="B1100" s="565"/>
    </row>
    <row r="1101" spans="2:2">
      <c r="B1101" s="565"/>
    </row>
    <row r="1102" spans="2:2">
      <c r="B1102" s="565"/>
    </row>
    <row r="1103" spans="2:2">
      <c r="B1103" s="565"/>
    </row>
    <row r="1104" spans="2:2">
      <c r="B1104" s="565"/>
    </row>
    <row r="1105" spans="2:2">
      <c r="B1105" s="565"/>
    </row>
    <row r="1106" spans="2:2">
      <c r="B1106" s="565"/>
    </row>
    <row r="1107" spans="2:2">
      <c r="B1107" s="565"/>
    </row>
    <row r="1108" spans="2:2">
      <c r="B1108" s="565"/>
    </row>
    <row r="1109" spans="2:2">
      <c r="B1109" s="565"/>
    </row>
    <row r="1110" spans="2:2">
      <c r="B1110" s="565"/>
    </row>
    <row r="1111" spans="2:2">
      <c r="B1111" s="565"/>
    </row>
    <row r="1112" spans="2:2">
      <c r="B1112" s="565"/>
    </row>
    <row r="1113" spans="2:2">
      <c r="B1113" s="565"/>
    </row>
    <row r="1114" spans="2:2">
      <c r="B1114" s="565"/>
    </row>
    <row r="1115" spans="2:2">
      <c r="B1115" s="565"/>
    </row>
    <row r="1116" spans="2:2">
      <c r="B1116" s="565"/>
    </row>
    <row r="1117" spans="2:2">
      <c r="B1117" s="565"/>
    </row>
    <row r="1118" spans="2:2">
      <c r="B1118" s="565"/>
    </row>
    <row r="1119" spans="2:2">
      <c r="B1119" s="565"/>
    </row>
    <row r="1120" spans="2:2">
      <c r="B1120" s="565"/>
    </row>
    <row r="1121" spans="2:2">
      <c r="B1121" s="565"/>
    </row>
    <row r="1122" spans="2:2">
      <c r="B1122" s="565"/>
    </row>
    <row r="1123" spans="2:2">
      <c r="B1123" s="565"/>
    </row>
    <row r="1124" spans="2:2">
      <c r="B1124" s="565"/>
    </row>
    <row r="1125" spans="2:2">
      <c r="B1125" s="565"/>
    </row>
    <row r="1126" spans="2:2">
      <c r="B1126" s="565"/>
    </row>
    <row r="1127" spans="2:2">
      <c r="B1127" s="565"/>
    </row>
    <row r="1128" spans="2:2">
      <c r="B1128" s="565"/>
    </row>
    <row r="1129" spans="2:2">
      <c r="B1129" s="565"/>
    </row>
    <row r="1130" spans="2:2">
      <c r="B1130" s="565"/>
    </row>
    <row r="1131" spans="2:2">
      <c r="B1131" s="565"/>
    </row>
    <row r="1132" spans="2:2">
      <c r="B1132" s="565"/>
    </row>
    <row r="1133" spans="2:2">
      <c r="B1133" s="565"/>
    </row>
    <row r="1134" spans="2:2">
      <c r="B1134" s="565"/>
    </row>
    <row r="1135" spans="2:2">
      <c r="B1135" s="565"/>
    </row>
    <row r="1136" spans="2:2">
      <c r="B1136" s="565"/>
    </row>
    <row r="1137" spans="2:2">
      <c r="B1137" s="565"/>
    </row>
    <row r="1138" spans="2:2">
      <c r="B1138" s="565"/>
    </row>
    <row r="1139" spans="2:2">
      <c r="B1139" s="565"/>
    </row>
    <row r="1140" spans="2:2">
      <c r="B1140" s="565"/>
    </row>
    <row r="1141" spans="2:2">
      <c r="B1141" s="565"/>
    </row>
    <row r="1142" spans="2:2">
      <c r="B1142" s="565"/>
    </row>
    <row r="1143" spans="2:2">
      <c r="B1143" s="565"/>
    </row>
    <row r="1144" spans="2:2">
      <c r="B1144" s="565"/>
    </row>
    <row r="1145" spans="2:2">
      <c r="B1145" s="565"/>
    </row>
    <row r="1146" spans="2:2">
      <c r="B1146" s="565"/>
    </row>
    <row r="1147" spans="2:2">
      <c r="B1147" s="565"/>
    </row>
    <row r="1148" spans="2:2">
      <c r="B1148" s="565"/>
    </row>
    <row r="1149" spans="2:2">
      <c r="B1149" s="565"/>
    </row>
    <row r="1150" spans="2:2">
      <c r="B1150" s="565"/>
    </row>
    <row r="1151" spans="2:2">
      <c r="B1151" s="565"/>
    </row>
    <row r="1152" spans="2:2">
      <c r="B1152" s="565"/>
    </row>
    <row r="1153" spans="2:2">
      <c r="B1153" s="565"/>
    </row>
    <row r="1154" spans="2:2">
      <c r="B1154" s="565"/>
    </row>
    <row r="1155" spans="2:2">
      <c r="B1155" s="565"/>
    </row>
    <row r="1156" spans="2:2">
      <c r="B1156" s="565"/>
    </row>
    <row r="1157" spans="2:2">
      <c r="B1157" s="565"/>
    </row>
    <row r="1158" spans="2:2">
      <c r="B1158" s="565"/>
    </row>
    <row r="1159" spans="2:2">
      <c r="B1159" s="565"/>
    </row>
    <row r="1160" spans="2:2">
      <c r="B1160" s="565"/>
    </row>
    <row r="1161" spans="2:2">
      <c r="B1161" s="565"/>
    </row>
    <row r="1162" spans="2:2">
      <c r="B1162" s="565"/>
    </row>
    <row r="1163" spans="2:2">
      <c r="B1163" s="565"/>
    </row>
    <row r="1164" spans="2:2">
      <c r="B1164" s="565"/>
    </row>
    <row r="1165" spans="2:2">
      <c r="B1165" s="565"/>
    </row>
    <row r="1166" spans="2:2">
      <c r="B1166" s="565"/>
    </row>
    <row r="1167" spans="2:2">
      <c r="B1167" s="565"/>
    </row>
    <row r="1168" spans="2:2">
      <c r="B1168" s="565"/>
    </row>
    <row r="1169" spans="2:2">
      <c r="B1169" s="565"/>
    </row>
    <row r="1170" spans="2:2">
      <c r="B1170" s="565"/>
    </row>
    <row r="1171" spans="2:2">
      <c r="B1171" s="565"/>
    </row>
    <row r="1172" spans="2:2">
      <c r="B1172" s="565"/>
    </row>
    <row r="1173" spans="2:2">
      <c r="B1173" s="565"/>
    </row>
    <row r="1174" spans="2:2">
      <c r="B1174" s="565"/>
    </row>
    <row r="1175" spans="2:2">
      <c r="B1175" s="565"/>
    </row>
    <row r="1176" spans="2:2">
      <c r="B1176" s="565"/>
    </row>
    <row r="1177" spans="2:2">
      <c r="B1177" s="565"/>
    </row>
    <row r="1178" spans="2:2">
      <c r="B1178" s="565"/>
    </row>
    <row r="1179" spans="2:2">
      <c r="B1179" s="565"/>
    </row>
    <row r="1180" spans="2:2">
      <c r="B1180" s="565"/>
    </row>
    <row r="1181" spans="2:2">
      <c r="B1181" s="565"/>
    </row>
    <row r="1182" spans="2:2">
      <c r="B1182" s="565"/>
    </row>
    <row r="1183" spans="2:2">
      <c r="B1183" s="565"/>
    </row>
    <row r="1184" spans="2:2">
      <c r="B1184" s="565"/>
    </row>
    <row r="1185" spans="2:2">
      <c r="B1185" s="565"/>
    </row>
    <row r="1186" spans="2:2">
      <c r="B1186" s="565"/>
    </row>
    <row r="1187" spans="2:2">
      <c r="B1187" s="565"/>
    </row>
    <row r="1188" spans="2:2">
      <c r="B1188" s="565"/>
    </row>
    <row r="1189" spans="2:2">
      <c r="B1189" s="565"/>
    </row>
    <row r="1190" spans="2:2">
      <c r="B1190" s="565"/>
    </row>
    <row r="1191" spans="2:2">
      <c r="B1191" s="565"/>
    </row>
    <row r="1192" spans="2:2">
      <c r="B1192" s="565"/>
    </row>
    <row r="1193" spans="2:2">
      <c r="B1193" s="565"/>
    </row>
    <row r="1194" spans="2:2">
      <c r="B1194" s="565"/>
    </row>
    <row r="1195" spans="2:2">
      <c r="B1195" s="565"/>
    </row>
    <row r="1196" spans="2:2">
      <c r="B1196" s="565"/>
    </row>
    <row r="1197" spans="2:2">
      <c r="B1197" s="565"/>
    </row>
    <row r="1198" spans="2:2">
      <c r="B1198" s="565"/>
    </row>
    <row r="1199" spans="2:2">
      <c r="B1199" s="565"/>
    </row>
    <row r="1200" spans="2:2">
      <c r="B1200" s="565"/>
    </row>
    <row r="1201" spans="2:2">
      <c r="B1201" s="565"/>
    </row>
    <row r="1202" spans="2:2">
      <c r="B1202" s="565"/>
    </row>
    <row r="1203" spans="2:2">
      <c r="B1203" s="565"/>
    </row>
    <row r="1204" spans="2:2">
      <c r="B1204" s="565"/>
    </row>
    <row r="1205" spans="2:2">
      <c r="B1205" s="565"/>
    </row>
    <row r="1206" spans="2:2">
      <c r="B1206" s="565"/>
    </row>
    <row r="1207" spans="2:2">
      <c r="B1207" s="565"/>
    </row>
    <row r="1208" spans="2:2">
      <c r="B1208" s="565"/>
    </row>
    <row r="1209" spans="2:2">
      <c r="B1209" s="565"/>
    </row>
    <row r="1210" spans="2:2">
      <c r="B1210" s="565"/>
    </row>
    <row r="1211" spans="2:2">
      <c r="B1211" s="565"/>
    </row>
    <row r="1212" spans="2:2">
      <c r="B1212" s="565"/>
    </row>
    <row r="1213" spans="2:2">
      <c r="B1213" s="565"/>
    </row>
    <row r="1214" spans="2:2">
      <c r="B1214" s="565"/>
    </row>
    <row r="1215" spans="2:2">
      <c r="B1215" s="565"/>
    </row>
    <row r="1216" spans="2:2">
      <c r="B1216" s="565"/>
    </row>
    <row r="1217" spans="2:2">
      <c r="B1217" s="565"/>
    </row>
    <row r="1218" spans="2:2">
      <c r="B1218" s="565"/>
    </row>
    <row r="1219" spans="2:2">
      <c r="B1219" s="565"/>
    </row>
    <row r="1220" spans="2:2">
      <c r="B1220" s="565"/>
    </row>
    <row r="1221" spans="2:2">
      <c r="B1221" s="565"/>
    </row>
    <row r="1222" spans="2:2">
      <c r="B1222" s="565"/>
    </row>
    <row r="1223" spans="2:2">
      <c r="B1223" s="565"/>
    </row>
    <row r="1224" spans="2:2">
      <c r="B1224" s="565"/>
    </row>
    <row r="1225" spans="2:2">
      <c r="B1225" s="565"/>
    </row>
    <row r="1226" spans="2:2">
      <c r="B1226" s="565"/>
    </row>
    <row r="1227" spans="2:2">
      <c r="B1227" s="565"/>
    </row>
    <row r="1228" spans="2:2">
      <c r="B1228" s="565"/>
    </row>
    <row r="1229" spans="2:2">
      <c r="B1229" s="565"/>
    </row>
    <row r="1230" spans="2:2">
      <c r="B1230" s="565"/>
    </row>
    <row r="1231" spans="2:2">
      <c r="B1231" s="565"/>
    </row>
    <row r="1232" spans="2:2">
      <c r="B1232" s="565"/>
    </row>
    <row r="1233" spans="2:2">
      <c r="B1233" s="565"/>
    </row>
    <row r="1234" spans="2:2">
      <c r="B1234" s="565"/>
    </row>
    <row r="1235" spans="2:2">
      <c r="B1235" s="565"/>
    </row>
    <row r="1236" spans="2:2">
      <c r="B1236" s="565"/>
    </row>
    <row r="1237" spans="2:2">
      <c r="B1237" s="565"/>
    </row>
    <row r="1238" spans="2:2">
      <c r="B1238" s="565"/>
    </row>
    <row r="1239" spans="2:2">
      <c r="B1239" s="565"/>
    </row>
    <row r="1240" spans="2:2">
      <c r="B1240" s="565"/>
    </row>
    <row r="1241" spans="2:2">
      <c r="B1241" s="565"/>
    </row>
    <row r="1242" spans="2:2">
      <c r="B1242" s="565"/>
    </row>
    <row r="1243" spans="2:2">
      <c r="B1243" s="565"/>
    </row>
    <row r="1244" spans="2:2">
      <c r="B1244" s="565"/>
    </row>
    <row r="1245" spans="2:2">
      <c r="B1245" s="565"/>
    </row>
    <row r="1246" spans="2:2">
      <c r="B1246" s="565"/>
    </row>
    <row r="1247" spans="2:2">
      <c r="B1247" s="565"/>
    </row>
    <row r="1248" spans="2:2">
      <c r="B1248" s="565"/>
    </row>
    <row r="1249" spans="2:2">
      <c r="B1249" s="565"/>
    </row>
    <row r="1250" spans="2:2">
      <c r="B1250" s="565"/>
    </row>
    <row r="1251" spans="2:2">
      <c r="B1251" s="565"/>
    </row>
    <row r="1252" spans="2:2">
      <c r="B1252" s="565"/>
    </row>
    <row r="1253" spans="2:2">
      <c r="B1253" s="565"/>
    </row>
    <row r="1254" spans="2:2">
      <c r="B1254" s="565"/>
    </row>
    <row r="1255" spans="2:2">
      <c r="B1255" s="565"/>
    </row>
    <row r="1256" spans="2:2">
      <c r="B1256" s="565"/>
    </row>
    <row r="1257" spans="2:2">
      <c r="B1257" s="565"/>
    </row>
    <row r="1258" spans="2:2">
      <c r="B1258" s="565"/>
    </row>
    <row r="1259" spans="2:2">
      <c r="B1259" s="565"/>
    </row>
    <row r="1260" spans="2:2">
      <c r="B1260" s="565"/>
    </row>
    <row r="1261" spans="2:2">
      <c r="B1261" s="565"/>
    </row>
    <row r="1262" spans="2:2">
      <c r="B1262" s="565"/>
    </row>
    <row r="1263" spans="2:2">
      <c r="B1263" s="565"/>
    </row>
    <row r="1264" spans="2:2">
      <c r="B1264" s="565"/>
    </row>
    <row r="1265" spans="2:2">
      <c r="B1265" s="565"/>
    </row>
    <row r="1266" spans="2:2">
      <c r="B1266" s="565"/>
    </row>
    <row r="1267" spans="2:2">
      <c r="B1267" s="565"/>
    </row>
    <row r="1268" spans="2:2">
      <c r="B1268" s="565"/>
    </row>
    <row r="1269" spans="2:2">
      <c r="B1269" s="565"/>
    </row>
    <row r="1270" spans="2:2">
      <c r="B1270" s="565"/>
    </row>
    <row r="1271" spans="2:2">
      <c r="B1271" s="565"/>
    </row>
    <row r="1272" spans="2:2">
      <c r="B1272" s="565"/>
    </row>
    <row r="1273" spans="2:2">
      <c r="B1273" s="565"/>
    </row>
    <row r="1274" spans="2:2">
      <c r="B1274" s="565"/>
    </row>
    <row r="1275" spans="2:2">
      <c r="B1275" s="565"/>
    </row>
    <row r="1276" spans="2:2">
      <c r="B1276" s="565"/>
    </row>
    <row r="1277" spans="2:2">
      <c r="B1277" s="565"/>
    </row>
    <row r="1278" spans="2:2">
      <c r="B1278" s="565"/>
    </row>
    <row r="1279" spans="2:2">
      <c r="B1279" s="565"/>
    </row>
    <row r="1280" spans="2:2">
      <c r="B1280" s="565"/>
    </row>
    <row r="1281" spans="2:2">
      <c r="B1281" s="565"/>
    </row>
    <row r="1282" spans="2:2">
      <c r="B1282" s="565"/>
    </row>
    <row r="1283" spans="2:2">
      <c r="B1283" s="565"/>
    </row>
    <row r="1284" spans="2:2">
      <c r="B1284" s="565"/>
    </row>
    <row r="1285" spans="2:2">
      <c r="B1285" s="565"/>
    </row>
    <row r="1286" spans="2:2">
      <c r="B1286" s="565"/>
    </row>
    <row r="1287" spans="2:2">
      <c r="B1287" s="565"/>
    </row>
    <row r="1288" spans="2:2">
      <c r="B1288" s="565"/>
    </row>
    <row r="1289" spans="2:2">
      <c r="B1289" s="565"/>
    </row>
    <row r="1290" spans="2:2">
      <c r="B1290" s="565"/>
    </row>
    <row r="1291" spans="2:2">
      <c r="B1291" s="565"/>
    </row>
    <row r="1292" spans="2:2">
      <c r="B1292" s="565"/>
    </row>
    <row r="1293" spans="2:2">
      <c r="B1293" s="565"/>
    </row>
    <row r="1294" spans="2:2">
      <c r="B1294" s="565"/>
    </row>
    <row r="1295" spans="2:2">
      <c r="B1295" s="565"/>
    </row>
    <row r="1296" spans="2:2">
      <c r="B1296" s="565"/>
    </row>
    <row r="1297" spans="2:2">
      <c r="B1297" s="565"/>
    </row>
    <row r="1298" spans="2:2">
      <c r="B1298" s="565"/>
    </row>
    <row r="1299" spans="2:2">
      <c r="B1299" s="565"/>
    </row>
    <row r="1300" spans="2:2">
      <c r="B1300" s="565"/>
    </row>
    <row r="1301" spans="2:2">
      <c r="B1301" s="565"/>
    </row>
    <row r="1302" spans="2:2">
      <c r="B1302" s="565"/>
    </row>
    <row r="1303" spans="2:2">
      <c r="B1303" s="565"/>
    </row>
    <row r="1304" spans="2:2">
      <c r="B1304" s="565"/>
    </row>
    <row r="1305" spans="2:2">
      <c r="B1305" s="565"/>
    </row>
    <row r="1306" spans="2:2">
      <c r="B1306" s="565"/>
    </row>
    <row r="1307" spans="2:2">
      <c r="B1307" s="565"/>
    </row>
    <row r="1308" spans="2:2">
      <c r="B1308" s="565"/>
    </row>
    <row r="1309" spans="2:2">
      <c r="B1309" s="565"/>
    </row>
    <row r="1310" spans="2:2">
      <c r="B1310" s="565"/>
    </row>
    <row r="1311" spans="2:2">
      <c r="B1311" s="565"/>
    </row>
    <row r="1312" spans="2:2">
      <c r="B1312" s="565"/>
    </row>
    <row r="1313" spans="2:2">
      <c r="B1313" s="565"/>
    </row>
    <row r="1314" spans="2:2">
      <c r="B1314" s="565"/>
    </row>
    <row r="1315" spans="2:2">
      <c r="B1315" s="565"/>
    </row>
    <row r="1316" spans="2:2">
      <c r="B1316" s="565"/>
    </row>
    <row r="1317" spans="2:2">
      <c r="B1317" s="565"/>
    </row>
    <row r="1318" spans="2:2">
      <c r="B1318" s="565"/>
    </row>
    <row r="1319" spans="2:2">
      <c r="B1319" s="565"/>
    </row>
    <row r="1320" spans="2:2">
      <c r="B1320" s="565"/>
    </row>
    <row r="1321" spans="2:2">
      <c r="B1321" s="565"/>
    </row>
    <row r="1322" spans="2:2">
      <c r="B1322" s="565"/>
    </row>
    <row r="1323" spans="2:2">
      <c r="B1323" s="565"/>
    </row>
    <row r="1324" spans="2:2">
      <c r="B1324" s="565"/>
    </row>
    <row r="1325" spans="2:2">
      <c r="B1325" s="565"/>
    </row>
    <row r="1326" spans="2:2">
      <c r="B1326" s="565"/>
    </row>
    <row r="1327" spans="2:2">
      <c r="B1327" s="565"/>
    </row>
    <row r="1328" spans="2:2">
      <c r="B1328" s="565"/>
    </row>
    <row r="1329" spans="2:2">
      <c r="B1329" s="565"/>
    </row>
    <row r="1330" spans="2:2">
      <c r="B1330" s="565"/>
    </row>
    <row r="1331" spans="2:2">
      <c r="B1331" s="565"/>
    </row>
    <row r="1332" spans="2:2">
      <c r="B1332" s="565"/>
    </row>
    <row r="1333" spans="2:2">
      <c r="B1333" s="565"/>
    </row>
    <row r="1334" spans="2:2">
      <c r="B1334" s="565"/>
    </row>
    <row r="1335" spans="2:2">
      <c r="B1335" s="565"/>
    </row>
    <row r="1336" spans="2:2">
      <c r="B1336" s="565"/>
    </row>
    <row r="1337" spans="2:2">
      <c r="B1337" s="565"/>
    </row>
    <row r="1338" spans="2:2">
      <c r="B1338" s="565"/>
    </row>
    <row r="1339" spans="2:2">
      <c r="B1339" s="565"/>
    </row>
    <row r="1340" spans="2:2">
      <c r="B1340" s="565"/>
    </row>
    <row r="1341" spans="2:2">
      <c r="B1341" s="565"/>
    </row>
    <row r="1342" spans="2:2">
      <c r="B1342" s="565"/>
    </row>
    <row r="1343" spans="2:2">
      <c r="B1343" s="565"/>
    </row>
    <row r="1344" spans="2:2">
      <c r="B1344" s="565"/>
    </row>
    <row r="1345" spans="2:2">
      <c r="B1345" s="565"/>
    </row>
    <row r="1346" spans="2:2">
      <c r="B1346" s="565"/>
    </row>
    <row r="1347" spans="2:2">
      <c r="B1347" s="565"/>
    </row>
    <row r="1348" spans="2:2">
      <c r="B1348" s="565"/>
    </row>
    <row r="1349" spans="2:2">
      <c r="B1349" s="565"/>
    </row>
    <row r="1350" spans="2:2">
      <c r="B1350" s="565"/>
    </row>
    <row r="1351" spans="2:2">
      <c r="B1351" s="565"/>
    </row>
    <row r="1352" spans="2:2">
      <c r="B1352" s="565"/>
    </row>
    <row r="1353" spans="2:2">
      <c r="B1353" s="565"/>
    </row>
    <row r="1354" spans="2:2">
      <c r="B1354" s="565"/>
    </row>
    <row r="1355" spans="2:2">
      <c r="B1355" s="565"/>
    </row>
    <row r="1356" spans="2:2">
      <c r="B1356" s="565"/>
    </row>
    <row r="1357" spans="2:2">
      <c r="B1357" s="565"/>
    </row>
    <row r="1358" spans="2:2">
      <c r="B1358" s="565"/>
    </row>
    <row r="1359" spans="2:2">
      <c r="B1359" s="565"/>
    </row>
    <row r="1360" spans="2:2">
      <c r="B1360" s="565"/>
    </row>
    <row r="1361" spans="2:2">
      <c r="B1361" s="565"/>
    </row>
    <row r="1362" spans="2:2">
      <c r="B1362" s="565"/>
    </row>
    <row r="1363" spans="2:2">
      <c r="B1363" s="565"/>
    </row>
    <row r="1364" spans="2:2">
      <c r="B1364" s="565"/>
    </row>
    <row r="1365" spans="2:2">
      <c r="B1365" s="565"/>
    </row>
    <row r="1366" spans="2:2">
      <c r="B1366" s="565"/>
    </row>
    <row r="1367" spans="2:2">
      <c r="B1367" s="565"/>
    </row>
    <row r="1368" spans="2:2">
      <c r="B1368" s="565"/>
    </row>
    <row r="1369" spans="2:2">
      <c r="B1369" s="565"/>
    </row>
    <row r="1370" spans="2:2">
      <c r="B1370" s="565"/>
    </row>
    <row r="1371" spans="2:2">
      <c r="B1371" s="565"/>
    </row>
    <row r="1372" spans="2:2">
      <c r="B1372" s="565"/>
    </row>
    <row r="1373" spans="2:2">
      <c r="B1373" s="565"/>
    </row>
    <row r="1374" spans="2:2">
      <c r="B1374" s="565"/>
    </row>
    <row r="1375" spans="2:2">
      <c r="B1375" s="565"/>
    </row>
    <row r="1376" spans="2:2">
      <c r="B1376" s="565"/>
    </row>
    <row r="1377" spans="2:2">
      <c r="B1377" s="565"/>
    </row>
    <row r="1378" spans="2:2">
      <c r="B1378" s="565"/>
    </row>
    <row r="1379" spans="2:2">
      <c r="B1379" s="565"/>
    </row>
    <row r="1380" spans="2:2">
      <c r="B1380" s="565"/>
    </row>
    <row r="1381" spans="2:2">
      <c r="B1381" s="565"/>
    </row>
    <row r="1382" spans="2:2">
      <c r="B1382" s="565"/>
    </row>
    <row r="1383" spans="2:2">
      <c r="B1383" s="565"/>
    </row>
    <row r="1384" spans="2:2">
      <c r="B1384" s="565"/>
    </row>
    <row r="1385" spans="2:2">
      <c r="B1385" s="565"/>
    </row>
    <row r="1386" spans="2:2">
      <c r="B1386" s="565"/>
    </row>
    <row r="1387" spans="2:2">
      <c r="B1387" s="565"/>
    </row>
    <row r="1388" spans="2:2">
      <c r="B1388" s="565"/>
    </row>
    <row r="1389" spans="2:2">
      <c r="B1389" s="565"/>
    </row>
    <row r="1390" spans="2:2">
      <c r="B1390" s="565"/>
    </row>
    <row r="1391" spans="2:2">
      <c r="B1391" s="565"/>
    </row>
    <row r="1392" spans="2:2">
      <c r="B1392" s="565"/>
    </row>
    <row r="1393" spans="2:2">
      <c r="B1393" s="565"/>
    </row>
    <row r="1394" spans="2:2">
      <c r="B1394" s="565"/>
    </row>
    <row r="1395" spans="2:2">
      <c r="B1395" s="565"/>
    </row>
    <row r="1396" spans="2:2">
      <c r="B1396" s="565"/>
    </row>
    <row r="1397" spans="2:2">
      <c r="B1397" s="565"/>
    </row>
    <row r="1398" spans="2:2">
      <c r="B1398" s="565"/>
    </row>
    <row r="1399" spans="2:2">
      <c r="B1399" s="565"/>
    </row>
    <row r="1400" spans="2:2">
      <c r="B1400" s="565"/>
    </row>
    <row r="1401" spans="2:2">
      <c r="B1401" s="565"/>
    </row>
    <row r="1402" spans="2:2">
      <c r="B1402" s="565"/>
    </row>
    <row r="1403" spans="2:2">
      <c r="B1403" s="565"/>
    </row>
    <row r="1404" spans="2:2">
      <c r="B1404" s="565"/>
    </row>
    <row r="1405" spans="2:2">
      <c r="B1405" s="565"/>
    </row>
    <row r="1406" spans="2:2">
      <c r="B1406" s="565"/>
    </row>
    <row r="1407" spans="2:2">
      <c r="B1407" s="565"/>
    </row>
    <row r="1408" spans="2:2">
      <c r="B1408" s="565"/>
    </row>
    <row r="1409" spans="2:2">
      <c r="B1409" s="565"/>
    </row>
    <row r="1410" spans="2:2">
      <c r="B1410" s="565"/>
    </row>
    <row r="1411" spans="2:2">
      <c r="B1411" s="565"/>
    </row>
    <row r="1412" spans="2:2">
      <c r="B1412" s="565"/>
    </row>
    <row r="1413" spans="2:2">
      <c r="B1413" s="565"/>
    </row>
    <row r="1414" spans="2:2">
      <c r="B1414" s="565"/>
    </row>
    <row r="1415" spans="2:2">
      <c r="B1415" s="565"/>
    </row>
    <row r="1416" spans="2:2">
      <c r="B1416" s="565"/>
    </row>
    <row r="1417" spans="2:2">
      <c r="B1417" s="565"/>
    </row>
    <row r="1418" spans="2:2">
      <c r="B1418" s="565"/>
    </row>
    <row r="1419" spans="2:2">
      <c r="B1419" s="565"/>
    </row>
    <row r="1420" spans="2:2">
      <c r="B1420" s="565"/>
    </row>
    <row r="1421" spans="2:2">
      <c r="B1421" s="565"/>
    </row>
    <row r="1422" spans="2:2">
      <c r="B1422" s="565"/>
    </row>
    <row r="1423" spans="2:2">
      <c r="B1423" s="565"/>
    </row>
    <row r="1424" spans="2:2">
      <c r="B1424" s="565"/>
    </row>
    <row r="1425" spans="2:2">
      <c r="B1425" s="565"/>
    </row>
    <row r="1426" spans="2:2">
      <c r="B1426" s="565"/>
    </row>
    <row r="1427" spans="2:2">
      <c r="B1427" s="565"/>
    </row>
    <row r="1428" spans="2:2">
      <c r="B1428" s="565"/>
    </row>
    <row r="1429" spans="2:2">
      <c r="B1429" s="565"/>
    </row>
    <row r="1430" spans="2:2">
      <c r="B1430" s="565"/>
    </row>
    <row r="1431" spans="2:2">
      <c r="B1431" s="565"/>
    </row>
    <row r="1432" spans="2:2">
      <c r="B1432" s="565"/>
    </row>
    <row r="1433" spans="2:2">
      <c r="B1433" s="565"/>
    </row>
    <row r="1434" spans="2:2">
      <c r="B1434" s="565"/>
    </row>
    <row r="1435" spans="2:2">
      <c r="B1435" s="565"/>
    </row>
    <row r="1436" spans="2:2">
      <c r="B1436" s="565"/>
    </row>
    <row r="1437" spans="2:2">
      <c r="B1437" s="565"/>
    </row>
    <row r="1438" spans="2:2">
      <c r="B1438" s="565"/>
    </row>
    <row r="1439" spans="2:2">
      <c r="B1439" s="565"/>
    </row>
    <row r="1440" spans="2:2">
      <c r="B1440" s="565"/>
    </row>
    <row r="1441" spans="2:2">
      <c r="B1441" s="565"/>
    </row>
    <row r="1442" spans="2:2">
      <c r="B1442" s="565"/>
    </row>
    <row r="1443" spans="2:2">
      <c r="B1443" s="565"/>
    </row>
    <row r="1444" spans="2:2">
      <c r="B1444" s="565"/>
    </row>
    <row r="1445" spans="2:2">
      <c r="B1445" s="565"/>
    </row>
    <row r="1446" spans="2:2">
      <c r="B1446" s="565"/>
    </row>
    <row r="1447" spans="2:2">
      <c r="B1447" s="565"/>
    </row>
    <row r="1448" spans="2:2">
      <c r="B1448" s="565"/>
    </row>
    <row r="1449" spans="2:2">
      <c r="B1449" s="565"/>
    </row>
    <row r="1450" spans="2:2">
      <c r="B1450" s="565"/>
    </row>
    <row r="1451" spans="2:2">
      <c r="B1451" s="565"/>
    </row>
    <row r="1452" spans="2:2">
      <c r="B1452" s="565"/>
    </row>
    <row r="1453" spans="2:2">
      <c r="B1453" s="565"/>
    </row>
    <row r="1454" spans="2:2">
      <c r="B1454" s="565"/>
    </row>
    <row r="1455" spans="2:2">
      <c r="B1455" s="565"/>
    </row>
    <row r="1456" spans="2:2">
      <c r="B1456" s="565"/>
    </row>
    <row r="1457" spans="2:2">
      <c r="B1457" s="565"/>
    </row>
    <row r="1458" spans="2:2">
      <c r="B1458" s="565"/>
    </row>
    <row r="1459" spans="2:2">
      <c r="B1459" s="565"/>
    </row>
    <row r="1460" spans="2:2">
      <c r="B1460" s="565"/>
    </row>
    <row r="1461" spans="2:2">
      <c r="B1461" s="565"/>
    </row>
    <row r="1462" spans="2:2">
      <c r="B1462" s="565"/>
    </row>
    <row r="1463" spans="2:2">
      <c r="B1463" s="565"/>
    </row>
    <row r="1464" spans="2:2">
      <c r="B1464" s="565"/>
    </row>
    <row r="1465" spans="2:2">
      <c r="B1465" s="565"/>
    </row>
    <row r="1466" spans="2:2">
      <c r="B1466" s="565"/>
    </row>
    <row r="1467" spans="2:2">
      <c r="B1467" s="565"/>
    </row>
    <row r="1468" spans="2:2">
      <c r="B1468" s="565"/>
    </row>
    <row r="1469" spans="2:2">
      <c r="B1469" s="565"/>
    </row>
    <row r="1470" spans="2:2">
      <c r="B1470" s="565"/>
    </row>
    <row r="1471" spans="2:2">
      <c r="B1471" s="565"/>
    </row>
    <row r="1472" spans="2:2">
      <c r="B1472" s="565"/>
    </row>
    <row r="1473" spans="2:2">
      <c r="B1473" s="565"/>
    </row>
    <row r="1474" spans="2:2">
      <c r="B1474" s="565"/>
    </row>
    <row r="1475" spans="2:2">
      <c r="B1475" s="565"/>
    </row>
    <row r="1476" spans="2:2">
      <c r="B1476" s="565"/>
    </row>
    <row r="1477" spans="2:2">
      <c r="B1477" s="565"/>
    </row>
    <row r="1478" spans="2:2">
      <c r="B1478" s="565"/>
    </row>
    <row r="1479" spans="2:2">
      <c r="B1479" s="565"/>
    </row>
    <row r="1480" spans="2:2">
      <c r="B1480" s="565"/>
    </row>
    <row r="1481" spans="2:2">
      <c r="B1481" s="565"/>
    </row>
    <row r="1482" spans="2:2">
      <c r="B1482" s="565"/>
    </row>
    <row r="1483" spans="2:2">
      <c r="B1483" s="565"/>
    </row>
    <row r="1484" spans="2:2">
      <c r="B1484" s="565"/>
    </row>
    <row r="1485" spans="2:2">
      <c r="B1485" s="565"/>
    </row>
    <row r="1486" spans="2:2">
      <c r="B1486" s="565"/>
    </row>
    <row r="1487" spans="2:2">
      <c r="B1487" s="565"/>
    </row>
    <row r="1488" spans="2:2">
      <c r="B1488" s="565"/>
    </row>
    <row r="1489" spans="2:2">
      <c r="B1489" s="565"/>
    </row>
    <row r="1490" spans="2:2">
      <c r="B1490" s="565"/>
    </row>
    <row r="1491" spans="2:2">
      <c r="B1491" s="565"/>
    </row>
    <row r="1492" spans="2:2">
      <c r="B1492" s="565"/>
    </row>
    <row r="1493" spans="2:2">
      <c r="B1493" s="565"/>
    </row>
    <row r="1494" spans="2:2">
      <c r="B1494" s="565"/>
    </row>
    <row r="1495" spans="2:2">
      <c r="B1495" s="565"/>
    </row>
    <row r="1496" spans="2:2">
      <c r="B1496" s="565"/>
    </row>
    <row r="1497" spans="2:2">
      <c r="B1497" s="565"/>
    </row>
    <row r="1498" spans="2:2">
      <c r="B1498" s="565"/>
    </row>
    <row r="1499" spans="2:2">
      <c r="B1499" s="565"/>
    </row>
    <row r="1500" spans="2:2">
      <c r="B1500" s="565"/>
    </row>
    <row r="1501" spans="2:2">
      <c r="B1501" s="565"/>
    </row>
    <row r="1502" spans="2:2">
      <c r="B1502" s="565"/>
    </row>
    <row r="1503" spans="2:2">
      <c r="B1503" s="565"/>
    </row>
    <row r="1504" spans="2:2">
      <c r="B1504" s="565"/>
    </row>
    <row r="1505" spans="2:2">
      <c r="B1505" s="565"/>
    </row>
    <row r="1506" spans="2:2">
      <c r="B1506" s="565"/>
    </row>
    <row r="1507" spans="2:2">
      <c r="B1507" s="565"/>
    </row>
    <row r="1508" spans="2:2">
      <c r="B1508" s="565"/>
    </row>
    <row r="1509" spans="2:2">
      <c r="B1509" s="565"/>
    </row>
    <row r="1510" spans="2:2">
      <c r="B1510" s="565"/>
    </row>
    <row r="1511" spans="2:2">
      <c r="B1511" s="565"/>
    </row>
    <row r="1512" spans="2:2">
      <c r="B1512" s="565"/>
    </row>
    <row r="1513" spans="2:2">
      <c r="B1513" s="565"/>
    </row>
    <row r="1514" spans="2:2">
      <c r="B1514" s="565"/>
    </row>
    <row r="1515" spans="2:2">
      <c r="B1515" s="565"/>
    </row>
    <row r="1516" spans="2:2">
      <c r="B1516" s="565"/>
    </row>
    <row r="1517" spans="2:2">
      <c r="B1517" s="565"/>
    </row>
    <row r="1518" spans="2:2">
      <c r="B1518" s="565"/>
    </row>
    <row r="1519" spans="2:2">
      <c r="B1519" s="565"/>
    </row>
    <row r="1520" spans="2:2">
      <c r="B1520" s="565"/>
    </row>
    <row r="1521" spans="2:2">
      <c r="B1521" s="565"/>
    </row>
    <row r="1522" spans="2:2">
      <c r="B1522" s="565"/>
    </row>
    <row r="1523" spans="2:2">
      <c r="B1523" s="565"/>
    </row>
    <row r="1524" spans="2:2">
      <c r="B1524" s="565"/>
    </row>
    <row r="1525" spans="2:2">
      <c r="B1525" s="565"/>
    </row>
    <row r="1526" spans="2:2">
      <c r="B1526" s="565"/>
    </row>
    <row r="1527" spans="2:2">
      <c r="B1527" s="565"/>
    </row>
    <row r="1528" spans="2:2">
      <c r="B1528" s="565"/>
    </row>
    <row r="1529" spans="2:2">
      <c r="B1529" s="565"/>
    </row>
    <row r="1530" spans="2:2">
      <c r="B1530" s="565"/>
    </row>
    <row r="1531" spans="2:2">
      <c r="B1531" s="565"/>
    </row>
    <row r="1532" spans="2:2">
      <c r="B1532" s="565"/>
    </row>
    <row r="1533" spans="2:2">
      <c r="B1533" s="565"/>
    </row>
    <row r="1534" spans="2:2">
      <c r="B1534" s="565"/>
    </row>
    <row r="1535" spans="2:2">
      <c r="B1535" s="565"/>
    </row>
    <row r="1536" spans="2:2">
      <c r="B1536" s="565"/>
    </row>
    <row r="1537" spans="2:2">
      <c r="B1537" s="565"/>
    </row>
    <row r="1538" spans="2:2">
      <c r="B1538" s="565"/>
    </row>
    <row r="1539" spans="2:2">
      <c r="B1539" s="565"/>
    </row>
    <row r="1540" spans="2:2">
      <c r="B1540" s="565"/>
    </row>
    <row r="1541" spans="2:2">
      <c r="B1541" s="565"/>
    </row>
    <row r="1542" spans="2:2">
      <c r="B1542" s="565"/>
    </row>
    <row r="1543" spans="2:2">
      <c r="B1543" s="565"/>
    </row>
    <row r="1544" spans="2:2">
      <c r="B1544" s="565"/>
    </row>
    <row r="1545" spans="2:2">
      <c r="B1545" s="565"/>
    </row>
    <row r="1546" spans="2:2">
      <c r="B1546" s="565"/>
    </row>
    <row r="1547" spans="2:2">
      <c r="B1547" s="565"/>
    </row>
    <row r="1548" spans="2:2">
      <c r="B1548" s="565"/>
    </row>
    <row r="1549" spans="2:2">
      <c r="B1549" s="565"/>
    </row>
    <row r="1550" spans="2:2">
      <c r="B1550" s="565"/>
    </row>
    <row r="1551" spans="2:2">
      <c r="B1551" s="565"/>
    </row>
    <row r="1552" spans="2:2">
      <c r="B1552" s="565"/>
    </row>
    <row r="1553" spans="2:2">
      <c r="B1553" s="565"/>
    </row>
    <row r="1554" spans="2:2">
      <c r="B1554" s="565"/>
    </row>
    <row r="1555" spans="2:2">
      <c r="B1555" s="565"/>
    </row>
    <row r="1556" spans="2:2">
      <c r="B1556" s="565"/>
    </row>
    <row r="1557" spans="2:2">
      <c r="B1557" s="565"/>
    </row>
    <row r="1558" spans="2:2">
      <c r="B1558" s="565"/>
    </row>
    <row r="1559" spans="2:2">
      <c r="B1559" s="565"/>
    </row>
    <row r="1560" spans="2:2">
      <c r="B1560" s="565"/>
    </row>
    <row r="1561" spans="2:2">
      <c r="B1561" s="565"/>
    </row>
    <row r="1562" spans="2:2">
      <c r="B1562" s="565"/>
    </row>
    <row r="1563" spans="2:2">
      <c r="B1563" s="565"/>
    </row>
    <row r="1564" spans="2:2">
      <c r="B1564" s="565"/>
    </row>
    <row r="1565" spans="2:2">
      <c r="B1565" s="565"/>
    </row>
    <row r="1566" spans="2:2">
      <c r="B1566" s="565"/>
    </row>
    <row r="1567" spans="2:2">
      <c r="B1567" s="565"/>
    </row>
    <row r="1568" spans="2:2">
      <c r="B1568" s="565"/>
    </row>
    <row r="1569" spans="2:2">
      <c r="B1569" s="565"/>
    </row>
    <row r="1570" spans="2:2">
      <c r="B1570" s="565"/>
    </row>
    <row r="1571" spans="2:2">
      <c r="B1571" s="565"/>
    </row>
    <row r="1572" spans="2:2">
      <c r="B1572" s="565"/>
    </row>
    <row r="1573" spans="2:2">
      <c r="B1573" s="565"/>
    </row>
    <row r="1574" spans="2:2">
      <c r="B1574" s="565"/>
    </row>
    <row r="1575" spans="2:2">
      <c r="B1575" s="565"/>
    </row>
    <row r="1576" spans="2:2">
      <c r="B1576" s="565"/>
    </row>
    <row r="1577" spans="2:2">
      <c r="B1577" s="565"/>
    </row>
    <row r="1578" spans="2:2">
      <c r="B1578" s="565"/>
    </row>
    <row r="1579" spans="2:2">
      <c r="B1579" s="565"/>
    </row>
    <row r="1580" spans="2:2">
      <c r="B1580" s="565"/>
    </row>
    <row r="1581" spans="2:2">
      <c r="B1581" s="565"/>
    </row>
    <row r="1582" spans="2:2">
      <c r="B1582" s="565"/>
    </row>
    <row r="1583" spans="2:2">
      <c r="B1583" s="565"/>
    </row>
    <row r="1584" spans="2:2">
      <c r="B1584" s="565"/>
    </row>
    <row r="1585" spans="2:2">
      <c r="B1585" s="565"/>
    </row>
    <row r="1586" spans="2:2">
      <c r="B1586" s="565"/>
    </row>
    <row r="1587" spans="2:2">
      <c r="B1587" s="565"/>
    </row>
    <row r="1588" spans="2:2">
      <c r="B1588" s="565"/>
    </row>
    <row r="1589" spans="2:2">
      <c r="B1589" s="565"/>
    </row>
    <row r="1590" spans="2:2">
      <c r="B1590" s="565"/>
    </row>
    <row r="1591" spans="2:2">
      <c r="B1591" s="565"/>
    </row>
    <row r="1592" spans="2:2">
      <c r="B1592" s="565"/>
    </row>
    <row r="1593" spans="2:2">
      <c r="B1593" s="565"/>
    </row>
    <row r="1594" spans="2:2">
      <c r="B1594" s="565"/>
    </row>
    <row r="1595" spans="2:2">
      <c r="B1595" s="565"/>
    </row>
    <row r="1596" spans="2:2">
      <c r="B1596" s="565"/>
    </row>
    <row r="1597" spans="2:2">
      <c r="B1597" s="565"/>
    </row>
    <row r="1598" spans="2:2">
      <c r="B1598" s="565"/>
    </row>
    <row r="1599" spans="2:2">
      <c r="B1599" s="565"/>
    </row>
    <row r="1600" spans="2:2">
      <c r="B1600" s="565"/>
    </row>
    <row r="1601" spans="2:2">
      <c r="B1601" s="565"/>
    </row>
    <row r="1602" spans="2:2">
      <c r="B1602" s="565"/>
    </row>
    <row r="1603" spans="2:2">
      <c r="B1603" s="565"/>
    </row>
    <row r="1604" spans="2:2">
      <c r="B1604" s="565"/>
    </row>
    <row r="1605" spans="2:2">
      <c r="B1605" s="565"/>
    </row>
    <row r="1606" spans="2:2">
      <c r="B1606" s="565"/>
    </row>
    <row r="1607" spans="2:2">
      <c r="B1607" s="565"/>
    </row>
    <row r="1608" spans="2:2">
      <c r="B1608" s="565"/>
    </row>
    <row r="1609" spans="2:2">
      <c r="B1609" s="565"/>
    </row>
    <row r="1610" spans="2:2">
      <c r="B1610" s="565"/>
    </row>
    <row r="1611" spans="2:2">
      <c r="B1611" s="565"/>
    </row>
    <row r="1612" spans="2:2">
      <c r="B1612" s="565"/>
    </row>
    <row r="1613" spans="2:2">
      <c r="B1613" s="565"/>
    </row>
    <row r="1614" spans="2:2">
      <c r="B1614" s="565"/>
    </row>
    <row r="1615" spans="2:2">
      <c r="B1615" s="565"/>
    </row>
    <row r="1616" spans="2:2">
      <c r="B1616" s="565"/>
    </row>
    <row r="1617" spans="2:2">
      <c r="B1617" s="565"/>
    </row>
    <row r="1618" spans="2:2">
      <c r="B1618" s="565"/>
    </row>
    <row r="1619" spans="2:2">
      <c r="B1619" s="565"/>
    </row>
    <row r="1620" spans="2:2">
      <c r="B1620" s="565"/>
    </row>
    <row r="1621" spans="2:2">
      <c r="B1621" s="565"/>
    </row>
    <row r="1622" spans="2:2">
      <c r="B1622" s="565"/>
    </row>
    <row r="1623" spans="2:2">
      <c r="B1623" s="565"/>
    </row>
    <row r="1624" spans="2:2">
      <c r="B1624" s="565"/>
    </row>
    <row r="1625" spans="2:2">
      <c r="B1625" s="565"/>
    </row>
    <row r="1626" spans="2:2">
      <c r="B1626" s="565"/>
    </row>
    <row r="1627" spans="2:2">
      <c r="B1627" s="565"/>
    </row>
    <row r="1628" spans="2:2">
      <c r="B1628" s="565"/>
    </row>
    <row r="1629" spans="2:2">
      <c r="B1629" s="565"/>
    </row>
    <row r="1630" spans="2:2">
      <c r="B1630" s="565"/>
    </row>
    <row r="1631" spans="2:2">
      <c r="B1631" s="565"/>
    </row>
    <row r="1632" spans="2:2">
      <c r="B1632" s="565"/>
    </row>
    <row r="1633" spans="2:2">
      <c r="B1633" s="565"/>
    </row>
    <row r="1634" spans="2:2">
      <c r="B1634" s="565"/>
    </row>
    <row r="1635" spans="2:2">
      <c r="B1635" s="565"/>
    </row>
    <row r="1636" spans="2:2">
      <c r="B1636" s="565"/>
    </row>
    <row r="1637" spans="2:2">
      <c r="B1637" s="565"/>
    </row>
    <row r="1638" spans="2:2">
      <c r="B1638" s="565"/>
    </row>
    <row r="1639" spans="2:2">
      <c r="B1639" s="565"/>
    </row>
    <row r="1640" spans="2:2">
      <c r="B1640" s="565"/>
    </row>
    <row r="1641" spans="2:2">
      <c r="B1641" s="565"/>
    </row>
    <row r="1642" spans="2:2">
      <c r="B1642" s="565"/>
    </row>
    <row r="1643" spans="2:2">
      <c r="B1643" s="565"/>
    </row>
    <row r="1644" spans="2:2">
      <c r="B1644" s="565"/>
    </row>
    <row r="1645" spans="2:2">
      <c r="B1645" s="565"/>
    </row>
    <row r="1646" spans="2:2">
      <c r="B1646" s="565"/>
    </row>
    <row r="1647" spans="2:2">
      <c r="B1647" s="565"/>
    </row>
    <row r="1648" spans="2:2">
      <c r="B1648" s="565"/>
    </row>
    <row r="1649" spans="2:2">
      <c r="B1649" s="565"/>
    </row>
    <row r="1650" spans="2:2">
      <c r="B1650" s="565"/>
    </row>
    <row r="1651" spans="2:2">
      <c r="B1651" s="565"/>
    </row>
    <row r="1652" spans="2:2">
      <c r="B1652" s="565"/>
    </row>
    <row r="1653" spans="2:2">
      <c r="B1653" s="565"/>
    </row>
    <row r="1654" spans="2:2">
      <c r="B1654" s="565"/>
    </row>
    <row r="1655" spans="2:2">
      <c r="B1655" s="565"/>
    </row>
    <row r="1656" spans="2:2">
      <c r="B1656" s="565"/>
    </row>
    <row r="1657" spans="2:2">
      <c r="B1657" s="565"/>
    </row>
    <row r="1658" spans="2:2">
      <c r="B1658" s="565"/>
    </row>
    <row r="1659" spans="2:2">
      <c r="B1659" s="565"/>
    </row>
    <row r="1660" spans="2:2">
      <c r="B1660" s="565"/>
    </row>
    <row r="1661" spans="2:2">
      <c r="B1661" s="565"/>
    </row>
    <row r="1662" spans="2:2">
      <c r="B1662" s="565"/>
    </row>
    <row r="1663" spans="2:2">
      <c r="B1663" s="565"/>
    </row>
    <row r="1664" spans="2:2">
      <c r="B1664" s="565"/>
    </row>
    <row r="1665" spans="2:2">
      <c r="B1665" s="565"/>
    </row>
    <row r="1666" spans="2:2">
      <c r="B1666" s="565"/>
    </row>
    <row r="1667" spans="2:2">
      <c r="B1667" s="565"/>
    </row>
    <row r="1668" spans="2:2">
      <c r="B1668" s="565"/>
    </row>
    <row r="1669" spans="2:2">
      <c r="B1669" s="565"/>
    </row>
    <row r="1670" spans="2:2">
      <c r="B1670" s="565"/>
    </row>
    <row r="1671" spans="2:2">
      <c r="B1671" s="565"/>
    </row>
    <row r="1672" spans="2:2">
      <c r="B1672" s="565"/>
    </row>
    <row r="1673" spans="2:2">
      <c r="B1673" s="565"/>
    </row>
    <row r="1674" spans="2:2">
      <c r="B1674" s="565"/>
    </row>
    <row r="1675" spans="2:2">
      <c r="B1675" s="565"/>
    </row>
    <row r="1676" spans="2:2">
      <c r="B1676" s="565"/>
    </row>
    <row r="1677" spans="2:2">
      <c r="B1677" s="565"/>
    </row>
    <row r="1678" spans="2:2">
      <c r="B1678" s="565"/>
    </row>
    <row r="1679" spans="2:2">
      <c r="B1679" s="565"/>
    </row>
    <row r="1680" spans="2:2">
      <c r="B1680" s="565"/>
    </row>
    <row r="1681" spans="2:2">
      <c r="B1681" s="565"/>
    </row>
    <row r="1682" spans="2:2">
      <c r="B1682" s="565"/>
    </row>
    <row r="1683" spans="2:2">
      <c r="B1683" s="565"/>
    </row>
    <row r="1684" spans="2:2">
      <c r="B1684" s="565"/>
    </row>
    <row r="1685" spans="2:2">
      <c r="B1685" s="565"/>
    </row>
    <row r="1686" spans="2:2">
      <c r="B1686" s="565"/>
    </row>
    <row r="1687" spans="2:2">
      <c r="B1687" s="565"/>
    </row>
    <row r="1688" spans="2:2">
      <c r="B1688" s="565"/>
    </row>
    <row r="1689" spans="2:2">
      <c r="B1689" s="565"/>
    </row>
    <row r="1690" spans="2:2">
      <c r="B1690" s="565"/>
    </row>
    <row r="1691" spans="2:2">
      <c r="B1691" s="565"/>
    </row>
    <row r="1692" spans="2:2">
      <c r="B1692" s="565"/>
    </row>
    <row r="1693" spans="2:2">
      <c r="B1693" s="565"/>
    </row>
    <row r="1694" spans="2:2">
      <c r="B1694" s="565"/>
    </row>
    <row r="1695" spans="2:2">
      <c r="B1695" s="565"/>
    </row>
    <row r="1696" spans="2:2">
      <c r="B1696" s="565"/>
    </row>
    <row r="1697" spans="2:2">
      <c r="B1697" s="565"/>
    </row>
    <row r="1698" spans="2:2">
      <c r="B1698" s="565"/>
    </row>
    <row r="1699" spans="2:2">
      <c r="B1699" s="565"/>
    </row>
    <row r="1700" spans="2:2">
      <c r="B1700" s="565"/>
    </row>
    <row r="1701" spans="2:2">
      <c r="B1701" s="565"/>
    </row>
    <row r="1702" spans="2:2">
      <c r="B1702" s="565"/>
    </row>
    <row r="1703" spans="2:2">
      <c r="B1703" s="565"/>
    </row>
    <row r="1704" spans="2:2">
      <c r="B1704" s="565"/>
    </row>
    <row r="1705" spans="2:2">
      <c r="B1705" s="565"/>
    </row>
    <row r="1706" spans="2:2">
      <c r="B1706" s="565"/>
    </row>
    <row r="1707" spans="2:2">
      <c r="B1707" s="565"/>
    </row>
    <row r="1708" spans="2:2">
      <c r="B1708" s="565"/>
    </row>
    <row r="1709" spans="2:2">
      <c r="B1709" s="565"/>
    </row>
    <row r="1710" spans="2:2">
      <c r="B1710" s="565"/>
    </row>
    <row r="1711" spans="2:2">
      <c r="B1711" s="565"/>
    </row>
    <row r="1712" spans="2:2">
      <c r="B1712" s="565"/>
    </row>
    <row r="1713" spans="2:2">
      <c r="B1713" s="565"/>
    </row>
    <row r="1714" spans="2:2">
      <c r="B1714" s="565"/>
    </row>
    <row r="1715" spans="2:2">
      <c r="B1715" s="565"/>
    </row>
    <row r="1716" spans="2:2">
      <c r="B1716" s="565"/>
    </row>
    <row r="1717" spans="2:2">
      <c r="B1717" s="565"/>
    </row>
    <row r="1718" spans="2:2">
      <c r="B1718" s="565"/>
    </row>
    <row r="1719" spans="2:2">
      <c r="B1719" s="565"/>
    </row>
    <row r="1720" spans="2:2">
      <c r="B1720" s="565"/>
    </row>
    <row r="1721" spans="2:2">
      <c r="B1721" s="565"/>
    </row>
    <row r="1722" spans="2:2">
      <c r="B1722" s="565"/>
    </row>
    <row r="1723" spans="2:2">
      <c r="B1723" s="565"/>
    </row>
    <row r="1724" spans="2:2">
      <c r="B1724" s="565"/>
    </row>
    <row r="1725" spans="2:2">
      <c r="B1725" s="565"/>
    </row>
    <row r="1726" spans="2:2">
      <c r="B1726" s="565"/>
    </row>
    <row r="1727" spans="2:2">
      <c r="B1727" s="565"/>
    </row>
    <row r="1728" spans="2:2">
      <c r="B1728" s="565"/>
    </row>
    <row r="1729" spans="2:2">
      <c r="B1729" s="565"/>
    </row>
    <row r="1730" spans="2:2">
      <c r="B1730" s="565"/>
    </row>
    <row r="1731" spans="2:2">
      <c r="B1731" s="565"/>
    </row>
    <row r="1732" spans="2:2">
      <c r="B1732" s="565"/>
    </row>
    <row r="1733" spans="2:2">
      <c r="B1733" s="565"/>
    </row>
    <row r="1734" spans="2:2">
      <c r="B1734" s="565"/>
    </row>
    <row r="1735" spans="2:2">
      <c r="B1735" s="565"/>
    </row>
    <row r="1736" spans="2:2">
      <c r="B1736" s="565"/>
    </row>
    <row r="1737" spans="2:2">
      <c r="B1737" s="565"/>
    </row>
    <row r="1738" spans="2:2">
      <c r="B1738" s="565"/>
    </row>
    <row r="1739" spans="2:2">
      <c r="B1739" s="565"/>
    </row>
    <row r="1740" spans="2:2">
      <c r="B1740" s="565"/>
    </row>
    <row r="1741" spans="2:2">
      <c r="B1741" s="565"/>
    </row>
    <row r="1742" spans="2:2">
      <c r="B1742" s="565"/>
    </row>
    <row r="1743" spans="2:2">
      <c r="B1743" s="565"/>
    </row>
    <row r="1744" spans="2:2">
      <c r="B1744" s="565"/>
    </row>
    <row r="1745" spans="2:2">
      <c r="B1745" s="565"/>
    </row>
    <row r="1746" spans="2:2">
      <c r="B1746" s="565"/>
    </row>
    <row r="1747" spans="2:2">
      <c r="B1747" s="565"/>
    </row>
    <row r="1748" spans="2:2">
      <c r="B1748" s="565"/>
    </row>
    <row r="1749" spans="2:2">
      <c r="B1749" s="565"/>
    </row>
    <row r="1750" spans="2:2">
      <c r="B1750" s="565"/>
    </row>
    <row r="1751" spans="2:2">
      <c r="B1751" s="565"/>
    </row>
    <row r="1752" spans="2:2">
      <c r="B1752" s="565"/>
    </row>
    <row r="1753" spans="2:2">
      <c r="B1753" s="565"/>
    </row>
    <row r="1754" spans="2:2">
      <c r="B1754" s="565"/>
    </row>
    <row r="1755" spans="2:2">
      <c r="B1755" s="565"/>
    </row>
    <row r="1756" spans="2:2">
      <c r="B1756" s="565"/>
    </row>
    <row r="1757" spans="2:2">
      <c r="B1757" s="565"/>
    </row>
    <row r="1758" spans="2:2">
      <c r="B1758" s="565"/>
    </row>
    <row r="1759" spans="2:2">
      <c r="B1759" s="565"/>
    </row>
    <row r="1760" spans="2:2">
      <c r="B1760" s="565"/>
    </row>
    <row r="1761" spans="2:2">
      <c r="B1761" s="565"/>
    </row>
    <row r="1762" spans="2:2">
      <c r="B1762" s="565"/>
    </row>
    <row r="1763" spans="2:2">
      <c r="B1763" s="565"/>
    </row>
    <row r="1764" spans="2:2">
      <c r="B1764" s="565"/>
    </row>
    <row r="1765" spans="2:2">
      <c r="B1765" s="565"/>
    </row>
    <row r="1766" spans="2:2">
      <c r="B1766" s="565"/>
    </row>
    <row r="1767" spans="2:2">
      <c r="B1767" s="565"/>
    </row>
    <row r="1768" spans="2:2">
      <c r="B1768" s="565"/>
    </row>
    <row r="1769" spans="2:2">
      <c r="B1769" s="565"/>
    </row>
    <row r="1770" spans="2:2">
      <c r="B1770" s="565"/>
    </row>
    <row r="1771" spans="2:2">
      <c r="B1771" s="565"/>
    </row>
    <row r="1772" spans="2:2">
      <c r="B1772" s="565"/>
    </row>
    <row r="1773" spans="2:2">
      <c r="B1773" s="565"/>
    </row>
    <row r="1774" spans="2:2">
      <c r="B1774" s="565"/>
    </row>
    <row r="1775" spans="2:2">
      <c r="B1775" s="565"/>
    </row>
    <row r="1776" spans="2:2">
      <c r="B1776" s="565"/>
    </row>
    <row r="1777" spans="2:2">
      <c r="B1777" s="565"/>
    </row>
    <row r="1778" spans="2:2">
      <c r="B1778" s="565"/>
    </row>
    <row r="1779" spans="2:2">
      <c r="B1779" s="565"/>
    </row>
    <row r="1780" spans="2:2">
      <c r="B1780" s="565"/>
    </row>
    <row r="1781" spans="2:2">
      <c r="B1781" s="565"/>
    </row>
    <row r="1782" spans="2:2">
      <c r="B1782" s="565"/>
    </row>
    <row r="1783" spans="2:2">
      <c r="B1783" s="565"/>
    </row>
    <row r="1784" spans="2:2">
      <c r="B1784" s="565"/>
    </row>
    <row r="1785" spans="2:2">
      <c r="B1785" s="565"/>
    </row>
    <row r="1786" spans="2:2">
      <c r="B1786" s="565"/>
    </row>
    <row r="1787" spans="2:2">
      <c r="B1787" s="565"/>
    </row>
    <row r="1788" spans="2:2">
      <c r="B1788" s="565"/>
    </row>
    <row r="1789" spans="2:2">
      <c r="B1789" s="565"/>
    </row>
    <row r="1790" spans="2:2">
      <c r="B1790" s="565"/>
    </row>
    <row r="1791" spans="2:2">
      <c r="B1791" s="565"/>
    </row>
    <row r="1792" spans="2:2">
      <c r="B1792" s="565"/>
    </row>
    <row r="1793" spans="2:2">
      <c r="B1793" s="565"/>
    </row>
    <row r="1794" spans="2:2">
      <c r="B1794" s="565"/>
    </row>
    <row r="1795" spans="2:2">
      <c r="B1795" s="565"/>
    </row>
    <row r="1796" spans="2:2">
      <c r="B1796" s="565"/>
    </row>
    <row r="1797" spans="2:2">
      <c r="B1797" s="565"/>
    </row>
    <row r="1798" spans="2:2">
      <c r="B1798" s="565"/>
    </row>
    <row r="1799" spans="2:2">
      <c r="B1799" s="565"/>
    </row>
    <row r="1800" spans="2:2">
      <c r="B1800" s="565"/>
    </row>
    <row r="1801" spans="2:2">
      <c r="B1801" s="565"/>
    </row>
    <row r="1802" spans="2:2">
      <c r="B1802" s="565"/>
    </row>
    <row r="1803" spans="2:2">
      <c r="B1803" s="565"/>
    </row>
    <row r="1804" spans="2:2">
      <c r="B1804" s="565"/>
    </row>
    <row r="1805" spans="2:2">
      <c r="B1805" s="565"/>
    </row>
    <row r="1806" spans="2:2">
      <c r="B1806" s="565"/>
    </row>
    <row r="1807" spans="2:2">
      <c r="B1807" s="565"/>
    </row>
    <row r="1808" spans="2:2">
      <c r="B1808" s="565"/>
    </row>
    <row r="1809" spans="2:2">
      <c r="B1809" s="565"/>
    </row>
    <row r="1810" spans="2:2">
      <c r="B1810" s="565"/>
    </row>
    <row r="1811" spans="2:2">
      <c r="B1811" s="565"/>
    </row>
    <row r="1812" spans="2:2">
      <c r="B1812" s="565"/>
    </row>
    <row r="1813" spans="2:2">
      <c r="B1813" s="565"/>
    </row>
    <row r="1814" spans="2:2">
      <c r="B1814" s="565"/>
    </row>
    <row r="1815" spans="2:2">
      <c r="B1815" s="565"/>
    </row>
    <row r="1816" spans="2:2">
      <c r="B1816" s="565"/>
    </row>
    <row r="1817" spans="2:2">
      <c r="B1817" s="565"/>
    </row>
    <row r="1818" spans="2:2">
      <c r="B1818" s="565"/>
    </row>
    <row r="1819" spans="2:2">
      <c r="B1819" s="565"/>
    </row>
    <row r="1820" spans="2:2">
      <c r="B1820" s="565"/>
    </row>
    <row r="1821" spans="2:2">
      <c r="B1821" s="565"/>
    </row>
    <row r="1822" spans="2:2">
      <c r="B1822" s="565"/>
    </row>
    <row r="1823" spans="2:2">
      <c r="B1823" s="565"/>
    </row>
    <row r="1824" spans="2:2">
      <c r="B1824" s="565"/>
    </row>
    <row r="1825" spans="2:2">
      <c r="B1825" s="565"/>
    </row>
    <row r="1826" spans="2:2">
      <c r="B1826" s="565"/>
    </row>
    <row r="1827" spans="2:2">
      <c r="B1827" s="565"/>
    </row>
    <row r="1828" spans="2:2">
      <c r="B1828" s="565"/>
    </row>
    <row r="1829" spans="2:2">
      <c r="B1829" s="565"/>
    </row>
    <row r="1830" spans="2:2">
      <c r="B1830" s="565"/>
    </row>
    <row r="1831" spans="2:2">
      <c r="B1831" s="565"/>
    </row>
    <row r="1832" spans="2:2">
      <c r="B1832" s="565"/>
    </row>
    <row r="1833" spans="2:2">
      <c r="B1833" s="565"/>
    </row>
    <row r="1834" spans="2:2">
      <c r="B1834" s="565"/>
    </row>
    <row r="1835" spans="2:2">
      <c r="B1835" s="565"/>
    </row>
    <row r="1836" spans="2:2">
      <c r="B1836" s="565"/>
    </row>
    <row r="1837" spans="2:2">
      <c r="B1837" s="565"/>
    </row>
    <row r="1838" spans="2:2">
      <c r="B1838" s="565"/>
    </row>
    <row r="1839" spans="2:2">
      <c r="B1839" s="565"/>
    </row>
    <row r="1840" spans="2:2">
      <c r="B1840" s="565"/>
    </row>
    <row r="1841" spans="2:2">
      <c r="B1841" s="565"/>
    </row>
    <row r="1842" spans="2:2">
      <c r="B1842" s="565"/>
    </row>
    <row r="1843" spans="2:2">
      <c r="B1843" s="565"/>
    </row>
    <row r="1844" spans="2:2">
      <c r="B1844" s="565"/>
    </row>
    <row r="1845" spans="2:2">
      <c r="B1845" s="565"/>
    </row>
    <row r="1846" spans="2:2">
      <c r="B1846" s="565"/>
    </row>
    <row r="1847" spans="2:2">
      <c r="B1847" s="565"/>
    </row>
    <row r="1848" spans="2:2">
      <c r="B1848" s="565"/>
    </row>
    <row r="1849" spans="2:2">
      <c r="B1849" s="565"/>
    </row>
    <row r="1850" spans="2:2">
      <c r="B1850" s="565"/>
    </row>
    <row r="1851" spans="2:2">
      <c r="B1851" s="565"/>
    </row>
    <row r="1852" spans="2:2">
      <c r="B1852" s="565"/>
    </row>
    <row r="1853" spans="2:2">
      <c r="B1853" s="565"/>
    </row>
    <row r="1854" spans="2:2">
      <c r="B1854" s="565"/>
    </row>
    <row r="1855" spans="2:2">
      <c r="B1855" s="565"/>
    </row>
    <row r="1856" spans="2:2">
      <c r="B1856" s="565"/>
    </row>
    <row r="1857" spans="2:2">
      <c r="B1857" s="565"/>
    </row>
    <row r="1858" spans="2:2">
      <c r="B1858" s="565"/>
    </row>
    <row r="1859" spans="2:2">
      <c r="B1859" s="565"/>
    </row>
    <row r="1860" spans="2:2">
      <c r="B1860" s="565"/>
    </row>
    <row r="1861" spans="2:2">
      <c r="B1861" s="565"/>
    </row>
    <row r="1862" spans="2:2">
      <c r="B1862" s="565"/>
    </row>
    <row r="1863" spans="2:2">
      <c r="B1863" s="565"/>
    </row>
    <row r="1864" spans="2:2">
      <c r="B1864" s="565"/>
    </row>
    <row r="1865" spans="2:2">
      <c r="B1865" s="565"/>
    </row>
    <row r="1866" spans="2:2">
      <c r="B1866" s="565"/>
    </row>
    <row r="1867" spans="2:2">
      <c r="B1867" s="565"/>
    </row>
    <row r="1868" spans="2:2">
      <c r="B1868" s="565"/>
    </row>
    <row r="1869" spans="2:2">
      <c r="B1869" s="565"/>
    </row>
    <row r="1870" spans="2:2">
      <c r="B1870" s="565"/>
    </row>
    <row r="1871" spans="2:2">
      <c r="B1871" s="565"/>
    </row>
    <row r="1872" spans="2:2">
      <c r="B1872" s="565"/>
    </row>
    <row r="1873" spans="2:2">
      <c r="B1873" s="565"/>
    </row>
    <row r="1874" spans="2:2">
      <c r="B1874" s="565"/>
    </row>
    <row r="1875" spans="2:2">
      <c r="B1875" s="565"/>
    </row>
    <row r="1876" spans="2:2">
      <c r="B1876" s="565"/>
    </row>
    <row r="1877" spans="2:2">
      <c r="B1877" s="565"/>
    </row>
    <row r="1878" spans="2:2">
      <c r="B1878" s="565"/>
    </row>
    <row r="1879" spans="2:2">
      <c r="B1879" s="565"/>
    </row>
    <row r="1880" spans="2:2">
      <c r="B1880" s="565"/>
    </row>
    <row r="1881" spans="2:2">
      <c r="B1881" s="565"/>
    </row>
    <row r="1882" spans="2:2">
      <c r="B1882" s="565"/>
    </row>
    <row r="1883" spans="2:2">
      <c r="B1883" s="565"/>
    </row>
    <row r="1884" spans="2:2">
      <c r="B1884" s="565"/>
    </row>
    <row r="1885" spans="2:2">
      <c r="B1885" s="565"/>
    </row>
    <row r="1886" spans="2:2">
      <c r="B1886" s="565"/>
    </row>
    <row r="1887" spans="2:2">
      <c r="B1887" s="565"/>
    </row>
    <row r="1888" spans="2:2">
      <c r="B1888" s="565"/>
    </row>
    <row r="1889" spans="2:2">
      <c r="B1889" s="565"/>
    </row>
    <row r="1890" spans="2:2">
      <c r="B1890" s="565"/>
    </row>
    <row r="1891" spans="2:2">
      <c r="B1891" s="565"/>
    </row>
    <row r="1892" spans="2:2">
      <c r="B1892" s="565"/>
    </row>
    <row r="1893" spans="2:2">
      <c r="B1893" s="565"/>
    </row>
    <row r="1894" spans="2:2">
      <c r="B1894" s="565"/>
    </row>
    <row r="1895" spans="2:2">
      <c r="B1895" s="565"/>
    </row>
    <row r="1896" spans="2:2">
      <c r="B1896" s="565"/>
    </row>
    <row r="1897" spans="2:2">
      <c r="B1897" s="565"/>
    </row>
    <row r="1898" spans="2:2">
      <c r="B1898" s="565"/>
    </row>
    <row r="1899" spans="2:2">
      <c r="B1899" s="565"/>
    </row>
    <row r="1900" spans="2:2">
      <c r="B1900" s="565"/>
    </row>
    <row r="1901" spans="2:2">
      <c r="B1901" s="565"/>
    </row>
    <row r="1902" spans="2:2">
      <c r="B1902" s="565"/>
    </row>
    <row r="1903" spans="2:2">
      <c r="B1903" s="565"/>
    </row>
    <row r="1904" spans="2:2">
      <c r="B1904" s="565"/>
    </row>
    <row r="1905" spans="2:2">
      <c r="B1905" s="565"/>
    </row>
    <row r="1906" spans="2:2">
      <c r="B1906" s="565"/>
    </row>
    <row r="1907" spans="2:2">
      <c r="B1907" s="565"/>
    </row>
    <row r="1908" spans="2:2">
      <c r="B1908" s="565"/>
    </row>
    <row r="1909" spans="2:2">
      <c r="B1909" s="565"/>
    </row>
    <row r="1910" spans="2:2">
      <c r="B1910" s="565"/>
    </row>
    <row r="1911" spans="2:2">
      <c r="B1911" s="565"/>
    </row>
    <row r="1912" spans="2:2">
      <c r="B1912" s="565"/>
    </row>
    <row r="1913" spans="2:2">
      <c r="B1913" s="565"/>
    </row>
    <row r="1914" spans="2:2">
      <c r="B1914" s="565"/>
    </row>
    <row r="1915" spans="2:2">
      <c r="B1915" s="565"/>
    </row>
    <row r="1916" spans="2:2">
      <c r="B1916" s="565"/>
    </row>
    <row r="1917" spans="2:2">
      <c r="B1917" s="565"/>
    </row>
    <row r="1918" spans="2:2">
      <c r="B1918" s="565"/>
    </row>
    <row r="1919" spans="2:2">
      <c r="B1919" s="565"/>
    </row>
    <row r="1920" spans="2:2">
      <c r="B1920" s="565"/>
    </row>
    <row r="1921" spans="2:2">
      <c r="B1921" s="565"/>
    </row>
    <row r="1922" spans="2:2">
      <c r="B1922" s="565"/>
    </row>
    <row r="1923" spans="2:2">
      <c r="B1923" s="565"/>
    </row>
    <row r="1924" spans="2:2">
      <c r="B1924" s="565"/>
    </row>
    <row r="1925" spans="2:2">
      <c r="B1925" s="565"/>
    </row>
    <row r="1926" spans="2:2">
      <c r="B1926" s="565"/>
    </row>
    <row r="1927" spans="2:2">
      <c r="B1927" s="565"/>
    </row>
    <row r="1928" spans="2:2">
      <c r="B1928" s="565"/>
    </row>
    <row r="1929" spans="2:2">
      <c r="B1929" s="565"/>
    </row>
    <row r="1930" spans="2:2">
      <c r="B1930" s="565"/>
    </row>
    <row r="1931" spans="2:2">
      <c r="B1931" s="565"/>
    </row>
    <row r="1932" spans="2:2">
      <c r="B1932" s="565"/>
    </row>
    <row r="1933" spans="2:2">
      <c r="B1933" s="565"/>
    </row>
    <row r="1934" spans="2:2">
      <c r="B1934" s="565"/>
    </row>
    <row r="1935" spans="2:2">
      <c r="B1935" s="565"/>
    </row>
    <row r="1936" spans="2:2">
      <c r="B1936" s="565"/>
    </row>
    <row r="1937" spans="2:2">
      <c r="B1937" s="565"/>
    </row>
    <row r="1938" spans="2:2">
      <c r="B1938" s="565"/>
    </row>
    <row r="1939" spans="2:2">
      <c r="B1939" s="565"/>
    </row>
    <row r="1940" spans="2:2">
      <c r="B1940" s="565"/>
    </row>
    <row r="1941" spans="2:2">
      <c r="B1941" s="565"/>
    </row>
    <row r="1942" spans="2:2">
      <c r="B1942" s="565"/>
    </row>
    <row r="1943" spans="2:2">
      <c r="B1943" s="565"/>
    </row>
    <row r="1944" spans="2:2">
      <c r="B1944" s="565"/>
    </row>
    <row r="1945" spans="2:2">
      <c r="B1945" s="565"/>
    </row>
    <row r="1946" spans="2:2">
      <c r="B1946" s="565"/>
    </row>
    <row r="1947" spans="2:2">
      <c r="B1947" s="565"/>
    </row>
    <row r="1948" spans="2:2">
      <c r="B1948" s="565"/>
    </row>
    <row r="1949" spans="2:2">
      <c r="B1949" s="565"/>
    </row>
    <row r="1950" spans="2:2">
      <c r="B1950" s="565"/>
    </row>
    <row r="1951" spans="2:2">
      <c r="B1951" s="565"/>
    </row>
    <row r="1952" spans="2:2">
      <c r="B1952" s="565"/>
    </row>
    <row r="1953" spans="2:2">
      <c r="B1953" s="565"/>
    </row>
    <row r="1954" spans="2:2">
      <c r="B1954" s="565"/>
    </row>
    <row r="1955" spans="2:2">
      <c r="B1955" s="565"/>
    </row>
    <row r="1956" spans="2:2">
      <c r="B1956" s="565"/>
    </row>
    <row r="1957" spans="2:2">
      <c r="B1957" s="565"/>
    </row>
    <row r="1958" spans="2:2">
      <c r="B1958" s="565"/>
    </row>
    <row r="1959" spans="2:2">
      <c r="B1959" s="565"/>
    </row>
    <row r="1960" spans="2:2">
      <c r="B1960" s="565"/>
    </row>
    <row r="1961" spans="2:2">
      <c r="B1961" s="565"/>
    </row>
    <row r="1962" spans="2:2">
      <c r="B1962" s="565"/>
    </row>
    <row r="1963" spans="2:2">
      <c r="B1963" s="565"/>
    </row>
    <row r="1964" spans="2:2">
      <c r="B1964" s="565"/>
    </row>
    <row r="1965" spans="2:2">
      <c r="B1965" s="565"/>
    </row>
    <row r="1966" spans="2:2">
      <c r="B1966" s="565"/>
    </row>
    <row r="1967" spans="2:2">
      <c r="B1967" s="565"/>
    </row>
    <row r="1968" spans="2:2">
      <c r="B1968" s="565"/>
    </row>
    <row r="1969" spans="2:2">
      <c r="B1969" s="565"/>
    </row>
    <row r="1970" spans="2:2">
      <c r="B1970" s="565"/>
    </row>
    <row r="1971" spans="2:2">
      <c r="B1971" s="565"/>
    </row>
    <row r="1972" spans="2:2">
      <c r="B1972" s="565"/>
    </row>
    <row r="1973" spans="2:2">
      <c r="B1973" s="565"/>
    </row>
    <row r="1974" spans="2:2">
      <c r="B1974" s="565"/>
    </row>
    <row r="1975" spans="2:2">
      <c r="B1975" s="565"/>
    </row>
    <row r="1976" spans="2:2">
      <c r="B1976" s="565"/>
    </row>
    <row r="1977" spans="2:2">
      <c r="B1977" s="565"/>
    </row>
    <row r="1978" spans="2:2">
      <c r="B1978" s="565"/>
    </row>
    <row r="1979" spans="2:2">
      <c r="B1979" s="565"/>
    </row>
    <row r="1980" spans="2:2">
      <c r="B1980" s="565"/>
    </row>
    <row r="1981" spans="2:2">
      <c r="B1981" s="565"/>
    </row>
    <row r="1982" spans="2:2">
      <c r="B1982" s="565"/>
    </row>
    <row r="1983" spans="2:2">
      <c r="B1983" s="565"/>
    </row>
    <row r="1984" spans="2:2">
      <c r="B1984" s="565"/>
    </row>
    <row r="1985" spans="2:2">
      <c r="B1985" s="565"/>
    </row>
    <row r="1986" spans="2:2">
      <c r="B1986" s="565"/>
    </row>
    <row r="1987" spans="2:2">
      <c r="B1987" s="565"/>
    </row>
    <row r="1988" spans="2:2">
      <c r="B1988" s="565"/>
    </row>
    <row r="1989" spans="2:2">
      <c r="B1989" s="565"/>
    </row>
    <row r="1990" spans="2:2">
      <c r="B1990" s="565"/>
    </row>
    <row r="1991" spans="2:2">
      <c r="B1991" s="565"/>
    </row>
    <row r="1992" spans="2:2">
      <c r="B1992" s="565"/>
    </row>
    <row r="1993" spans="2:2">
      <c r="B1993" s="565"/>
    </row>
    <row r="1994" spans="2:2">
      <c r="B1994" s="565"/>
    </row>
    <row r="1995" spans="2:2">
      <c r="B1995" s="565"/>
    </row>
    <row r="1996" spans="2:2">
      <c r="B1996" s="565"/>
    </row>
    <row r="1997" spans="2:2">
      <c r="B1997" s="565"/>
    </row>
    <row r="1998" spans="2:2">
      <c r="B1998" s="565"/>
    </row>
    <row r="1999" spans="2:2">
      <c r="B1999" s="565"/>
    </row>
    <row r="2000" spans="2:2">
      <c r="B2000" s="565"/>
    </row>
    <row r="2001" spans="2:2">
      <c r="B2001" s="565"/>
    </row>
    <row r="2002" spans="2:2">
      <c r="B2002" s="565"/>
    </row>
    <row r="2003" spans="2:2">
      <c r="B2003" s="565"/>
    </row>
    <row r="2004" spans="2:2">
      <c r="B2004" s="565"/>
    </row>
    <row r="2005" spans="2:2">
      <c r="B2005" s="565"/>
    </row>
    <row r="2006" spans="2:2">
      <c r="B2006" s="565"/>
    </row>
    <row r="2007" spans="2:2">
      <c r="B2007" s="565"/>
    </row>
    <row r="2008" spans="2:2">
      <c r="B2008" s="565"/>
    </row>
    <row r="2009" spans="2:2">
      <c r="B2009" s="565"/>
    </row>
    <row r="2010" spans="2:2">
      <c r="B2010" s="565"/>
    </row>
    <row r="2011" spans="2:2">
      <c r="B2011" s="565"/>
    </row>
    <row r="2012" spans="2:2">
      <c r="B2012" s="565"/>
    </row>
    <row r="2013" spans="2:2">
      <c r="B2013" s="565"/>
    </row>
    <row r="2014" spans="2:2">
      <c r="B2014" s="565"/>
    </row>
    <row r="2015" spans="2:2">
      <c r="B2015" s="565"/>
    </row>
    <row r="2016" spans="2:2">
      <c r="B2016" s="565"/>
    </row>
    <row r="2017" spans="2:2">
      <c r="B2017" s="565"/>
    </row>
    <row r="2018" spans="2:2">
      <c r="B2018" s="565"/>
    </row>
    <row r="2019" spans="2:2">
      <c r="B2019" s="565"/>
    </row>
    <row r="2020" spans="2:2">
      <c r="B2020" s="565"/>
    </row>
    <row r="2021" spans="2:2">
      <c r="B2021" s="565"/>
    </row>
    <row r="2022" spans="2:2">
      <c r="B2022" s="565"/>
    </row>
    <row r="2023" spans="2:2">
      <c r="B2023" s="565"/>
    </row>
    <row r="2024" spans="2:2">
      <c r="B2024" s="565"/>
    </row>
    <row r="2025" spans="2:2">
      <c r="B2025" s="565"/>
    </row>
    <row r="2026" spans="2:2">
      <c r="B2026" s="565"/>
    </row>
    <row r="2027" spans="2:2">
      <c r="B2027" s="565"/>
    </row>
    <row r="2028" spans="2:2">
      <c r="B2028" s="565"/>
    </row>
    <row r="2029" spans="2:2">
      <c r="B2029" s="565"/>
    </row>
    <row r="2030" spans="2:2">
      <c r="B2030" s="565"/>
    </row>
    <row r="2031" spans="2:2">
      <c r="B2031" s="565"/>
    </row>
    <row r="2032" spans="2:2">
      <c r="B2032" s="565"/>
    </row>
    <row r="2033" spans="2:2">
      <c r="B2033" s="565"/>
    </row>
    <row r="2034" spans="2:2">
      <c r="B2034" s="565"/>
    </row>
    <row r="2035" spans="2:2">
      <c r="B2035" s="565"/>
    </row>
    <row r="2036" spans="2:2">
      <c r="B2036" s="565"/>
    </row>
    <row r="2037" spans="2:2">
      <c r="B2037" s="565"/>
    </row>
    <row r="2038" spans="2:2">
      <c r="B2038" s="565"/>
    </row>
    <row r="2039" spans="2:2">
      <c r="B2039" s="565"/>
    </row>
    <row r="2040" spans="2:2">
      <c r="B2040" s="565"/>
    </row>
    <row r="2041" spans="2:2">
      <c r="B2041" s="565"/>
    </row>
    <row r="2042" spans="2:2">
      <c r="B2042" s="565"/>
    </row>
    <row r="2043" spans="2:2">
      <c r="B2043" s="565"/>
    </row>
    <row r="2044" spans="2:2">
      <c r="B2044" s="565"/>
    </row>
    <row r="2045" spans="2:2">
      <c r="B2045" s="565"/>
    </row>
    <row r="2046" spans="2:2">
      <c r="B2046" s="565"/>
    </row>
    <row r="2047" spans="2:2">
      <c r="B2047" s="565"/>
    </row>
    <row r="2048" spans="2:2">
      <c r="B2048" s="565"/>
    </row>
    <row r="2049" spans="2:2">
      <c r="B2049" s="565"/>
    </row>
    <row r="2050" spans="2:2">
      <c r="B2050" s="565"/>
    </row>
    <row r="2051" spans="2:2">
      <c r="B2051" s="565"/>
    </row>
    <row r="2052" spans="2:2">
      <c r="B2052" s="565"/>
    </row>
    <row r="2053" spans="2:2">
      <c r="B2053" s="565"/>
    </row>
    <row r="2054" spans="2:2">
      <c r="B2054" s="565"/>
    </row>
    <row r="2055" spans="2:2">
      <c r="B2055" s="565"/>
    </row>
    <row r="2056" spans="2:2">
      <c r="B2056" s="565"/>
    </row>
    <row r="2057" spans="2:2">
      <c r="B2057" s="565"/>
    </row>
    <row r="2058" spans="2:2">
      <c r="B2058" s="565"/>
    </row>
    <row r="2059" spans="2:2">
      <c r="B2059" s="565"/>
    </row>
    <row r="2060" spans="2:2">
      <c r="B2060" s="565"/>
    </row>
    <row r="2061" spans="2:2">
      <c r="B2061" s="565"/>
    </row>
    <row r="2062" spans="2:2">
      <c r="B2062" s="565"/>
    </row>
    <row r="2063" spans="2:2">
      <c r="B2063" s="565"/>
    </row>
    <row r="2064" spans="2:2">
      <c r="B2064" s="565"/>
    </row>
    <row r="2065" spans="2:2">
      <c r="B2065" s="565"/>
    </row>
    <row r="2066" spans="2:2">
      <c r="B2066" s="565"/>
    </row>
    <row r="2067" spans="2:2">
      <c r="B2067" s="565"/>
    </row>
    <row r="2068" spans="2:2">
      <c r="B2068" s="565"/>
    </row>
    <row r="2069" spans="2:2">
      <c r="B2069" s="565"/>
    </row>
    <row r="2070" spans="2:2">
      <c r="B2070" s="565"/>
    </row>
    <row r="2071" spans="2:2">
      <c r="B2071" s="565"/>
    </row>
    <row r="2072" spans="2:2">
      <c r="B2072" s="565"/>
    </row>
    <row r="2073" spans="2:2">
      <c r="B2073" s="565"/>
    </row>
    <row r="2074" spans="2:2">
      <c r="B2074" s="565"/>
    </row>
    <row r="2075" spans="2:2">
      <c r="B2075" s="565"/>
    </row>
    <row r="2076" spans="2:2">
      <c r="B2076" s="565"/>
    </row>
    <row r="2077" spans="2:2">
      <c r="B2077" s="565"/>
    </row>
    <row r="2078" spans="2:2">
      <c r="B2078" s="565"/>
    </row>
    <row r="2079" spans="2:2">
      <c r="B2079" s="565"/>
    </row>
    <row r="2080" spans="2:2">
      <c r="B2080" s="565"/>
    </row>
    <row r="2081" spans="2:2">
      <c r="B2081" s="565"/>
    </row>
    <row r="2082" spans="2:2">
      <c r="B2082" s="565"/>
    </row>
    <row r="2083" spans="2:2">
      <c r="B2083" s="565"/>
    </row>
    <row r="2084" spans="2:2">
      <c r="B2084" s="565"/>
    </row>
    <row r="2085" spans="2:2">
      <c r="B2085" s="565"/>
    </row>
    <row r="2086" spans="2:2">
      <c r="B2086" s="565"/>
    </row>
    <row r="2087" spans="2:2">
      <c r="B2087" s="565"/>
    </row>
    <row r="2088" spans="2:2">
      <c r="B2088" s="565"/>
    </row>
    <row r="2089" spans="2:2">
      <c r="B2089" s="565"/>
    </row>
    <row r="2090" spans="2:2">
      <c r="B2090" s="565"/>
    </row>
    <row r="2091" spans="2:2">
      <c r="B2091" s="565"/>
    </row>
    <row r="2092" spans="2:2">
      <c r="B2092" s="565"/>
    </row>
    <row r="2093" spans="2:2">
      <c r="B2093" s="565"/>
    </row>
    <row r="2094" spans="2:2">
      <c r="B2094" s="565"/>
    </row>
    <row r="2095" spans="2:2">
      <c r="B2095" s="565"/>
    </row>
    <row r="2096" spans="2:2">
      <c r="B2096" s="565"/>
    </row>
    <row r="2097" spans="2:2">
      <c r="B2097" s="565"/>
    </row>
    <row r="2098" spans="2:2">
      <c r="B2098" s="565"/>
    </row>
    <row r="2099" spans="2:2">
      <c r="B2099" s="565"/>
    </row>
    <row r="2100" spans="2:2">
      <c r="B2100" s="565"/>
    </row>
    <row r="2101" spans="2:2">
      <c r="B2101" s="565"/>
    </row>
    <row r="2102" spans="2:2">
      <c r="B2102" s="565"/>
    </row>
    <row r="2103" spans="2:2">
      <c r="B2103" s="565"/>
    </row>
    <row r="2104" spans="2:2">
      <c r="B2104" s="565"/>
    </row>
    <row r="2105" spans="2:2">
      <c r="B2105" s="565"/>
    </row>
    <row r="2106" spans="2:2">
      <c r="B2106" s="565"/>
    </row>
    <row r="2107" spans="2:2">
      <c r="B2107" s="565"/>
    </row>
    <row r="2108" spans="2:2">
      <c r="B2108" s="565"/>
    </row>
    <row r="2109" spans="2:2">
      <c r="B2109" s="565"/>
    </row>
    <row r="2110" spans="2:2">
      <c r="B2110" s="565"/>
    </row>
    <row r="2111" spans="2:2">
      <c r="B2111" s="565"/>
    </row>
    <row r="2112" spans="2:2">
      <c r="B2112" s="565"/>
    </row>
    <row r="2113" spans="2:2">
      <c r="B2113" s="565"/>
    </row>
    <row r="2114" spans="2:2">
      <c r="B2114" s="565"/>
    </row>
    <row r="2115" spans="2:2">
      <c r="B2115" s="565"/>
    </row>
    <row r="2116" spans="2:2">
      <c r="B2116" s="565"/>
    </row>
    <row r="2117" spans="2:2">
      <c r="B2117" s="565"/>
    </row>
    <row r="2118" spans="2:2">
      <c r="B2118" s="565"/>
    </row>
    <row r="2119" spans="2:2">
      <c r="B2119" s="565"/>
    </row>
    <row r="2120" spans="2:2">
      <c r="B2120" s="565"/>
    </row>
    <row r="2121" spans="2:2">
      <c r="B2121" s="565"/>
    </row>
    <row r="2122" spans="2:2">
      <c r="B2122" s="565"/>
    </row>
    <row r="2123" spans="2:2">
      <c r="B2123" s="565"/>
    </row>
    <row r="2124" spans="2:2">
      <c r="B2124" s="565"/>
    </row>
    <row r="2125" spans="2:2">
      <c r="B2125" s="565"/>
    </row>
    <row r="2126" spans="2:2">
      <c r="B2126" s="565"/>
    </row>
    <row r="2127" spans="2:2">
      <c r="B2127" s="565"/>
    </row>
    <row r="2128" spans="2:2">
      <c r="B2128" s="565"/>
    </row>
    <row r="2129" spans="2:2">
      <c r="B2129" s="565"/>
    </row>
    <row r="2130" spans="2:2">
      <c r="B2130" s="565"/>
    </row>
    <row r="2131" spans="2:2">
      <c r="B2131" s="565"/>
    </row>
    <row r="2132" spans="2:2">
      <c r="B2132" s="565"/>
    </row>
    <row r="2133" spans="2:2">
      <c r="B2133" s="565"/>
    </row>
    <row r="2134" spans="2:2">
      <c r="B2134" s="565"/>
    </row>
    <row r="2135" spans="2:2">
      <c r="B2135" s="565"/>
    </row>
    <row r="2136" spans="2:2">
      <c r="B2136" s="565"/>
    </row>
    <row r="2137" spans="2:2">
      <c r="B2137" s="565"/>
    </row>
    <row r="2138" spans="2:2">
      <c r="B2138" s="565"/>
    </row>
    <row r="2139" spans="2:2">
      <c r="B2139" s="565"/>
    </row>
    <row r="2140" spans="2:2">
      <c r="B2140" s="565"/>
    </row>
    <row r="2141" spans="2:2">
      <c r="B2141" s="565"/>
    </row>
    <row r="2142" spans="2:2">
      <c r="B2142" s="565"/>
    </row>
    <row r="2143" spans="2:2">
      <c r="B2143" s="565"/>
    </row>
    <row r="2144" spans="2:2">
      <c r="B2144" s="565"/>
    </row>
    <row r="2145" spans="2:2">
      <c r="B2145" s="565"/>
    </row>
    <row r="2146" spans="2:2">
      <c r="B2146" s="565"/>
    </row>
    <row r="2147" spans="2:2">
      <c r="B2147" s="565"/>
    </row>
    <row r="2148" spans="2:2">
      <c r="B2148" s="565"/>
    </row>
    <row r="2149" spans="2:2">
      <c r="B2149" s="565"/>
    </row>
    <row r="2150" spans="2:2">
      <c r="B2150" s="565"/>
    </row>
    <row r="2151" spans="2:2">
      <c r="B2151" s="565"/>
    </row>
    <row r="2152" spans="2:2">
      <c r="B2152" s="565"/>
    </row>
    <row r="2153" spans="2:2">
      <c r="B2153" s="565"/>
    </row>
    <row r="2154" spans="2:2">
      <c r="B2154" s="565"/>
    </row>
    <row r="2155" spans="2:2">
      <c r="B2155" s="565"/>
    </row>
    <row r="2156" spans="2:2">
      <c r="B2156" s="565"/>
    </row>
    <row r="2157" spans="2:2">
      <c r="B2157" s="565"/>
    </row>
    <row r="2158" spans="2:2">
      <c r="B2158" s="565"/>
    </row>
    <row r="2159" spans="2:2">
      <c r="B2159" s="565"/>
    </row>
    <row r="2160" spans="2:2">
      <c r="B2160" s="565"/>
    </row>
    <row r="2161" spans="2:2">
      <c r="B2161" s="565"/>
    </row>
    <row r="2162" spans="2:2">
      <c r="B2162" s="565"/>
    </row>
    <row r="2163" spans="2:2">
      <c r="B2163" s="565"/>
    </row>
    <row r="2164" spans="2:2">
      <c r="B2164" s="565"/>
    </row>
    <row r="2165" spans="2:2">
      <c r="B2165" s="565"/>
    </row>
    <row r="2166" spans="2:2">
      <c r="B2166" s="565"/>
    </row>
    <row r="2167" spans="2:2">
      <c r="B2167" s="565"/>
    </row>
    <row r="2168" spans="2:2">
      <c r="B2168" s="565"/>
    </row>
    <row r="2169" spans="2:2">
      <c r="B2169" s="565"/>
    </row>
    <row r="2170" spans="2:2">
      <c r="B2170" s="565"/>
    </row>
    <row r="2171" spans="2:2">
      <c r="B2171" s="565"/>
    </row>
    <row r="2172" spans="2:2">
      <c r="B2172" s="565"/>
    </row>
    <row r="2173" spans="2:2">
      <c r="B2173" s="565"/>
    </row>
    <row r="2174" spans="2:2">
      <c r="B2174" s="565"/>
    </row>
    <row r="2175" spans="2:2">
      <c r="B2175" s="565"/>
    </row>
    <row r="2176" spans="2:2">
      <c r="B2176" s="565"/>
    </row>
    <row r="2177" spans="2:2">
      <c r="B2177" s="565"/>
    </row>
    <row r="2178" spans="2:2">
      <c r="B2178" s="565"/>
    </row>
    <row r="2179" spans="2:2">
      <c r="B2179" s="565"/>
    </row>
    <row r="2180" spans="2:2">
      <c r="B2180" s="565"/>
    </row>
    <row r="2181" spans="2:2">
      <c r="B2181" s="565"/>
    </row>
    <row r="2182" spans="2:2">
      <c r="B2182" s="565"/>
    </row>
    <row r="2183" spans="2:2">
      <c r="B2183" s="565"/>
    </row>
    <row r="2184" spans="2:2">
      <c r="B2184" s="565"/>
    </row>
    <row r="2185" spans="2:2">
      <c r="B2185" s="565"/>
    </row>
    <row r="2186" spans="2:2">
      <c r="B2186" s="565"/>
    </row>
    <row r="2187" spans="2:2">
      <c r="B2187" s="565"/>
    </row>
    <row r="2188" spans="2:2">
      <c r="B2188" s="565"/>
    </row>
    <row r="2189" spans="2:2">
      <c r="B2189" s="565"/>
    </row>
    <row r="2190" spans="2:2">
      <c r="B2190" s="565"/>
    </row>
    <row r="2191" spans="2:2">
      <c r="B2191" s="565"/>
    </row>
    <row r="2192" spans="2:2">
      <c r="B2192" s="565"/>
    </row>
    <row r="2193" spans="2:2">
      <c r="B2193" s="565"/>
    </row>
    <row r="2194" spans="2:2">
      <c r="B2194" s="565"/>
    </row>
    <row r="2195" spans="2:2">
      <c r="B2195" s="565"/>
    </row>
    <row r="2196" spans="2:2">
      <c r="B2196" s="565"/>
    </row>
    <row r="2197" spans="2:2">
      <c r="B2197" s="565"/>
    </row>
    <row r="2198" spans="2:2">
      <c r="B2198" s="565"/>
    </row>
    <row r="2199" spans="2:2">
      <c r="B2199" s="565"/>
    </row>
    <row r="2200" spans="2:2">
      <c r="B2200" s="565"/>
    </row>
    <row r="2201" spans="2:2">
      <c r="B2201" s="565"/>
    </row>
    <row r="2202" spans="2:2">
      <c r="B2202" s="565"/>
    </row>
    <row r="2203" spans="2:2">
      <c r="B2203" s="565"/>
    </row>
    <row r="2204" spans="2:2">
      <c r="B2204" s="565"/>
    </row>
    <row r="2205" spans="2:2">
      <c r="B2205" s="565"/>
    </row>
    <row r="2206" spans="2:2">
      <c r="B2206" s="565"/>
    </row>
    <row r="2207" spans="2:2">
      <c r="B2207" s="565"/>
    </row>
    <row r="2208" spans="2:2">
      <c r="B2208" s="565"/>
    </row>
    <row r="2209" spans="2:2">
      <c r="B2209" s="565"/>
    </row>
    <row r="2210" spans="2:2">
      <c r="B2210" s="565"/>
    </row>
    <row r="2211" spans="2:2">
      <c r="B2211" s="565"/>
    </row>
    <row r="2212" spans="2:2">
      <c r="B2212" s="565"/>
    </row>
    <row r="2213" spans="2:2">
      <c r="B2213" s="565"/>
    </row>
    <row r="2214" spans="2:2">
      <c r="B2214" s="565"/>
    </row>
    <row r="2215" spans="2:2">
      <c r="B2215" s="565"/>
    </row>
    <row r="2216" spans="2:2">
      <c r="B2216" s="565"/>
    </row>
    <row r="2217" spans="2:2">
      <c r="B2217" s="565"/>
    </row>
    <row r="2218" spans="2:2">
      <c r="B2218" s="565"/>
    </row>
    <row r="2219" spans="2:2">
      <c r="B2219" s="565"/>
    </row>
    <row r="2220" spans="2:2">
      <c r="B2220" s="565"/>
    </row>
    <row r="2221" spans="2:2">
      <c r="B2221" s="565"/>
    </row>
    <row r="2222" spans="2:2">
      <c r="B2222" s="565"/>
    </row>
    <row r="2223" spans="2:2">
      <c r="B2223" s="565"/>
    </row>
    <row r="2224" spans="2:2">
      <c r="B2224" s="565"/>
    </row>
    <row r="2225" spans="2:2">
      <c r="B2225" s="565"/>
    </row>
    <row r="2226" spans="2:2">
      <c r="B2226" s="565"/>
    </row>
    <row r="2227" spans="2:2">
      <c r="B2227" s="565"/>
    </row>
    <row r="2228" spans="2:2">
      <c r="B2228" s="565"/>
    </row>
    <row r="2229" spans="2:2">
      <c r="B2229" s="565"/>
    </row>
    <row r="2230" spans="2:2">
      <c r="B2230" s="565"/>
    </row>
    <row r="2231" spans="2:2">
      <c r="B2231" s="565"/>
    </row>
    <row r="2232" spans="2:2">
      <c r="B2232" s="565"/>
    </row>
    <row r="2233" spans="2:2">
      <c r="B2233" s="565"/>
    </row>
    <row r="2234" spans="2:2">
      <c r="B2234" s="565"/>
    </row>
    <row r="2235" spans="2:2">
      <c r="B2235" s="565"/>
    </row>
    <row r="2236" spans="2:2">
      <c r="B2236" s="565"/>
    </row>
    <row r="2237" spans="2:2">
      <c r="B2237" s="565"/>
    </row>
    <row r="2238" spans="2:2">
      <c r="B2238" s="565"/>
    </row>
    <row r="2239" spans="2:2">
      <c r="B2239" s="565"/>
    </row>
    <row r="2240" spans="2:2">
      <c r="B2240" s="565"/>
    </row>
    <row r="2241" spans="2:2">
      <c r="B2241" s="565"/>
    </row>
    <row r="2242" spans="2:2">
      <c r="B2242" s="565"/>
    </row>
    <row r="2243" spans="2:2">
      <c r="B2243" s="565"/>
    </row>
    <row r="2244" spans="2:2">
      <c r="B2244" s="565"/>
    </row>
    <row r="2245" spans="2:2">
      <c r="B2245" s="565"/>
    </row>
    <row r="2246" spans="2:2">
      <c r="B2246" s="565"/>
    </row>
    <row r="2247" spans="2:2">
      <c r="B2247" s="565"/>
    </row>
    <row r="2248" spans="2:2">
      <c r="B2248" s="565"/>
    </row>
    <row r="2249" spans="2:2">
      <c r="B2249" s="565"/>
    </row>
    <row r="2250" spans="2:2">
      <c r="B2250" s="565"/>
    </row>
    <row r="2251" spans="2:2">
      <c r="B2251" s="565"/>
    </row>
    <row r="2252" spans="2:2">
      <c r="B2252" s="565"/>
    </row>
    <row r="2253" spans="2:2">
      <c r="B2253" s="565"/>
    </row>
    <row r="2254" spans="2:2">
      <c r="B2254" s="565"/>
    </row>
    <row r="2255" spans="2:2">
      <c r="B2255" s="565"/>
    </row>
    <row r="2256" spans="2:2">
      <c r="B2256" s="565"/>
    </row>
    <row r="2257" spans="2:2">
      <c r="B2257" s="565"/>
    </row>
    <row r="2258" spans="2:2">
      <c r="B2258" s="565"/>
    </row>
    <row r="2259" spans="2:2">
      <c r="B2259" s="565"/>
    </row>
    <row r="2260" spans="2:2">
      <c r="B2260" s="565"/>
    </row>
    <row r="2261" spans="2:2">
      <c r="B2261" s="565"/>
    </row>
    <row r="2262" spans="2:2">
      <c r="B2262" s="565"/>
    </row>
    <row r="2263" spans="2:2">
      <c r="B2263" s="565"/>
    </row>
    <row r="2264" spans="2:2">
      <c r="B2264" s="565"/>
    </row>
    <row r="2265" spans="2:2">
      <c r="B2265" s="565"/>
    </row>
    <row r="2266" spans="2:2">
      <c r="B2266" s="565"/>
    </row>
    <row r="2267" spans="2:2">
      <c r="B2267" s="565"/>
    </row>
    <row r="2268" spans="2:2">
      <c r="B2268" s="565"/>
    </row>
    <row r="2269" spans="2:2">
      <c r="B2269" s="565"/>
    </row>
    <row r="2270" spans="2:2">
      <c r="B2270" s="565"/>
    </row>
    <row r="2271" spans="2:2">
      <c r="B2271" s="565"/>
    </row>
    <row r="2272" spans="2:2">
      <c r="B2272" s="565"/>
    </row>
    <row r="2273" spans="2:2">
      <c r="B2273" s="565"/>
    </row>
    <row r="2274" spans="2:2">
      <c r="B2274" s="565"/>
    </row>
    <row r="2275" spans="2:2">
      <c r="B2275" s="565"/>
    </row>
    <row r="2276" spans="2:2">
      <c r="B2276" s="565"/>
    </row>
    <row r="2277" spans="2:2">
      <c r="B2277" s="565"/>
    </row>
    <row r="2278" spans="2:2">
      <c r="B2278" s="565"/>
    </row>
    <row r="2279" spans="2:2">
      <c r="B2279" s="565"/>
    </row>
    <row r="2280" spans="2:2">
      <c r="B2280" s="565"/>
    </row>
    <row r="2281" spans="2:2">
      <c r="B2281" s="565"/>
    </row>
    <row r="2282" spans="2:2">
      <c r="B2282" s="565"/>
    </row>
    <row r="2283" spans="2:2">
      <c r="B2283" s="565"/>
    </row>
    <row r="2284" spans="2:2">
      <c r="B2284" s="565"/>
    </row>
    <row r="2285" spans="2:2">
      <c r="B2285" s="565"/>
    </row>
    <row r="2286" spans="2:2">
      <c r="B2286" s="565"/>
    </row>
    <row r="2287" spans="2:2">
      <c r="B2287" s="565"/>
    </row>
    <row r="2288" spans="2:2">
      <c r="B2288" s="565"/>
    </row>
    <row r="2289" spans="2:2">
      <c r="B2289" s="565"/>
    </row>
    <row r="2290" spans="2:2">
      <c r="B2290" s="565"/>
    </row>
    <row r="2291" spans="2:2">
      <c r="B2291" s="565"/>
    </row>
    <row r="2292" spans="2:2">
      <c r="B2292" s="565"/>
    </row>
    <row r="2293" spans="2:2">
      <c r="B2293" s="565"/>
    </row>
    <row r="2294" spans="2:2">
      <c r="B2294" s="565"/>
    </row>
    <row r="2295" spans="2:2">
      <c r="B2295" s="565"/>
    </row>
    <row r="2296" spans="2:2">
      <c r="B2296" s="565"/>
    </row>
    <row r="2297" spans="2:2">
      <c r="B2297" s="565"/>
    </row>
    <row r="2298" spans="2:2">
      <c r="B2298" s="565"/>
    </row>
    <row r="2299" spans="2:2">
      <c r="B2299" s="565"/>
    </row>
    <row r="2300" spans="2:2">
      <c r="B2300" s="565"/>
    </row>
    <row r="2301" spans="2:2">
      <c r="B2301" s="565"/>
    </row>
    <row r="2302" spans="2:2">
      <c r="B2302" s="565"/>
    </row>
    <row r="2303" spans="2:2">
      <c r="B2303" s="565"/>
    </row>
    <row r="2304" spans="2:2">
      <c r="B2304" s="565"/>
    </row>
    <row r="2305" spans="2:2">
      <c r="B2305" s="565"/>
    </row>
    <row r="2306" spans="2:2">
      <c r="B2306" s="565"/>
    </row>
    <row r="2307" spans="2:2">
      <c r="B2307" s="565"/>
    </row>
    <row r="2308" spans="2:2">
      <c r="B2308" s="565"/>
    </row>
    <row r="2309" spans="2:2">
      <c r="B2309" s="565"/>
    </row>
    <row r="2310" spans="2:2">
      <c r="B2310" s="565"/>
    </row>
    <row r="2311" spans="2:2">
      <c r="B2311" s="565"/>
    </row>
    <row r="2312" spans="2:2">
      <c r="B2312" s="565"/>
    </row>
    <row r="2313" spans="2:2">
      <c r="B2313" s="565"/>
    </row>
    <row r="2314" spans="2:2">
      <c r="B2314" s="565"/>
    </row>
    <row r="2315" spans="2:2">
      <c r="B2315" s="565"/>
    </row>
    <row r="2316" spans="2:2">
      <c r="B2316" s="565"/>
    </row>
    <row r="2317" spans="2:2">
      <c r="B2317" s="565"/>
    </row>
    <row r="2318" spans="2:2">
      <c r="B2318" s="565"/>
    </row>
    <row r="2319" spans="2:2">
      <c r="B2319" s="565"/>
    </row>
    <row r="2320" spans="2:2">
      <c r="B2320" s="565"/>
    </row>
    <row r="2321" spans="2:2">
      <c r="B2321" s="565"/>
    </row>
    <row r="2322" spans="2:2">
      <c r="B2322" s="565"/>
    </row>
    <row r="2323" spans="2:2">
      <c r="B2323" s="565"/>
    </row>
    <row r="2324" spans="2:2">
      <c r="B2324" s="565"/>
    </row>
    <row r="2325" spans="2:2">
      <c r="B2325" s="565"/>
    </row>
    <row r="2326" spans="2:2">
      <c r="B2326" s="565"/>
    </row>
    <row r="2327" spans="2:2">
      <c r="B2327" s="565"/>
    </row>
    <row r="2328" spans="2:2">
      <c r="B2328" s="565"/>
    </row>
    <row r="2329" spans="2:2">
      <c r="B2329" s="565"/>
    </row>
    <row r="2330" spans="2:2">
      <c r="B2330" s="565"/>
    </row>
    <row r="2331" spans="2:2">
      <c r="B2331" s="565"/>
    </row>
    <row r="2332" spans="2:2">
      <c r="B2332" s="565"/>
    </row>
    <row r="2333" spans="2:2">
      <c r="B2333" s="565"/>
    </row>
    <row r="2334" spans="2:2">
      <c r="B2334" s="565"/>
    </row>
    <row r="2335" spans="2:2">
      <c r="B2335" s="565"/>
    </row>
    <row r="2336" spans="2:2">
      <c r="B2336" s="565"/>
    </row>
    <row r="2337" spans="2:2">
      <c r="B2337" s="565"/>
    </row>
    <row r="2338" spans="2:2">
      <c r="B2338" s="565"/>
    </row>
    <row r="2339" spans="2:2">
      <c r="B2339" s="565"/>
    </row>
    <row r="2340" spans="2:2">
      <c r="B2340" s="565"/>
    </row>
    <row r="2341" spans="2:2">
      <c r="B2341" s="565"/>
    </row>
    <row r="2342" spans="2:2">
      <c r="B2342" s="565"/>
    </row>
    <row r="2343" spans="2:2">
      <c r="B2343" s="565"/>
    </row>
    <row r="2344" spans="2:2">
      <c r="B2344" s="565"/>
    </row>
    <row r="2345" spans="2:2">
      <c r="B2345" s="565"/>
    </row>
    <row r="2346" spans="2:2">
      <c r="B2346" s="565"/>
    </row>
    <row r="2347" spans="2:2">
      <c r="B2347" s="565"/>
    </row>
    <row r="2348" spans="2:2">
      <c r="B2348" s="565"/>
    </row>
    <row r="2349" spans="2:2">
      <c r="B2349" s="565"/>
    </row>
    <row r="2350" spans="2:2">
      <c r="B2350" s="565"/>
    </row>
    <row r="2351" spans="2:2">
      <c r="B2351" s="565"/>
    </row>
    <row r="2352" spans="2:2">
      <c r="B2352" s="565"/>
    </row>
    <row r="2353" spans="2:2">
      <c r="B2353" s="565"/>
    </row>
    <row r="2354" spans="2:2">
      <c r="B2354" s="565"/>
    </row>
    <row r="2355" spans="2:2">
      <c r="B2355" s="565"/>
    </row>
    <row r="2356" spans="2:2">
      <c r="B2356" s="565"/>
    </row>
    <row r="2357" spans="2:2">
      <c r="B2357" s="565"/>
    </row>
    <row r="2358" spans="2:2">
      <c r="B2358" s="565"/>
    </row>
    <row r="2359" spans="2:2">
      <c r="B2359" s="565"/>
    </row>
    <row r="2360" spans="2:2">
      <c r="B2360" s="565"/>
    </row>
    <row r="2361" spans="2:2">
      <c r="B2361" s="565"/>
    </row>
    <row r="2362" spans="2:2">
      <c r="B2362" s="565"/>
    </row>
    <row r="2363" spans="2:2">
      <c r="B2363" s="565"/>
    </row>
    <row r="2364" spans="2:2">
      <c r="B2364" s="565"/>
    </row>
    <row r="2365" spans="2:2">
      <c r="B2365" s="565"/>
    </row>
    <row r="2366" spans="2:2">
      <c r="B2366" s="565"/>
    </row>
    <row r="2367" spans="2:2">
      <c r="B2367" s="565"/>
    </row>
    <row r="2368" spans="2:2">
      <c r="B2368" s="565"/>
    </row>
    <row r="2369" spans="2:2">
      <c r="B2369" s="565"/>
    </row>
    <row r="2370" spans="2:2">
      <c r="B2370" s="565"/>
    </row>
    <row r="2371" spans="2:2">
      <c r="B2371" s="565"/>
    </row>
    <row r="2372" spans="2:2">
      <c r="B2372" s="565"/>
    </row>
    <row r="2373" spans="2:2">
      <c r="B2373" s="565"/>
    </row>
    <row r="2374" spans="2:2">
      <c r="B2374" s="565"/>
    </row>
    <row r="2375" spans="2:2">
      <c r="B2375" s="565"/>
    </row>
    <row r="2376" spans="2:2">
      <c r="B2376" s="565"/>
    </row>
    <row r="2377" spans="2:2">
      <c r="B2377" s="565"/>
    </row>
    <row r="2378" spans="2:2">
      <c r="B2378" s="565"/>
    </row>
    <row r="2379" spans="2:2">
      <c r="B2379" s="565"/>
    </row>
    <row r="2380" spans="2:2">
      <c r="B2380" s="565"/>
    </row>
    <row r="2381" spans="2:2">
      <c r="B2381" s="565"/>
    </row>
    <row r="2382" spans="2:2">
      <c r="B2382" s="565"/>
    </row>
    <row r="2383" spans="2:2">
      <c r="B2383" s="565"/>
    </row>
    <row r="2384" spans="2:2">
      <c r="B2384" s="565"/>
    </row>
    <row r="2385" spans="2:2">
      <c r="B2385" s="565"/>
    </row>
    <row r="2386" spans="2:2">
      <c r="B2386" s="565"/>
    </row>
    <row r="2387" spans="2:2">
      <c r="B2387" s="565"/>
    </row>
    <row r="2388" spans="2:2">
      <c r="B2388" s="565"/>
    </row>
    <row r="2389" spans="2:2">
      <c r="B2389" s="565"/>
    </row>
    <row r="2390" spans="2:2">
      <c r="B2390" s="565"/>
    </row>
    <row r="2391" spans="2:2">
      <c r="B2391" s="565"/>
    </row>
    <row r="2392" spans="2:2">
      <c r="B2392" s="565"/>
    </row>
    <row r="2393" spans="2:2">
      <c r="B2393" s="565"/>
    </row>
    <row r="2394" spans="2:2">
      <c r="B2394" s="565"/>
    </row>
    <row r="2395" spans="2:2">
      <c r="B2395" s="565"/>
    </row>
    <row r="2396" spans="2:2">
      <c r="B2396" s="565"/>
    </row>
    <row r="2397" spans="2:2">
      <c r="B2397" s="565"/>
    </row>
    <row r="2398" spans="2:2">
      <c r="B2398" s="565"/>
    </row>
    <row r="2399" spans="2:2">
      <c r="B2399" s="565"/>
    </row>
    <row r="2400" spans="2:2">
      <c r="B2400" s="565"/>
    </row>
    <row r="2401" spans="2:2">
      <c r="B2401" s="565"/>
    </row>
    <row r="2402" spans="2:2">
      <c r="B2402" s="565"/>
    </row>
    <row r="2403" spans="2:2">
      <c r="B2403" s="565"/>
    </row>
    <row r="2404" spans="2:2">
      <c r="B2404" s="565"/>
    </row>
    <row r="2405" spans="2:2">
      <c r="B2405" s="565"/>
    </row>
    <row r="2406" spans="2:2">
      <c r="B2406" s="565"/>
    </row>
    <row r="2407" spans="2:2">
      <c r="B2407" s="565"/>
    </row>
    <row r="2408" spans="2:2">
      <c r="B2408" s="565"/>
    </row>
    <row r="2409" spans="2:2">
      <c r="B2409" s="565"/>
    </row>
    <row r="2410" spans="2:2">
      <c r="B2410" s="565"/>
    </row>
    <row r="2411" spans="2:2">
      <c r="B2411" s="565"/>
    </row>
    <row r="2412" spans="2:2">
      <c r="B2412" s="565"/>
    </row>
    <row r="2413" spans="2:2">
      <c r="B2413" s="565"/>
    </row>
    <row r="2414" spans="2:2">
      <c r="B2414" s="565"/>
    </row>
    <row r="2415" spans="2:2">
      <c r="B2415" s="565"/>
    </row>
    <row r="2416" spans="2:2">
      <c r="B2416" s="565"/>
    </row>
    <row r="2417" spans="2:2">
      <c r="B2417" s="565"/>
    </row>
    <row r="2418" spans="2:2">
      <c r="B2418" s="565"/>
    </row>
    <row r="2419" spans="2:2">
      <c r="B2419" s="565"/>
    </row>
    <row r="2420" spans="2:2">
      <c r="B2420" s="565"/>
    </row>
    <row r="2421" spans="2:2">
      <c r="B2421" s="565"/>
    </row>
    <row r="2422" spans="2:2">
      <c r="B2422" s="565"/>
    </row>
    <row r="2423" spans="2:2">
      <c r="B2423" s="565"/>
    </row>
    <row r="2424" spans="2:2">
      <c r="B2424" s="565"/>
    </row>
    <row r="2425" spans="2:2">
      <c r="B2425" s="565"/>
    </row>
    <row r="2426" spans="2:2">
      <c r="B2426" s="565"/>
    </row>
    <row r="2427" spans="2:2">
      <c r="B2427" s="565"/>
    </row>
    <row r="2428" spans="2:2">
      <c r="B2428" s="565"/>
    </row>
    <row r="2429" spans="2:2">
      <c r="B2429" s="565"/>
    </row>
    <row r="2430" spans="2:2">
      <c r="B2430" s="565"/>
    </row>
    <row r="2431" spans="2:2">
      <c r="B2431" s="565"/>
    </row>
    <row r="2432" spans="2:2">
      <c r="B2432" s="565"/>
    </row>
    <row r="2433" spans="2:2">
      <c r="B2433" s="565"/>
    </row>
    <row r="2434" spans="2:2">
      <c r="B2434" s="565"/>
    </row>
    <row r="2435" spans="2:2">
      <c r="B2435" s="565"/>
    </row>
    <row r="2436" spans="2:2">
      <c r="B2436" s="565"/>
    </row>
    <row r="2437" spans="2:2">
      <c r="B2437" s="565"/>
    </row>
    <row r="2438" spans="2:2">
      <c r="B2438" s="565"/>
    </row>
    <row r="2439" spans="2:2">
      <c r="B2439" s="565"/>
    </row>
    <row r="2440" spans="2:2">
      <c r="B2440" s="565"/>
    </row>
    <row r="2441" spans="2:2">
      <c r="B2441" s="565"/>
    </row>
    <row r="2442" spans="2:2">
      <c r="B2442" s="565"/>
    </row>
    <row r="2443" spans="2:2">
      <c r="B2443" s="565"/>
    </row>
    <row r="2444" spans="2:2">
      <c r="B2444" s="565"/>
    </row>
    <row r="2445" spans="2:2">
      <c r="B2445" s="565"/>
    </row>
    <row r="2446" spans="2:2">
      <c r="B2446" s="565"/>
    </row>
    <row r="2447" spans="2:2">
      <c r="B2447" s="565"/>
    </row>
    <row r="2448" spans="2:2">
      <c r="B2448" s="565"/>
    </row>
    <row r="2449" spans="2:2">
      <c r="B2449" s="565"/>
    </row>
    <row r="2450" spans="2:2">
      <c r="B2450" s="565"/>
    </row>
    <row r="2451" spans="2:2">
      <c r="B2451" s="565"/>
    </row>
    <row r="2452" spans="2:2">
      <c r="B2452" s="565"/>
    </row>
    <row r="2453" spans="2:2">
      <c r="B2453" s="565"/>
    </row>
    <row r="2454" spans="2:2">
      <c r="B2454" s="565"/>
    </row>
    <row r="2455" spans="2:2">
      <c r="B2455" s="565"/>
    </row>
    <row r="2456" spans="2:2">
      <c r="B2456" s="565"/>
    </row>
    <row r="2457" spans="2:2">
      <c r="B2457" s="565"/>
    </row>
    <row r="2458" spans="2:2">
      <c r="B2458" s="565"/>
    </row>
    <row r="2459" spans="2:2">
      <c r="B2459" s="565"/>
    </row>
    <row r="2460" spans="2:2">
      <c r="B2460" s="565"/>
    </row>
    <row r="2461" spans="2:2">
      <c r="B2461" s="565"/>
    </row>
    <row r="2462" spans="2:2">
      <c r="B2462" s="565"/>
    </row>
    <row r="2463" spans="2:2">
      <c r="B2463" s="565"/>
    </row>
    <row r="2464" spans="2:2">
      <c r="B2464" s="565"/>
    </row>
    <row r="2465" spans="2:2">
      <c r="B2465" s="565"/>
    </row>
    <row r="2466" spans="2:2">
      <c r="B2466" s="565"/>
    </row>
    <row r="2467" spans="2:2">
      <c r="B2467" s="565"/>
    </row>
    <row r="2468" spans="2:2">
      <c r="B2468" s="565"/>
    </row>
    <row r="2469" spans="2:2">
      <c r="B2469" s="565"/>
    </row>
    <row r="2470" spans="2:2">
      <c r="B2470" s="565"/>
    </row>
    <row r="2471" spans="2:2">
      <c r="B2471" s="565"/>
    </row>
    <row r="2472" spans="2:2">
      <c r="B2472" s="565"/>
    </row>
    <row r="2473" spans="2:2">
      <c r="B2473" s="565"/>
    </row>
    <row r="2474" spans="2:2">
      <c r="B2474" s="565"/>
    </row>
    <row r="2475" spans="2:2">
      <c r="B2475" s="565"/>
    </row>
    <row r="2476" spans="2:2">
      <c r="B2476" s="565"/>
    </row>
    <row r="2477" spans="2:2">
      <c r="B2477" s="565"/>
    </row>
    <row r="2478" spans="2:2">
      <c r="B2478" s="565"/>
    </row>
    <row r="2479" spans="2:2">
      <c r="B2479" s="565"/>
    </row>
    <row r="2480" spans="2:2">
      <c r="B2480" s="565"/>
    </row>
    <row r="2481" spans="2:2">
      <c r="B2481" s="565"/>
    </row>
    <row r="2482" spans="2:2">
      <c r="B2482" s="565"/>
    </row>
    <row r="2483" spans="2:2">
      <c r="B2483" s="565"/>
    </row>
    <row r="2484" spans="2:2">
      <c r="B2484" s="565"/>
    </row>
    <row r="2485" spans="2:2">
      <c r="B2485" s="565"/>
    </row>
    <row r="2486" spans="2:2">
      <c r="B2486" s="565"/>
    </row>
    <row r="2487" spans="2:2">
      <c r="B2487" s="565"/>
    </row>
    <row r="2488" spans="2:2">
      <c r="B2488" s="565"/>
    </row>
    <row r="2489" spans="2:2">
      <c r="B2489" s="565"/>
    </row>
    <row r="2490" spans="2:2">
      <c r="B2490" s="565"/>
    </row>
    <row r="2491" spans="2:2">
      <c r="B2491" s="565"/>
    </row>
    <row r="2492" spans="2:2">
      <c r="B2492" s="565"/>
    </row>
    <row r="2493" spans="2:2">
      <c r="B2493" s="565"/>
    </row>
    <row r="2494" spans="2:2">
      <c r="B2494" s="565"/>
    </row>
    <row r="2495" spans="2:2">
      <c r="B2495" s="565"/>
    </row>
    <row r="2496" spans="2:2">
      <c r="B2496" s="565"/>
    </row>
    <row r="2497" spans="2:2">
      <c r="B2497" s="565"/>
    </row>
    <row r="2498" spans="2:2">
      <c r="B2498" s="565"/>
    </row>
    <row r="2499" spans="2:2">
      <c r="B2499" s="565"/>
    </row>
    <row r="2500" spans="2:2">
      <c r="B2500" s="565"/>
    </row>
    <row r="2501" spans="2:2">
      <c r="B2501" s="565"/>
    </row>
    <row r="2502" spans="2:2">
      <c r="B2502" s="565"/>
    </row>
    <row r="2503" spans="2:2">
      <c r="B2503" s="565"/>
    </row>
    <row r="2504" spans="2:2">
      <c r="B2504" s="565"/>
    </row>
    <row r="2505" spans="2:2">
      <c r="B2505" s="565"/>
    </row>
    <row r="2506" spans="2:2">
      <c r="B2506" s="565"/>
    </row>
    <row r="2507" spans="2:2">
      <c r="B2507" s="565"/>
    </row>
    <row r="2508" spans="2:2">
      <c r="B2508" s="565"/>
    </row>
    <row r="2509" spans="2:2">
      <c r="B2509" s="565"/>
    </row>
    <row r="2510" spans="2:2">
      <c r="B2510" s="565"/>
    </row>
    <row r="2511" spans="2:2">
      <c r="B2511" s="565"/>
    </row>
    <row r="2512" spans="2:2">
      <c r="B2512" s="565"/>
    </row>
    <row r="2513" spans="2:2">
      <c r="B2513" s="565"/>
    </row>
    <row r="2514" spans="2:2">
      <c r="B2514" s="565"/>
    </row>
    <row r="2515" spans="2:2">
      <c r="B2515" s="565"/>
    </row>
    <row r="2516" spans="2:2">
      <c r="B2516" s="565"/>
    </row>
    <row r="2517" spans="2:2">
      <c r="B2517" s="565"/>
    </row>
    <row r="2518" spans="2:2">
      <c r="B2518" s="565"/>
    </row>
    <row r="2519" spans="2:2">
      <c r="B2519" s="565"/>
    </row>
    <row r="2520" spans="2:2">
      <c r="B2520" s="565"/>
    </row>
    <row r="2521" spans="2:2">
      <c r="B2521" s="565"/>
    </row>
    <row r="2522" spans="2:2">
      <c r="B2522" s="565"/>
    </row>
    <row r="2523" spans="2:2">
      <c r="B2523" s="565"/>
    </row>
    <row r="2524" spans="2:2">
      <c r="B2524" s="565"/>
    </row>
    <row r="2525" spans="2:2">
      <c r="B2525" s="565"/>
    </row>
    <row r="2526" spans="2:2">
      <c r="B2526" s="565"/>
    </row>
    <row r="2527" spans="2:2">
      <c r="B2527" s="565"/>
    </row>
    <row r="2528" spans="2:2">
      <c r="B2528" s="565"/>
    </row>
    <row r="2529" spans="2:2">
      <c r="B2529" s="565"/>
    </row>
    <row r="2530" spans="2:2">
      <c r="B2530" s="565"/>
    </row>
    <row r="2531" spans="2:2">
      <c r="B2531" s="565"/>
    </row>
    <row r="2532" spans="2:2">
      <c r="B2532" s="565"/>
    </row>
    <row r="2533" spans="2:2">
      <c r="B2533" s="565"/>
    </row>
    <row r="2534" spans="2:2">
      <c r="B2534" s="565"/>
    </row>
    <row r="2535" spans="2:2">
      <c r="B2535" s="565"/>
    </row>
    <row r="2536" spans="2:2">
      <c r="B2536" s="565"/>
    </row>
    <row r="2537" spans="2:2">
      <c r="B2537" s="565"/>
    </row>
    <row r="2538" spans="2:2">
      <c r="B2538" s="565"/>
    </row>
    <row r="2539" spans="2:2">
      <c r="B2539" s="565"/>
    </row>
    <row r="2540" spans="2:2">
      <c r="B2540" s="565"/>
    </row>
    <row r="2541" spans="2:2">
      <c r="B2541" s="565"/>
    </row>
    <row r="2542" spans="2:2">
      <c r="B2542" s="565"/>
    </row>
    <row r="2543" spans="2:2">
      <c r="B2543" s="565"/>
    </row>
    <row r="2544" spans="2:2">
      <c r="B2544" s="565"/>
    </row>
    <row r="2545" spans="2:2">
      <c r="B2545" s="565"/>
    </row>
    <row r="2546" spans="2:2">
      <c r="B2546" s="565"/>
    </row>
    <row r="2547" spans="2:2">
      <c r="B2547" s="565"/>
    </row>
    <row r="2548" spans="2:2">
      <c r="B2548" s="565"/>
    </row>
    <row r="2549" spans="2:2">
      <c r="B2549" s="565"/>
    </row>
    <row r="2550" spans="2:2">
      <c r="B2550" s="565"/>
    </row>
    <row r="2551" spans="2:2">
      <c r="B2551" s="565"/>
    </row>
    <row r="2552" spans="2:2">
      <c r="B2552" s="565"/>
    </row>
    <row r="2553" spans="2:2">
      <c r="B2553" s="565"/>
    </row>
    <row r="2554" spans="2:2">
      <c r="B2554" s="565"/>
    </row>
    <row r="2555" spans="2:2">
      <c r="B2555" s="565"/>
    </row>
    <row r="2556" spans="2:2">
      <c r="B2556" s="565"/>
    </row>
    <row r="2557" spans="2:2">
      <c r="B2557" s="565"/>
    </row>
    <row r="2558" spans="2:2">
      <c r="B2558" s="565"/>
    </row>
    <row r="2559" spans="2:2">
      <c r="B2559" s="565"/>
    </row>
    <row r="2560" spans="2:2">
      <c r="B2560" s="565"/>
    </row>
    <row r="2561" spans="2:2">
      <c r="B2561" s="565"/>
    </row>
    <row r="2562" spans="2:2">
      <c r="B2562" s="565"/>
    </row>
    <row r="2563" spans="2:2">
      <c r="B2563" s="565"/>
    </row>
    <row r="2564" spans="2:2">
      <c r="B2564" s="565"/>
    </row>
    <row r="2565" spans="2:2">
      <c r="B2565" s="565"/>
    </row>
    <row r="2566" spans="2:2">
      <c r="B2566" s="565"/>
    </row>
    <row r="2567" spans="2:2">
      <c r="B2567" s="565"/>
    </row>
    <row r="2568" spans="2:2">
      <c r="B2568" s="565"/>
    </row>
    <row r="2569" spans="2:2">
      <c r="B2569" s="565"/>
    </row>
    <row r="2570" spans="2:2">
      <c r="B2570" s="565"/>
    </row>
    <row r="2571" spans="2:2">
      <c r="B2571" s="565"/>
    </row>
    <row r="2572" spans="2:2">
      <c r="B2572" s="565"/>
    </row>
    <row r="2573" spans="2:2">
      <c r="B2573" s="565"/>
    </row>
    <row r="2574" spans="2:2">
      <c r="B2574" s="565"/>
    </row>
    <row r="2575" spans="2:2">
      <c r="B2575" s="565"/>
    </row>
    <row r="2576" spans="2:2">
      <c r="B2576" s="565"/>
    </row>
    <row r="2577" spans="2:2">
      <c r="B2577" s="565"/>
    </row>
    <row r="2578" spans="2:2">
      <c r="B2578" s="565"/>
    </row>
    <row r="2579" spans="2:2">
      <c r="B2579" s="565"/>
    </row>
    <row r="2580" spans="2:2">
      <c r="B2580" s="565"/>
    </row>
    <row r="2581" spans="2:2">
      <c r="B2581" s="565"/>
    </row>
    <row r="2582" spans="2:2">
      <c r="B2582" s="565"/>
    </row>
    <row r="2583" spans="2:2">
      <c r="B2583" s="565"/>
    </row>
    <row r="2584" spans="2:2">
      <c r="B2584" s="565"/>
    </row>
    <row r="2585" spans="2:2">
      <c r="B2585" s="565"/>
    </row>
    <row r="2586" spans="2:2">
      <c r="B2586" s="565"/>
    </row>
    <row r="2587" spans="2:2">
      <c r="B2587" s="565"/>
    </row>
    <row r="2588" spans="2:2">
      <c r="B2588" s="565"/>
    </row>
    <row r="2589" spans="2:2">
      <c r="B2589" s="565"/>
    </row>
    <row r="2590" spans="2:2">
      <c r="B2590" s="565"/>
    </row>
    <row r="2591" spans="2:2">
      <c r="B2591" s="565"/>
    </row>
    <row r="2592" spans="2:2">
      <c r="B2592" s="565"/>
    </row>
    <row r="2593" spans="2:2">
      <c r="B2593" s="565"/>
    </row>
    <row r="2594" spans="2:2">
      <c r="B2594" s="565"/>
    </row>
    <row r="2595" spans="2:2">
      <c r="B2595" s="565"/>
    </row>
    <row r="2596" spans="2:2">
      <c r="B2596" s="565"/>
    </row>
    <row r="2597" spans="2:2">
      <c r="B2597" s="565"/>
    </row>
    <row r="2598" spans="2:2">
      <c r="B2598" s="565"/>
    </row>
    <row r="2599" spans="2:2">
      <c r="B2599" s="565"/>
    </row>
    <row r="2600" spans="2:2">
      <c r="B2600" s="565"/>
    </row>
    <row r="2601" spans="2:2">
      <c r="B2601" s="565"/>
    </row>
    <row r="2602" spans="2:2">
      <c r="B2602" s="565"/>
    </row>
    <row r="2603" spans="2:2">
      <c r="B2603" s="565"/>
    </row>
    <row r="2604" spans="2:2">
      <c r="B2604" s="565"/>
    </row>
    <row r="2605" spans="2:2">
      <c r="B2605" s="565"/>
    </row>
    <row r="2606" spans="2:2">
      <c r="B2606" s="565"/>
    </row>
    <row r="2607" spans="2:2">
      <c r="B2607" s="565"/>
    </row>
    <row r="2608" spans="2:2">
      <c r="B2608" s="565"/>
    </row>
    <row r="2609" spans="2:2">
      <c r="B2609" s="565"/>
    </row>
    <row r="2610" spans="2:2">
      <c r="B2610" s="565"/>
    </row>
    <row r="2611" spans="2:2">
      <c r="B2611" s="565"/>
    </row>
    <row r="2612" spans="2:2">
      <c r="B2612" s="565"/>
    </row>
    <row r="2613" spans="2:2">
      <c r="B2613" s="565"/>
    </row>
    <row r="2614" spans="2:2">
      <c r="B2614" s="565"/>
    </row>
    <row r="2615" spans="2:2">
      <c r="B2615" s="565"/>
    </row>
    <row r="2616" spans="2:2">
      <c r="B2616" s="565"/>
    </row>
    <row r="2617" spans="2:2">
      <c r="B2617" s="565"/>
    </row>
    <row r="2618" spans="2:2">
      <c r="B2618" s="565"/>
    </row>
    <row r="2619" spans="2:2">
      <c r="B2619" s="565"/>
    </row>
    <row r="2620" spans="2:2">
      <c r="B2620" s="565"/>
    </row>
    <row r="2621" spans="2:2">
      <c r="B2621" s="565"/>
    </row>
    <row r="2622" spans="2:2">
      <c r="B2622" s="565"/>
    </row>
    <row r="2623" spans="2:2">
      <c r="B2623" s="565"/>
    </row>
    <row r="2624" spans="2:2">
      <c r="B2624" s="565"/>
    </row>
    <row r="2625" spans="2:2">
      <c r="B2625" s="565"/>
    </row>
    <row r="2626" spans="2:2">
      <c r="B2626" s="565"/>
    </row>
    <row r="2627" spans="2:2">
      <c r="B2627" s="565"/>
    </row>
    <row r="2628" spans="2:2">
      <c r="B2628" s="565"/>
    </row>
    <row r="2629" spans="2:2">
      <c r="B2629" s="565"/>
    </row>
    <row r="2630" spans="2:2">
      <c r="B2630" s="565"/>
    </row>
    <row r="2631" spans="2:2">
      <c r="B2631" s="565"/>
    </row>
    <row r="2632" spans="2:2">
      <c r="B2632" s="565"/>
    </row>
    <row r="2633" spans="2:2">
      <c r="B2633" s="565"/>
    </row>
    <row r="2634" spans="2:2">
      <c r="B2634" s="565"/>
    </row>
    <row r="2635" spans="2:2">
      <c r="B2635" s="565"/>
    </row>
    <row r="2636" spans="2:2">
      <c r="B2636" s="565"/>
    </row>
    <row r="2637" spans="2:2">
      <c r="B2637" s="565"/>
    </row>
    <row r="2638" spans="2:2">
      <c r="B2638" s="565"/>
    </row>
    <row r="2639" spans="2:2">
      <c r="B2639" s="565"/>
    </row>
    <row r="2640" spans="2:2">
      <c r="B2640" s="565"/>
    </row>
    <row r="2641" spans="2:2">
      <c r="B2641" s="565"/>
    </row>
    <row r="2642" spans="2:2">
      <c r="B2642" s="565"/>
    </row>
    <row r="2643" spans="2:2">
      <c r="B2643" s="565"/>
    </row>
    <row r="2644" spans="2:2">
      <c r="B2644" s="565"/>
    </row>
    <row r="2645" spans="2:2">
      <c r="B2645" s="565"/>
    </row>
    <row r="2646" spans="2:2">
      <c r="B2646" s="565"/>
    </row>
    <row r="2647" spans="2:2">
      <c r="B2647" s="565"/>
    </row>
    <row r="2648" spans="2:2">
      <c r="B2648" s="565"/>
    </row>
    <row r="2649" spans="2:2">
      <c r="B2649" s="565"/>
    </row>
    <row r="2650" spans="2:2">
      <c r="B2650" s="565"/>
    </row>
    <row r="2651" spans="2:2">
      <c r="B2651" s="565"/>
    </row>
    <row r="2652" spans="2:2">
      <c r="B2652" s="565"/>
    </row>
    <row r="2653" spans="2:2">
      <c r="B2653" s="565"/>
    </row>
    <row r="2654" spans="2:2">
      <c r="B2654" s="565"/>
    </row>
    <row r="2655" spans="2:2">
      <c r="B2655" s="565"/>
    </row>
    <row r="2656" spans="2:2">
      <c r="B2656" s="565"/>
    </row>
    <row r="2657" spans="2:2">
      <c r="B2657" s="565"/>
    </row>
    <row r="2658" spans="2:2">
      <c r="B2658" s="565"/>
    </row>
    <row r="2659" spans="2:2">
      <c r="B2659" s="565"/>
    </row>
    <row r="2660" spans="2:2">
      <c r="B2660" s="565"/>
    </row>
    <row r="2661" spans="2:2">
      <c r="B2661" s="565"/>
    </row>
    <row r="2662" spans="2:2">
      <c r="B2662" s="565"/>
    </row>
    <row r="2663" spans="2:2">
      <c r="B2663" s="565"/>
    </row>
    <row r="2664" spans="2:2">
      <c r="B2664" s="565"/>
    </row>
    <row r="2665" spans="2:2">
      <c r="B2665" s="565"/>
    </row>
    <row r="2666" spans="2:2">
      <c r="B2666" s="565"/>
    </row>
    <row r="2667" spans="2:2">
      <c r="B2667" s="565"/>
    </row>
    <row r="2668" spans="2:2">
      <c r="B2668" s="565"/>
    </row>
    <row r="2669" spans="2:2">
      <c r="B2669" s="565"/>
    </row>
    <row r="2670" spans="2:2">
      <c r="B2670" s="565"/>
    </row>
    <row r="2671" spans="2:2">
      <c r="B2671" s="565"/>
    </row>
    <row r="2672" spans="2:2">
      <c r="B2672" s="565"/>
    </row>
    <row r="2673" spans="2:2">
      <c r="B2673" s="565"/>
    </row>
    <row r="2674" spans="2:2">
      <c r="B2674" s="565"/>
    </row>
    <row r="2675" spans="2:2">
      <c r="B2675" s="565"/>
    </row>
    <row r="2676" spans="2:2">
      <c r="B2676" s="565"/>
    </row>
    <row r="2677" spans="2:2">
      <c r="B2677" s="565"/>
    </row>
    <row r="2678" spans="2:2">
      <c r="B2678" s="565"/>
    </row>
    <row r="2679" spans="2:2">
      <c r="B2679" s="565"/>
    </row>
    <row r="2680" spans="2:2">
      <c r="B2680" s="565"/>
    </row>
    <row r="2681" spans="2:2">
      <c r="B2681" s="565"/>
    </row>
    <row r="2682" spans="2:2">
      <c r="B2682" s="565"/>
    </row>
    <row r="2683" spans="2:2">
      <c r="B2683" s="565"/>
    </row>
    <row r="2684" spans="2:2">
      <c r="B2684" s="565"/>
    </row>
    <row r="2685" spans="2:2">
      <c r="B2685" s="565"/>
    </row>
    <row r="2686" spans="2:2">
      <c r="B2686" s="565"/>
    </row>
    <row r="2687" spans="2:2">
      <c r="B2687" s="565"/>
    </row>
    <row r="2688" spans="2:2">
      <c r="B2688" s="565"/>
    </row>
    <row r="2689" spans="2:2">
      <c r="B2689" s="565"/>
    </row>
    <row r="2690" spans="2:2">
      <c r="B2690" s="565"/>
    </row>
    <row r="2691" spans="2:2">
      <c r="B2691" s="565"/>
    </row>
    <row r="2692" spans="2:2">
      <c r="B2692" s="565"/>
    </row>
    <row r="2693" spans="2:2">
      <c r="B2693" s="565"/>
    </row>
    <row r="2694" spans="2:2">
      <c r="B2694" s="565"/>
    </row>
    <row r="2695" spans="2:2">
      <c r="B2695" s="565"/>
    </row>
    <row r="2696" spans="2:2">
      <c r="B2696" s="565"/>
    </row>
    <row r="2697" spans="2:2">
      <c r="B2697" s="565"/>
    </row>
    <row r="2698" spans="2:2">
      <c r="B2698" s="565"/>
    </row>
    <row r="2699" spans="2:2">
      <c r="B2699" s="565"/>
    </row>
    <row r="2700" spans="2:2">
      <c r="B2700" s="565"/>
    </row>
    <row r="2701" spans="2:2">
      <c r="B2701" s="565"/>
    </row>
    <row r="2702" spans="2:2">
      <c r="B2702" s="565"/>
    </row>
    <row r="2703" spans="2:2">
      <c r="B2703" s="565"/>
    </row>
    <row r="2704" spans="2:2">
      <c r="B2704" s="565"/>
    </row>
    <row r="2705" spans="2:2">
      <c r="B2705" s="565"/>
    </row>
    <row r="2706" spans="2:2">
      <c r="B2706" s="565"/>
    </row>
    <row r="2707" spans="2:2">
      <c r="B2707" s="565"/>
    </row>
    <row r="2708" spans="2:2">
      <c r="B2708" s="565"/>
    </row>
    <row r="2709" spans="2:2">
      <c r="B2709" s="565"/>
    </row>
    <row r="2710" spans="2:2">
      <c r="B2710" s="565"/>
    </row>
    <row r="2711" spans="2:2">
      <c r="B2711" s="565"/>
    </row>
    <row r="2712" spans="2:2">
      <c r="B2712" s="565"/>
    </row>
    <row r="2713" spans="2:2">
      <c r="B2713" s="565"/>
    </row>
    <row r="2714" spans="2:2">
      <c r="B2714" s="565"/>
    </row>
    <row r="2715" spans="2:2">
      <c r="B2715" s="565"/>
    </row>
    <row r="2716" spans="2:2">
      <c r="B2716" s="565"/>
    </row>
    <row r="2717" spans="2:2">
      <c r="B2717" s="565"/>
    </row>
    <row r="2718" spans="2:2">
      <c r="B2718" s="565"/>
    </row>
    <row r="2719" spans="2:2">
      <c r="B2719" s="565"/>
    </row>
    <row r="2720" spans="2:2">
      <c r="B2720" s="565"/>
    </row>
    <row r="2721" spans="2:2">
      <c r="B2721" s="565"/>
    </row>
    <row r="2722" spans="2:2">
      <c r="B2722" s="565"/>
    </row>
    <row r="2723" spans="2:2">
      <c r="B2723" s="565"/>
    </row>
    <row r="2724" spans="2:2">
      <c r="B2724" s="565"/>
    </row>
    <row r="2725" spans="2:2">
      <c r="B2725" s="565"/>
    </row>
    <row r="2726" spans="2:2">
      <c r="B2726" s="565"/>
    </row>
    <row r="2727" spans="2:2">
      <c r="B2727" s="565"/>
    </row>
    <row r="2728" spans="2:2">
      <c r="B2728" s="565"/>
    </row>
    <row r="2729" spans="2:2">
      <c r="B2729" s="565"/>
    </row>
    <row r="2730" spans="2:2">
      <c r="B2730" s="565"/>
    </row>
    <row r="2731" spans="2:2">
      <c r="B2731" s="565"/>
    </row>
    <row r="2732" spans="2:2">
      <c r="B2732" s="565"/>
    </row>
    <row r="2733" spans="2:2">
      <c r="B2733" s="565"/>
    </row>
    <row r="2734" spans="2:2">
      <c r="B2734" s="565"/>
    </row>
    <row r="2735" spans="2:2">
      <c r="B2735" s="565"/>
    </row>
    <row r="2736" spans="2:2">
      <c r="B2736" s="565"/>
    </row>
    <row r="2737" spans="2:2">
      <c r="B2737" s="565"/>
    </row>
    <row r="2738" spans="2:2">
      <c r="B2738" s="565"/>
    </row>
    <row r="2739" spans="2:2">
      <c r="B2739" s="565"/>
    </row>
    <row r="2740" spans="2:2">
      <c r="B2740" s="565"/>
    </row>
    <row r="2741" spans="2:2">
      <c r="B2741" s="565"/>
    </row>
    <row r="2742" spans="2:2">
      <c r="B2742" s="565"/>
    </row>
    <row r="2743" spans="2:2">
      <c r="B2743" s="565"/>
    </row>
    <row r="2744" spans="2:2">
      <c r="B2744" s="565"/>
    </row>
    <row r="2745" spans="2:2">
      <c r="B2745" s="565"/>
    </row>
    <row r="2746" spans="2:2">
      <c r="B2746" s="565"/>
    </row>
    <row r="2747" spans="2:2">
      <c r="B2747" s="565"/>
    </row>
    <row r="2748" spans="2:2">
      <c r="B2748" s="565"/>
    </row>
    <row r="2749" spans="2:2">
      <c r="B2749" s="565"/>
    </row>
    <row r="2750" spans="2:2">
      <c r="B2750" s="565"/>
    </row>
    <row r="2751" spans="2:2">
      <c r="B2751" s="565"/>
    </row>
    <row r="2752" spans="2:2">
      <c r="B2752" s="565"/>
    </row>
    <row r="2753" spans="2:2">
      <c r="B2753" s="565"/>
    </row>
    <row r="2754" spans="2:2">
      <c r="B2754" s="565"/>
    </row>
    <row r="2755" spans="2:2">
      <c r="B2755" s="565"/>
    </row>
    <row r="2756" spans="2:2">
      <c r="B2756" s="565"/>
    </row>
    <row r="2757" spans="2:2">
      <c r="B2757" s="565"/>
    </row>
    <row r="2758" spans="2:2">
      <c r="B2758" s="565"/>
    </row>
    <row r="2759" spans="2:2">
      <c r="B2759" s="565"/>
    </row>
    <row r="2760" spans="2:2">
      <c r="B2760" s="565"/>
    </row>
    <row r="2761" spans="2:2">
      <c r="B2761" s="565"/>
    </row>
    <row r="2762" spans="2:2">
      <c r="B2762" s="565"/>
    </row>
    <row r="2763" spans="2:2">
      <c r="B2763" s="565"/>
    </row>
    <row r="2764" spans="2:2">
      <c r="B2764" s="565"/>
    </row>
    <row r="2765" spans="2:2">
      <c r="B2765" s="565"/>
    </row>
    <row r="2766" spans="2:2">
      <c r="B2766" s="565"/>
    </row>
    <row r="2767" spans="2:2">
      <c r="B2767" s="565"/>
    </row>
    <row r="2768" spans="2:2">
      <c r="B2768" s="565"/>
    </row>
    <row r="2769" spans="2:2">
      <c r="B2769" s="565"/>
    </row>
    <row r="2770" spans="2:2">
      <c r="B2770" s="565"/>
    </row>
    <row r="2771" spans="2:2">
      <c r="B2771" s="565"/>
    </row>
    <row r="2772" spans="2:2">
      <c r="B2772" s="565"/>
    </row>
    <row r="2773" spans="2:2">
      <c r="B2773" s="565"/>
    </row>
    <row r="2774" spans="2:2">
      <c r="B2774" s="565"/>
    </row>
    <row r="2775" spans="2:2">
      <c r="B2775" s="565"/>
    </row>
    <row r="2776" spans="2:2">
      <c r="B2776" s="565"/>
    </row>
    <row r="2777" spans="2:2">
      <c r="B2777" s="565"/>
    </row>
    <row r="2778" spans="2:2">
      <c r="B2778" s="565"/>
    </row>
    <row r="2779" spans="2:2">
      <c r="B2779" s="565"/>
    </row>
    <row r="2780" spans="2:2">
      <c r="B2780" s="565"/>
    </row>
    <row r="2781" spans="2:2">
      <c r="B2781" s="565"/>
    </row>
    <row r="2782" spans="2:2">
      <c r="B2782" s="565"/>
    </row>
    <row r="2783" spans="2:2">
      <c r="B2783" s="565"/>
    </row>
    <row r="2784" spans="2:2">
      <c r="B2784" s="565"/>
    </row>
    <row r="2785" spans="2:2">
      <c r="B2785" s="565"/>
    </row>
    <row r="2786" spans="2:2">
      <c r="B2786" s="565"/>
    </row>
    <row r="2787" spans="2:2">
      <c r="B2787" s="565"/>
    </row>
    <row r="2788" spans="2:2">
      <c r="B2788" s="565"/>
    </row>
    <row r="2789" spans="2:2">
      <c r="B2789" s="565"/>
    </row>
    <row r="2790" spans="2:2">
      <c r="B2790" s="565"/>
    </row>
    <row r="2791" spans="2:2">
      <c r="B2791" s="565"/>
    </row>
    <row r="2792" spans="2:2">
      <c r="B2792" s="565"/>
    </row>
    <row r="2793" spans="2:2">
      <c r="B2793" s="565"/>
    </row>
    <row r="2794" spans="2:2">
      <c r="B2794" s="565"/>
    </row>
    <row r="2795" spans="2:2">
      <c r="B2795" s="565"/>
    </row>
    <row r="2796" spans="2:2">
      <c r="B2796" s="565"/>
    </row>
    <row r="2797" spans="2:2">
      <c r="B2797" s="565"/>
    </row>
    <row r="2798" spans="2:2">
      <c r="B2798" s="565"/>
    </row>
    <row r="2799" spans="2:2">
      <c r="B2799" s="565"/>
    </row>
    <row r="2800" spans="2:2">
      <c r="B2800" s="565"/>
    </row>
    <row r="2801" spans="2:2">
      <c r="B2801" s="565"/>
    </row>
    <row r="2802" spans="2:2">
      <c r="B2802" s="565"/>
    </row>
    <row r="2803" spans="2:2">
      <c r="B2803" s="565"/>
    </row>
    <row r="2804" spans="2:2">
      <c r="B2804" s="565"/>
    </row>
    <row r="2805" spans="2:2">
      <c r="B2805" s="565"/>
    </row>
    <row r="2806" spans="2:2">
      <c r="B2806" s="565"/>
    </row>
    <row r="2807" spans="2:2">
      <c r="B2807" s="565"/>
    </row>
    <row r="2808" spans="2:2">
      <c r="B2808" s="565"/>
    </row>
    <row r="2809" spans="2:2">
      <c r="B2809" s="565"/>
    </row>
    <row r="2810" spans="2:2">
      <c r="B2810" s="565"/>
    </row>
    <row r="2811" spans="2:2">
      <c r="B2811" s="565"/>
    </row>
    <row r="2812" spans="2:2">
      <c r="B2812" s="565"/>
    </row>
    <row r="2813" spans="2:2">
      <c r="B2813" s="565"/>
    </row>
    <row r="2814" spans="2:2">
      <c r="B2814" s="565"/>
    </row>
    <row r="2815" spans="2:2">
      <c r="B2815" s="565"/>
    </row>
    <row r="2816" spans="2:2">
      <c r="B2816" s="565"/>
    </row>
    <row r="2817" spans="2:2">
      <c r="B2817" s="565"/>
    </row>
    <row r="2818" spans="2:2">
      <c r="B2818" s="565"/>
    </row>
    <row r="2819" spans="2:2">
      <c r="B2819" s="565"/>
    </row>
    <row r="2820" spans="2:2">
      <c r="B2820" s="565"/>
    </row>
    <row r="2821" spans="2:2">
      <c r="B2821" s="565"/>
    </row>
    <row r="2822" spans="2:2">
      <c r="B2822" s="565"/>
    </row>
    <row r="2823" spans="2:2">
      <c r="B2823" s="565"/>
    </row>
    <row r="2824" spans="2:2">
      <c r="B2824" s="565"/>
    </row>
    <row r="2825" spans="2:2">
      <c r="B2825" s="565"/>
    </row>
    <row r="2826" spans="2:2">
      <c r="B2826" s="565"/>
    </row>
    <row r="2827" spans="2:2">
      <c r="B2827" s="565"/>
    </row>
    <row r="2828" spans="2:2">
      <c r="B2828" s="565"/>
    </row>
    <row r="2829" spans="2:2">
      <c r="B2829" s="565"/>
    </row>
    <row r="2830" spans="2:2">
      <c r="B2830" s="565"/>
    </row>
    <row r="2831" spans="2:2">
      <c r="B2831" s="565"/>
    </row>
    <row r="2832" spans="2:2">
      <c r="B2832" s="565"/>
    </row>
    <row r="2833" spans="2:2">
      <c r="B2833" s="565"/>
    </row>
    <row r="2834" spans="2:2">
      <c r="B2834" s="565"/>
    </row>
    <row r="2835" spans="2:2">
      <c r="B2835" s="565"/>
    </row>
    <row r="2836" spans="2:2">
      <c r="B2836" s="565"/>
    </row>
    <row r="2837" spans="2:2">
      <c r="B2837" s="565"/>
    </row>
    <row r="2838" spans="2:2">
      <c r="B2838" s="565"/>
    </row>
    <row r="2839" spans="2:2">
      <c r="B2839" s="565"/>
    </row>
    <row r="2840" spans="2:2">
      <c r="B2840" s="565"/>
    </row>
    <row r="2841" spans="2:2">
      <c r="B2841" s="565"/>
    </row>
    <row r="2842" spans="2:2">
      <c r="B2842" s="565"/>
    </row>
    <row r="2843" spans="2:2">
      <c r="B2843" s="565"/>
    </row>
    <row r="2844" spans="2:2">
      <c r="B2844" s="565"/>
    </row>
    <row r="2845" spans="2:2">
      <c r="B2845" s="565"/>
    </row>
    <row r="2846" spans="2:2">
      <c r="B2846" s="565"/>
    </row>
    <row r="2847" spans="2:2">
      <c r="B2847" s="565"/>
    </row>
    <row r="2848" spans="2:2">
      <c r="B2848" s="565"/>
    </row>
    <row r="2849" spans="2:2">
      <c r="B2849" s="565"/>
    </row>
    <row r="2850" spans="2:2">
      <c r="B2850" s="565"/>
    </row>
    <row r="2851" spans="2:2">
      <c r="B2851" s="565"/>
    </row>
    <row r="2852" spans="2:2">
      <c r="B2852" s="565"/>
    </row>
    <row r="2853" spans="2:2">
      <c r="B2853" s="565"/>
    </row>
    <row r="2854" spans="2:2">
      <c r="B2854" s="565"/>
    </row>
    <row r="2855" spans="2:2">
      <c r="B2855" s="565"/>
    </row>
    <row r="2856" spans="2:2">
      <c r="B2856" s="565"/>
    </row>
    <row r="2857" spans="2:2">
      <c r="B2857" s="565"/>
    </row>
    <row r="2858" spans="2:2">
      <c r="B2858" s="565"/>
    </row>
    <row r="2859" spans="2:2">
      <c r="B2859" s="565"/>
    </row>
    <row r="2860" spans="2:2">
      <c r="B2860" s="565"/>
    </row>
    <row r="2861" spans="2:2">
      <c r="B2861" s="565"/>
    </row>
    <row r="2862" spans="2:2">
      <c r="B2862" s="565"/>
    </row>
    <row r="2863" spans="2:2">
      <c r="B2863" s="565"/>
    </row>
    <row r="2864" spans="2:2">
      <c r="B2864" s="565"/>
    </row>
    <row r="2865" spans="2:2">
      <c r="B2865" s="565"/>
    </row>
    <row r="2866" spans="2:2">
      <c r="B2866" s="565"/>
    </row>
    <row r="2867" spans="2:2">
      <c r="B2867" s="565"/>
    </row>
    <row r="2868" spans="2:2">
      <c r="B2868" s="565"/>
    </row>
    <row r="2869" spans="2:2">
      <c r="B2869" s="565"/>
    </row>
    <row r="2870" spans="2:2">
      <c r="B2870" s="565"/>
    </row>
    <row r="2871" spans="2:2">
      <c r="B2871" s="565"/>
    </row>
    <row r="2872" spans="2:2">
      <c r="B2872" s="565"/>
    </row>
    <row r="2873" spans="2:2">
      <c r="B2873" s="565"/>
    </row>
    <row r="2874" spans="2:2">
      <c r="B2874" s="565"/>
    </row>
    <row r="2875" spans="2:2">
      <c r="B2875" s="565"/>
    </row>
    <row r="2876" spans="2:2">
      <c r="B2876" s="565"/>
    </row>
    <row r="2877" spans="2:2">
      <c r="B2877" s="565"/>
    </row>
    <row r="2878" spans="2:2">
      <c r="B2878" s="565"/>
    </row>
    <row r="2879" spans="2:2">
      <c r="B2879" s="565"/>
    </row>
    <row r="2880" spans="2:2">
      <c r="B2880" s="565"/>
    </row>
    <row r="2881" spans="2:2">
      <c r="B2881" s="565"/>
    </row>
    <row r="2882" spans="2:2">
      <c r="B2882" s="565"/>
    </row>
    <row r="2883" spans="2:2">
      <c r="B2883" s="565"/>
    </row>
    <row r="2884" spans="2:2">
      <c r="B2884" s="565"/>
    </row>
    <row r="2885" spans="2:2">
      <c r="B2885" s="565"/>
    </row>
    <row r="2886" spans="2:2">
      <c r="B2886" s="565"/>
    </row>
    <row r="2887" spans="2:2">
      <c r="B2887" s="565"/>
    </row>
    <row r="2888" spans="2:2">
      <c r="B2888" s="565"/>
    </row>
    <row r="2889" spans="2:2">
      <c r="B2889" s="565"/>
    </row>
    <row r="2890" spans="2:2">
      <c r="B2890" s="565"/>
    </row>
    <row r="2891" spans="2:2">
      <c r="B2891" s="565"/>
    </row>
    <row r="2892" spans="2:2">
      <c r="B2892" s="565"/>
    </row>
    <row r="2893" spans="2:2">
      <c r="B2893" s="565"/>
    </row>
    <row r="2894" spans="2:2">
      <c r="B2894" s="565"/>
    </row>
    <row r="2895" spans="2:2">
      <c r="B2895" s="565"/>
    </row>
    <row r="2896" spans="2:2">
      <c r="B2896" s="565"/>
    </row>
    <row r="2897" spans="2:2">
      <c r="B2897" s="565"/>
    </row>
    <row r="2898" spans="2:2">
      <c r="B2898" s="565"/>
    </row>
    <row r="2899" spans="2:2">
      <c r="B2899" s="565"/>
    </row>
    <row r="2900" spans="2:2">
      <c r="B2900" s="565"/>
    </row>
    <row r="2901" spans="2:2">
      <c r="B2901" s="565"/>
    </row>
    <row r="2902" spans="2:2">
      <c r="B2902" s="565"/>
    </row>
    <row r="2903" spans="2:2">
      <c r="B2903" s="565"/>
    </row>
    <row r="2904" spans="2:2">
      <c r="B2904" s="565"/>
    </row>
    <row r="2905" spans="2:2">
      <c r="B2905" s="565"/>
    </row>
    <row r="2906" spans="2:2">
      <c r="B2906" s="565"/>
    </row>
    <row r="2907" spans="2:2">
      <c r="B2907" s="565"/>
    </row>
    <row r="2908" spans="2:2">
      <c r="B2908" s="565"/>
    </row>
    <row r="2909" spans="2:2">
      <c r="B2909" s="565"/>
    </row>
    <row r="2910" spans="2:2">
      <c r="B2910" s="565"/>
    </row>
    <row r="2911" spans="2:2">
      <c r="B2911" s="565"/>
    </row>
    <row r="2912" spans="2:2">
      <c r="B2912" s="565"/>
    </row>
    <row r="2913" spans="2:2">
      <c r="B2913" s="565"/>
    </row>
    <row r="2914" spans="2:2">
      <c r="B2914" s="565"/>
    </row>
    <row r="2915" spans="2:2">
      <c r="B2915" s="565"/>
    </row>
    <row r="2916" spans="2:2">
      <c r="B2916" s="565"/>
    </row>
    <row r="2917" spans="2:2">
      <c r="B2917" s="565"/>
    </row>
    <row r="2918" spans="2:2">
      <c r="B2918" s="565"/>
    </row>
    <row r="2919" spans="2:2">
      <c r="B2919" s="565"/>
    </row>
    <row r="2920" spans="2:2">
      <c r="B2920" s="565"/>
    </row>
    <row r="2921" spans="2:2">
      <c r="B2921" s="565"/>
    </row>
    <row r="2922" spans="2:2">
      <c r="B2922" s="565"/>
    </row>
    <row r="2923" spans="2:2">
      <c r="B2923" s="565"/>
    </row>
    <row r="2924" spans="2:2">
      <c r="B2924" s="565"/>
    </row>
    <row r="2925" spans="2:2">
      <c r="B2925" s="565"/>
    </row>
    <row r="2926" spans="2:2">
      <c r="B2926" s="565"/>
    </row>
    <row r="2927" spans="2:2">
      <c r="B2927" s="565"/>
    </row>
    <row r="2928" spans="2:2">
      <c r="B2928" s="565"/>
    </row>
    <row r="2929" spans="2:2">
      <c r="B2929" s="565"/>
    </row>
    <row r="2930" spans="2:2">
      <c r="B2930" s="565"/>
    </row>
    <row r="2931" spans="2:2">
      <c r="B2931" s="565"/>
    </row>
    <row r="2932" spans="2:2">
      <c r="B2932" s="565"/>
    </row>
    <row r="2933" spans="2:2">
      <c r="B2933" s="565"/>
    </row>
    <row r="2934" spans="2:2">
      <c r="B2934" s="565"/>
    </row>
    <row r="2935" spans="2:2">
      <c r="B2935" s="565"/>
    </row>
    <row r="2936" spans="2:2">
      <c r="B2936" s="565"/>
    </row>
    <row r="2937" spans="2:2">
      <c r="B2937" s="565"/>
    </row>
    <row r="2938" spans="2:2">
      <c r="B2938" s="565"/>
    </row>
    <row r="2939" spans="2:2">
      <c r="B2939" s="565"/>
    </row>
    <row r="2940" spans="2:2">
      <c r="B2940" s="565"/>
    </row>
    <row r="2941" spans="2:2">
      <c r="B2941" s="565"/>
    </row>
    <row r="2942" spans="2:2">
      <c r="B2942" s="565"/>
    </row>
    <row r="2943" spans="2:2">
      <c r="B2943" s="565"/>
    </row>
    <row r="2944" spans="2:2">
      <c r="B2944" s="565"/>
    </row>
    <row r="2945" spans="2:2">
      <c r="B2945" s="565"/>
    </row>
    <row r="2946" spans="2:2">
      <c r="B2946" s="565"/>
    </row>
    <row r="2947" spans="2:2">
      <c r="B2947" s="565"/>
    </row>
    <row r="2948" spans="2:2">
      <c r="B2948" s="565"/>
    </row>
    <row r="2949" spans="2:2">
      <c r="B2949" s="565"/>
    </row>
    <row r="2950" spans="2:2">
      <c r="B2950" s="565"/>
    </row>
    <row r="2951" spans="2:2">
      <c r="B2951" s="565"/>
    </row>
    <row r="2952" spans="2:2">
      <c r="B2952" s="565"/>
    </row>
    <row r="2953" spans="2:2">
      <c r="B2953" s="565"/>
    </row>
    <row r="2954" spans="2:2">
      <c r="B2954" s="565"/>
    </row>
    <row r="2955" spans="2:2">
      <c r="B2955" s="565"/>
    </row>
    <row r="2956" spans="2:2">
      <c r="B2956" s="565"/>
    </row>
    <row r="2957" spans="2:2">
      <c r="B2957" s="565"/>
    </row>
    <row r="2958" spans="2:2">
      <c r="B2958" s="565"/>
    </row>
    <row r="2959" spans="2:2">
      <c r="B2959" s="565"/>
    </row>
    <row r="2960" spans="2:2">
      <c r="B2960" s="565"/>
    </row>
    <row r="2961" spans="2:2">
      <c r="B2961" s="565"/>
    </row>
    <row r="2962" spans="2:2">
      <c r="B2962" s="565"/>
    </row>
    <row r="2963" spans="2:2">
      <c r="B2963" s="565"/>
    </row>
    <row r="2964" spans="2:2">
      <c r="B2964" s="565"/>
    </row>
    <row r="2965" spans="2:2">
      <c r="B2965" s="565"/>
    </row>
    <row r="2966" spans="2:2">
      <c r="B2966" s="565"/>
    </row>
    <row r="2967" spans="2:2">
      <c r="B2967" s="565"/>
    </row>
    <row r="2968" spans="2:2">
      <c r="B2968" s="565"/>
    </row>
    <row r="2969" spans="2:2">
      <c r="B2969" s="565"/>
    </row>
    <row r="2970" spans="2:2">
      <c r="B2970" s="565"/>
    </row>
    <row r="2971" spans="2:2">
      <c r="B2971" s="565"/>
    </row>
    <row r="2972" spans="2:2">
      <c r="B2972" s="565"/>
    </row>
    <row r="2973" spans="2:2">
      <c r="B2973" s="565"/>
    </row>
    <row r="2974" spans="2:2">
      <c r="B2974" s="565"/>
    </row>
    <row r="2975" spans="2:2">
      <c r="B2975" s="565"/>
    </row>
    <row r="2976" spans="2:2">
      <c r="B2976" s="565"/>
    </row>
    <row r="2977" spans="2:2">
      <c r="B2977" s="565"/>
    </row>
    <row r="2978" spans="2:2">
      <c r="B2978" s="565"/>
    </row>
    <row r="2979" spans="2:2">
      <c r="B2979" s="565"/>
    </row>
    <row r="2980" spans="2:2">
      <c r="B2980" s="565"/>
    </row>
    <row r="2981" spans="2:2">
      <c r="B2981" s="565"/>
    </row>
    <row r="2982" spans="2:2">
      <c r="B2982" s="565"/>
    </row>
    <row r="2983" spans="2:2">
      <c r="B2983" s="565"/>
    </row>
    <row r="2984" spans="2:2">
      <c r="B2984" s="565"/>
    </row>
    <row r="2985" spans="2:2">
      <c r="B2985" s="565"/>
    </row>
    <row r="2986" spans="2:2">
      <c r="B2986" s="565"/>
    </row>
    <row r="2987" spans="2:2">
      <c r="B2987" s="565"/>
    </row>
    <row r="2988" spans="2:2">
      <c r="B2988" s="565"/>
    </row>
    <row r="2989" spans="2:2">
      <c r="B2989" s="565"/>
    </row>
    <row r="2990" spans="2:2">
      <c r="B2990" s="565"/>
    </row>
    <row r="2991" spans="2:2">
      <c r="B2991" s="565"/>
    </row>
    <row r="2992" spans="2:2">
      <c r="B2992" s="565"/>
    </row>
    <row r="2993" spans="2:2">
      <c r="B2993" s="565"/>
    </row>
    <row r="2994" spans="2:2">
      <c r="B2994" s="565"/>
    </row>
    <row r="2995" spans="2:2">
      <c r="B2995" s="565"/>
    </row>
    <row r="2996" spans="2:2">
      <c r="B2996" s="565"/>
    </row>
    <row r="2997" spans="2:2">
      <c r="B2997" s="565"/>
    </row>
    <row r="2998" spans="2:2">
      <c r="B2998" s="565"/>
    </row>
    <row r="2999" spans="2:2">
      <c r="B2999" s="565"/>
    </row>
    <row r="3000" spans="2:2">
      <c r="B3000" s="565"/>
    </row>
    <row r="3001" spans="2:2">
      <c r="B3001" s="565"/>
    </row>
    <row r="3002" spans="2:2">
      <c r="B3002" s="565"/>
    </row>
    <row r="3003" spans="2:2">
      <c r="B3003" s="565"/>
    </row>
    <row r="3004" spans="2:2">
      <c r="B3004" s="565"/>
    </row>
    <row r="3005" spans="2:2">
      <c r="B3005" s="565"/>
    </row>
    <row r="3006" spans="2:2">
      <c r="B3006" s="565"/>
    </row>
    <row r="3007" spans="2:2">
      <c r="B3007" s="565"/>
    </row>
    <row r="3008" spans="2:2">
      <c r="B3008" s="565"/>
    </row>
    <row r="3009" spans="2:2">
      <c r="B3009" s="565"/>
    </row>
    <row r="3010" spans="2:2">
      <c r="B3010" s="565"/>
    </row>
    <row r="3011" spans="2:2">
      <c r="B3011" s="565"/>
    </row>
    <row r="3012" spans="2:2">
      <c r="B3012" s="565"/>
    </row>
    <row r="3013" spans="2:2">
      <c r="B3013" s="565"/>
    </row>
    <row r="3014" spans="2:2">
      <c r="B3014" s="565"/>
    </row>
    <row r="3015" spans="2:2">
      <c r="B3015" s="565"/>
    </row>
    <row r="3016" spans="2:2">
      <c r="B3016" s="565"/>
    </row>
    <row r="3017" spans="2:2">
      <c r="B3017" s="565"/>
    </row>
    <row r="3018" spans="2:2">
      <c r="B3018" s="565"/>
    </row>
    <row r="3019" spans="2:2">
      <c r="B3019" s="565"/>
    </row>
    <row r="3020" spans="2:2">
      <c r="B3020" s="565"/>
    </row>
    <row r="3021" spans="2:2">
      <c r="B3021" s="565"/>
    </row>
    <row r="3022" spans="2:2">
      <c r="B3022" s="565"/>
    </row>
    <row r="3023" spans="2:2">
      <c r="B3023" s="565"/>
    </row>
    <row r="3024" spans="2:2">
      <c r="B3024" s="565"/>
    </row>
    <row r="3025" spans="2:2">
      <c r="B3025" s="565"/>
    </row>
    <row r="3026" spans="2:2">
      <c r="B3026" s="565"/>
    </row>
    <row r="3027" spans="2:2">
      <c r="B3027" s="565"/>
    </row>
    <row r="3028" spans="2:2">
      <c r="B3028" s="565"/>
    </row>
    <row r="3029" spans="2:2">
      <c r="B3029" s="565"/>
    </row>
    <row r="3030" spans="2:2">
      <c r="B3030" s="565"/>
    </row>
    <row r="3031" spans="2:2">
      <c r="B3031" s="565"/>
    </row>
    <row r="3032" spans="2:2">
      <c r="B3032" s="565"/>
    </row>
    <row r="3033" spans="2:2">
      <c r="B3033" s="565"/>
    </row>
    <row r="3034" spans="2:2">
      <c r="B3034" s="565"/>
    </row>
    <row r="3035" spans="2:2">
      <c r="B3035" s="565"/>
    </row>
    <row r="3036" spans="2:2">
      <c r="B3036" s="565"/>
    </row>
    <row r="3037" spans="2:2">
      <c r="B3037" s="565"/>
    </row>
    <row r="3038" spans="2:2">
      <c r="B3038" s="565"/>
    </row>
    <row r="3039" spans="2:2">
      <c r="B3039" s="565"/>
    </row>
    <row r="3040" spans="2:2">
      <c r="B3040" s="565"/>
    </row>
    <row r="3041" spans="2:2">
      <c r="B3041" s="565"/>
    </row>
    <row r="3042" spans="2:2">
      <c r="B3042" s="565"/>
    </row>
    <row r="3043" spans="2:2">
      <c r="B3043" s="565"/>
    </row>
    <row r="3044" spans="2:2">
      <c r="B3044" s="565"/>
    </row>
    <row r="3045" spans="2:2">
      <c r="B3045" s="565"/>
    </row>
    <row r="3046" spans="2:2">
      <c r="B3046" s="565"/>
    </row>
    <row r="3047" spans="2:2">
      <c r="B3047" s="565"/>
    </row>
    <row r="3048" spans="2:2">
      <c r="B3048" s="565"/>
    </row>
    <row r="3049" spans="2:2">
      <c r="B3049" s="565"/>
    </row>
    <row r="3050" spans="2:2">
      <c r="B3050" s="565"/>
    </row>
    <row r="3051" spans="2:2">
      <c r="B3051" s="565"/>
    </row>
    <row r="3052" spans="2:2">
      <c r="B3052" s="565"/>
    </row>
    <row r="3053" spans="2:2">
      <c r="B3053" s="565"/>
    </row>
    <row r="3054" spans="2:2">
      <c r="B3054" s="565"/>
    </row>
    <row r="3055" spans="2:2">
      <c r="B3055" s="565"/>
    </row>
    <row r="3056" spans="2:2">
      <c r="B3056" s="565"/>
    </row>
    <row r="3057" spans="2:2">
      <c r="B3057" s="565"/>
    </row>
    <row r="3058" spans="2:2">
      <c r="B3058" s="565"/>
    </row>
    <row r="3059" spans="2:2">
      <c r="B3059" s="565"/>
    </row>
    <row r="3060" spans="2:2">
      <c r="B3060" s="565"/>
    </row>
    <row r="3061" spans="2:2">
      <c r="B3061" s="565"/>
    </row>
    <row r="3062" spans="2:2">
      <c r="B3062" s="565"/>
    </row>
    <row r="3063" spans="2:2">
      <c r="B3063" s="565"/>
    </row>
    <row r="3064" spans="2:2">
      <c r="B3064" s="565"/>
    </row>
    <row r="3065" spans="2:2">
      <c r="B3065" s="565"/>
    </row>
    <row r="3066" spans="2:2">
      <c r="B3066" s="565"/>
    </row>
    <row r="3067" spans="2:2">
      <c r="B3067" s="565"/>
    </row>
    <row r="3068" spans="2:2">
      <c r="B3068" s="565"/>
    </row>
    <row r="3069" spans="2:2">
      <c r="B3069" s="565"/>
    </row>
    <row r="3070" spans="2:2">
      <c r="B3070" s="565"/>
    </row>
    <row r="3071" spans="2:2">
      <c r="B3071" s="565"/>
    </row>
    <row r="3072" spans="2:2">
      <c r="B3072" s="565"/>
    </row>
    <row r="3073" spans="2:2">
      <c r="B3073" s="565"/>
    </row>
    <row r="3074" spans="2:2">
      <c r="B3074" s="565"/>
    </row>
    <row r="3075" spans="2:2">
      <c r="B3075" s="565"/>
    </row>
    <row r="3076" spans="2:2">
      <c r="B3076" s="565"/>
    </row>
    <row r="3077" spans="2:2">
      <c r="B3077" s="565"/>
    </row>
    <row r="3078" spans="2:2">
      <c r="B3078" s="565"/>
    </row>
    <row r="3079" spans="2:2">
      <c r="B3079" s="565"/>
    </row>
    <row r="3080" spans="2:2">
      <c r="B3080" s="565"/>
    </row>
    <row r="3081" spans="2:2">
      <c r="B3081" s="565"/>
    </row>
    <row r="3082" spans="2:2">
      <c r="B3082" s="565"/>
    </row>
    <row r="3083" spans="2:2">
      <c r="B3083" s="565"/>
    </row>
    <row r="3084" spans="2:2">
      <c r="B3084" s="565"/>
    </row>
    <row r="3085" spans="2:2">
      <c r="B3085" s="565"/>
    </row>
    <row r="3086" spans="2:2">
      <c r="B3086" s="565"/>
    </row>
    <row r="3087" spans="2:2">
      <c r="B3087" s="565"/>
    </row>
    <row r="3088" spans="2:2">
      <c r="B3088" s="565"/>
    </row>
    <row r="3089" spans="2:2">
      <c r="B3089" s="565"/>
    </row>
    <row r="3090" spans="2:2">
      <c r="B3090" s="565"/>
    </row>
    <row r="3091" spans="2:2">
      <c r="B3091" s="565"/>
    </row>
    <row r="3092" spans="2:2">
      <c r="B3092" s="565"/>
    </row>
    <row r="3093" spans="2:2">
      <c r="B3093" s="565"/>
    </row>
    <row r="3094" spans="2:2">
      <c r="B3094" s="565"/>
    </row>
    <row r="3095" spans="2:2">
      <c r="B3095" s="565"/>
    </row>
    <row r="3096" spans="2:2">
      <c r="B3096" s="565"/>
    </row>
    <row r="3097" spans="2:2">
      <c r="B3097" s="565"/>
    </row>
    <row r="3098" spans="2:2">
      <c r="B3098" s="565"/>
    </row>
    <row r="3099" spans="2:2">
      <c r="B3099" s="565"/>
    </row>
    <row r="3100" spans="2:2">
      <c r="B3100" s="565"/>
    </row>
    <row r="3101" spans="2:2">
      <c r="B3101" s="565"/>
    </row>
    <row r="3102" spans="2:2">
      <c r="B3102" s="565"/>
    </row>
    <row r="3103" spans="2:2">
      <c r="B3103" s="565"/>
    </row>
    <row r="3104" spans="2:2">
      <c r="B3104" s="565"/>
    </row>
    <row r="3105" spans="2:2">
      <c r="B3105" s="565"/>
    </row>
    <row r="3106" spans="2:2">
      <c r="B3106" s="565"/>
    </row>
    <row r="3107" spans="2:2">
      <c r="B3107" s="565"/>
    </row>
    <row r="3108" spans="2:2">
      <c r="B3108" s="565"/>
    </row>
    <row r="3109" spans="2:2">
      <c r="B3109" s="565"/>
    </row>
    <row r="3110" spans="2:2">
      <c r="B3110" s="565"/>
    </row>
    <row r="3111" spans="2:2">
      <c r="B3111" s="565"/>
    </row>
    <row r="3112" spans="2:2">
      <c r="B3112" s="565"/>
    </row>
    <row r="3113" spans="2:2">
      <c r="B3113" s="565"/>
    </row>
    <row r="3114" spans="2:2">
      <c r="B3114" s="565"/>
    </row>
    <row r="3115" spans="2:2">
      <c r="B3115" s="565"/>
    </row>
    <row r="3116" spans="2:2">
      <c r="B3116" s="565"/>
    </row>
    <row r="3117" spans="2:2">
      <c r="B3117" s="565"/>
    </row>
    <row r="3118" spans="2:2">
      <c r="B3118" s="565"/>
    </row>
    <row r="3119" spans="2:2">
      <c r="B3119" s="565"/>
    </row>
    <row r="3120" spans="2:2">
      <c r="B3120" s="565"/>
    </row>
    <row r="3121" spans="2:2">
      <c r="B3121" s="565"/>
    </row>
    <row r="3122" spans="2:2">
      <c r="B3122" s="565"/>
    </row>
    <row r="3123" spans="2:2">
      <c r="B3123" s="565"/>
    </row>
    <row r="3124" spans="2:2">
      <c r="B3124" s="565"/>
    </row>
    <row r="3125" spans="2:2">
      <c r="B3125" s="565"/>
    </row>
    <row r="3126" spans="2:2">
      <c r="B3126" s="565"/>
    </row>
    <row r="3127" spans="2:2">
      <c r="B3127" s="565"/>
    </row>
    <row r="3128" spans="2:2">
      <c r="B3128" s="565"/>
    </row>
    <row r="3129" spans="2:2">
      <c r="B3129" s="565"/>
    </row>
    <row r="3130" spans="2:2">
      <c r="B3130" s="565"/>
    </row>
    <row r="3131" spans="2:2">
      <c r="B3131" s="565"/>
    </row>
    <row r="3132" spans="2:2">
      <c r="B3132" s="565"/>
    </row>
    <row r="3133" spans="2:2">
      <c r="B3133" s="565"/>
    </row>
    <row r="3134" spans="2:2">
      <c r="B3134" s="565"/>
    </row>
    <row r="3135" spans="2:2">
      <c r="B3135" s="565"/>
    </row>
    <row r="3136" spans="2:2">
      <c r="B3136" s="565"/>
    </row>
    <row r="3137" spans="2:2">
      <c r="B3137" s="565"/>
    </row>
    <row r="3138" spans="2:2">
      <c r="B3138" s="565"/>
    </row>
    <row r="3139" spans="2:2">
      <c r="B3139" s="565"/>
    </row>
    <row r="3140" spans="2:2">
      <c r="B3140" s="565"/>
    </row>
    <row r="3141" spans="2:2">
      <c r="B3141" s="565"/>
    </row>
    <row r="3142" spans="2:2">
      <c r="B3142" s="565"/>
    </row>
    <row r="3143" spans="2:2">
      <c r="B3143" s="565"/>
    </row>
    <row r="3144" spans="2:2">
      <c r="B3144" s="565"/>
    </row>
    <row r="3145" spans="2:2">
      <c r="B3145" s="565"/>
    </row>
    <row r="3146" spans="2:2">
      <c r="B3146" s="565"/>
    </row>
    <row r="3147" spans="2:2">
      <c r="B3147" s="565"/>
    </row>
    <row r="3148" spans="2:2">
      <c r="B3148" s="565"/>
    </row>
    <row r="3149" spans="2:2">
      <c r="B3149" s="565"/>
    </row>
    <row r="3150" spans="2:2">
      <c r="B3150" s="565"/>
    </row>
    <row r="3151" spans="2:2">
      <c r="B3151" s="565"/>
    </row>
    <row r="3152" spans="2:2">
      <c r="B3152" s="565"/>
    </row>
    <row r="3153" spans="2:2">
      <c r="B3153" s="565"/>
    </row>
    <row r="3154" spans="2:2">
      <c r="B3154" s="565"/>
    </row>
    <row r="3155" spans="2:2">
      <c r="B3155" s="565"/>
    </row>
    <row r="3156" spans="2:2">
      <c r="B3156" s="565"/>
    </row>
    <row r="3157" spans="2:2">
      <c r="B3157" s="565"/>
    </row>
    <row r="3158" spans="2:2">
      <c r="B3158" s="565"/>
    </row>
    <row r="3159" spans="2:2">
      <c r="B3159" s="565"/>
    </row>
    <row r="3160" spans="2:2">
      <c r="B3160" s="565"/>
    </row>
    <row r="3161" spans="2:2">
      <c r="B3161" s="565"/>
    </row>
    <row r="3162" spans="2:2">
      <c r="B3162" s="565"/>
    </row>
    <row r="3163" spans="2:2">
      <c r="B3163" s="565"/>
    </row>
    <row r="3164" spans="2:2">
      <c r="B3164" s="565"/>
    </row>
    <row r="3165" spans="2:2">
      <c r="B3165" s="565"/>
    </row>
    <row r="3166" spans="2:2">
      <c r="B3166" s="565"/>
    </row>
    <row r="3167" spans="2:2">
      <c r="B3167" s="565"/>
    </row>
    <row r="3168" spans="2:2">
      <c r="B3168" s="565"/>
    </row>
    <row r="3169" spans="2:2">
      <c r="B3169" s="565"/>
    </row>
    <row r="3170" spans="2:2">
      <c r="B3170" s="565"/>
    </row>
    <row r="3171" spans="2:2">
      <c r="B3171" s="565"/>
    </row>
    <row r="3172" spans="2:2">
      <c r="B3172" s="565"/>
    </row>
    <row r="3173" spans="2:2">
      <c r="B3173" s="565"/>
    </row>
    <row r="3174" spans="2:2">
      <c r="B3174" s="565"/>
    </row>
    <row r="3175" spans="2:2">
      <c r="B3175" s="565"/>
    </row>
    <row r="3176" spans="2:2">
      <c r="B3176" s="565"/>
    </row>
    <row r="3177" spans="2:2">
      <c r="B3177" s="565"/>
    </row>
    <row r="3178" spans="2:2">
      <c r="B3178" s="565"/>
    </row>
    <row r="3179" spans="2:2">
      <c r="B3179" s="565"/>
    </row>
    <row r="3180" spans="2:2">
      <c r="B3180" s="565"/>
    </row>
    <row r="3181" spans="2:2">
      <c r="B3181" s="565"/>
    </row>
    <row r="3182" spans="2:2">
      <c r="B3182" s="565"/>
    </row>
    <row r="3183" spans="2:2">
      <c r="B3183" s="565"/>
    </row>
    <row r="3184" spans="2:2">
      <c r="B3184" s="565"/>
    </row>
    <row r="3185" spans="2:2">
      <c r="B3185" s="565"/>
    </row>
    <row r="3186" spans="2:2">
      <c r="B3186" s="565"/>
    </row>
    <row r="3187" spans="2:2">
      <c r="B3187" s="565"/>
    </row>
    <row r="3188" spans="2:2">
      <c r="B3188" s="565"/>
    </row>
    <row r="3189" spans="2:2">
      <c r="B3189" s="565"/>
    </row>
    <row r="3190" spans="2:2">
      <c r="B3190" s="565"/>
    </row>
    <row r="3191" spans="2:2">
      <c r="B3191" s="565"/>
    </row>
    <row r="3192" spans="2:2">
      <c r="B3192" s="565"/>
    </row>
    <row r="3193" spans="2:2">
      <c r="B3193" s="565"/>
    </row>
    <row r="3194" spans="2:2">
      <c r="B3194" s="565"/>
    </row>
    <row r="3195" spans="2:2">
      <c r="B3195" s="565"/>
    </row>
    <row r="3196" spans="2:2">
      <c r="B3196" s="565"/>
    </row>
    <row r="3197" spans="2:2">
      <c r="B3197" s="565"/>
    </row>
    <row r="3198" spans="2:2">
      <c r="B3198" s="565"/>
    </row>
    <row r="3199" spans="2:2">
      <c r="B3199" s="565"/>
    </row>
    <row r="3200" spans="2:2">
      <c r="B3200" s="565"/>
    </row>
    <row r="3201" spans="2:2">
      <c r="B3201" s="565"/>
    </row>
    <row r="3202" spans="2:2">
      <c r="B3202" s="565"/>
    </row>
    <row r="3203" spans="2:2">
      <c r="B3203" s="565"/>
    </row>
    <row r="3204" spans="2:2">
      <c r="B3204" s="565"/>
    </row>
    <row r="3205" spans="2:2">
      <c r="B3205" s="565"/>
    </row>
    <row r="3206" spans="2:2">
      <c r="B3206" s="565"/>
    </row>
    <row r="3207" spans="2:2">
      <c r="B3207" s="565"/>
    </row>
    <row r="3208" spans="2:2">
      <c r="B3208" s="565"/>
    </row>
    <row r="3209" spans="2:2">
      <c r="B3209" s="565"/>
    </row>
    <row r="3210" spans="2:2">
      <c r="B3210" s="565"/>
    </row>
    <row r="3211" spans="2:2">
      <c r="B3211" s="565"/>
    </row>
    <row r="3212" spans="2:2">
      <c r="B3212" s="565"/>
    </row>
    <row r="3213" spans="2:2">
      <c r="B3213" s="565"/>
    </row>
    <row r="3214" spans="2:2">
      <c r="B3214" s="565"/>
    </row>
    <row r="3215" spans="2:2">
      <c r="B3215" s="565"/>
    </row>
    <row r="3216" spans="2:2">
      <c r="B3216" s="565"/>
    </row>
    <row r="3217" spans="2:2">
      <c r="B3217" s="565"/>
    </row>
    <row r="3218" spans="2:2">
      <c r="B3218" s="565"/>
    </row>
    <row r="3219" spans="2:2">
      <c r="B3219" s="565"/>
    </row>
    <row r="3220" spans="2:2">
      <c r="B3220" s="565"/>
    </row>
    <row r="3221" spans="2:2">
      <c r="B3221" s="565"/>
    </row>
    <row r="3222" spans="2:2">
      <c r="B3222" s="565"/>
    </row>
    <row r="3223" spans="2:2">
      <c r="B3223" s="565"/>
    </row>
    <row r="3224" spans="2:2">
      <c r="B3224" s="565"/>
    </row>
    <row r="3225" spans="2:2">
      <c r="B3225" s="565"/>
    </row>
    <row r="3226" spans="2:2">
      <c r="B3226" s="565"/>
    </row>
    <row r="3227" spans="2:2">
      <c r="B3227" s="565"/>
    </row>
    <row r="3228" spans="2:2">
      <c r="B3228" s="565"/>
    </row>
    <row r="3229" spans="2:2">
      <c r="B3229" s="565"/>
    </row>
    <row r="3230" spans="2:2">
      <c r="B3230" s="565"/>
    </row>
    <row r="3231" spans="2:2">
      <c r="B3231" s="565"/>
    </row>
    <row r="3232" spans="2:2">
      <c r="B3232" s="565"/>
    </row>
    <row r="3233" spans="2:2">
      <c r="B3233" s="565"/>
    </row>
    <row r="3234" spans="2:2">
      <c r="B3234" s="565"/>
    </row>
    <row r="3235" spans="2:2">
      <c r="B3235" s="565"/>
    </row>
    <row r="3236" spans="2:2">
      <c r="B3236" s="565"/>
    </row>
    <row r="3237" spans="2:2">
      <c r="B3237" s="565"/>
    </row>
    <row r="3238" spans="2:2">
      <c r="B3238" s="565"/>
    </row>
    <row r="3239" spans="2:2">
      <c r="B3239" s="565"/>
    </row>
    <row r="3240" spans="2:2">
      <c r="B3240" s="565"/>
    </row>
    <row r="3241" spans="2:2">
      <c r="B3241" s="565"/>
    </row>
    <row r="3242" spans="2:2">
      <c r="B3242" s="565"/>
    </row>
    <row r="3243" spans="2:2">
      <c r="B3243" s="565"/>
    </row>
    <row r="3244" spans="2:2">
      <c r="B3244" s="565"/>
    </row>
    <row r="3245" spans="2:2">
      <c r="B3245" s="565"/>
    </row>
    <row r="3246" spans="2:2">
      <c r="B3246" s="565"/>
    </row>
    <row r="3247" spans="2:2">
      <c r="B3247" s="565"/>
    </row>
    <row r="3248" spans="2:2">
      <c r="B3248" s="565"/>
    </row>
    <row r="3249" spans="2:2">
      <c r="B3249" s="565"/>
    </row>
    <row r="3250" spans="2:2">
      <c r="B3250" s="565"/>
    </row>
    <row r="3251" spans="2:2">
      <c r="B3251" s="565"/>
    </row>
    <row r="3252" spans="2:2">
      <c r="B3252" s="565"/>
    </row>
    <row r="3253" spans="2:2">
      <c r="B3253" s="565"/>
    </row>
    <row r="3254" spans="2:2">
      <c r="B3254" s="565"/>
    </row>
    <row r="3255" spans="2:2">
      <c r="B3255" s="565"/>
    </row>
    <row r="3256" spans="2:2">
      <c r="B3256" s="565"/>
    </row>
    <row r="3257" spans="2:2">
      <c r="B3257" s="565"/>
    </row>
    <row r="3258" spans="2:2">
      <c r="B3258" s="565"/>
    </row>
    <row r="3259" spans="2:2">
      <c r="B3259" s="565"/>
    </row>
    <row r="3260" spans="2:2">
      <c r="B3260" s="565"/>
    </row>
    <row r="3261" spans="2:2">
      <c r="B3261" s="565"/>
    </row>
    <row r="3262" spans="2:2">
      <c r="B3262" s="565"/>
    </row>
    <row r="3263" spans="2:2">
      <c r="B3263" s="565"/>
    </row>
    <row r="3264" spans="2:2">
      <c r="B3264" s="565"/>
    </row>
    <row r="3265" spans="2:2">
      <c r="B3265" s="565"/>
    </row>
    <row r="3266" spans="2:2">
      <c r="B3266" s="565"/>
    </row>
    <row r="3267" spans="2:2">
      <c r="B3267" s="565"/>
    </row>
    <row r="3268" spans="2:2">
      <c r="B3268" s="565"/>
    </row>
    <row r="3269" spans="2:2">
      <c r="B3269" s="565"/>
    </row>
    <row r="3270" spans="2:2">
      <c r="B3270" s="565"/>
    </row>
    <row r="3271" spans="2:2">
      <c r="B3271" s="565"/>
    </row>
    <row r="3272" spans="2:2">
      <c r="B3272" s="565"/>
    </row>
    <row r="3273" spans="2:2">
      <c r="B3273" s="565"/>
    </row>
    <row r="3274" spans="2:2">
      <c r="B3274" s="565"/>
    </row>
    <row r="3275" spans="2:2">
      <c r="B3275" s="565"/>
    </row>
    <row r="3276" spans="2:2">
      <c r="B3276" s="565"/>
    </row>
    <row r="3277" spans="2:2">
      <c r="B3277" s="565"/>
    </row>
    <row r="3278" spans="2:2">
      <c r="B3278" s="565"/>
    </row>
    <row r="3279" spans="2:2">
      <c r="B3279" s="565"/>
    </row>
    <row r="3280" spans="2:2">
      <c r="B3280" s="565"/>
    </row>
    <row r="3281" spans="2:2">
      <c r="B3281" s="565"/>
    </row>
    <row r="3282" spans="2:2">
      <c r="B3282" s="565"/>
    </row>
    <row r="3283" spans="2:2">
      <c r="B3283" s="565"/>
    </row>
    <row r="3284" spans="2:2">
      <c r="B3284" s="565"/>
    </row>
    <row r="3285" spans="2:2">
      <c r="B3285" s="565"/>
    </row>
    <row r="3286" spans="2:2">
      <c r="B3286" s="565"/>
    </row>
    <row r="3287" spans="2:2">
      <c r="B3287" s="565"/>
    </row>
    <row r="3288" spans="2:2">
      <c r="B3288" s="565"/>
    </row>
    <row r="3289" spans="2:2">
      <c r="B3289" s="565"/>
    </row>
    <row r="3290" spans="2:2">
      <c r="B3290" s="565"/>
    </row>
    <row r="3291" spans="2:2">
      <c r="B3291" s="565"/>
    </row>
    <row r="3292" spans="2:2">
      <c r="B3292" s="565"/>
    </row>
    <row r="3293" spans="2:2">
      <c r="B3293" s="565"/>
    </row>
    <row r="3294" spans="2:2">
      <c r="B3294" s="565"/>
    </row>
    <row r="3295" spans="2:2">
      <c r="B3295" s="565"/>
    </row>
    <row r="3296" spans="2:2">
      <c r="B3296" s="565"/>
    </row>
    <row r="3297" spans="2:2">
      <c r="B3297" s="565"/>
    </row>
    <row r="3298" spans="2:2">
      <c r="B3298" s="565"/>
    </row>
    <row r="3299" spans="2:2">
      <c r="B3299" s="565"/>
    </row>
    <row r="3300" spans="2:2">
      <c r="B3300" s="565"/>
    </row>
    <row r="3301" spans="2:2">
      <c r="B3301" s="565"/>
    </row>
    <row r="3302" spans="2:2">
      <c r="B3302" s="565"/>
    </row>
    <row r="3303" spans="2:2">
      <c r="B3303" s="565"/>
    </row>
    <row r="3304" spans="2:2">
      <c r="B3304" s="565"/>
    </row>
    <row r="3305" spans="2:2">
      <c r="B3305" s="565"/>
    </row>
    <row r="3306" spans="2:2">
      <c r="B3306" s="565"/>
    </row>
    <row r="3307" spans="2:2">
      <c r="B3307" s="565"/>
    </row>
    <row r="3308" spans="2:2">
      <c r="B3308" s="565"/>
    </row>
    <row r="3309" spans="2:2">
      <c r="B3309" s="565"/>
    </row>
    <row r="3310" spans="2:2">
      <c r="B3310" s="565"/>
    </row>
    <row r="3311" spans="2:2">
      <c r="B3311" s="565"/>
    </row>
    <row r="3312" spans="2:2">
      <c r="B3312" s="565"/>
    </row>
    <row r="3313" spans="2:2">
      <c r="B3313" s="565"/>
    </row>
    <row r="3314" spans="2:2">
      <c r="B3314" s="565"/>
    </row>
    <row r="3315" spans="2:2">
      <c r="B3315" s="565"/>
    </row>
    <row r="3316" spans="2:2">
      <c r="B3316" s="565"/>
    </row>
    <row r="3317" spans="2:2">
      <c r="B3317" s="565"/>
    </row>
    <row r="3318" spans="2:2">
      <c r="B3318" s="565"/>
    </row>
    <row r="3319" spans="2:2">
      <c r="B3319" s="565"/>
    </row>
    <row r="3320" spans="2:2">
      <c r="B3320" s="565"/>
    </row>
    <row r="3321" spans="2:2">
      <c r="B3321" s="565"/>
    </row>
    <row r="3322" spans="2:2">
      <c r="B3322" s="565"/>
    </row>
    <row r="3323" spans="2:2">
      <c r="B3323" s="565"/>
    </row>
    <row r="3324" spans="2:2">
      <c r="B3324" s="565"/>
    </row>
    <row r="3325" spans="2:2">
      <c r="B3325" s="565"/>
    </row>
    <row r="3326" spans="2:2">
      <c r="B3326" s="565"/>
    </row>
    <row r="3327" spans="2:2">
      <c r="B3327" s="565"/>
    </row>
    <row r="3328" spans="2:2">
      <c r="B3328" s="565"/>
    </row>
    <row r="3329" spans="2:2">
      <c r="B3329" s="565"/>
    </row>
    <row r="3330" spans="2:2">
      <c r="B3330" s="565"/>
    </row>
    <row r="3331" spans="2:2">
      <c r="B3331" s="565"/>
    </row>
    <row r="3332" spans="2:2">
      <c r="B3332" s="565"/>
    </row>
    <row r="3333" spans="2:2">
      <c r="B3333" s="565"/>
    </row>
    <row r="3334" spans="2:2">
      <c r="B3334" s="565"/>
    </row>
    <row r="3335" spans="2:2">
      <c r="B3335" s="565"/>
    </row>
    <row r="3336" spans="2:2">
      <c r="B3336" s="565"/>
    </row>
    <row r="3337" spans="2:2">
      <c r="B3337" s="565"/>
    </row>
    <row r="3338" spans="2:2">
      <c r="B3338" s="565"/>
    </row>
    <row r="3339" spans="2:2">
      <c r="B3339" s="565"/>
    </row>
    <row r="3340" spans="2:2">
      <c r="B3340" s="565"/>
    </row>
    <row r="3341" spans="2:2">
      <c r="B3341" s="565"/>
    </row>
    <row r="3342" spans="2:2">
      <c r="B3342" s="565"/>
    </row>
    <row r="3343" spans="2:2">
      <c r="B3343" s="565"/>
    </row>
    <row r="3344" spans="2:2">
      <c r="B3344" s="565"/>
    </row>
    <row r="3345" spans="2:2">
      <c r="B3345" s="565"/>
    </row>
    <row r="3346" spans="2:2">
      <c r="B3346" s="565"/>
    </row>
    <row r="3347" spans="2:2">
      <c r="B3347" s="565"/>
    </row>
    <row r="3348" spans="2:2">
      <c r="B3348" s="565"/>
    </row>
    <row r="3349" spans="2:2">
      <c r="B3349" s="565"/>
    </row>
    <row r="3350" spans="2:2">
      <c r="B3350" s="565"/>
    </row>
    <row r="3351" spans="2:2">
      <c r="B3351" s="565"/>
    </row>
    <row r="3352" spans="2:2">
      <c r="B3352" s="565"/>
    </row>
    <row r="3353" spans="2:2">
      <c r="B3353" s="565"/>
    </row>
    <row r="3354" spans="2:2">
      <c r="B3354" s="565"/>
    </row>
    <row r="3355" spans="2:2">
      <c r="B3355" s="565"/>
    </row>
    <row r="3356" spans="2:2">
      <c r="B3356" s="565"/>
    </row>
    <row r="3357" spans="2:2">
      <c r="B3357" s="565"/>
    </row>
    <row r="3358" spans="2:2">
      <c r="B3358" s="565"/>
    </row>
    <row r="3359" spans="2:2">
      <c r="B3359" s="565"/>
    </row>
    <row r="3360" spans="2:2">
      <c r="B3360" s="565"/>
    </row>
    <row r="3361" spans="2:2">
      <c r="B3361" s="565"/>
    </row>
    <row r="3362" spans="2:2">
      <c r="B3362" s="565"/>
    </row>
    <row r="3363" spans="2:2">
      <c r="B3363" s="565"/>
    </row>
    <row r="3364" spans="2:2">
      <c r="B3364" s="565"/>
    </row>
    <row r="3365" spans="2:2">
      <c r="B3365" s="565"/>
    </row>
    <row r="3366" spans="2:2">
      <c r="B3366" s="565"/>
    </row>
    <row r="3367" spans="2:2">
      <c r="B3367" s="565"/>
    </row>
    <row r="3368" spans="2:2">
      <c r="B3368" s="565"/>
    </row>
    <row r="3369" spans="2:2">
      <c r="B3369" s="565"/>
    </row>
    <row r="3370" spans="2:2">
      <c r="B3370" s="565"/>
    </row>
    <row r="3371" spans="2:2">
      <c r="B3371" s="565"/>
    </row>
    <row r="3372" spans="2:2">
      <c r="B3372" s="565"/>
    </row>
    <row r="3373" spans="2:2">
      <c r="B3373" s="565"/>
    </row>
    <row r="3374" spans="2:2">
      <c r="B3374" s="565"/>
    </row>
    <row r="3375" spans="2:2">
      <c r="B3375" s="565"/>
    </row>
    <row r="3376" spans="2:2">
      <c r="B3376" s="565"/>
    </row>
    <row r="3377" spans="2:2">
      <c r="B3377" s="565"/>
    </row>
    <row r="3378" spans="2:2">
      <c r="B3378" s="565"/>
    </row>
    <row r="3379" spans="2:2">
      <c r="B3379" s="565"/>
    </row>
    <row r="3380" spans="2:2">
      <c r="B3380" s="565"/>
    </row>
    <row r="3381" spans="2:2">
      <c r="B3381" s="565"/>
    </row>
    <row r="3382" spans="2:2">
      <c r="B3382" s="565"/>
    </row>
    <row r="3383" spans="2:2">
      <c r="B3383" s="565"/>
    </row>
    <row r="3384" spans="2:2">
      <c r="B3384" s="565"/>
    </row>
    <row r="3385" spans="2:2">
      <c r="B3385" s="565"/>
    </row>
    <row r="3386" spans="2:2">
      <c r="B3386" s="565"/>
    </row>
    <row r="3387" spans="2:2">
      <c r="B3387" s="565"/>
    </row>
    <row r="3388" spans="2:2">
      <c r="B3388" s="565"/>
    </row>
    <row r="3389" spans="2:2">
      <c r="B3389" s="565"/>
    </row>
    <row r="3390" spans="2:2">
      <c r="B3390" s="565"/>
    </row>
    <row r="3391" spans="2:2">
      <c r="B3391" s="565"/>
    </row>
    <row r="3392" spans="2:2">
      <c r="B3392" s="565"/>
    </row>
    <row r="3393" spans="2:2">
      <c r="B3393" s="565"/>
    </row>
    <row r="3394" spans="2:2">
      <c r="B3394" s="565"/>
    </row>
    <row r="3395" spans="2:2">
      <c r="B3395" s="565"/>
    </row>
    <row r="3396" spans="2:2">
      <c r="B3396" s="565"/>
    </row>
    <row r="3397" spans="2:2">
      <c r="B3397" s="565"/>
    </row>
    <row r="3398" spans="2:2">
      <c r="B3398" s="565"/>
    </row>
    <row r="3399" spans="2:2">
      <c r="B3399" s="565"/>
    </row>
    <row r="3400" spans="2:2">
      <c r="B3400" s="565"/>
    </row>
    <row r="3401" spans="2:2">
      <c r="B3401" s="565"/>
    </row>
    <row r="3402" spans="2:2">
      <c r="B3402" s="565"/>
    </row>
    <row r="3403" spans="2:2">
      <c r="B3403" s="565"/>
    </row>
    <row r="3404" spans="2:2">
      <c r="B3404" s="565"/>
    </row>
    <row r="3405" spans="2:2">
      <c r="B3405" s="565"/>
    </row>
    <row r="3406" spans="2:2">
      <c r="B3406" s="565"/>
    </row>
    <row r="3407" spans="2:2">
      <c r="B3407" s="565"/>
    </row>
    <row r="3408" spans="2:2">
      <c r="B3408" s="565"/>
    </row>
    <row r="3409" spans="2:2">
      <c r="B3409" s="565"/>
    </row>
    <row r="3410" spans="2:2">
      <c r="B3410" s="565"/>
    </row>
    <row r="3411" spans="2:2">
      <c r="B3411" s="565"/>
    </row>
    <row r="3412" spans="2:2">
      <c r="B3412" s="565"/>
    </row>
    <row r="3413" spans="2:2">
      <c r="B3413" s="565"/>
    </row>
    <row r="3414" spans="2:2">
      <c r="B3414" s="565"/>
    </row>
    <row r="3415" spans="2:2">
      <c r="B3415" s="565"/>
    </row>
    <row r="3416" spans="2:2">
      <c r="B3416" s="565"/>
    </row>
    <row r="3417" spans="2:2">
      <c r="B3417" s="565"/>
    </row>
    <row r="3418" spans="2:2">
      <c r="B3418" s="565"/>
    </row>
    <row r="3419" spans="2:2">
      <c r="B3419" s="565"/>
    </row>
    <row r="3420" spans="2:2">
      <c r="B3420" s="565"/>
    </row>
    <row r="3421" spans="2:2">
      <c r="B3421" s="565"/>
    </row>
    <row r="3422" spans="2:2">
      <c r="B3422" s="565"/>
    </row>
    <row r="3423" spans="2:2">
      <c r="B3423" s="565"/>
    </row>
    <row r="3424" spans="2:2">
      <c r="B3424" s="565"/>
    </row>
    <row r="3425" spans="2:2">
      <c r="B3425" s="565"/>
    </row>
    <row r="3426" spans="2:2">
      <c r="B3426" s="565"/>
    </row>
    <row r="3427" spans="2:2">
      <c r="B3427" s="565"/>
    </row>
    <row r="3428" spans="2:2">
      <c r="B3428" s="565"/>
    </row>
    <row r="3429" spans="2:2">
      <c r="B3429" s="565"/>
    </row>
    <row r="3430" spans="2:2">
      <c r="B3430" s="565"/>
    </row>
    <row r="3431" spans="2:2">
      <c r="B3431" s="565"/>
    </row>
    <row r="3432" spans="2:2">
      <c r="B3432" s="565"/>
    </row>
    <row r="3433" spans="2:2">
      <c r="B3433" s="565"/>
    </row>
    <row r="3434" spans="2:2">
      <c r="B3434" s="565"/>
    </row>
    <row r="3435" spans="2:2">
      <c r="B3435" s="565"/>
    </row>
    <row r="3436" spans="2:2">
      <c r="B3436" s="565"/>
    </row>
    <row r="3437" spans="2:2">
      <c r="B3437" s="565"/>
    </row>
    <row r="3438" spans="2:2">
      <c r="B3438" s="565"/>
    </row>
    <row r="3439" spans="2:2">
      <c r="B3439" s="565"/>
    </row>
    <row r="3440" spans="2:2">
      <c r="B3440" s="565"/>
    </row>
    <row r="3441" spans="2:2">
      <c r="B3441" s="565"/>
    </row>
    <row r="3442" spans="2:2">
      <c r="B3442" s="565"/>
    </row>
    <row r="3443" spans="2:2">
      <c r="B3443" s="565"/>
    </row>
    <row r="3444" spans="2:2">
      <c r="B3444" s="565"/>
    </row>
    <row r="3445" spans="2:2">
      <c r="B3445" s="565"/>
    </row>
    <row r="3446" spans="2:2">
      <c r="B3446" s="565"/>
    </row>
    <row r="3447" spans="2:2">
      <c r="B3447" s="565"/>
    </row>
    <row r="3448" spans="2:2">
      <c r="B3448" s="565"/>
    </row>
    <row r="3449" spans="2:2">
      <c r="B3449" s="565"/>
    </row>
    <row r="3450" spans="2:2">
      <c r="B3450" s="565"/>
    </row>
    <row r="3451" spans="2:2">
      <c r="B3451" s="565"/>
    </row>
    <row r="3452" spans="2:2">
      <c r="B3452" s="565"/>
    </row>
    <row r="3453" spans="2:2">
      <c r="B3453" s="565"/>
    </row>
    <row r="3454" spans="2:2">
      <c r="B3454" s="565"/>
    </row>
    <row r="3455" spans="2:2">
      <c r="B3455" s="565"/>
    </row>
    <row r="3456" spans="2:2">
      <c r="B3456" s="565"/>
    </row>
    <row r="3457" spans="2:2">
      <c r="B3457" s="565"/>
    </row>
    <row r="3458" spans="2:2">
      <c r="B3458" s="565"/>
    </row>
    <row r="3459" spans="2:2">
      <c r="B3459" s="565"/>
    </row>
    <row r="3460" spans="2:2">
      <c r="B3460" s="565"/>
    </row>
    <row r="3461" spans="2:2">
      <c r="B3461" s="565"/>
    </row>
    <row r="3462" spans="2:2">
      <c r="B3462" s="565"/>
    </row>
    <row r="3463" spans="2:2">
      <c r="B3463" s="565"/>
    </row>
    <row r="3464" spans="2:2">
      <c r="B3464" s="565"/>
    </row>
    <row r="3465" spans="2:2">
      <c r="B3465" s="565"/>
    </row>
    <row r="3466" spans="2:2">
      <c r="B3466" s="565"/>
    </row>
    <row r="3467" spans="2:2">
      <c r="B3467" s="565"/>
    </row>
    <row r="3468" spans="2:2">
      <c r="B3468" s="565"/>
    </row>
    <row r="3469" spans="2:2">
      <c r="B3469" s="565"/>
    </row>
    <row r="3470" spans="2:2">
      <c r="B3470" s="565"/>
    </row>
    <row r="3471" spans="2:2">
      <c r="B3471" s="565"/>
    </row>
    <row r="3472" spans="2:2">
      <c r="B3472" s="565"/>
    </row>
    <row r="3473" spans="2:2">
      <c r="B3473" s="565"/>
    </row>
    <row r="3474" spans="2:2">
      <c r="B3474" s="565"/>
    </row>
    <row r="3475" spans="2:2">
      <c r="B3475" s="565"/>
    </row>
    <row r="3476" spans="2:2">
      <c r="B3476" s="565"/>
    </row>
    <row r="3477" spans="2:2">
      <c r="B3477" s="565"/>
    </row>
    <row r="3478" spans="2:2">
      <c r="B3478" s="565"/>
    </row>
    <row r="3479" spans="2:2">
      <c r="B3479" s="565"/>
    </row>
    <row r="3480" spans="2:2">
      <c r="B3480" s="565"/>
    </row>
    <row r="3481" spans="2:2">
      <c r="B3481" s="565"/>
    </row>
    <row r="3482" spans="2:2">
      <c r="B3482" s="565"/>
    </row>
    <row r="3483" spans="2:2">
      <c r="B3483" s="565"/>
    </row>
    <row r="3484" spans="2:2">
      <c r="B3484" s="565"/>
    </row>
    <row r="3485" spans="2:2">
      <c r="B3485" s="565"/>
    </row>
    <row r="3486" spans="2:2">
      <c r="B3486" s="565"/>
    </row>
    <row r="3487" spans="2:2">
      <c r="B3487" s="565"/>
    </row>
    <row r="3488" spans="2:2">
      <c r="B3488" s="565"/>
    </row>
    <row r="3489" spans="2:2">
      <c r="B3489" s="565"/>
    </row>
    <row r="3490" spans="2:2">
      <c r="B3490" s="565"/>
    </row>
    <row r="3491" spans="2:2">
      <c r="B3491" s="565"/>
    </row>
    <row r="3492" spans="2:2">
      <c r="B3492" s="565"/>
    </row>
    <row r="3493" spans="2:2">
      <c r="B3493" s="565"/>
    </row>
    <row r="3494" spans="2:2">
      <c r="B3494" s="565"/>
    </row>
    <row r="3495" spans="2:2">
      <c r="B3495" s="565"/>
    </row>
    <row r="3496" spans="2:2">
      <c r="B3496" s="565"/>
    </row>
    <row r="3497" spans="2:2">
      <c r="B3497" s="565"/>
    </row>
    <row r="3498" spans="2:2">
      <c r="B3498" s="565"/>
    </row>
    <row r="3499" spans="2:2">
      <c r="B3499" s="565"/>
    </row>
    <row r="3500" spans="2:2">
      <c r="B3500" s="565"/>
    </row>
    <row r="3501" spans="2:2">
      <c r="B3501" s="565"/>
    </row>
    <row r="3502" spans="2:2">
      <c r="B3502" s="565"/>
    </row>
    <row r="3503" spans="2:2">
      <c r="B3503" s="565"/>
    </row>
    <row r="3504" spans="2:2">
      <c r="B3504" s="565"/>
    </row>
    <row r="3505" spans="2:2">
      <c r="B3505" s="565"/>
    </row>
    <row r="3506" spans="2:2">
      <c r="B3506" s="565"/>
    </row>
    <row r="3507" spans="2:2">
      <c r="B3507" s="565"/>
    </row>
    <row r="3508" spans="2:2">
      <c r="B3508" s="565"/>
    </row>
    <row r="3509" spans="2:2">
      <c r="B3509" s="565"/>
    </row>
    <row r="3510" spans="2:2">
      <c r="B3510" s="565"/>
    </row>
    <row r="3511" spans="2:2">
      <c r="B3511" s="565"/>
    </row>
    <row r="3512" spans="2:2">
      <c r="B3512" s="565"/>
    </row>
    <row r="3513" spans="2:2">
      <c r="B3513" s="565"/>
    </row>
    <row r="3514" spans="2:2">
      <c r="B3514" s="565"/>
    </row>
    <row r="3515" spans="2:2">
      <c r="B3515" s="565"/>
    </row>
    <row r="3516" spans="2:2">
      <c r="B3516" s="565"/>
    </row>
    <row r="3517" spans="2:2">
      <c r="B3517" s="565"/>
    </row>
    <row r="3518" spans="2:2">
      <c r="B3518" s="565"/>
    </row>
    <row r="3519" spans="2:2">
      <c r="B3519" s="565"/>
    </row>
    <row r="3520" spans="2:2">
      <c r="B3520" s="565"/>
    </row>
    <row r="3521" spans="2:2">
      <c r="B3521" s="565"/>
    </row>
    <row r="3522" spans="2:2">
      <c r="B3522" s="565"/>
    </row>
    <row r="3523" spans="2:2">
      <c r="B3523" s="565"/>
    </row>
    <row r="3524" spans="2:2">
      <c r="B3524" s="565"/>
    </row>
    <row r="3525" spans="2:2">
      <c r="B3525" s="565"/>
    </row>
    <row r="3526" spans="2:2">
      <c r="B3526" s="565"/>
    </row>
    <row r="3527" spans="2:2">
      <c r="B3527" s="565"/>
    </row>
    <row r="3528" spans="2:2">
      <c r="B3528" s="565"/>
    </row>
    <row r="3529" spans="2:2">
      <c r="B3529" s="565"/>
    </row>
    <row r="3530" spans="2:2">
      <c r="B3530" s="565"/>
    </row>
    <row r="3531" spans="2:2">
      <c r="B3531" s="565"/>
    </row>
    <row r="3532" spans="2:2">
      <c r="B3532" s="565"/>
    </row>
    <row r="3533" spans="2:2">
      <c r="B3533" s="565"/>
    </row>
    <row r="3534" spans="2:2">
      <c r="B3534" s="565"/>
    </row>
    <row r="3535" spans="2:2">
      <c r="B3535" s="565"/>
    </row>
    <row r="3536" spans="2:2">
      <c r="B3536" s="565"/>
    </row>
    <row r="3537" spans="2:2">
      <c r="B3537" s="565"/>
    </row>
    <row r="3538" spans="2:2">
      <c r="B3538" s="565"/>
    </row>
    <row r="3539" spans="2:2">
      <c r="B3539" s="565"/>
    </row>
    <row r="3540" spans="2:2">
      <c r="B3540" s="565"/>
    </row>
    <row r="3541" spans="2:2">
      <c r="B3541" s="565"/>
    </row>
    <row r="3542" spans="2:2">
      <c r="B3542" s="565"/>
    </row>
    <row r="3543" spans="2:2">
      <c r="B3543" s="565"/>
    </row>
    <row r="3544" spans="2:2">
      <c r="B3544" s="565"/>
    </row>
    <row r="3545" spans="2:2">
      <c r="B3545" s="565"/>
    </row>
    <row r="3546" spans="2:2">
      <c r="B3546" s="565"/>
    </row>
    <row r="3547" spans="2:2">
      <c r="B3547" s="565"/>
    </row>
    <row r="3548" spans="2:2">
      <c r="B3548" s="565"/>
    </row>
    <row r="3549" spans="2:2">
      <c r="B3549" s="565"/>
    </row>
    <row r="3550" spans="2:2">
      <c r="B3550" s="565"/>
    </row>
    <row r="3551" spans="2:2">
      <c r="B3551" s="565"/>
    </row>
    <row r="3552" spans="2:2">
      <c r="B3552" s="565"/>
    </row>
    <row r="3553" spans="2:2">
      <c r="B3553" s="565"/>
    </row>
    <row r="3554" spans="2:2">
      <c r="B3554" s="565"/>
    </row>
    <row r="3555" spans="2:2">
      <c r="B3555" s="565"/>
    </row>
    <row r="3556" spans="2:2">
      <c r="B3556" s="565"/>
    </row>
    <row r="3557" spans="2:2">
      <c r="B3557" s="565"/>
    </row>
    <row r="3558" spans="2:2">
      <c r="B3558" s="565"/>
    </row>
    <row r="3559" spans="2:2">
      <c r="B3559" s="565"/>
    </row>
    <row r="3560" spans="2:2">
      <c r="B3560" s="565"/>
    </row>
    <row r="3561" spans="2:2">
      <c r="B3561" s="565"/>
    </row>
    <row r="3562" spans="2:2">
      <c r="B3562" s="565"/>
    </row>
    <row r="3563" spans="2:2">
      <c r="B3563" s="565"/>
    </row>
    <row r="3564" spans="2:2">
      <c r="B3564" s="565"/>
    </row>
    <row r="3565" spans="2:2">
      <c r="B3565" s="565"/>
    </row>
    <row r="3566" spans="2:2">
      <c r="B3566" s="565"/>
    </row>
    <row r="3567" spans="2:2">
      <c r="B3567" s="565"/>
    </row>
    <row r="3568" spans="2:2">
      <c r="B3568" s="565"/>
    </row>
    <row r="3569" spans="2:2">
      <c r="B3569" s="565"/>
    </row>
    <row r="3570" spans="2:2">
      <c r="B3570" s="565"/>
    </row>
    <row r="3571" spans="2:2">
      <c r="B3571" s="565"/>
    </row>
    <row r="3572" spans="2:2">
      <c r="B3572" s="565"/>
    </row>
    <row r="3573" spans="2:2">
      <c r="B3573" s="565"/>
    </row>
    <row r="3574" spans="2:2">
      <c r="B3574" s="565"/>
    </row>
    <row r="3575" spans="2:2">
      <c r="B3575" s="565"/>
    </row>
    <row r="3576" spans="2:2">
      <c r="B3576" s="565"/>
    </row>
    <row r="3577" spans="2:2">
      <c r="B3577" s="565"/>
    </row>
    <row r="3578" spans="2:2">
      <c r="B3578" s="565"/>
    </row>
    <row r="3579" spans="2:2">
      <c r="B3579" s="565"/>
    </row>
    <row r="3580" spans="2:2">
      <c r="B3580" s="565"/>
    </row>
    <row r="3581" spans="2:2">
      <c r="B3581" s="565"/>
    </row>
    <row r="3582" spans="2:2">
      <c r="B3582" s="565"/>
    </row>
    <row r="3583" spans="2:2">
      <c r="B3583" s="565"/>
    </row>
    <row r="3584" spans="2:2">
      <c r="B3584" s="565"/>
    </row>
    <row r="3585" spans="2:2">
      <c r="B3585" s="565"/>
    </row>
    <row r="3586" spans="2:2">
      <c r="B3586" s="565"/>
    </row>
    <row r="3587" spans="2:2">
      <c r="B3587" s="565"/>
    </row>
    <row r="3588" spans="2:2">
      <c r="B3588" s="565"/>
    </row>
    <row r="3589" spans="2:2">
      <c r="B3589" s="565"/>
    </row>
    <row r="3590" spans="2:2">
      <c r="B3590" s="565"/>
    </row>
    <row r="3591" spans="2:2">
      <c r="B3591" s="565"/>
    </row>
    <row r="3592" spans="2:2">
      <c r="B3592" s="565"/>
    </row>
    <row r="3593" spans="2:2">
      <c r="B3593" s="565"/>
    </row>
    <row r="3594" spans="2:2">
      <c r="B3594" s="565"/>
    </row>
    <row r="3595" spans="2:2">
      <c r="B3595" s="565"/>
    </row>
    <row r="3596" spans="2:2">
      <c r="B3596" s="565"/>
    </row>
    <row r="3597" spans="2:2">
      <c r="B3597" s="565"/>
    </row>
    <row r="3598" spans="2:2">
      <c r="B3598" s="565"/>
    </row>
    <row r="3599" spans="2:2">
      <c r="B3599" s="565"/>
    </row>
    <row r="3600" spans="2:2">
      <c r="B3600" s="565"/>
    </row>
    <row r="3601" spans="2:2">
      <c r="B3601" s="565"/>
    </row>
    <row r="3602" spans="2:2">
      <c r="B3602" s="565"/>
    </row>
    <row r="3603" spans="2:2">
      <c r="B3603" s="565"/>
    </row>
    <row r="3604" spans="2:2">
      <c r="B3604" s="565"/>
    </row>
    <row r="3605" spans="2:2">
      <c r="B3605" s="565"/>
    </row>
    <row r="3606" spans="2:2">
      <c r="B3606" s="565"/>
    </row>
    <row r="3607" spans="2:2">
      <c r="B3607" s="565"/>
    </row>
    <row r="3608" spans="2:2">
      <c r="B3608" s="565"/>
    </row>
    <row r="3609" spans="2:2">
      <c r="B3609" s="565"/>
    </row>
    <row r="3610" spans="2:2">
      <c r="B3610" s="565"/>
    </row>
    <row r="3611" spans="2:2">
      <c r="B3611" s="565"/>
    </row>
    <row r="3612" spans="2:2">
      <c r="B3612" s="565"/>
    </row>
    <row r="3613" spans="2:2">
      <c r="B3613" s="565"/>
    </row>
    <row r="3614" spans="2:2">
      <c r="B3614" s="565"/>
    </row>
    <row r="3615" spans="2:2">
      <c r="B3615" s="565"/>
    </row>
    <row r="3616" spans="2:2">
      <c r="B3616" s="565"/>
    </row>
    <row r="3617" spans="2:2">
      <c r="B3617" s="565"/>
    </row>
    <row r="3618" spans="2:2">
      <c r="B3618" s="565"/>
    </row>
    <row r="3619" spans="2:2">
      <c r="B3619" s="565"/>
    </row>
    <row r="3620" spans="2:2">
      <c r="B3620" s="565"/>
    </row>
    <row r="3621" spans="2:2">
      <c r="B3621" s="565"/>
    </row>
    <row r="3622" spans="2:2">
      <c r="B3622" s="565"/>
    </row>
    <row r="3623" spans="2:2">
      <c r="B3623" s="565"/>
    </row>
    <row r="3624" spans="2:2">
      <c r="B3624" s="565"/>
    </row>
    <row r="3625" spans="2:2">
      <c r="B3625" s="565"/>
    </row>
    <row r="3626" spans="2:2">
      <c r="B3626" s="565"/>
    </row>
    <row r="3627" spans="2:2">
      <c r="B3627" s="565"/>
    </row>
    <row r="3628" spans="2:2">
      <c r="B3628" s="565"/>
    </row>
    <row r="3629" spans="2:2">
      <c r="B3629" s="565"/>
    </row>
    <row r="3630" spans="2:2">
      <c r="B3630" s="565"/>
    </row>
    <row r="3631" spans="2:2">
      <c r="B3631" s="565"/>
    </row>
    <row r="3632" spans="2:2">
      <c r="B3632" s="565"/>
    </row>
    <row r="3633" spans="2:2">
      <c r="B3633" s="565"/>
    </row>
    <row r="3634" spans="2:2">
      <c r="B3634" s="565"/>
    </row>
    <row r="3635" spans="2:2">
      <c r="B3635" s="565"/>
    </row>
    <row r="3636" spans="2:2">
      <c r="B3636" s="565"/>
    </row>
    <row r="3637" spans="2:2">
      <c r="B3637" s="565"/>
    </row>
    <row r="3638" spans="2:2">
      <c r="B3638" s="565"/>
    </row>
    <row r="3639" spans="2:2">
      <c r="B3639" s="565"/>
    </row>
    <row r="3640" spans="2:2">
      <c r="B3640" s="565"/>
    </row>
    <row r="3641" spans="2:2">
      <c r="B3641" s="565"/>
    </row>
    <row r="3642" spans="2:2">
      <c r="B3642" s="565"/>
    </row>
    <row r="3643" spans="2:2">
      <c r="B3643" s="565"/>
    </row>
    <row r="3644" spans="2:2">
      <c r="B3644" s="565"/>
    </row>
    <row r="3645" spans="2:2">
      <c r="B3645" s="565"/>
    </row>
    <row r="3646" spans="2:2">
      <c r="B3646" s="565"/>
    </row>
    <row r="3647" spans="2:2">
      <c r="B3647" s="565"/>
    </row>
    <row r="3648" spans="2:2">
      <c r="B3648" s="565"/>
    </row>
    <row r="3649" spans="2:2">
      <c r="B3649" s="565"/>
    </row>
    <row r="3650" spans="2:2">
      <c r="B3650" s="565"/>
    </row>
    <row r="3651" spans="2:2">
      <c r="B3651" s="565"/>
    </row>
    <row r="3652" spans="2:2">
      <c r="B3652" s="565"/>
    </row>
    <row r="3653" spans="2:2">
      <c r="B3653" s="565"/>
    </row>
    <row r="3654" spans="2:2">
      <c r="B3654" s="565"/>
    </row>
    <row r="3655" spans="2:2">
      <c r="B3655" s="565"/>
    </row>
    <row r="3656" spans="2:2">
      <c r="B3656" s="565"/>
    </row>
    <row r="3657" spans="2:2">
      <c r="B3657" s="565"/>
    </row>
    <row r="3658" spans="2:2">
      <c r="B3658" s="565"/>
    </row>
    <row r="3659" spans="2:2">
      <c r="B3659" s="565"/>
    </row>
    <row r="3660" spans="2:2">
      <c r="B3660" s="565"/>
    </row>
    <row r="3661" spans="2:2">
      <c r="B3661" s="565"/>
    </row>
    <row r="3662" spans="2:2">
      <c r="B3662" s="565"/>
    </row>
    <row r="3663" spans="2:2">
      <c r="B3663" s="565"/>
    </row>
    <row r="3664" spans="2:2">
      <c r="B3664" s="565"/>
    </row>
    <row r="3665" spans="2:2">
      <c r="B3665" s="565"/>
    </row>
    <row r="3666" spans="2:2">
      <c r="B3666" s="565"/>
    </row>
    <row r="3667" spans="2:2">
      <c r="B3667" s="565"/>
    </row>
    <row r="3668" spans="2:2">
      <c r="B3668" s="565"/>
    </row>
    <row r="3669" spans="2:2">
      <c r="B3669" s="565"/>
    </row>
    <row r="3670" spans="2:2">
      <c r="B3670" s="565"/>
    </row>
    <row r="3671" spans="2:2">
      <c r="B3671" s="565"/>
    </row>
    <row r="3672" spans="2:2">
      <c r="B3672" s="565"/>
    </row>
    <row r="3673" spans="2:2">
      <c r="B3673" s="565"/>
    </row>
    <row r="3674" spans="2:2">
      <c r="B3674" s="565"/>
    </row>
    <row r="3675" spans="2:2">
      <c r="B3675" s="565"/>
    </row>
    <row r="3676" spans="2:2">
      <c r="B3676" s="565"/>
    </row>
    <row r="3677" spans="2:2">
      <c r="B3677" s="565"/>
    </row>
    <row r="3678" spans="2:2">
      <c r="B3678" s="565"/>
    </row>
    <row r="3679" spans="2:2">
      <c r="B3679" s="565"/>
    </row>
    <row r="3680" spans="2:2">
      <c r="B3680" s="565"/>
    </row>
    <row r="3681" spans="2:2">
      <c r="B3681" s="565"/>
    </row>
    <row r="3682" spans="2:2">
      <c r="B3682" s="565"/>
    </row>
    <row r="3683" spans="2:2">
      <c r="B3683" s="565"/>
    </row>
    <row r="3684" spans="2:2">
      <c r="B3684" s="565"/>
    </row>
    <row r="3685" spans="2:2">
      <c r="B3685" s="565"/>
    </row>
    <row r="3686" spans="2:2">
      <c r="B3686" s="565"/>
    </row>
    <row r="3687" spans="2:2">
      <c r="B3687" s="565"/>
    </row>
    <row r="3688" spans="2:2">
      <c r="B3688" s="565"/>
    </row>
    <row r="3689" spans="2:2">
      <c r="B3689" s="565"/>
    </row>
    <row r="3690" spans="2:2">
      <c r="B3690" s="565"/>
    </row>
    <row r="3691" spans="2:2">
      <c r="B3691" s="565"/>
    </row>
    <row r="3692" spans="2:2">
      <c r="B3692" s="565"/>
    </row>
    <row r="3693" spans="2:2">
      <c r="B3693" s="565"/>
    </row>
    <row r="3694" spans="2:2">
      <c r="B3694" s="565"/>
    </row>
    <row r="3695" spans="2:2">
      <c r="B3695" s="565"/>
    </row>
    <row r="3696" spans="2:2">
      <c r="B3696" s="565"/>
    </row>
    <row r="3697" spans="2:2">
      <c r="B3697" s="565"/>
    </row>
    <row r="3698" spans="2:2">
      <c r="B3698" s="565"/>
    </row>
    <row r="3699" spans="2:2">
      <c r="B3699" s="565"/>
    </row>
    <row r="3700" spans="2:2">
      <c r="B3700" s="565"/>
    </row>
    <row r="3701" spans="2:2">
      <c r="B3701" s="565"/>
    </row>
    <row r="3702" spans="2:2">
      <c r="B3702" s="565"/>
    </row>
    <row r="3703" spans="2:2">
      <c r="B3703" s="565"/>
    </row>
    <row r="3704" spans="2:2">
      <c r="B3704" s="565"/>
    </row>
    <row r="3705" spans="2:2">
      <c r="B3705" s="565"/>
    </row>
    <row r="3706" spans="2:2">
      <c r="B3706" s="565"/>
    </row>
    <row r="3707" spans="2:2">
      <c r="B3707" s="565"/>
    </row>
    <row r="3708" spans="2:2">
      <c r="B3708" s="565"/>
    </row>
    <row r="3709" spans="2:2">
      <c r="B3709" s="565"/>
    </row>
    <row r="3710" spans="2:2">
      <c r="B3710" s="565"/>
    </row>
    <row r="3711" spans="2:2">
      <c r="B3711" s="565"/>
    </row>
    <row r="3712" spans="2:2">
      <c r="B3712" s="565"/>
    </row>
    <row r="3713" spans="2:2">
      <c r="B3713" s="565"/>
    </row>
    <row r="3714" spans="2:2">
      <c r="B3714" s="565"/>
    </row>
    <row r="3715" spans="2:2">
      <c r="B3715" s="565"/>
    </row>
    <row r="3716" spans="2:2">
      <c r="B3716" s="565"/>
    </row>
    <row r="3717" spans="2:2">
      <c r="B3717" s="565"/>
    </row>
    <row r="3718" spans="2:2">
      <c r="B3718" s="565"/>
    </row>
    <row r="3719" spans="2:2">
      <c r="B3719" s="565"/>
    </row>
    <row r="3720" spans="2:2">
      <c r="B3720" s="565"/>
    </row>
    <row r="3721" spans="2:2">
      <c r="B3721" s="565"/>
    </row>
    <row r="3722" spans="2:2">
      <c r="B3722" s="565"/>
    </row>
    <row r="3723" spans="2:2">
      <c r="B3723" s="565"/>
    </row>
    <row r="3724" spans="2:2">
      <c r="B3724" s="565"/>
    </row>
    <row r="3725" spans="2:2">
      <c r="B3725" s="565"/>
    </row>
    <row r="3726" spans="2:2">
      <c r="B3726" s="565"/>
    </row>
    <row r="3727" spans="2:2">
      <c r="B3727" s="565"/>
    </row>
    <row r="3728" spans="2:2">
      <c r="B3728" s="565"/>
    </row>
    <row r="3729" spans="2:2">
      <c r="B3729" s="565"/>
    </row>
    <row r="3730" spans="2:2">
      <c r="B3730" s="565"/>
    </row>
    <row r="3731" spans="2:2">
      <c r="B3731" s="565"/>
    </row>
    <row r="3732" spans="2:2">
      <c r="B3732" s="565"/>
    </row>
    <row r="3733" spans="2:2">
      <c r="B3733" s="565"/>
    </row>
    <row r="3734" spans="2:2">
      <c r="B3734" s="565"/>
    </row>
    <row r="3735" spans="2:2">
      <c r="B3735" s="565"/>
    </row>
    <row r="3736" spans="2:2">
      <c r="B3736" s="565"/>
    </row>
    <row r="3737" spans="2:2">
      <c r="B3737" s="565"/>
    </row>
    <row r="3738" spans="2:2">
      <c r="B3738" s="565"/>
    </row>
    <row r="3739" spans="2:2">
      <c r="B3739" s="565"/>
    </row>
    <row r="3740" spans="2:2">
      <c r="B3740" s="565"/>
    </row>
    <row r="3741" spans="2:2">
      <c r="B3741" s="565"/>
    </row>
    <row r="3742" spans="2:2">
      <c r="B3742" s="565"/>
    </row>
    <row r="3743" spans="2:2">
      <c r="B3743" s="565"/>
    </row>
    <row r="3744" spans="2:2">
      <c r="B3744" s="565"/>
    </row>
    <row r="3745" spans="2:2">
      <c r="B3745" s="565"/>
    </row>
    <row r="3746" spans="2:2">
      <c r="B3746" s="565"/>
    </row>
    <row r="3747" spans="2:2">
      <c r="B3747" s="565"/>
    </row>
    <row r="3748" spans="2:2">
      <c r="B3748" s="565"/>
    </row>
    <row r="3749" spans="2:2">
      <c r="B3749" s="565"/>
    </row>
    <row r="3750" spans="2:2">
      <c r="B3750" s="565"/>
    </row>
    <row r="3751" spans="2:2">
      <c r="B3751" s="565"/>
    </row>
    <row r="3752" spans="2:2">
      <c r="B3752" s="565"/>
    </row>
    <row r="3753" spans="2:2">
      <c r="B3753" s="565"/>
    </row>
    <row r="3754" spans="2:2">
      <c r="B3754" s="565"/>
    </row>
    <row r="3755" spans="2:2">
      <c r="B3755" s="565"/>
    </row>
    <row r="3756" spans="2:2">
      <c r="B3756" s="565"/>
    </row>
    <row r="3757" spans="2:2">
      <c r="B3757" s="565"/>
    </row>
    <row r="3758" spans="2:2">
      <c r="B3758" s="565"/>
    </row>
    <row r="3759" spans="2:2">
      <c r="B3759" s="565"/>
    </row>
    <row r="3760" spans="2:2">
      <c r="B3760" s="565"/>
    </row>
    <row r="3761" spans="2:2">
      <c r="B3761" s="565"/>
    </row>
    <row r="3762" spans="2:2">
      <c r="B3762" s="565"/>
    </row>
    <row r="3763" spans="2:2">
      <c r="B3763" s="565"/>
    </row>
    <row r="3764" spans="2:2">
      <c r="B3764" s="565"/>
    </row>
    <row r="3765" spans="2:2">
      <c r="B3765" s="565"/>
    </row>
    <row r="3766" spans="2:2">
      <c r="B3766" s="565"/>
    </row>
    <row r="3767" spans="2:2">
      <c r="B3767" s="565"/>
    </row>
    <row r="3768" spans="2:2">
      <c r="B3768" s="565"/>
    </row>
    <row r="3769" spans="2:2">
      <c r="B3769" s="565"/>
    </row>
    <row r="3770" spans="2:2">
      <c r="B3770" s="565"/>
    </row>
    <row r="3771" spans="2:2">
      <c r="B3771" s="565"/>
    </row>
    <row r="3772" spans="2:2">
      <c r="B3772" s="565"/>
    </row>
    <row r="3773" spans="2:2">
      <c r="B3773" s="565"/>
    </row>
    <row r="3774" spans="2:2">
      <c r="B3774" s="565"/>
    </row>
    <row r="3775" spans="2:2">
      <c r="B3775" s="565"/>
    </row>
    <row r="3776" spans="2:2">
      <c r="B3776" s="565"/>
    </row>
    <row r="3777" spans="2:2">
      <c r="B3777" s="565"/>
    </row>
    <row r="3778" spans="2:2">
      <c r="B3778" s="565"/>
    </row>
    <row r="3779" spans="2:2">
      <c r="B3779" s="565"/>
    </row>
    <row r="3780" spans="2:2">
      <c r="B3780" s="565"/>
    </row>
    <row r="3781" spans="2:2">
      <c r="B3781" s="565"/>
    </row>
    <row r="3782" spans="2:2">
      <c r="B3782" s="565"/>
    </row>
    <row r="3783" spans="2:2">
      <c r="B3783" s="565"/>
    </row>
    <row r="3784" spans="2:2">
      <c r="B3784" s="565"/>
    </row>
    <row r="3785" spans="2:2">
      <c r="B3785" s="565"/>
    </row>
    <row r="3786" spans="2:2">
      <c r="B3786" s="565"/>
    </row>
    <row r="3787" spans="2:2">
      <c r="B3787" s="565"/>
    </row>
    <row r="3788" spans="2:2">
      <c r="B3788" s="565"/>
    </row>
    <row r="3789" spans="2:2">
      <c r="B3789" s="565"/>
    </row>
    <row r="3790" spans="2:2">
      <c r="B3790" s="565"/>
    </row>
    <row r="3791" spans="2:2">
      <c r="B3791" s="565"/>
    </row>
    <row r="3792" spans="2:2">
      <c r="B3792" s="565"/>
    </row>
    <row r="3793" spans="2:2">
      <c r="B3793" s="565"/>
    </row>
    <row r="3794" spans="2:2">
      <c r="B3794" s="565"/>
    </row>
    <row r="3795" spans="2:2">
      <c r="B3795" s="565"/>
    </row>
    <row r="3796" spans="2:2">
      <c r="B3796" s="565"/>
    </row>
    <row r="3797" spans="2:2">
      <c r="B3797" s="565"/>
    </row>
    <row r="3798" spans="2:2">
      <c r="B3798" s="565"/>
    </row>
    <row r="3799" spans="2:2">
      <c r="B3799" s="565"/>
    </row>
    <row r="3800" spans="2:2">
      <c r="B3800" s="565"/>
    </row>
    <row r="3801" spans="2:2">
      <c r="B3801" s="565"/>
    </row>
    <row r="3802" spans="2:2">
      <c r="B3802" s="565"/>
    </row>
    <row r="3803" spans="2:2">
      <c r="B3803" s="565"/>
    </row>
    <row r="3804" spans="2:2">
      <c r="B3804" s="565"/>
    </row>
    <row r="3805" spans="2:2">
      <c r="B3805" s="565"/>
    </row>
    <row r="3806" spans="2:2">
      <c r="B3806" s="565"/>
    </row>
    <row r="3807" spans="2:2">
      <c r="B3807" s="565"/>
    </row>
    <row r="3808" spans="2:2">
      <c r="B3808" s="565"/>
    </row>
    <row r="3809" spans="2:2">
      <c r="B3809" s="565"/>
    </row>
    <row r="3810" spans="2:2">
      <c r="B3810" s="565"/>
    </row>
    <row r="3811" spans="2:2">
      <c r="B3811" s="565"/>
    </row>
    <row r="3812" spans="2:2">
      <c r="B3812" s="565"/>
    </row>
    <row r="3813" spans="2:2">
      <c r="B3813" s="565"/>
    </row>
    <row r="3814" spans="2:2">
      <c r="B3814" s="565"/>
    </row>
    <row r="3815" spans="2:2">
      <c r="B3815" s="565"/>
    </row>
    <row r="3816" spans="2:2">
      <c r="B3816" s="565"/>
    </row>
    <row r="3817" spans="2:2">
      <c r="B3817" s="565"/>
    </row>
    <row r="3818" spans="2:2">
      <c r="B3818" s="565"/>
    </row>
    <row r="3819" spans="2:2">
      <c r="B3819" s="565"/>
    </row>
    <row r="3820" spans="2:2">
      <c r="B3820" s="565"/>
    </row>
    <row r="3821" spans="2:2">
      <c r="B3821" s="565"/>
    </row>
    <row r="3822" spans="2:2">
      <c r="B3822" s="565"/>
    </row>
    <row r="3823" spans="2:2">
      <c r="B3823" s="565"/>
    </row>
    <row r="3824" spans="2:2">
      <c r="B3824" s="565"/>
    </row>
    <row r="3825" spans="2:2">
      <c r="B3825" s="565"/>
    </row>
    <row r="3826" spans="2:2">
      <c r="B3826" s="565"/>
    </row>
    <row r="3827" spans="2:2">
      <c r="B3827" s="565"/>
    </row>
    <row r="3828" spans="2:2">
      <c r="B3828" s="565"/>
    </row>
    <row r="3829" spans="2:2">
      <c r="B3829" s="565"/>
    </row>
    <row r="3830" spans="2:2">
      <c r="B3830" s="565"/>
    </row>
    <row r="3831" spans="2:2">
      <c r="B3831" s="565"/>
    </row>
    <row r="3832" spans="2:2">
      <c r="B3832" s="565"/>
    </row>
    <row r="3833" spans="2:2">
      <c r="B3833" s="565"/>
    </row>
    <row r="3834" spans="2:2">
      <c r="B3834" s="565"/>
    </row>
    <row r="3835" spans="2:2">
      <c r="B3835" s="565"/>
    </row>
    <row r="3836" spans="2:2">
      <c r="B3836" s="565"/>
    </row>
    <row r="3837" spans="2:2">
      <c r="B3837" s="565"/>
    </row>
    <row r="3838" spans="2:2">
      <c r="B3838" s="565"/>
    </row>
    <row r="3839" spans="2:2">
      <c r="B3839" s="565"/>
    </row>
    <row r="3840" spans="2:2">
      <c r="B3840" s="565"/>
    </row>
    <row r="3841" spans="2:2">
      <c r="B3841" s="565"/>
    </row>
    <row r="3842" spans="2:2">
      <c r="B3842" s="565"/>
    </row>
    <row r="3843" spans="2:2">
      <c r="B3843" s="565"/>
    </row>
    <row r="3844" spans="2:2">
      <c r="B3844" s="565"/>
    </row>
    <row r="3845" spans="2:2">
      <c r="B3845" s="565"/>
    </row>
    <row r="3846" spans="2:2">
      <c r="B3846" s="565"/>
    </row>
    <row r="3847" spans="2:2">
      <c r="B3847" s="565"/>
    </row>
    <row r="3848" spans="2:2">
      <c r="B3848" s="565"/>
    </row>
    <row r="3849" spans="2:2">
      <c r="B3849" s="565"/>
    </row>
    <row r="3850" spans="2:2">
      <c r="B3850" s="565"/>
    </row>
    <row r="3851" spans="2:2">
      <c r="B3851" s="565"/>
    </row>
    <row r="3852" spans="2:2">
      <c r="B3852" s="565"/>
    </row>
    <row r="3853" spans="2:2">
      <c r="B3853" s="565"/>
    </row>
    <row r="3854" spans="2:2">
      <c r="B3854" s="565"/>
    </row>
    <row r="3855" spans="2:2">
      <c r="B3855" s="565"/>
    </row>
    <row r="3856" spans="2:2">
      <c r="B3856" s="565"/>
    </row>
    <row r="3857" spans="2:2">
      <c r="B3857" s="565"/>
    </row>
    <row r="3858" spans="2:2">
      <c r="B3858" s="565"/>
    </row>
    <row r="3859" spans="2:2">
      <c r="B3859" s="565"/>
    </row>
    <row r="3860" spans="2:2">
      <c r="B3860" s="565"/>
    </row>
    <row r="3861" spans="2:2">
      <c r="B3861" s="565"/>
    </row>
    <row r="3862" spans="2:2">
      <c r="B3862" s="565"/>
    </row>
    <row r="3863" spans="2:2">
      <c r="B3863" s="565"/>
    </row>
    <row r="3864" spans="2:2">
      <c r="B3864" s="565"/>
    </row>
    <row r="3865" spans="2:2">
      <c r="B3865" s="565"/>
    </row>
    <row r="3866" spans="2:2">
      <c r="B3866" s="565"/>
    </row>
    <row r="3867" spans="2:2">
      <c r="B3867" s="565"/>
    </row>
    <row r="3868" spans="2:2">
      <c r="B3868" s="565"/>
    </row>
    <row r="3869" spans="2:2">
      <c r="B3869" s="565"/>
    </row>
    <row r="3870" spans="2:2">
      <c r="B3870" s="565"/>
    </row>
    <row r="3871" spans="2:2">
      <c r="B3871" s="565"/>
    </row>
    <row r="3872" spans="2:2">
      <c r="B3872" s="565"/>
    </row>
    <row r="3873" spans="2:2">
      <c r="B3873" s="565"/>
    </row>
    <row r="3874" spans="2:2">
      <c r="B3874" s="565"/>
    </row>
    <row r="3875" spans="2:2">
      <c r="B3875" s="565"/>
    </row>
    <row r="3876" spans="2:2">
      <c r="B3876" s="565"/>
    </row>
    <row r="3877" spans="2:2">
      <c r="B3877" s="565"/>
    </row>
    <row r="3878" spans="2:2">
      <c r="B3878" s="565"/>
    </row>
    <row r="3879" spans="2:2">
      <c r="B3879" s="565"/>
    </row>
    <row r="3880" spans="2:2">
      <c r="B3880" s="565"/>
    </row>
    <row r="3881" spans="2:2">
      <c r="B3881" s="565"/>
    </row>
    <row r="3882" spans="2:2">
      <c r="B3882" s="565"/>
    </row>
    <row r="3883" spans="2:2">
      <c r="B3883" s="565"/>
    </row>
    <row r="3884" spans="2:2">
      <c r="B3884" s="565"/>
    </row>
    <row r="3885" spans="2:2">
      <c r="B3885" s="565"/>
    </row>
    <row r="3886" spans="2:2">
      <c r="B3886" s="565"/>
    </row>
    <row r="3887" spans="2:2">
      <c r="B3887" s="565"/>
    </row>
    <row r="3888" spans="2:2">
      <c r="B3888" s="565"/>
    </row>
    <row r="3889" spans="2:2">
      <c r="B3889" s="565"/>
    </row>
    <row r="3890" spans="2:2">
      <c r="B3890" s="565"/>
    </row>
    <row r="3891" spans="2:2">
      <c r="B3891" s="565"/>
    </row>
    <row r="3892" spans="2:2">
      <c r="B3892" s="565"/>
    </row>
    <row r="3893" spans="2:2">
      <c r="B3893" s="565"/>
    </row>
    <row r="3894" spans="2:2">
      <c r="B3894" s="565"/>
    </row>
    <row r="3895" spans="2:2">
      <c r="B3895" s="565"/>
    </row>
    <row r="3896" spans="2:2">
      <c r="B3896" s="565"/>
    </row>
    <row r="3897" spans="2:2">
      <c r="B3897" s="565"/>
    </row>
    <row r="3898" spans="2:2">
      <c r="B3898" s="565"/>
    </row>
    <row r="3899" spans="2:2">
      <c r="B3899" s="565"/>
    </row>
    <row r="3900" spans="2:2">
      <c r="B3900" s="565"/>
    </row>
    <row r="3901" spans="2:2">
      <c r="B3901" s="565"/>
    </row>
    <row r="3902" spans="2:2">
      <c r="B3902" s="565"/>
    </row>
    <row r="3903" spans="2:2">
      <c r="B3903" s="565"/>
    </row>
    <row r="3904" spans="2:2">
      <c r="B3904" s="565"/>
    </row>
    <row r="3905" spans="2:2">
      <c r="B3905" s="565"/>
    </row>
    <row r="3906" spans="2:2">
      <c r="B3906" s="565"/>
    </row>
    <row r="3907" spans="2:2">
      <c r="B3907" s="565"/>
    </row>
    <row r="3908" spans="2:2">
      <c r="B3908" s="565"/>
    </row>
    <row r="3909" spans="2:2">
      <c r="B3909" s="565"/>
    </row>
    <row r="3910" spans="2:2">
      <c r="B3910" s="565"/>
    </row>
    <row r="3911" spans="2:2">
      <c r="B3911" s="565"/>
    </row>
    <row r="3912" spans="2:2">
      <c r="B3912" s="565"/>
    </row>
    <row r="3913" spans="2:2">
      <c r="B3913" s="565"/>
    </row>
    <row r="3914" spans="2:2">
      <c r="B3914" s="565"/>
    </row>
    <row r="3915" spans="2:2">
      <c r="B3915" s="565"/>
    </row>
    <row r="3916" spans="2:2">
      <c r="B3916" s="565"/>
    </row>
    <row r="3917" spans="2:2">
      <c r="B3917" s="565"/>
    </row>
    <row r="3918" spans="2:2">
      <c r="B3918" s="565"/>
    </row>
    <row r="3919" spans="2:2">
      <c r="B3919" s="565"/>
    </row>
    <row r="3920" spans="2:2">
      <c r="B3920" s="565"/>
    </row>
    <row r="3921" spans="2:2">
      <c r="B3921" s="565"/>
    </row>
    <row r="3922" spans="2:2">
      <c r="B3922" s="565"/>
    </row>
    <row r="3923" spans="2:2">
      <c r="B3923" s="565"/>
    </row>
    <row r="3924" spans="2:2">
      <c r="B3924" s="565"/>
    </row>
    <row r="3925" spans="2:2">
      <c r="B3925" s="565"/>
    </row>
    <row r="3926" spans="2:2">
      <c r="B3926" s="565"/>
    </row>
    <row r="3927" spans="2:2">
      <c r="B3927" s="565"/>
    </row>
    <row r="3928" spans="2:2">
      <c r="B3928" s="565"/>
    </row>
    <row r="3929" spans="2:2">
      <c r="B3929" s="565"/>
    </row>
    <row r="3930" spans="2:2">
      <c r="B3930" s="565"/>
    </row>
    <row r="3931" spans="2:2">
      <c r="B3931" s="565"/>
    </row>
    <row r="3932" spans="2:2">
      <c r="B3932" s="565"/>
    </row>
    <row r="3933" spans="2:2">
      <c r="B3933" s="565"/>
    </row>
    <row r="3934" spans="2:2">
      <c r="B3934" s="565"/>
    </row>
    <row r="3935" spans="2:2">
      <c r="B3935" s="565"/>
    </row>
    <row r="3936" spans="2:2">
      <c r="B3936" s="565"/>
    </row>
    <row r="3937" spans="2:2">
      <c r="B3937" s="565"/>
    </row>
    <row r="3938" spans="2:2">
      <c r="B3938" s="565"/>
    </row>
    <row r="3939" spans="2:2">
      <c r="B3939" s="565"/>
    </row>
    <row r="3940" spans="2:2">
      <c r="B3940" s="565"/>
    </row>
    <row r="3941" spans="2:2">
      <c r="B3941" s="565"/>
    </row>
    <row r="3942" spans="2:2">
      <c r="B3942" s="565"/>
    </row>
    <row r="3943" spans="2:2">
      <c r="B3943" s="565"/>
    </row>
    <row r="3944" spans="2:2">
      <c r="B3944" s="565"/>
    </row>
    <row r="3945" spans="2:2">
      <c r="B3945" s="565"/>
    </row>
    <row r="3946" spans="2:2">
      <c r="B3946" s="565"/>
    </row>
    <row r="3947" spans="2:2">
      <c r="B3947" s="565"/>
    </row>
    <row r="3948" spans="2:2">
      <c r="B3948" s="565"/>
    </row>
    <row r="3949" spans="2:2">
      <c r="B3949" s="565"/>
    </row>
    <row r="3950" spans="2:2">
      <c r="B3950" s="565"/>
    </row>
    <row r="3951" spans="2:2">
      <c r="B3951" s="565"/>
    </row>
    <row r="3952" spans="2:2">
      <c r="B3952" s="565"/>
    </row>
    <row r="3953" spans="2:2">
      <c r="B3953" s="565"/>
    </row>
    <row r="3954" spans="2:2">
      <c r="B3954" s="565"/>
    </row>
    <row r="3955" spans="2:2">
      <c r="B3955" s="565"/>
    </row>
    <row r="3956" spans="2:2">
      <c r="B3956" s="565"/>
    </row>
    <row r="3957" spans="2:2">
      <c r="B3957" s="565"/>
    </row>
    <row r="3958" spans="2:2">
      <c r="B3958" s="565"/>
    </row>
    <row r="3959" spans="2:2">
      <c r="B3959" s="565"/>
    </row>
    <row r="3960" spans="2:2">
      <c r="B3960" s="565"/>
    </row>
    <row r="3961" spans="2:2">
      <c r="B3961" s="565"/>
    </row>
    <row r="3962" spans="2:2">
      <c r="B3962" s="565"/>
    </row>
    <row r="3963" spans="2:2">
      <c r="B3963" s="565"/>
    </row>
    <row r="3964" spans="2:2">
      <c r="B3964" s="565"/>
    </row>
    <row r="3965" spans="2:2">
      <c r="B3965" s="565"/>
    </row>
    <row r="3966" spans="2:2">
      <c r="B3966" s="565"/>
    </row>
    <row r="3967" spans="2:2">
      <c r="B3967" s="565"/>
    </row>
    <row r="3968" spans="2:2">
      <c r="B3968" s="565"/>
    </row>
    <row r="3969" spans="2:2">
      <c r="B3969" s="565"/>
    </row>
    <row r="3970" spans="2:2">
      <c r="B3970" s="565"/>
    </row>
    <row r="3971" spans="2:2">
      <c r="B3971" s="565"/>
    </row>
    <row r="3972" spans="2:2">
      <c r="B3972" s="565"/>
    </row>
    <row r="3973" spans="2:2">
      <c r="B3973" s="565"/>
    </row>
    <row r="3974" spans="2:2">
      <c r="B3974" s="565"/>
    </row>
    <row r="3975" spans="2:2">
      <c r="B3975" s="565"/>
    </row>
    <row r="3976" spans="2:2">
      <c r="B3976" s="565"/>
    </row>
    <row r="3977" spans="2:2">
      <c r="B3977" s="565"/>
    </row>
    <row r="3978" spans="2:2">
      <c r="B3978" s="565"/>
    </row>
    <row r="3979" spans="2:2">
      <c r="B3979" s="565"/>
    </row>
    <row r="3980" spans="2:2">
      <c r="B3980" s="565"/>
    </row>
    <row r="3981" spans="2:2">
      <c r="B3981" s="565"/>
    </row>
    <row r="3982" spans="2:2">
      <c r="B3982" s="565"/>
    </row>
    <row r="3983" spans="2:2">
      <c r="B3983" s="565"/>
    </row>
    <row r="3984" spans="2:2">
      <c r="B3984" s="565"/>
    </row>
    <row r="3985" spans="2:2">
      <c r="B3985" s="565"/>
    </row>
    <row r="3986" spans="2:2">
      <c r="B3986" s="565"/>
    </row>
    <row r="3987" spans="2:2">
      <c r="B3987" s="565"/>
    </row>
    <row r="3988" spans="2:2">
      <c r="B3988" s="565"/>
    </row>
    <row r="3989" spans="2:2">
      <c r="B3989" s="565"/>
    </row>
    <row r="3990" spans="2:2">
      <c r="B3990" s="565"/>
    </row>
    <row r="3991" spans="2:2">
      <c r="B3991" s="565"/>
    </row>
    <row r="3992" spans="2:2">
      <c r="B3992" s="565"/>
    </row>
    <row r="3993" spans="2:2">
      <c r="B3993" s="565"/>
    </row>
    <row r="3994" spans="2:2">
      <c r="B3994" s="565"/>
    </row>
    <row r="3995" spans="2:2">
      <c r="B3995" s="565"/>
    </row>
    <row r="3996" spans="2:2">
      <c r="B3996" s="565"/>
    </row>
    <row r="3997" spans="2:2">
      <c r="B3997" s="565"/>
    </row>
    <row r="3998" spans="2:2">
      <c r="B3998" s="565"/>
    </row>
    <row r="3999" spans="2:2">
      <c r="B3999" s="565"/>
    </row>
    <row r="4000" spans="2:2">
      <c r="B4000" s="565"/>
    </row>
    <row r="4001" spans="2:2">
      <c r="B4001" s="565"/>
    </row>
    <row r="4002" spans="2:2">
      <c r="B4002" s="565"/>
    </row>
    <row r="4003" spans="2:2">
      <c r="B4003" s="565"/>
    </row>
    <row r="4004" spans="2:2">
      <c r="B4004" s="565"/>
    </row>
    <row r="4005" spans="2:2">
      <c r="B4005" s="565"/>
    </row>
    <row r="4006" spans="2:2">
      <c r="B4006" s="565"/>
    </row>
    <row r="4007" spans="2:2">
      <c r="B4007" s="565"/>
    </row>
    <row r="4008" spans="2:2">
      <c r="B4008" s="565"/>
    </row>
    <row r="4009" spans="2:2">
      <c r="B4009" s="565"/>
    </row>
    <row r="4010" spans="2:2">
      <c r="B4010" s="565"/>
    </row>
    <row r="4011" spans="2:2">
      <c r="B4011" s="565"/>
    </row>
    <row r="4012" spans="2:2">
      <c r="B4012" s="565"/>
    </row>
    <row r="4013" spans="2:2">
      <c r="B4013" s="565"/>
    </row>
    <row r="4014" spans="2:2">
      <c r="B4014" s="565"/>
    </row>
    <row r="4015" spans="2:2">
      <c r="B4015" s="565"/>
    </row>
    <row r="4016" spans="2:2">
      <c r="B4016" s="565"/>
    </row>
    <row r="4017" spans="2:2">
      <c r="B4017" s="565"/>
    </row>
    <row r="4018" spans="2:2">
      <c r="B4018" s="565"/>
    </row>
    <row r="4019" spans="2:2">
      <c r="B4019" s="565"/>
    </row>
    <row r="4020" spans="2:2">
      <c r="B4020" s="565"/>
    </row>
    <row r="4021" spans="2:2">
      <c r="B4021" s="565"/>
    </row>
    <row r="4022" spans="2:2">
      <c r="B4022" s="565"/>
    </row>
    <row r="4023" spans="2:2">
      <c r="B4023" s="565"/>
    </row>
    <row r="4024" spans="2:2">
      <c r="B4024" s="565"/>
    </row>
    <row r="4025" spans="2:2">
      <c r="B4025" s="565"/>
    </row>
    <row r="4026" spans="2:2">
      <c r="B4026" s="565"/>
    </row>
    <row r="4027" spans="2:2">
      <c r="B4027" s="565"/>
    </row>
    <row r="4028" spans="2:2">
      <c r="B4028" s="565"/>
    </row>
    <row r="4029" spans="2:2">
      <c r="B4029" s="565"/>
    </row>
    <row r="4030" spans="2:2">
      <c r="B4030" s="565"/>
    </row>
    <row r="4031" spans="2:2">
      <c r="B4031" s="565"/>
    </row>
    <row r="4032" spans="2:2">
      <c r="B4032" s="565"/>
    </row>
    <row r="4033" spans="2:2">
      <c r="B4033" s="565"/>
    </row>
    <row r="4034" spans="2:2">
      <c r="B4034" s="565"/>
    </row>
    <row r="4035" spans="2:2">
      <c r="B4035" s="565"/>
    </row>
    <row r="4036" spans="2:2">
      <c r="B4036" s="565"/>
    </row>
    <row r="4037" spans="2:2">
      <c r="B4037" s="565"/>
    </row>
    <row r="4038" spans="2:2">
      <c r="B4038" s="565"/>
    </row>
    <row r="4039" spans="2:2">
      <c r="B4039" s="565"/>
    </row>
    <row r="4040" spans="2:2">
      <c r="B4040" s="565"/>
    </row>
    <row r="4041" spans="2:2">
      <c r="B4041" s="565"/>
    </row>
    <row r="4042" spans="2:2">
      <c r="B4042" s="565"/>
    </row>
    <row r="4043" spans="2:2">
      <c r="B4043" s="565"/>
    </row>
    <row r="4044" spans="2:2">
      <c r="B4044" s="565"/>
    </row>
    <row r="4045" spans="2:2">
      <c r="B4045" s="565"/>
    </row>
    <row r="4046" spans="2:2">
      <c r="B4046" s="565"/>
    </row>
    <row r="4047" spans="2:2">
      <c r="B4047" s="565"/>
    </row>
    <row r="4048" spans="2:2">
      <c r="B4048" s="565"/>
    </row>
    <row r="4049" spans="2:2">
      <c r="B4049" s="565"/>
    </row>
    <row r="4050" spans="2:2">
      <c r="B4050" s="565"/>
    </row>
    <row r="4051" spans="2:2">
      <c r="B4051" s="565"/>
    </row>
    <row r="4052" spans="2:2">
      <c r="B4052" s="565"/>
    </row>
    <row r="4053" spans="2:2">
      <c r="B4053" s="565"/>
    </row>
    <row r="4054" spans="2:2">
      <c r="B4054" s="565"/>
    </row>
    <row r="4055" spans="2:2">
      <c r="B4055" s="565"/>
    </row>
    <row r="4056" spans="2:2">
      <c r="B4056" s="565"/>
    </row>
    <row r="4057" spans="2:2">
      <c r="B4057" s="565"/>
    </row>
    <row r="4058" spans="2:2">
      <c r="B4058" s="565"/>
    </row>
    <row r="4059" spans="2:2">
      <c r="B4059" s="565"/>
    </row>
    <row r="4060" spans="2:2">
      <c r="B4060" s="565"/>
    </row>
    <row r="4061" spans="2:2">
      <c r="B4061" s="565"/>
    </row>
    <row r="4062" spans="2:2">
      <c r="B4062" s="565"/>
    </row>
    <row r="4063" spans="2:2">
      <c r="B4063" s="565"/>
    </row>
    <row r="4064" spans="2:2">
      <c r="B4064" s="565"/>
    </row>
    <row r="4065" spans="2:2">
      <c r="B4065" s="565"/>
    </row>
    <row r="4066" spans="2:2">
      <c r="B4066" s="565"/>
    </row>
    <row r="4067" spans="2:2">
      <c r="B4067" s="565"/>
    </row>
    <row r="4068" spans="2:2">
      <c r="B4068" s="565"/>
    </row>
    <row r="4069" spans="2:2">
      <c r="B4069" s="565"/>
    </row>
    <row r="4070" spans="2:2">
      <c r="B4070" s="565"/>
    </row>
    <row r="4071" spans="2:2">
      <c r="B4071" s="565"/>
    </row>
    <row r="4072" spans="2:2">
      <c r="B4072" s="565"/>
    </row>
    <row r="4073" spans="2:2">
      <c r="B4073" s="565"/>
    </row>
    <row r="4074" spans="2:2">
      <c r="B4074" s="565"/>
    </row>
    <row r="4075" spans="2:2">
      <c r="B4075" s="565"/>
    </row>
    <row r="4076" spans="2:2">
      <c r="B4076" s="565"/>
    </row>
    <row r="4077" spans="2:2">
      <c r="B4077" s="565"/>
    </row>
    <row r="4078" spans="2:2">
      <c r="B4078" s="565"/>
    </row>
    <row r="4079" spans="2:2">
      <c r="B4079" s="565"/>
    </row>
    <row r="4080" spans="2:2">
      <c r="B4080" s="565"/>
    </row>
    <row r="4081" spans="2:2">
      <c r="B4081" s="565"/>
    </row>
    <row r="4082" spans="2:2">
      <c r="B4082" s="565"/>
    </row>
    <row r="4083" spans="2:2">
      <c r="B4083" s="565"/>
    </row>
    <row r="4084" spans="2:2">
      <c r="B4084" s="565"/>
    </row>
    <row r="4085" spans="2:2">
      <c r="B4085" s="565"/>
    </row>
    <row r="4086" spans="2:2">
      <c r="B4086" s="565"/>
    </row>
    <row r="4087" spans="2:2">
      <c r="B4087" s="565"/>
    </row>
    <row r="4088" spans="2:2">
      <c r="B4088" s="565"/>
    </row>
    <row r="4089" spans="2:2">
      <c r="B4089" s="565"/>
    </row>
    <row r="4090" spans="2:2">
      <c r="B4090" s="565"/>
    </row>
    <row r="4091" spans="2:2">
      <c r="B4091" s="565"/>
    </row>
    <row r="4092" spans="2:2">
      <c r="B4092" s="565"/>
    </row>
    <row r="4093" spans="2:2">
      <c r="B4093" s="565"/>
    </row>
    <row r="4094" spans="2:2">
      <c r="B4094" s="565"/>
    </row>
    <row r="4095" spans="2:2">
      <c r="B4095" s="565"/>
    </row>
    <row r="4096" spans="2:2">
      <c r="B4096" s="565"/>
    </row>
    <row r="4097" spans="2:2">
      <c r="B4097" s="565"/>
    </row>
    <row r="4098" spans="2:2">
      <c r="B4098" s="565"/>
    </row>
    <row r="4099" spans="2:2">
      <c r="B4099" s="565"/>
    </row>
    <row r="4100" spans="2:2">
      <c r="B4100" s="565"/>
    </row>
    <row r="4101" spans="2:2">
      <c r="B4101" s="565"/>
    </row>
    <row r="4102" spans="2:2">
      <c r="B4102" s="565"/>
    </row>
    <row r="4103" spans="2:2">
      <c r="B4103" s="565"/>
    </row>
    <row r="4104" spans="2:2">
      <c r="B4104" s="565"/>
    </row>
    <row r="4105" spans="2:2">
      <c r="B4105" s="565"/>
    </row>
    <row r="4106" spans="2:2">
      <c r="B4106" s="565"/>
    </row>
    <row r="4107" spans="2:2">
      <c r="B4107" s="565"/>
    </row>
    <row r="4108" spans="2:2">
      <c r="B4108" s="565"/>
    </row>
    <row r="4109" spans="2:2">
      <c r="B4109" s="565"/>
    </row>
    <row r="4110" spans="2:2">
      <c r="B4110" s="565"/>
    </row>
    <row r="4111" spans="2:2">
      <c r="B4111" s="565"/>
    </row>
    <row r="4112" spans="2:2">
      <c r="B4112" s="565"/>
    </row>
    <row r="4113" spans="2:2">
      <c r="B4113" s="565"/>
    </row>
    <row r="4114" spans="2:2">
      <c r="B4114" s="565"/>
    </row>
    <row r="4115" spans="2:2">
      <c r="B4115" s="565"/>
    </row>
    <row r="4116" spans="2:2">
      <c r="B4116" s="565"/>
    </row>
    <row r="4117" spans="2:2">
      <c r="B4117" s="565"/>
    </row>
    <row r="4118" spans="2:2">
      <c r="B4118" s="565"/>
    </row>
    <row r="4119" spans="2:2">
      <c r="B4119" s="565"/>
    </row>
    <row r="4120" spans="2:2">
      <c r="B4120" s="565"/>
    </row>
    <row r="4121" spans="2:2">
      <c r="B4121" s="565"/>
    </row>
    <row r="4122" spans="2:2">
      <c r="B4122" s="565"/>
    </row>
    <row r="4123" spans="2:2">
      <c r="B4123" s="565"/>
    </row>
    <row r="4124" spans="2:2">
      <c r="B4124" s="565"/>
    </row>
    <row r="4125" spans="2:2">
      <c r="B4125" s="565"/>
    </row>
    <row r="4126" spans="2:2">
      <c r="B4126" s="565"/>
    </row>
    <row r="4127" spans="2:2">
      <c r="B4127" s="565"/>
    </row>
    <row r="4128" spans="2:2">
      <c r="B4128" s="565"/>
    </row>
    <row r="4129" spans="2:2">
      <c r="B4129" s="565"/>
    </row>
    <row r="4130" spans="2:2">
      <c r="B4130" s="565"/>
    </row>
    <row r="4131" spans="2:2">
      <c r="B4131" s="565"/>
    </row>
    <row r="4132" spans="2:2">
      <c r="B4132" s="565"/>
    </row>
    <row r="4133" spans="2:2">
      <c r="B4133" s="565"/>
    </row>
    <row r="4134" spans="2:2">
      <c r="B4134" s="565"/>
    </row>
    <row r="4135" spans="2:2">
      <c r="B4135" s="565"/>
    </row>
    <row r="4136" spans="2:2">
      <c r="B4136" s="565"/>
    </row>
    <row r="4137" spans="2:2">
      <c r="B4137" s="565"/>
    </row>
    <row r="4138" spans="2:2">
      <c r="B4138" s="565"/>
    </row>
    <row r="4139" spans="2:2">
      <c r="B4139" s="565"/>
    </row>
    <row r="4140" spans="2:2">
      <c r="B4140" s="565"/>
    </row>
    <row r="4141" spans="2:2">
      <c r="B4141" s="565"/>
    </row>
    <row r="4142" spans="2:2">
      <c r="B4142" s="565"/>
    </row>
    <row r="4143" spans="2:2">
      <c r="B4143" s="565"/>
    </row>
    <row r="4144" spans="2:2">
      <c r="B4144" s="565"/>
    </row>
    <row r="4145" spans="2:2">
      <c r="B4145" s="565"/>
    </row>
    <row r="4146" spans="2:2">
      <c r="B4146" s="565"/>
    </row>
    <row r="4147" spans="2:2">
      <c r="B4147" s="565"/>
    </row>
    <row r="4148" spans="2:2">
      <c r="B4148" s="565"/>
    </row>
    <row r="4149" spans="2:2">
      <c r="B4149" s="565"/>
    </row>
    <row r="4150" spans="2:2">
      <c r="B4150" s="565"/>
    </row>
    <row r="4151" spans="2:2">
      <c r="B4151" s="565"/>
    </row>
    <row r="4152" spans="2:2">
      <c r="B4152" s="565"/>
    </row>
    <row r="4153" spans="2:2">
      <c r="B4153" s="565"/>
    </row>
    <row r="4154" spans="2:2">
      <c r="B4154" s="565"/>
    </row>
    <row r="4155" spans="2:2">
      <c r="B4155" s="565"/>
    </row>
    <row r="4156" spans="2:2">
      <c r="B4156" s="565"/>
    </row>
    <row r="4157" spans="2:2">
      <c r="B4157" s="565"/>
    </row>
    <row r="4158" spans="2:2">
      <c r="B4158" s="565"/>
    </row>
    <row r="4159" spans="2:2">
      <c r="B4159" s="565"/>
    </row>
    <row r="4160" spans="2:2">
      <c r="B4160" s="565"/>
    </row>
    <row r="4161" spans="2:2">
      <c r="B4161" s="565"/>
    </row>
    <row r="4162" spans="2:2">
      <c r="B4162" s="565"/>
    </row>
    <row r="4163" spans="2:2">
      <c r="B4163" s="565"/>
    </row>
    <row r="4164" spans="2:2">
      <c r="B4164" s="565"/>
    </row>
    <row r="4165" spans="2:2">
      <c r="B4165" s="565"/>
    </row>
    <row r="4166" spans="2:2">
      <c r="B4166" s="565"/>
    </row>
    <row r="4167" spans="2:2">
      <c r="B4167" s="565"/>
    </row>
    <row r="4168" spans="2:2">
      <c r="B4168" s="565"/>
    </row>
    <row r="4169" spans="2:2">
      <c r="B4169" s="565"/>
    </row>
    <row r="4170" spans="2:2">
      <c r="B4170" s="565"/>
    </row>
    <row r="4171" spans="2:2">
      <c r="B4171" s="565"/>
    </row>
    <row r="4172" spans="2:2">
      <c r="B4172" s="565"/>
    </row>
    <row r="4173" spans="2:2">
      <c r="B4173" s="565"/>
    </row>
    <row r="4174" spans="2:2">
      <c r="B4174" s="565"/>
    </row>
    <row r="4175" spans="2:2">
      <c r="B4175" s="565"/>
    </row>
    <row r="4176" spans="2:2">
      <c r="B4176" s="565"/>
    </row>
    <row r="4177" spans="2:2">
      <c r="B4177" s="565"/>
    </row>
    <row r="4178" spans="2:2">
      <c r="B4178" s="565"/>
    </row>
    <row r="4179" spans="2:2">
      <c r="B4179" s="565"/>
    </row>
    <row r="4180" spans="2:2">
      <c r="B4180" s="565"/>
    </row>
    <row r="4181" spans="2:2">
      <c r="B4181" s="565"/>
    </row>
    <row r="4182" spans="2:2">
      <c r="B4182" s="565"/>
    </row>
    <row r="4183" spans="2:2">
      <c r="B4183" s="565"/>
    </row>
    <row r="4184" spans="2:2">
      <c r="B4184" s="565"/>
    </row>
    <row r="4185" spans="2:2">
      <c r="B4185" s="565"/>
    </row>
    <row r="4186" spans="2:2">
      <c r="B4186" s="565"/>
    </row>
    <row r="4187" spans="2:2">
      <c r="B4187" s="565"/>
    </row>
    <row r="4188" spans="2:2">
      <c r="B4188" s="565"/>
    </row>
    <row r="4189" spans="2:2">
      <c r="B4189" s="565"/>
    </row>
    <row r="4190" spans="2:2">
      <c r="B4190" s="565"/>
    </row>
    <row r="4191" spans="2:2">
      <c r="B4191" s="565"/>
    </row>
    <row r="4192" spans="2:2">
      <c r="B4192" s="565"/>
    </row>
    <row r="4193" spans="2:2">
      <c r="B4193" s="565"/>
    </row>
    <row r="4194" spans="2:2">
      <c r="B4194" s="565"/>
    </row>
    <row r="4195" spans="2:2">
      <c r="B4195" s="565"/>
    </row>
    <row r="4196" spans="2:2">
      <c r="B4196" s="565"/>
    </row>
    <row r="4197" spans="2:2">
      <c r="B4197" s="565"/>
    </row>
    <row r="4198" spans="2:2">
      <c r="B4198" s="565"/>
    </row>
    <row r="4199" spans="2:2">
      <c r="B4199" s="565"/>
    </row>
    <row r="4200" spans="2:2">
      <c r="B4200" s="565"/>
    </row>
    <row r="4201" spans="2:2">
      <c r="B4201" s="565"/>
    </row>
    <row r="4202" spans="2:2">
      <c r="B4202" s="565"/>
    </row>
    <row r="4203" spans="2:2">
      <c r="B4203" s="565"/>
    </row>
    <row r="4204" spans="2:2">
      <c r="B4204" s="565"/>
    </row>
    <row r="4205" spans="2:2">
      <c r="B4205" s="565"/>
    </row>
    <row r="4206" spans="2:2">
      <c r="B4206" s="565"/>
    </row>
    <row r="4207" spans="2:2">
      <c r="B4207" s="565"/>
    </row>
    <row r="4208" spans="2:2">
      <c r="B4208" s="565"/>
    </row>
    <row r="4209" spans="2:2">
      <c r="B4209" s="565"/>
    </row>
    <row r="4210" spans="2:2">
      <c r="B4210" s="565"/>
    </row>
    <row r="4211" spans="2:2">
      <c r="B4211" s="565"/>
    </row>
    <row r="4212" spans="2:2">
      <c r="B4212" s="565"/>
    </row>
    <row r="4213" spans="2:2">
      <c r="B4213" s="565"/>
    </row>
    <row r="4214" spans="2:2">
      <c r="B4214" s="565"/>
    </row>
    <row r="4215" spans="2:2">
      <c r="B4215" s="565"/>
    </row>
    <row r="4216" spans="2:2">
      <c r="B4216" s="565"/>
    </row>
    <row r="4217" spans="2:2">
      <c r="B4217" s="565"/>
    </row>
    <row r="4218" spans="2:2">
      <c r="B4218" s="565"/>
    </row>
    <row r="4219" spans="2:2">
      <c r="B4219" s="565"/>
    </row>
    <row r="4220" spans="2:2">
      <c r="B4220" s="565"/>
    </row>
    <row r="4221" spans="2:2">
      <c r="B4221" s="565"/>
    </row>
    <row r="4222" spans="2:2">
      <c r="B4222" s="565"/>
    </row>
    <row r="4223" spans="2:2">
      <c r="B4223" s="565"/>
    </row>
    <row r="4224" spans="2:2">
      <c r="B4224" s="565"/>
    </row>
    <row r="4225" spans="2:2">
      <c r="B4225" s="565"/>
    </row>
    <row r="4226" spans="2:2">
      <c r="B4226" s="565"/>
    </row>
    <row r="4227" spans="2:2">
      <c r="B4227" s="565"/>
    </row>
    <row r="4228" spans="2:2">
      <c r="B4228" s="565"/>
    </row>
    <row r="4229" spans="2:2">
      <c r="B4229" s="565"/>
    </row>
    <row r="4230" spans="2:2">
      <c r="B4230" s="565"/>
    </row>
    <row r="4231" spans="2:2">
      <c r="B4231" s="565"/>
    </row>
    <row r="4232" spans="2:2">
      <c r="B4232" s="565"/>
    </row>
    <row r="4233" spans="2:2">
      <c r="B4233" s="565"/>
    </row>
    <row r="4234" spans="2:2">
      <c r="B4234" s="565"/>
    </row>
    <row r="4235" spans="2:2">
      <c r="B4235" s="565"/>
    </row>
    <row r="4236" spans="2:2">
      <c r="B4236" s="565"/>
    </row>
    <row r="4237" spans="2:2">
      <c r="B4237" s="565"/>
    </row>
    <row r="4238" spans="2:2">
      <c r="B4238" s="565"/>
    </row>
    <row r="4239" spans="2:2">
      <c r="B4239" s="565"/>
    </row>
    <row r="4240" spans="2:2">
      <c r="B4240" s="565"/>
    </row>
    <row r="4241" spans="2:2">
      <c r="B4241" s="565"/>
    </row>
    <row r="4242" spans="2:2">
      <c r="B4242" s="565"/>
    </row>
    <row r="4243" spans="2:2">
      <c r="B4243" s="565"/>
    </row>
    <row r="4244" spans="2:2">
      <c r="B4244" s="565"/>
    </row>
    <row r="4245" spans="2:2">
      <c r="B4245" s="565"/>
    </row>
    <row r="4246" spans="2:2">
      <c r="B4246" s="565"/>
    </row>
    <row r="4247" spans="2:2">
      <c r="B4247" s="565"/>
    </row>
    <row r="4248" spans="2:2">
      <c r="B4248" s="565"/>
    </row>
    <row r="4249" spans="2:2">
      <c r="B4249" s="565"/>
    </row>
    <row r="4250" spans="2:2">
      <c r="B4250" s="565"/>
    </row>
    <row r="4251" spans="2:2">
      <c r="B4251" s="565"/>
    </row>
    <row r="4252" spans="2:2">
      <c r="B4252" s="565"/>
    </row>
    <row r="4253" spans="2:2">
      <c r="B4253" s="565"/>
    </row>
    <row r="4254" spans="2:2">
      <c r="B4254" s="565"/>
    </row>
    <row r="4255" spans="2:2">
      <c r="B4255" s="565"/>
    </row>
    <row r="4256" spans="2:2">
      <c r="B4256" s="565"/>
    </row>
    <row r="4257" spans="2:2">
      <c r="B4257" s="565"/>
    </row>
    <row r="4258" spans="2:2">
      <c r="B4258" s="565"/>
    </row>
    <row r="4259" spans="2:2">
      <c r="B4259" s="565"/>
    </row>
    <row r="4260" spans="2:2">
      <c r="B4260" s="565"/>
    </row>
    <row r="4261" spans="2:2">
      <c r="B4261" s="565"/>
    </row>
    <row r="4262" spans="2:2">
      <c r="B4262" s="565"/>
    </row>
    <row r="4263" spans="2:2">
      <c r="B4263" s="565"/>
    </row>
    <row r="4264" spans="2:2">
      <c r="B4264" s="565"/>
    </row>
    <row r="4265" spans="2:2">
      <c r="B4265" s="565"/>
    </row>
    <row r="4266" spans="2:2">
      <c r="B4266" s="565"/>
    </row>
    <row r="4267" spans="2:2">
      <c r="B4267" s="565"/>
    </row>
    <row r="4268" spans="2:2">
      <c r="B4268" s="565"/>
    </row>
    <row r="4269" spans="2:2">
      <c r="B4269" s="565"/>
    </row>
    <row r="4270" spans="2:2">
      <c r="B4270" s="565"/>
    </row>
    <row r="4271" spans="2:2">
      <c r="B4271" s="565"/>
    </row>
    <row r="4272" spans="2:2">
      <c r="B4272" s="565"/>
    </row>
    <row r="4273" spans="2:2">
      <c r="B4273" s="565"/>
    </row>
    <row r="4274" spans="2:2">
      <c r="B4274" s="565"/>
    </row>
    <row r="4275" spans="2:2">
      <c r="B4275" s="565"/>
    </row>
    <row r="4276" spans="2:2">
      <c r="B4276" s="565"/>
    </row>
    <row r="4277" spans="2:2">
      <c r="B4277" s="565"/>
    </row>
    <row r="4278" spans="2:2">
      <c r="B4278" s="565"/>
    </row>
    <row r="4279" spans="2:2">
      <c r="B4279" s="565"/>
    </row>
    <row r="4280" spans="2:2">
      <c r="B4280" s="565"/>
    </row>
    <row r="4281" spans="2:2">
      <c r="B4281" s="565"/>
    </row>
    <row r="4282" spans="2:2">
      <c r="B4282" s="565"/>
    </row>
    <row r="4283" spans="2:2">
      <c r="B4283" s="565"/>
    </row>
    <row r="4284" spans="2:2">
      <c r="B4284" s="565"/>
    </row>
    <row r="4285" spans="2:2">
      <c r="B4285" s="565"/>
    </row>
    <row r="4286" spans="2:2">
      <c r="B4286" s="565"/>
    </row>
    <row r="4287" spans="2:2">
      <c r="B4287" s="565"/>
    </row>
    <row r="4288" spans="2:2">
      <c r="B4288" s="565"/>
    </row>
    <row r="4289" spans="2:2">
      <c r="B4289" s="565"/>
    </row>
    <row r="4290" spans="2:2">
      <c r="B4290" s="565"/>
    </row>
    <row r="4291" spans="2:2">
      <c r="B4291" s="565"/>
    </row>
    <row r="4292" spans="2:2">
      <c r="B4292" s="565"/>
    </row>
    <row r="4293" spans="2:2">
      <c r="B4293" s="565"/>
    </row>
    <row r="4294" spans="2:2">
      <c r="B4294" s="565"/>
    </row>
    <row r="4295" spans="2:2">
      <c r="B4295" s="565"/>
    </row>
    <row r="4296" spans="2:2">
      <c r="B4296" s="565"/>
    </row>
    <row r="4297" spans="2:2">
      <c r="B4297" s="565"/>
    </row>
    <row r="4298" spans="2:2">
      <c r="B4298" s="565"/>
    </row>
    <row r="4299" spans="2:2">
      <c r="B4299" s="565"/>
    </row>
    <row r="4300" spans="2:2">
      <c r="B4300" s="565"/>
    </row>
    <row r="4301" spans="2:2">
      <c r="B4301" s="565"/>
    </row>
    <row r="4302" spans="2:2">
      <c r="B4302" s="565"/>
    </row>
    <row r="4303" spans="2:2">
      <c r="B4303" s="565"/>
    </row>
    <row r="4304" spans="2:2">
      <c r="B4304" s="565"/>
    </row>
    <row r="4305" spans="2:2">
      <c r="B4305" s="565"/>
    </row>
    <row r="4306" spans="2:2">
      <c r="B4306" s="565"/>
    </row>
    <row r="4307" spans="2:2">
      <c r="B4307" s="565"/>
    </row>
    <row r="4308" spans="2:2">
      <c r="B4308" s="565"/>
    </row>
    <row r="4309" spans="2:2">
      <c r="B4309" s="565"/>
    </row>
    <row r="4310" spans="2:2">
      <c r="B4310" s="565"/>
    </row>
    <row r="4311" spans="2:2">
      <c r="B4311" s="565"/>
    </row>
    <row r="4312" spans="2:2">
      <c r="B4312" s="565"/>
    </row>
    <row r="4313" spans="2:2">
      <c r="B4313" s="565"/>
    </row>
    <row r="4314" spans="2:2">
      <c r="B4314" s="565"/>
    </row>
    <row r="4315" spans="2:2">
      <c r="B4315" s="565"/>
    </row>
    <row r="4316" spans="2:2">
      <c r="B4316" s="565"/>
    </row>
    <row r="4317" spans="2:2">
      <c r="B4317" s="565"/>
    </row>
    <row r="4318" spans="2:2">
      <c r="B4318" s="565"/>
    </row>
    <row r="4319" spans="2:2">
      <c r="B4319" s="565"/>
    </row>
    <row r="4320" spans="2:2">
      <c r="B4320" s="565"/>
    </row>
    <row r="4321" spans="2:2">
      <c r="B4321" s="565"/>
    </row>
    <row r="4322" spans="2:2">
      <c r="B4322" s="565"/>
    </row>
    <row r="4323" spans="2:2">
      <c r="B4323" s="565"/>
    </row>
    <row r="4324" spans="2:2">
      <c r="B4324" s="565"/>
    </row>
    <row r="4325" spans="2:2">
      <c r="B4325" s="565"/>
    </row>
    <row r="4326" spans="2:2">
      <c r="B4326" s="565"/>
    </row>
    <row r="4327" spans="2:2">
      <c r="B4327" s="565"/>
    </row>
    <row r="4328" spans="2:2">
      <c r="B4328" s="565"/>
    </row>
    <row r="4329" spans="2:2">
      <c r="B4329" s="565"/>
    </row>
    <row r="4330" spans="2:2">
      <c r="B4330" s="565"/>
    </row>
    <row r="4331" spans="2:2">
      <c r="B4331" s="565"/>
    </row>
    <row r="4332" spans="2:2">
      <c r="B4332" s="565"/>
    </row>
    <row r="4333" spans="2:2">
      <c r="B4333" s="565"/>
    </row>
    <row r="4334" spans="2:2">
      <c r="B4334" s="565"/>
    </row>
    <row r="4335" spans="2:2">
      <c r="B4335" s="565"/>
    </row>
    <row r="4336" spans="2:2">
      <c r="B4336" s="565"/>
    </row>
    <row r="4337" spans="2:2">
      <c r="B4337" s="565"/>
    </row>
    <row r="4338" spans="2:2">
      <c r="B4338" s="565"/>
    </row>
    <row r="4339" spans="2:2">
      <c r="B4339" s="565"/>
    </row>
    <row r="4340" spans="2:2">
      <c r="B4340" s="565"/>
    </row>
    <row r="4341" spans="2:2">
      <c r="B4341" s="565"/>
    </row>
    <row r="4342" spans="2:2">
      <c r="B4342" s="565"/>
    </row>
    <row r="4343" spans="2:2">
      <c r="B4343" s="565"/>
    </row>
    <row r="4344" spans="2:2">
      <c r="B4344" s="565"/>
    </row>
    <row r="4345" spans="2:2">
      <c r="B4345" s="565"/>
    </row>
    <row r="4346" spans="2:2">
      <c r="B4346" s="565"/>
    </row>
    <row r="4347" spans="2:2">
      <c r="B4347" s="565"/>
    </row>
    <row r="4348" spans="2:2">
      <c r="B4348" s="565"/>
    </row>
    <row r="4349" spans="2:2">
      <c r="B4349" s="565"/>
    </row>
    <row r="4350" spans="2:2">
      <c r="B4350" s="565"/>
    </row>
    <row r="4351" spans="2:2">
      <c r="B4351" s="565"/>
    </row>
    <row r="4352" spans="2:2">
      <c r="B4352" s="565"/>
    </row>
    <row r="4353" spans="2:2">
      <c r="B4353" s="565"/>
    </row>
    <row r="4354" spans="2:2">
      <c r="B4354" s="565"/>
    </row>
    <row r="4355" spans="2:2">
      <c r="B4355" s="565"/>
    </row>
    <row r="4356" spans="2:2">
      <c r="B4356" s="565"/>
    </row>
    <row r="4357" spans="2:2">
      <c r="B4357" s="565"/>
    </row>
    <row r="4358" spans="2:2">
      <c r="B4358" s="565"/>
    </row>
    <row r="4359" spans="2:2">
      <c r="B4359" s="565"/>
    </row>
    <row r="4360" spans="2:2">
      <c r="B4360" s="565"/>
    </row>
    <row r="4361" spans="2:2">
      <c r="B4361" s="565"/>
    </row>
    <row r="4362" spans="2:2">
      <c r="B4362" s="565"/>
    </row>
    <row r="4363" spans="2:2">
      <c r="B4363" s="565"/>
    </row>
    <row r="4364" spans="2:2">
      <c r="B4364" s="565"/>
    </row>
    <row r="4365" spans="2:2">
      <c r="B4365" s="565"/>
    </row>
    <row r="4366" spans="2:2">
      <c r="B4366" s="565"/>
    </row>
    <row r="4367" spans="2:2">
      <c r="B4367" s="565"/>
    </row>
    <row r="4368" spans="2:2">
      <c r="B4368" s="565"/>
    </row>
    <row r="4369" spans="2:2">
      <c r="B4369" s="565"/>
    </row>
    <row r="4370" spans="2:2">
      <c r="B4370" s="565"/>
    </row>
    <row r="4371" spans="2:2">
      <c r="B4371" s="565"/>
    </row>
    <row r="4372" spans="2:2">
      <c r="B4372" s="565"/>
    </row>
    <row r="4373" spans="2:2">
      <c r="B4373" s="565"/>
    </row>
    <row r="4374" spans="2:2">
      <c r="B4374" s="565"/>
    </row>
    <row r="4375" spans="2:2">
      <c r="B4375" s="565"/>
    </row>
    <row r="4376" spans="2:2">
      <c r="B4376" s="565"/>
    </row>
    <row r="4377" spans="2:2">
      <c r="B4377" s="565"/>
    </row>
    <row r="4378" spans="2:2">
      <c r="B4378" s="565"/>
    </row>
    <row r="4379" spans="2:2">
      <c r="B4379" s="565"/>
    </row>
    <row r="4380" spans="2:2">
      <c r="B4380" s="565"/>
    </row>
    <row r="4381" spans="2:2">
      <c r="B4381" s="565"/>
    </row>
    <row r="4382" spans="2:2">
      <c r="B4382" s="565"/>
    </row>
    <row r="4383" spans="2:2">
      <c r="B4383" s="565"/>
    </row>
    <row r="4384" spans="2:2">
      <c r="B4384" s="565"/>
    </row>
    <row r="4385" spans="2:2">
      <c r="B4385" s="565"/>
    </row>
    <row r="4386" spans="2:2">
      <c r="B4386" s="565"/>
    </row>
    <row r="4387" spans="2:2">
      <c r="B4387" s="565"/>
    </row>
    <row r="4388" spans="2:2">
      <c r="B4388" s="565"/>
    </row>
    <row r="4389" spans="2:2">
      <c r="B4389" s="565"/>
    </row>
    <row r="4390" spans="2:2">
      <c r="B4390" s="565"/>
    </row>
    <row r="4391" spans="2:2">
      <c r="B4391" s="565"/>
    </row>
    <row r="4392" spans="2:2">
      <c r="B4392" s="565"/>
    </row>
    <row r="4393" spans="2:2">
      <c r="B4393" s="565"/>
    </row>
    <row r="4394" spans="2:2">
      <c r="B4394" s="565"/>
    </row>
    <row r="4395" spans="2:2">
      <c r="B4395" s="565"/>
    </row>
    <row r="4396" spans="2:2">
      <c r="B4396" s="565"/>
    </row>
    <row r="4397" spans="2:2">
      <c r="B4397" s="565"/>
    </row>
    <row r="4398" spans="2:2">
      <c r="B4398" s="565"/>
    </row>
    <row r="4399" spans="2:2">
      <c r="B4399" s="565"/>
    </row>
    <row r="4400" spans="2:2">
      <c r="B4400" s="565"/>
    </row>
    <row r="4401" spans="2:2">
      <c r="B4401" s="565"/>
    </row>
    <row r="4402" spans="2:2">
      <c r="B4402" s="565"/>
    </row>
    <row r="4403" spans="2:2">
      <c r="B4403" s="565"/>
    </row>
    <row r="4404" spans="2:2">
      <c r="B4404" s="565"/>
    </row>
    <row r="4405" spans="2:2">
      <c r="B4405" s="565"/>
    </row>
    <row r="4406" spans="2:2">
      <c r="B4406" s="565"/>
    </row>
    <row r="4407" spans="2:2">
      <c r="B4407" s="565"/>
    </row>
    <row r="4408" spans="2:2">
      <c r="B4408" s="565"/>
    </row>
    <row r="4409" spans="2:2">
      <c r="B4409" s="565"/>
    </row>
    <row r="4410" spans="2:2">
      <c r="B4410" s="565"/>
    </row>
    <row r="4411" spans="2:2">
      <c r="B4411" s="565"/>
    </row>
    <row r="4412" spans="2:2">
      <c r="B4412" s="565"/>
    </row>
    <row r="4413" spans="2:2">
      <c r="B4413" s="565"/>
    </row>
    <row r="4414" spans="2:2">
      <c r="B4414" s="565"/>
    </row>
    <row r="4415" spans="2:2">
      <c r="B4415" s="565"/>
    </row>
    <row r="4416" spans="2:2">
      <c r="B4416" s="565"/>
    </row>
    <row r="4417" spans="2:2">
      <c r="B4417" s="565"/>
    </row>
    <row r="4418" spans="2:2">
      <c r="B4418" s="565"/>
    </row>
    <row r="4419" spans="2:2">
      <c r="B4419" s="565"/>
    </row>
    <row r="4420" spans="2:2">
      <c r="B4420" s="565"/>
    </row>
    <row r="4421" spans="2:2">
      <c r="B4421" s="565"/>
    </row>
    <row r="4422" spans="2:2">
      <c r="B4422" s="565"/>
    </row>
    <row r="4423" spans="2:2">
      <c r="B4423" s="565"/>
    </row>
    <row r="4424" spans="2:2">
      <c r="B4424" s="565"/>
    </row>
    <row r="4425" spans="2:2">
      <c r="B4425" s="565"/>
    </row>
    <row r="4426" spans="2:2">
      <c r="B4426" s="565"/>
    </row>
    <row r="4427" spans="2:2">
      <c r="B4427" s="565"/>
    </row>
    <row r="4428" spans="2:2">
      <c r="B4428" s="565"/>
    </row>
    <row r="4429" spans="2:2">
      <c r="B4429" s="565"/>
    </row>
    <row r="4430" spans="2:2">
      <c r="B4430" s="565"/>
    </row>
    <row r="4431" spans="2:2">
      <c r="B4431" s="565"/>
    </row>
    <row r="4432" spans="2:2">
      <c r="B4432" s="565"/>
    </row>
    <row r="4433" spans="2:2">
      <c r="B4433" s="565"/>
    </row>
    <row r="4434" spans="2:2">
      <c r="B4434" s="565"/>
    </row>
    <row r="4435" spans="2:2">
      <c r="B4435" s="565"/>
    </row>
    <row r="4436" spans="2:2">
      <c r="B4436" s="565"/>
    </row>
    <row r="4437" spans="2:2">
      <c r="B4437" s="565"/>
    </row>
    <row r="4438" spans="2:2">
      <c r="B4438" s="565"/>
    </row>
    <row r="4439" spans="2:2">
      <c r="B4439" s="565"/>
    </row>
    <row r="4440" spans="2:2">
      <c r="B4440" s="565"/>
    </row>
    <row r="4441" spans="2:2">
      <c r="B4441" s="565"/>
    </row>
    <row r="4442" spans="2:2">
      <c r="B4442" s="565"/>
    </row>
    <row r="4443" spans="2:2">
      <c r="B4443" s="565"/>
    </row>
    <row r="4444" spans="2:2">
      <c r="B4444" s="565"/>
    </row>
    <row r="4445" spans="2:2">
      <c r="B4445" s="565"/>
    </row>
    <row r="4446" spans="2:2">
      <c r="B4446" s="565"/>
    </row>
    <row r="4447" spans="2:2">
      <c r="B4447" s="565"/>
    </row>
    <row r="4448" spans="2:2">
      <c r="B4448" s="565"/>
    </row>
    <row r="4449" spans="2:2">
      <c r="B4449" s="565"/>
    </row>
    <row r="4450" spans="2:2">
      <c r="B4450" s="565"/>
    </row>
    <row r="4451" spans="2:2">
      <c r="B4451" s="565"/>
    </row>
    <row r="4452" spans="2:2">
      <c r="B4452" s="565"/>
    </row>
    <row r="4453" spans="2:2">
      <c r="B4453" s="565"/>
    </row>
    <row r="4454" spans="2:2">
      <c r="B4454" s="565"/>
    </row>
    <row r="4455" spans="2:2">
      <c r="B4455" s="565"/>
    </row>
    <row r="4456" spans="2:2">
      <c r="B4456" s="565"/>
    </row>
    <row r="4457" spans="2:2">
      <c r="B4457" s="565"/>
    </row>
    <row r="4458" spans="2:2">
      <c r="B4458" s="565"/>
    </row>
    <row r="4459" spans="2:2">
      <c r="B4459" s="565"/>
    </row>
    <row r="4460" spans="2:2">
      <c r="B4460" s="565"/>
    </row>
    <row r="4461" spans="2:2">
      <c r="B4461" s="565"/>
    </row>
    <row r="4462" spans="2:2">
      <c r="B4462" s="565"/>
    </row>
    <row r="4463" spans="2:2">
      <c r="B4463" s="565"/>
    </row>
    <row r="4464" spans="2:2">
      <c r="B4464" s="565"/>
    </row>
    <row r="4465" spans="2:2">
      <c r="B4465" s="565"/>
    </row>
    <row r="4466" spans="2:2">
      <c r="B4466" s="565"/>
    </row>
    <row r="4467" spans="2:2">
      <c r="B4467" s="565"/>
    </row>
    <row r="4468" spans="2:2">
      <c r="B4468" s="565"/>
    </row>
    <row r="4469" spans="2:2">
      <c r="B4469" s="565"/>
    </row>
    <row r="4470" spans="2:2">
      <c r="B4470" s="565"/>
    </row>
    <row r="4471" spans="2:2">
      <c r="B4471" s="565"/>
    </row>
    <row r="4472" spans="2:2">
      <c r="B4472" s="565"/>
    </row>
    <row r="4473" spans="2:2">
      <c r="B4473" s="565"/>
    </row>
    <row r="4474" spans="2:2">
      <c r="B4474" s="565"/>
    </row>
    <row r="4475" spans="2:2">
      <c r="B4475" s="565"/>
    </row>
    <row r="4476" spans="2:2">
      <c r="B4476" s="565"/>
    </row>
    <row r="4477" spans="2:2">
      <c r="B4477" s="565"/>
    </row>
    <row r="4478" spans="2:2">
      <c r="B4478" s="565"/>
    </row>
    <row r="4479" spans="2:2">
      <c r="B4479" s="565"/>
    </row>
    <row r="4480" spans="2:2">
      <c r="B4480" s="565"/>
    </row>
    <row r="4481" spans="2:2">
      <c r="B4481" s="565"/>
    </row>
    <row r="4482" spans="2:2">
      <c r="B4482" s="565"/>
    </row>
    <row r="4483" spans="2:2">
      <c r="B4483" s="565"/>
    </row>
    <row r="4484" spans="2:2">
      <c r="B4484" s="565"/>
    </row>
    <row r="4485" spans="2:2">
      <c r="B4485" s="565"/>
    </row>
    <row r="4486" spans="2:2">
      <c r="B4486" s="565"/>
    </row>
    <row r="4487" spans="2:2">
      <c r="B4487" s="565"/>
    </row>
    <row r="4488" spans="2:2">
      <c r="B4488" s="565"/>
    </row>
    <row r="4489" spans="2:2">
      <c r="B4489" s="565"/>
    </row>
    <row r="4490" spans="2:2">
      <c r="B4490" s="565"/>
    </row>
    <row r="4491" spans="2:2">
      <c r="B4491" s="565"/>
    </row>
    <row r="4492" spans="2:2">
      <c r="B4492" s="565"/>
    </row>
    <row r="4493" spans="2:2">
      <c r="B4493" s="565"/>
    </row>
    <row r="4494" spans="2:2">
      <c r="B4494" s="565"/>
    </row>
    <row r="4495" spans="2:2">
      <c r="B4495" s="565"/>
    </row>
    <row r="4496" spans="2:2">
      <c r="B4496" s="565"/>
    </row>
    <row r="4497" spans="2:2">
      <c r="B4497" s="565"/>
    </row>
    <row r="4498" spans="2:2">
      <c r="B4498" s="565"/>
    </row>
    <row r="4499" spans="2:2">
      <c r="B4499" s="565"/>
    </row>
    <row r="4500" spans="2:2">
      <c r="B4500" s="565"/>
    </row>
    <row r="4501" spans="2:2">
      <c r="B4501" s="565"/>
    </row>
    <row r="4502" spans="2:2">
      <c r="B4502" s="565"/>
    </row>
    <row r="4503" spans="2:2">
      <c r="B4503" s="565"/>
    </row>
    <row r="4504" spans="2:2">
      <c r="B4504" s="565"/>
    </row>
    <row r="4505" spans="2:2">
      <c r="B4505" s="565"/>
    </row>
    <row r="4506" spans="2:2">
      <c r="B4506" s="565"/>
    </row>
    <row r="4507" spans="2:2">
      <c r="B4507" s="565"/>
    </row>
    <row r="4508" spans="2:2">
      <c r="B4508" s="565"/>
    </row>
    <row r="4509" spans="2:2">
      <c r="B4509" s="565"/>
    </row>
    <row r="4510" spans="2:2">
      <c r="B4510" s="565"/>
    </row>
    <row r="4511" spans="2:2">
      <c r="B4511" s="565"/>
    </row>
    <row r="4512" spans="2:2">
      <c r="B4512" s="565"/>
    </row>
    <row r="4513" spans="2:2">
      <c r="B4513" s="565"/>
    </row>
    <row r="4514" spans="2:2">
      <c r="B4514" s="565"/>
    </row>
    <row r="4515" spans="2:2">
      <c r="B4515" s="565"/>
    </row>
    <row r="4516" spans="2:2">
      <c r="B4516" s="565"/>
    </row>
    <row r="4517" spans="2:2">
      <c r="B4517" s="565"/>
    </row>
    <row r="4518" spans="2:2">
      <c r="B4518" s="565"/>
    </row>
    <row r="4519" spans="2:2">
      <c r="B4519" s="565"/>
    </row>
    <row r="4520" spans="2:2">
      <c r="B4520" s="565"/>
    </row>
    <row r="4521" spans="2:2">
      <c r="B4521" s="565"/>
    </row>
    <row r="4522" spans="2:2">
      <c r="B4522" s="565"/>
    </row>
    <row r="4523" spans="2:2">
      <c r="B4523" s="565"/>
    </row>
    <row r="4524" spans="2:2">
      <c r="B4524" s="565"/>
    </row>
    <row r="4525" spans="2:2">
      <c r="B4525" s="565"/>
    </row>
    <row r="4526" spans="2:2">
      <c r="B4526" s="565"/>
    </row>
    <row r="4527" spans="2:2">
      <c r="B4527" s="565"/>
    </row>
    <row r="4528" spans="2:2">
      <c r="B4528" s="565"/>
    </row>
    <row r="4529" spans="2:2">
      <c r="B4529" s="565"/>
    </row>
    <row r="4530" spans="2:2">
      <c r="B4530" s="565"/>
    </row>
    <row r="4531" spans="2:2">
      <c r="B4531" s="565"/>
    </row>
    <row r="4532" spans="2:2">
      <c r="B4532" s="565"/>
    </row>
    <row r="4533" spans="2:2">
      <c r="B4533" s="565"/>
    </row>
    <row r="4534" spans="2:2">
      <c r="B4534" s="565"/>
    </row>
    <row r="4535" spans="2:2">
      <c r="B4535" s="565"/>
    </row>
    <row r="4536" spans="2:2">
      <c r="B4536" s="565"/>
    </row>
    <row r="4537" spans="2:2">
      <c r="B4537" s="565"/>
    </row>
    <row r="4538" spans="2:2">
      <c r="B4538" s="565"/>
    </row>
    <row r="4539" spans="2:2">
      <c r="B4539" s="565"/>
    </row>
    <row r="4540" spans="2:2">
      <c r="B4540" s="565"/>
    </row>
    <row r="4541" spans="2:2">
      <c r="B4541" s="565"/>
    </row>
    <row r="4542" spans="2:2">
      <c r="B4542" s="565"/>
    </row>
    <row r="4543" spans="2:2">
      <c r="B4543" s="565"/>
    </row>
    <row r="4544" spans="2:2">
      <c r="B4544" s="565"/>
    </row>
    <row r="4545" spans="2:2">
      <c r="B4545" s="565"/>
    </row>
    <row r="4546" spans="2:2">
      <c r="B4546" s="565"/>
    </row>
    <row r="4547" spans="2:2">
      <c r="B4547" s="565"/>
    </row>
    <row r="4548" spans="2:2">
      <c r="B4548" s="565"/>
    </row>
    <row r="4549" spans="2:2">
      <c r="B4549" s="565"/>
    </row>
    <row r="4550" spans="2:2">
      <c r="B4550" s="565"/>
    </row>
    <row r="4551" spans="2:2">
      <c r="B4551" s="565"/>
    </row>
    <row r="4552" spans="2:2">
      <c r="B4552" s="565"/>
    </row>
    <row r="4553" spans="2:2">
      <c r="B4553" s="565"/>
    </row>
    <row r="4554" spans="2:2">
      <c r="B4554" s="565"/>
    </row>
    <row r="4555" spans="2:2">
      <c r="B4555" s="565"/>
    </row>
    <row r="4556" spans="2:2">
      <c r="B4556" s="565"/>
    </row>
    <row r="4557" spans="2:2">
      <c r="B4557" s="565"/>
    </row>
    <row r="4558" spans="2:2">
      <c r="B4558" s="565"/>
    </row>
    <row r="4559" spans="2:2">
      <c r="B4559" s="565"/>
    </row>
    <row r="4560" spans="2:2">
      <c r="B4560" s="565"/>
    </row>
    <row r="4561" spans="2:2">
      <c r="B4561" s="565"/>
    </row>
    <row r="4562" spans="2:2">
      <c r="B4562" s="565"/>
    </row>
    <row r="4563" spans="2:2">
      <c r="B4563" s="565"/>
    </row>
    <row r="4564" spans="2:2">
      <c r="B4564" s="565"/>
    </row>
    <row r="4565" spans="2:2">
      <c r="B4565" s="565"/>
    </row>
    <row r="4566" spans="2:2">
      <c r="B4566" s="565"/>
    </row>
    <row r="4567" spans="2:2">
      <c r="B4567" s="565"/>
    </row>
    <row r="4568" spans="2:2">
      <c r="B4568" s="565"/>
    </row>
    <row r="4569" spans="2:2">
      <c r="B4569" s="565"/>
    </row>
    <row r="4570" spans="2:2">
      <c r="B4570" s="565"/>
    </row>
    <row r="4571" spans="2:2">
      <c r="B4571" s="565"/>
    </row>
    <row r="4572" spans="2:2">
      <c r="B4572" s="565"/>
    </row>
    <row r="4573" spans="2:2">
      <c r="B4573" s="565"/>
    </row>
    <row r="4574" spans="2:2">
      <c r="B4574" s="565"/>
    </row>
    <row r="4575" spans="2:2">
      <c r="B4575" s="565"/>
    </row>
    <row r="4576" spans="2:2">
      <c r="B4576" s="565"/>
    </row>
    <row r="4577" spans="2:2">
      <c r="B4577" s="565"/>
    </row>
    <row r="4578" spans="2:2">
      <c r="B4578" s="565"/>
    </row>
    <row r="4579" spans="2:2">
      <c r="B4579" s="565"/>
    </row>
    <row r="4580" spans="2:2">
      <c r="B4580" s="565"/>
    </row>
    <row r="4581" spans="2:2">
      <c r="B4581" s="565"/>
    </row>
    <row r="4582" spans="2:2">
      <c r="B4582" s="565"/>
    </row>
    <row r="4583" spans="2:2">
      <c r="B4583" s="565"/>
    </row>
    <row r="4584" spans="2:2">
      <c r="B4584" s="565"/>
    </row>
    <row r="4585" spans="2:2">
      <c r="B4585" s="565"/>
    </row>
    <row r="4586" spans="2:2">
      <c r="B4586" s="565"/>
    </row>
    <row r="4587" spans="2:2">
      <c r="B4587" s="565"/>
    </row>
    <row r="4588" spans="2:2">
      <c r="B4588" s="565"/>
    </row>
    <row r="4589" spans="2:2">
      <c r="B4589" s="565"/>
    </row>
    <row r="4590" spans="2:2">
      <c r="B4590" s="565"/>
    </row>
    <row r="4591" spans="2:2">
      <c r="B4591" s="565"/>
    </row>
    <row r="4592" spans="2:2">
      <c r="B4592" s="565"/>
    </row>
    <row r="4593" spans="2:2">
      <c r="B4593" s="565"/>
    </row>
    <row r="4594" spans="2:2">
      <c r="B4594" s="565"/>
    </row>
    <row r="4595" spans="2:2">
      <c r="B4595" s="565"/>
    </row>
    <row r="4596" spans="2:2">
      <c r="B4596" s="565"/>
    </row>
    <row r="4597" spans="2:2">
      <c r="B4597" s="565"/>
    </row>
    <row r="4598" spans="2:2">
      <c r="B4598" s="565"/>
    </row>
    <row r="4599" spans="2:2">
      <c r="B4599" s="565"/>
    </row>
    <row r="4600" spans="2:2">
      <c r="B4600" s="565"/>
    </row>
    <row r="4601" spans="2:2">
      <c r="B4601" s="565"/>
    </row>
    <row r="4602" spans="2:2">
      <c r="B4602" s="565"/>
    </row>
    <row r="4603" spans="2:2">
      <c r="B4603" s="565"/>
    </row>
    <row r="4604" spans="2:2">
      <c r="B4604" s="565"/>
    </row>
    <row r="4605" spans="2:2">
      <c r="B4605" s="565"/>
    </row>
    <row r="4606" spans="2:2">
      <c r="B4606" s="565"/>
    </row>
    <row r="4607" spans="2:2">
      <c r="B4607" s="565"/>
    </row>
    <row r="4608" spans="2:2">
      <c r="B4608" s="565"/>
    </row>
    <row r="4609" spans="2:2">
      <c r="B4609" s="565"/>
    </row>
    <row r="4610" spans="2:2">
      <c r="B4610" s="565"/>
    </row>
    <row r="4611" spans="2:2">
      <c r="B4611" s="565"/>
    </row>
    <row r="4612" spans="2:2">
      <c r="B4612" s="565"/>
    </row>
    <row r="4613" spans="2:2">
      <c r="B4613" s="565"/>
    </row>
    <row r="4614" spans="2:2">
      <c r="B4614" s="565"/>
    </row>
    <row r="4615" spans="2:2">
      <c r="B4615" s="565"/>
    </row>
    <row r="4616" spans="2:2">
      <c r="B4616" s="565"/>
    </row>
    <row r="4617" spans="2:2">
      <c r="B4617" s="565"/>
    </row>
    <row r="4618" spans="2:2">
      <c r="B4618" s="565"/>
    </row>
    <row r="4619" spans="2:2">
      <c r="B4619" s="565"/>
    </row>
    <row r="4620" spans="2:2">
      <c r="B4620" s="565"/>
    </row>
    <row r="4621" spans="2:2">
      <c r="B4621" s="565"/>
    </row>
    <row r="4622" spans="2:2">
      <c r="B4622" s="565"/>
    </row>
    <row r="4623" spans="2:2">
      <c r="B4623" s="565"/>
    </row>
    <row r="4624" spans="2:2">
      <c r="B4624" s="565"/>
    </row>
    <row r="4625" spans="2:2">
      <c r="B4625" s="565"/>
    </row>
    <row r="4626" spans="2:2">
      <c r="B4626" s="565"/>
    </row>
    <row r="4627" spans="2:2">
      <c r="B4627" s="565"/>
    </row>
    <row r="4628" spans="2:2">
      <c r="B4628" s="565"/>
    </row>
    <row r="4629" spans="2:2">
      <c r="B4629" s="565"/>
    </row>
    <row r="4630" spans="2:2">
      <c r="B4630" s="565"/>
    </row>
    <row r="4631" spans="2:2">
      <c r="B4631" s="565"/>
    </row>
    <row r="4632" spans="2:2">
      <c r="B4632" s="565"/>
    </row>
    <row r="4633" spans="2:2">
      <c r="B4633" s="565"/>
    </row>
    <row r="4634" spans="2:2">
      <c r="B4634" s="565"/>
    </row>
    <row r="4635" spans="2:2">
      <c r="B4635" s="565"/>
    </row>
    <row r="4636" spans="2:2">
      <c r="B4636" s="565"/>
    </row>
    <row r="4637" spans="2:2">
      <c r="B4637" s="565"/>
    </row>
    <row r="4638" spans="2:2">
      <c r="B4638" s="565"/>
    </row>
    <row r="4639" spans="2:2">
      <c r="B4639" s="565"/>
    </row>
    <row r="4640" spans="2:2">
      <c r="B4640" s="565"/>
    </row>
    <row r="4641" spans="2:2">
      <c r="B4641" s="565"/>
    </row>
    <row r="4642" spans="2:2">
      <c r="B4642" s="565"/>
    </row>
    <row r="4643" spans="2:2">
      <c r="B4643" s="565"/>
    </row>
    <row r="4644" spans="2:2">
      <c r="B4644" s="565"/>
    </row>
    <row r="4645" spans="2:2">
      <c r="B4645" s="565"/>
    </row>
    <row r="4646" spans="2:2">
      <c r="B4646" s="565"/>
    </row>
    <row r="4647" spans="2:2">
      <c r="B4647" s="565"/>
    </row>
    <row r="4648" spans="2:2">
      <c r="B4648" s="565"/>
    </row>
    <row r="4649" spans="2:2">
      <c r="B4649" s="565"/>
    </row>
    <row r="4650" spans="2:2">
      <c r="B4650" s="565"/>
    </row>
    <row r="4651" spans="2:2">
      <c r="B4651" s="565"/>
    </row>
    <row r="4652" spans="2:2">
      <c r="B4652" s="565"/>
    </row>
    <row r="4653" spans="2:2">
      <c r="B4653" s="565"/>
    </row>
    <row r="4654" spans="2:2">
      <c r="B4654" s="565"/>
    </row>
    <row r="4655" spans="2:2">
      <c r="B4655" s="565"/>
    </row>
    <row r="4656" spans="2:2">
      <c r="B4656" s="565"/>
    </row>
    <row r="4657" spans="2:2">
      <c r="B4657" s="565"/>
    </row>
    <row r="4658" spans="2:2">
      <c r="B4658" s="565"/>
    </row>
    <row r="4659" spans="2:2">
      <c r="B4659" s="565"/>
    </row>
    <row r="4660" spans="2:2">
      <c r="B4660" s="565"/>
    </row>
    <row r="4661" spans="2:2">
      <c r="B4661" s="565"/>
    </row>
    <row r="4662" spans="2:2">
      <c r="B4662" s="565"/>
    </row>
    <row r="4663" spans="2:2">
      <c r="B4663" s="565"/>
    </row>
    <row r="4664" spans="2:2">
      <c r="B4664" s="565"/>
    </row>
    <row r="4665" spans="2:2">
      <c r="B4665" s="565"/>
    </row>
    <row r="4666" spans="2:2">
      <c r="B4666" s="565"/>
    </row>
    <row r="4667" spans="2:2">
      <c r="B4667" s="565"/>
    </row>
    <row r="4668" spans="2:2">
      <c r="B4668" s="565"/>
    </row>
    <row r="4669" spans="2:2">
      <c r="B4669" s="565"/>
    </row>
    <row r="4670" spans="2:2">
      <c r="B4670" s="565"/>
    </row>
    <row r="4671" spans="2:2">
      <c r="B4671" s="565"/>
    </row>
    <row r="4672" spans="2:2">
      <c r="B4672" s="565"/>
    </row>
    <row r="4673" spans="2:2">
      <c r="B4673" s="565"/>
    </row>
    <row r="4674" spans="2:2">
      <c r="B4674" s="565"/>
    </row>
    <row r="4675" spans="2:2">
      <c r="B4675" s="565"/>
    </row>
    <row r="4676" spans="2:2">
      <c r="B4676" s="565"/>
    </row>
    <row r="4677" spans="2:2">
      <c r="B4677" s="565"/>
    </row>
    <row r="4678" spans="2:2">
      <c r="B4678" s="565"/>
    </row>
    <row r="4679" spans="2:2">
      <c r="B4679" s="565"/>
    </row>
    <row r="4680" spans="2:2">
      <c r="B4680" s="565"/>
    </row>
    <row r="4681" spans="2:2">
      <c r="B4681" s="565"/>
    </row>
    <row r="4682" spans="2:2">
      <c r="B4682" s="565"/>
    </row>
    <row r="4683" spans="2:2">
      <c r="B4683" s="565"/>
    </row>
    <row r="4684" spans="2:2">
      <c r="B4684" s="565"/>
    </row>
    <row r="4685" spans="2:2">
      <c r="B4685" s="565"/>
    </row>
    <row r="4686" spans="2:2">
      <c r="B4686" s="565"/>
    </row>
    <row r="4687" spans="2:2">
      <c r="B4687" s="565"/>
    </row>
    <row r="4688" spans="2:2">
      <c r="B4688" s="565"/>
    </row>
    <row r="4689" spans="2:2">
      <c r="B4689" s="565"/>
    </row>
    <row r="4690" spans="2:2">
      <c r="B4690" s="565"/>
    </row>
    <row r="4691" spans="2:2">
      <c r="B4691" s="565"/>
    </row>
    <row r="4692" spans="2:2">
      <c r="B4692" s="565"/>
    </row>
    <row r="4693" spans="2:2">
      <c r="B4693" s="565"/>
    </row>
    <row r="4694" spans="2:2">
      <c r="B4694" s="565"/>
    </row>
    <row r="4695" spans="2:2">
      <c r="B4695" s="565"/>
    </row>
    <row r="4696" spans="2:2">
      <c r="B4696" s="565"/>
    </row>
    <row r="4697" spans="2:2">
      <c r="B4697" s="565"/>
    </row>
    <row r="4698" spans="2:2">
      <c r="B4698" s="565"/>
    </row>
    <row r="4699" spans="2:2">
      <c r="B4699" s="565"/>
    </row>
    <row r="4700" spans="2:2">
      <c r="B4700" s="565"/>
    </row>
    <row r="4701" spans="2:2">
      <c r="B4701" s="565"/>
    </row>
    <row r="4702" spans="2:2">
      <c r="B4702" s="565"/>
    </row>
    <row r="4703" spans="2:2">
      <c r="B4703" s="565"/>
    </row>
    <row r="4704" spans="2:2">
      <c r="B4704" s="565"/>
    </row>
    <row r="4705" spans="2:2">
      <c r="B4705" s="565"/>
    </row>
    <row r="4706" spans="2:2">
      <c r="B4706" s="565"/>
    </row>
    <row r="4707" spans="2:2">
      <c r="B4707" s="565"/>
    </row>
    <row r="4708" spans="2:2">
      <c r="B4708" s="565"/>
    </row>
    <row r="4709" spans="2:2">
      <c r="B4709" s="565"/>
    </row>
    <row r="4710" spans="2:2">
      <c r="B4710" s="565"/>
    </row>
    <row r="4711" spans="2:2">
      <c r="B4711" s="565"/>
    </row>
    <row r="4712" spans="2:2">
      <c r="B4712" s="565"/>
    </row>
    <row r="4713" spans="2:2">
      <c r="B4713" s="565"/>
    </row>
    <row r="4714" spans="2:2">
      <c r="B4714" s="565"/>
    </row>
    <row r="4715" spans="2:2">
      <c r="B4715" s="565"/>
    </row>
    <row r="4716" spans="2:2">
      <c r="B4716" s="565"/>
    </row>
    <row r="4717" spans="2:2">
      <c r="B4717" s="565"/>
    </row>
    <row r="4718" spans="2:2">
      <c r="B4718" s="565"/>
    </row>
    <row r="4719" spans="2:2">
      <c r="B4719" s="565"/>
    </row>
    <row r="4720" spans="2:2">
      <c r="B4720" s="565"/>
    </row>
    <row r="4721" spans="2:2">
      <c r="B4721" s="565"/>
    </row>
    <row r="4722" spans="2:2">
      <c r="B4722" s="565"/>
    </row>
    <row r="4723" spans="2:2">
      <c r="B4723" s="565"/>
    </row>
    <row r="4724" spans="2:2">
      <c r="B4724" s="565"/>
    </row>
    <row r="4725" spans="2:2">
      <c r="B4725" s="565"/>
    </row>
    <row r="4726" spans="2:2">
      <c r="B4726" s="565"/>
    </row>
    <row r="4727" spans="2:2">
      <c r="B4727" s="565"/>
    </row>
    <row r="4728" spans="2:2">
      <c r="B4728" s="565"/>
    </row>
    <row r="4729" spans="2:2">
      <c r="B4729" s="565"/>
    </row>
    <row r="4730" spans="2:2">
      <c r="B4730" s="565"/>
    </row>
    <row r="4731" spans="2:2">
      <c r="B4731" s="565"/>
    </row>
    <row r="4732" spans="2:2">
      <c r="B4732" s="565"/>
    </row>
    <row r="4733" spans="2:2">
      <c r="B4733" s="565"/>
    </row>
    <row r="4734" spans="2:2">
      <c r="B4734" s="565"/>
    </row>
    <row r="4735" spans="2:2">
      <c r="B4735" s="565"/>
    </row>
    <row r="4736" spans="2:2">
      <c r="B4736" s="565"/>
    </row>
    <row r="4737" spans="2:2">
      <c r="B4737" s="565"/>
    </row>
    <row r="4738" spans="2:2">
      <c r="B4738" s="565"/>
    </row>
    <row r="4739" spans="2:2">
      <c r="B4739" s="565"/>
    </row>
    <row r="4740" spans="2:2">
      <c r="B4740" s="565"/>
    </row>
    <row r="4741" spans="2:2">
      <c r="B4741" s="565"/>
    </row>
    <row r="4742" spans="2:2">
      <c r="B4742" s="565"/>
    </row>
    <row r="4743" spans="2:2">
      <c r="B4743" s="565"/>
    </row>
    <row r="4744" spans="2:2">
      <c r="B4744" s="565"/>
    </row>
    <row r="4745" spans="2:2">
      <c r="B4745" s="565"/>
    </row>
    <row r="4746" spans="2:2">
      <c r="B4746" s="565"/>
    </row>
    <row r="4747" spans="2:2">
      <c r="B4747" s="565"/>
    </row>
    <row r="4748" spans="2:2">
      <c r="B4748" s="565"/>
    </row>
    <row r="4749" spans="2:2">
      <c r="B4749" s="565"/>
    </row>
    <row r="4750" spans="2:2">
      <c r="B4750" s="565"/>
    </row>
    <row r="4751" spans="2:2">
      <c r="B4751" s="565"/>
    </row>
    <row r="4752" spans="2:2">
      <c r="B4752" s="565"/>
    </row>
    <row r="4753" spans="2:2">
      <c r="B4753" s="565"/>
    </row>
    <row r="4754" spans="2:2">
      <c r="B4754" s="565"/>
    </row>
    <row r="4755" spans="2:2">
      <c r="B4755" s="565"/>
    </row>
    <row r="4756" spans="2:2">
      <c r="B4756" s="565"/>
    </row>
    <row r="4757" spans="2:2">
      <c r="B4757" s="565"/>
    </row>
    <row r="4758" spans="2:2">
      <c r="B4758" s="565"/>
    </row>
    <row r="4759" spans="2:2">
      <c r="B4759" s="565"/>
    </row>
    <row r="4760" spans="2:2">
      <c r="B4760" s="565"/>
    </row>
    <row r="4761" spans="2:2">
      <c r="B4761" s="565"/>
    </row>
    <row r="4762" spans="2:2">
      <c r="B4762" s="565"/>
    </row>
    <row r="4763" spans="2:2">
      <c r="B4763" s="565"/>
    </row>
    <row r="4764" spans="2:2">
      <c r="B4764" s="565"/>
    </row>
    <row r="4765" spans="2:2">
      <c r="B4765" s="565"/>
    </row>
    <row r="4766" spans="2:2">
      <c r="B4766" s="565"/>
    </row>
    <row r="4767" spans="2:2">
      <c r="B4767" s="565"/>
    </row>
    <row r="4768" spans="2:2">
      <c r="B4768" s="565"/>
    </row>
    <row r="4769" spans="2:2">
      <c r="B4769" s="565"/>
    </row>
    <row r="4770" spans="2:2">
      <c r="B4770" s="565"/>
    </row>
    <row r="4771" spans="2:2">
      <c r="B4771" s="565"/>
    </row>
    <row r="4772" spans="2:2">
      <c r="B4772" s="565"/>
    </row>
    <row r="4773" spans="2:2">
      <c r="B4773" s="565"/>
    </row>
    <row r="4774" spans="2:2">
      <c r="B4774" s="565"/>
    </row>
    <row r="4775" spans="2:2">
      <c r="B4775" s="565"/>
    </row>
    <row r="4776" spans="2:2">
      <c r="B4776" s="565"/>
    </row>
    <row r="4777" spans="2:2">
      <c r="B4777" s="565"/>
    </row>
    <row r="4778" spans="2:2">
      <c r="B4778" s="565"/>
    </row>
    <row r="4779" spans="2:2">
      <c r="B4779" s="565"/>
    </row>
    <row r="4780" spans="2:2">
      <c r="B4780" s="565"/>
    </row>
    <row r="4781" spans="2:2">
      <c r="B4781" s="565"/>
    </row>
    <row r="4782" spans="2:2">
      <c r="B4782" s="565"/>
    </row>
    <row r="4783" spans="2:2">
      <c r="B4783" s="565"/>
    </row>
    <row r="4784" spans="2:2">
      <c r="B4784" s="565"/>
    </row>
    <row r="4785" spans="2:2">
      <c r="B4785" s="565"/>
    </row>
    <row r="4786" spans="2:2">
      <c r="B4786" s="565"/>
    </row>
    <row r="4787" spans="2:2">
      <c r="B4787" s="565"/>
    </row>
    <row r="4788" spans="2:2">
      <c r="B4788" s="565"/>
    </row>
    <row r="4789" spans="2:2">
      <c r="B4789" s="565"/>
    </row>
    <row r="4790" spans="2:2">
      <c r="B4790" s="565"/>
    </row>
    <row r="4791" spans="2:2">
      <c r="B4791" s="565"/>
    </row>
    <row r="4792" spans="2:2">
      <c r="B4792" s="565"/>
    </row>
    <row r="4793" spans="2:2">
      <c r="B4793" s="565"/>
    </row>
    <row r="4794" spans="2:2">
      <c r="B4794" s="565"/>
    </row>
    <row r="4795" spans="2:2">
      <c r="B4795" s="565"/>
    </row>
    <row r="4796" spans="2:2">
      <c r="B4796" s="565"/>
    </row>
    <row r="4797" spans="2:2">
      <c r="B4797" s="565"/>
    </row>
    <row r="4798" spans="2:2">
      <c r="B4798" s="565"/>
    </row>
    <row r="4799" spans="2:2">
      <c r="B4799" s="565"/>
    </row>
    <row r="4800" spans="2:2">
      <c r="B4800" s="565"/>
    </row>
    <row r="4801" spans="2:2">
      <c r="B4801" s="565"/>
    </row>
    <row r="4802" spans="2:2">
      <c r="B4802" s="565"/>
    </row>
    <row r="4803" spans="2:2">
      <c r="B4803" s="565"/>
    </row>
    <row r="4804" spans="2:2">
      <c r="B4804" s="565"/>
    </row>
    <row r="4805" spans="2:2">
      <c r="B4805" s="565"/>
    </row>
    <row r="4806" spans="2:2">
      <c r="B4806" s="565"/>
    </row>
    <row r="4807" spans="2:2">
      <c r="B4807" s="565"/>
    </row>
    <row r="4808" spans="2:2">
      <c r="B4808" s="565"/>
    </row>
    <row r="4809" spans="2:2">
      <c r="B4809" s="565"/>
    </row>
    <row r="4810" spans="2:2">
      <c r="B4810" s="565"/>
    </row>
    <row r="4811" spans="2:2">
      <c r="B4811" s="565"/>
    </row>
    <row r="4812" spans="2:2">
      <c r="B4812" s="565"/>
    </row>
    <row r="4813" spans="2:2">
      <c r="B4813" s="565"/>
    </row>
    <row r="4814" spans="2:2">
      <c r="B4814" s="565"/>
    </row>
    <row r="4815" spans="2:2">
      <c r="B4815" s="565"/>
    </row>
    <row r="4816" spans="2:2">
      <c r="B4816" s="565"/>
    </row>
    <row r="4817" spans="2:2">
      <c r="B4817" s="565"/>
    </row>
    <row r="4818" spans="2:2">
      <c r="B4818" s="565"/>
    </row>
    <row r="4819" spans="2:2">
      <c r="B4819" s="565"/>
    </row>
    <row r="4820" spans="2:2">
      <c r="B4820" s="565"/>
    </row>
    <row r="4821" spans="2:2">
      <c r="B4821" s="565"/>
    </row>
    <row r="4822" spans="2:2">
      <c r="B4822" s="565"/>
    </row>
    <row r="4823" spans="2:2">
      <c r="B4823" s="565"/>
    </row>
    <row r="4824" spans="2:2">
      <c r="B4824" s="565"/>
    </row>
    <row r="4825" spans="2:2">
      <c r="B4825" s="565"/>
    </row>
    <row r="4826" spans="2:2">
      <c r="B4826" s="565"/>
    </row>
    <row r="4827" spans="2:2">
      <c r="B4827" s="565"/>
    </row>
    <row r="4828" spans="2:2">
      <c r="B4828" s="565"/>
    </row>
    <row r="4829" spans="2:2">
      <c r="B4829" s="565"/>
    </row>
    <row r="4830" spans="2:2">
      <c r="B4830" s="565"/>
    </row>
    <row r="4831" spans="2:2">
      <c r="B4831" s="565"/>
    </row>
    <row r="4832" spans="2:2">
      <c r="B4832" s="565"/>
    </row>
    <row r="4833" spans="2:2">
      <c r="B4833" s="565"/>
    </row>
    <row r="4834" spans="2:2">
      <c r="B4834" s="565"/>
    </row>
    <row r="4835" spans="2:2">
      <c r="B4835" s="565"/>
    </row>
    <row r="4836" spans="2:2">
      <c r="B4836" s="565"/>
    </row>
    <row r="4837" spans="2:2">
      <c r="B4837" s="565"/>
    </row>
    <row r="4838" spans="2:2">
      <c r="B4838" s="565"/>
    </row>
    <row r="4839" spans="2:2">
      <c r="B4839" s="565"/>
    </row>
    <row r="4840" spans="2:2">
      <c r="B4840" s="565"/>
    </row>
    <row r="4841" spans="2:2">
      <c r="B4841" s="565"/>
    </row>
    <row r="4842" spans="2:2">
      <c r="B4842" s="565"/>
    </row>
    <row r="4843" spans="2:2">
      <c r="B4843" s="565"/>
    </row>
    <row r="4844" spans="2:2">
      <c r="B4844" s="565"/>
    </row>
    <row r="4845" spans="2:2">
      <c r="B4845" s="565"/>
    </row>
    <row r="4846" spans="2:2">
      <c r="B4846" s="565"/>
    </row>
    <row r="4847" spans="2:2">
      <c r="B4847" s="565"/>
    </row>
    <row r="4848" spans="2:2">
      <c r="B4848" s="565"/>
    </row>
    <row r="4849" spans="2:2">
      <c r="B4849" s="565"/>
    </row>
    <row r="4850" spans="2:2">
      <c r="B4850" s="565"/>
    </row>
    <row r="4851" spans="2:2">
      <c r="B4851" s="565"/>
    </row>
    <row r="4852" spans="2:2">
      <c r="B4852" s="565"/>
    </row>
    <row r="4853" spans="2:2">
      <c r="B4853" s="565"/>
    </row>
    <row r="4854" spans="2:2">
      <c r="B4854" s="565"/>
    </row>
    <row r="4855" spans="2:2">
      <c r="B4855" s="565"/>
    </row>
    <row r="4856" spans="2:2">
      <c r="B4856" s="565"/>
    </row>
    <row r="4857" spans="2:2">
      <c r="B4857" s="565"/>
    </row>
    <row r="4858" spans="2:2">
      <c r="B4858" s="565"/>
    </row>
    <row r="4859" spans="2:2">
      <c r="B4859" s="565"/>
    </row>
    <row r="4860" spans="2:2">
      <c r="B4860" s="565"/>
    </row>
    <row r="4861" spans="2:2">
      <c r="B4861" s="565"/>
    </row>
    <row r="4862" spans="2:2">
      <c r="B4862" s="565"/>
    </row>
    <row r="4863" spans="2:2">
      <c r="B4863" s="565"/>
    </row>
    <row r="4864" spans="2:2">
      <c r="B4864" s="565"/>
    </row>
    <row r="4865" spans="2:2">
      <c r="B4865" s="565"/>
    </row>
    <row r="4866" spans="2:2">
      <c r="B4866" s="565"/>
    </row>
    <row r="4867" spans="2:2">
      <c r="B4867" s="565"/>
    </row>
    <row r="4868" spans="2:2">
      <c r="B4868" s="565"/>
    </row>
    <row r="4869" spans="2:2">
      <c r="B4869" s="565"/>
    </row>
    <row r="4870" spans="2:2">
      <c r="B4870" s="565"/>
    </row>
    <row r="4871" spans="2:2">
      <c r="B4871" s="565"/>
    </row>
    <row r="4872" spans="2:2">
      <c r="B4872" s="565"/>
    </row>
    <row r="4873" spans="2:2">
      <c r="B4873" s="565"/>
    </row>
    <row r="4874" spans="2:2">
      <c r="B4874" s="565"/>
    </row>
    <row r="4875" spans="2:2">
      <c r="B4875" s="565"/>
    </row>
    <row r="4876" spans="2:2">
      <c r="B4876" s="565"/>
    </row>
    <row r="4877" spans="2:2">
      <c r="B4877" s="565"/>
    </row>
    <row r="4878" spans="2:2">
      <c r="B4878" s="565"/>
    </row>
    <row r="4879" spans="2:2">
      <c r="B4879" s="565"/>
    </row>
    <row r="4880" spans="2:2">
      <c r="B4880" s="565"/>
    </row>
    <row r="4881" spans="2:2">
      <c r="B4881" s="565"/>
    </row>
    <row r="4882" spans="2:2">
      <c r="B4882" s="565"/>
    </row>
    <row r="4883" spans="2:2">
      <c r="B4883" s="565"/>
    </row>
    <row r="4884" spans="2:2">
      <c r="B4884" s="565"/>
    </row>
    <row r="4885" spans="2:2">
      <c r="B4885" s="565"/>
    </row>
    <row r="4886" spans="2:2">
      <c r="B4886" s="565"/>
    </row>
    <row r="4887" spans="2:2">
      <c r="B4887" s="565"/>
    </row>
    <row r="4888" spans="2:2">
      <c r="B4888" s="565"/>
    </row>
    <row r="4889" spans="2:2">
      <c r="B4889" s="565"/>
    </row>
    <row r="4890" spans="2:2">
      <c r="B4890" s="565"/>
    </row>
    <row r="4891" spans="2:2">
      <c r="B4891" s="565"/>
    </row>
    <row r="4892" spans="2:2">
      <c r="B4892" s="565"/>
    </row>
    <row r="4893" spans="2:2">
      <c r="B4893" s="565"/>
    </row>
    <row r="4894" spans="2:2">
      <c r="B4894" s="565"/>
    </row>
    <row r="4895" spans="2:2">
      <c r="B4895" s="565"/>
    </row>
    <row r="4896" spans="2:2">
      <c r="B4896" s="565"/>
    </row>
    <row r="4897" spans="2:2">
      <c r="B4897" s="565"/>
    </row>
    <row r="4898" spans="2:2">
      <c r="B4898" s="565"/>
    </row>
    <row r="4899" spans="2:2">
      <c r="B4899" s="565"/>
    </row>
    <row r="4900" spans="2:2">
      <c r="B4900" s="565"/>
    </row>
    <row r="4901" spans="2:2">
      <c r="B4901" s="565"/>
    </row>
    <row r="4902" spans="2:2">
      <c r="B4902" s="565"/>
    </row>
    <row r="4903" spans="2:2">
      <c r="B4903" s="565"/>
    </row>
    <row r="4904" spans="2:2">
      <c r="B4904" s="565"/>
    </row>
    <row r="4905" spans="2:2">
      <c r="B4905" s="565"/>
    </row>
    <row r="4906" spans="2:2">
      <c r="B4906" s="565"/>
    </row>
    <row r="4907" spans="2:2">
      <c r="B4907" s="565"/>
    </row>
    <row r="4908" spans="2:2">
      <c r="B4908" s="565"/>
    </row>
    <row r="4909" spans="2:2">
      <c r="B4909" s="565"/>
    </row>
    <row r="4910" spans="2:2">
      <c r="B4910" s="565"/>
    </row>
    <row r="4911" spans="2:2">
      <c r="B4911" s="565"/>
    </row>
    <row r="4912" spans="2:2">
      <c r="B4912" s="565"/>
    </row>
    <row r="4913" spans="2:2">
      <c r="B4913" s="565"/>
    </row>
    <row r="4914" spans="2:2">
      <c r="B4914" s="565"/>
    </row>
    <row r="4915" spans="2:2">
      <c r="B4915" s="565"/>
    </row>
    <row r="4916" spans="2:2">
      <c r="B4916" s="565"/>
    </row>
    <row r="4917" spans="2:2">
      <c r="B4917" s="565"/>
    </row>
    <row r="4918" spans="2:2">
      <c r="B4918" s="565"/>
    </row>
    <row r="4919" spans="2:2">
      <c r="B4919" s="565"/>
    </row>
    <row r="4920" spans="2:2">
      <c r="B4920" s="565"/>
    </row>
    <row r="4921" spans="2:2">
      <c r="B4921" s="565"/>
    </row>
    <row r="4922" spans="2:2">
      <c r="B4922" s="565"/>
    </row>
    <row r="4923" spans="2:2">
      <c r="B4923" s="565"/>
    </row>
    <row r="4924" spans="2:2">
      <c r="B4924" s="565"/>
    </row>
    <row r="4925" spans="2:2">
      <c r="B4925" s="565"/>
    </row>
    <row r="4926" spans="2:2">
      <c r="B4926" s="565"/>
    </row>
    <row r="4927" spans="2:2">
      <c r="B4927" s="565"/>
    </row>
    <row r="4928" spans="2:2">
      <c r="B4928" s="565"/>
    </row>
    <row r="4929" spans="2:2">
      <c r="B4929" s="565"/>
    </row>
    <row r="4930" spans="2:2">
      <c r="B4930" s="565"/>
    </row>
    <row r="4931" spans="2:2">
      <c r="B4931" s="565"/>
    </row>
    <row r="4932" spans="2:2">
      <c r="B4932" s="565"/>
    </row>
    <row r="4933" spans="2:2">
      <c r="B4933" s="565"/>
    </row>
    <row r="4934" spans="2:2">
      <c r="B4934" s="565"/>
    </row>
    <row r="4935" spans="2:2">
      <c r="B4935" s="565"/>
    </row>
    <row r="4936" spans="2:2">
      <c r="B4936" s="565"/>
    </row>
    <row r="4937" spans="2:2">
      <c r="B4937" s="565"/>
    </row>
    <row r="4938" spans="2:2">
      <c r="B4938" s="565"/>
    </row>
    <row r="4939" spans="2:2">
      <c r="B4939" s="565"/>
    </row>
    <row r="4940" spans="2:2">
      <c r="B4940" s="565"/>
    </row>
    <row r="4941" spans="2:2">
      <c r="B4941" s="565"/>
    </row>
    <row r="4942" spans="2:2">
      <c r="B4942" s="565"/>
    </row>
    <row r="4943" spans="2:2">
      <c r="B4943" s="565"/>
    </row>
    <row r="4944" spans="2:2">
      <c r="B4944" s="565"/>
    </row>
    <row r="4945" spans="2:2">
      <c r="B4945" s="565"/>
    </row>
    <row r="4946" spans="2:2">
      <c r="B4946" s="565"/>
    </row>
    <row r="4947" spans="2:2">
      <c r="B4947" s="565"/>
    </row>
    <row r="4948" spans="2:2">
      <c r="B4948" s="565"/>
    </row>
    <row r="4949" spans="2:2">
      <c r="B4949" s="565"/>
    </row>
    <row r="4950" spans="2:2">
      <c r="B4950" s="565"/>
    </row>
    <row r="4951" spans="2:2">
      <c r="B4951" s="565"/>
    </row>
    <row r="4952" spans="2:2">
      <c r="B4952" s="565"/>
    </row>
    <row r="4953" spans="2:2">
      <c r="B4953" s="565"/>
    </row>
    <row r="4954" spans="2:2">
      <c r="B4954" s="565"/>
    </row>
    <row r="4955" spans="2:2">
      <c r="B4955" s="565"/>
    </row>
    <row r="4956" spans="2:2">
      <c r="B4956" s="565"/>
    </row>
    <row r="4957" spans="2:2">
      <c r="B4957" s="565"/>
    </row>
    <row r="4958" spans="2:2">
      <c r="B4958" s="565"/>
    </row>
    <row r="4959" spans="2:2">
      <c r="B4959" s="565"/>
    </row>
    <row r="4960" spans="2:2">
      <c r="B4960" s="565"/>
    </row>
    <row r="4961" spans="2:2">
      <c r="B4961" s="565"/>
    </row>
    <row r="4962" spans="2:2">
      <c r="B4962" s="565"/>
    </row>
    <row r="4963" spans="2:2">
      <c r="B4963" s="565"/>
    </row>
    <row r="4964" spans="2:2">
      <c r="B4964" s="565"/>
    </row>
    <row r="4965" spans="2:2">
      <c r="B4965" s="565"/>
    </row>
    <row r="4966" spans="2:2">
      <c r="B4966" s="565"/>
    </row>
    <row r="4967" spans="2:2">
      <c r="B4967" s="565"/>
    </row>
    <row r="4968" spans="2:2">
      <c r="B4968" s="565"/>
    </row>
    <row r="4969" spans="2:2">
      <c r="B4969" s="565"/>
    </row>
    <row r="4970" spans="2:2">
      <c r="B4970" s="565"/>
    </row>
    <row r="4971" spans="2:2">
      <c r="B4971" s="565"/>
    </row>
    <row r="4972" spans="2:2">
      <c r="B4972" s="565"/>
    </row>
    <row r="4973" spans="2:2">
      <c r="B4973" s="565"/>
    </row>
    <row r="4974" spans="2:2">
      <c r="B4974" s="565"/>
    </row>
    <row r="4975" spans="2:2">
      <c r="B4975" s="565"/>
    </row>
    <row r="4976" spans="2:2">
      <c r="B4976" s="565"/>
    </row>
    <row r="4977" spans="2:2">
      <c r="B4977" s="565"/>
    </row>
    <row r="4978" spans="2:2">
      <c r="B4978" s="565"/>
    </row>
    <row r="4979" spans="2:2">
      <c r="B4979" s="565"/>
    </row>
    <row r="4980" spans="2:2">
      <c r="B4980" s="565"/>
    </row>
    <row r="4981" spans="2:2">
      <c r="B4981" s="565"/>
    </row>
    <row r="4982" spans="2:2">
      <c r="B4982" s="565"/>
    </row>
    <row r="4983" spans="2:2">
      <c r="B4983" s="565"/>
    </row>
    <row r="4984" spans="2:2">
      <c r="B4984" s="565"/>
    </row>
    <row r="4985" spans="2:2">
      <c r="B4985" s="565"/>
    </row>
    <row r="4986" spans="2:2">
      <c r="B4986" s="565"/>
    </row>
    <row r="4987" spans="2:2">
      <c r="B4987" s="565"/>
    </row>
    <row r="4988" spans="2:2">
      <c r="B4988" s="565"/>
    </row>
    <row r="4989" spans="2:2">
      <c r="B4989" s="565"/>
    </row>
    <row r="4990" spans="2:2">
      <c r="B4990" s="565"/>
    </row>
    <row r="4991" spans="2:2">
      <c r="B4991" s="565"/>
    </row>
    <row r="4992" spans="2:2">
      <c r="B4992" s="565"/>
    </row>
    <row r="4993" spans="2:2">
      <c r="B4993" s="565"/>
    </row>
    <row r="4994" spans="2:2">
      <c r="B4994" s="565"/>
    </row>
    <row r="4995" spans="2:2">
      <c r="B4995" s="565"/>
    </row>
    <row r="4996" spans="2:2">
      <c r="B4996" s="565"/>
    </row>
    <row r="4997" spans="2:2">
      <c r="B4997" s="565"/>
    </row>
    <row r="4998" spans="2:2">
      <c r="B4998" s="565"/>
    </row>
    <row r="4999" spans="2:2">
      <c r="B4999" s="565"/>
    </row>
    <row r="5000" spans="2:2">
      <c r="B5000" s="565"/>
    </row>
  </sheetData>
  <mergeCells count="15">
    <mergeCell ref="A45:C45"/>
    <mergeCell ref="E45:G45"/>
    <mergeCell ref="D38:F38"/>
    <mergeCell ref="D39:F39"/>
    <mergeCell ref="D40:F40"/>
    <mergeCell ref="D41:G41"/>
    <mergeCell ref="A43:G43"/>
    <mergeCell ref="A44:C44"/>
    <mergeCell ref="E44:G44"/>
    <mergeCell ref="D37:F37"/>
    <mergeCell ref="A1:H1"/>
    <mergeCell ref="A34:H34"/>
    <mergeCell ref="I34:M34"/>
    <mergeCell ref="E35:F35"/>
    <mergeCell ref="D36:F36"/>
  </mergeCells>
  <conditionalFormatting sqref="O3:O5000">
    <cfRule type="cellIs" dxfId="29" priority="1" stopIfTrue="1" operator="equal">
      <formula>"Realizar"</formula>
    </cfRule>
    <cfRule type="cellIs" dxfId="28" priority="2" stopIfTrue="1" operator="equal">
      <formula>"Realizada"</formula>
    </cfRule>
    <cfRule type="cellIs" dxfId="27" priority="3" stopIfTrue="1" operator="equal">
      <formula>"Não Realizada"</formula>
    </cfRule>
  </conditionalFormatting>
  <dataValidations count="2">
    <dataValidation type="list" allowBlank="1" showInputMessage="1" showErrorMessage="1" sqref="N3:N5000" xr:uid="{BF91C411-9F10-4590-9AFB-1C9EFCE8BE75}">
      <formula1>"1º Visita,2º Visita,3º Visita"</formula1>
    </dataValidation>
    <dataValidation type="list" allowBlank="1" showInputMessage="1" showErrorMessage="1" sqref="O3:O5000" xr:uid="{25D6F14E-2767-44DC-B828-86AFE143F75E}">
      <formula1>"Realizar,Realizada,Não Realizada"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BotaoLimparConteudo">
                <anchor moveWithCells="1" sizeWithCells="1">
                  <from>
                    <xdr:col>0</xdr:col>
                    <xdr:colOff>200025</xdr:colOff>
                    <xdr:row>46</xdr:row>
                    <xdr:rowOff>76200</xdr:rowOff>
                  </from>
                  <to>
                    <xdr:col>1</xdr:col>
                    <xdr:colOff>1000125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33EC-269E-429C-A0D6-EB02CB1BE28F}">
          <x14:formula1>
            <xm:f>'Dados Gerais'!$P$2:$P$1047934</xm:f>
          </x14:formula1>
          <xm:sqref>J3:J5000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B5C4-82C3-437B-867E-92BADB34728F}">
  <sheetPr codeName="Planilha23"/>
  <dimension ref="A1:P5000"/>
  <sheetViews>
    <sheetView zoomScale="85" zoomScaleNormal="85" workbookViewId="0">
      <selection sqref="A1:H1"/>
    </sheetView>
  </sheetViews>
  <sheetFormatPr defaultRowHeight="15"/>
  <cols>
    <col min="1" max="1" width="28.28515625" bestFit="1" customWidth="1"/>
    <col min="2" max="2" width="15.28515625" bestFit="1" customWidth="1"/>
    <col min="3" max="3" width="10.28515625" bestFit="1" customWidth="1"/>
    <col min="4" max="4" width="4.7109375" bestFit="1" customWidth="1"/>
    <col min="5" max="5" width="34.5703125" bestFit="1" customWidth="1"/>
    <col min="6" max="6" width="79.5703125" bestFit="1" customWidth="1"/>
    <col min="7" max="7" width="31.85546875" bestFit="1" customWidth="1"/>
    <col min="8" max="8" width="43.7109375" bestFit="1" customWidth="1"/>
    <col min="9" max="9" width="12.42578125" bestFit="1" customWidth="1"/>
    <col min="10" max="10" width="15.5703125" bestFit="1" customWidth="1"/>
    <col min="11" max="11" width="31.85546875" bestFit="1" customWidth="1"/>
    <col min="12" max="12" width="14.28515625" bestFit="1" customWidth="1"/>
    <col min="13" max="13" width="32.140625" bestFit="1" customWidth="1"/>
    <col min="14" max="14" width="21" bestFit="1" customWidth="1"/>
    <col min="15" max="15" width="10" bestFit="1" customWidth="1"/>
    <col min="16" max="16" width="60.7109375" customWidth="1"/>
  </cols>
  <sheetData>
    <row r="1" spans="1:16" ht="21">
      <c r="A1" s="744" t="s">
        <v>6998</v>
      </c>
      <c r="B1" s="745"/>
      <c r="C1" s="745"/>
      <c r="D1" s="745"/>
      <c r="E1" s="745"/>
      <c r="F1" s="745"/>
      <c r="G1" s="745"/>
      <c r="H1" s="745"/>
      <c r="I1" s="522"/>
      <c r="J1" s="522"/>
      <c r="K1" s="522"/>
      <c r="L1" s="522"/>
      <c r="M1" s="522"/>
      <c r="N1" s="522"/>
      <c r="O1" s="522"/>
      <c r="P1" s="523"/>
    </row>
    <row r="2" spans="1:16" ht="18.75">
      <c r="A2" s="524" t="s">
        <v>514</v>
      </c>
      <c r="B2" s="525" t="s">
        <v>608</v>
      </c>
      <c r="C2" s="526" t="s">
        <v>0</v>
      </c>
      <c r="D2" s="527" t="s">
        <v>3110</v>
      </c>
      <c r="E2" s="527" t="s">
        <v>516</v>
      </c>
      <c r="F2" s="528" t="s">
        <v>517</v>
      </c>
      <c r="G2" s="528" t="s">
        <v>518</v>
      </c>
      <c r="H2" s="528" t="s">
        <v>6999</v>
      </c>
      <c r="I2" s="529" t="s">
        <v>603</v>
      </c>
      <c r="J2" s="528" t="s">
        <v>521</v>
      </c>
      <c r="K2" s="530" t="s">
        <v>606</v>
      </c>
      <c r="L2" s="528" t="s">
        <v>523</v>
      </c>
      <c r="M2" s="528" t="s">
        <v>524</v>
      </c>
      <c r="N2" s="527" t="s">
        <v>7000</v>
      </c>
      <c r="O2" s="527" t="s">
        <v>7001</v>
      </c>
      <c r="P2" s="531" t="s">
        <v>525</v>
      </c>
    </row>
    <row r="3" spans="1:16">
      <c r="A3" s="532"/>
      <c r="B3" s="545"/>
      <c r="C3" s="546"/>
      <c r="D3" s="546"/>
      <c r="E3" s="546"/>
      <c r="F3" s="546"/>
      <c r="G3" s="546"/>
      <c r="H3" s="547"/>
      <c r="I3" s="548"/>
      <c r="J3" s="533"/>
      <c r="K3" s="533"/>
      <c r="L3" s="546"/>
      <c r="M3" s="546"/>
      <c r="N3" s="546"/>
      <c r="O3" s="549"/>
      <c r="P3" s="549"/>
    </row>
    <row r="4" spans="1:16">
      <c r="A4" s="532"/>
      <c r="B4" s="550"/>
      <c r="C4" s="549"/>
      <c r="D4" s="546"/>
      <c r="E4" s="549"/>
      <c r="F4" s="549"/>
      <c r="G4" s="549"/>
      <c r="H4" s="551"/>
      <c r="I4" s="549"/>
      <c r="J4" s="532"/>
      <c r="K4" s="522"/>
      <c r="L4" s="549"/>
      <c r="M4" s="549"/>
      <c r="N4" s="549"/>
      <c r="O4" s="549"/>
      <c r="P4" s="549"/>
    </row>
    <row r="5" spans="1:16">
      <c r="A5" s="532"/>
      <c r="B5" s="545"/>
      <c r="C5" s="546"/>
      <c r="D5" s="549"/>
      <c r="E5" s="546"/>
      <c r="F5" s="546"/>
      <c r="G5" s="546"/>
      <c r="H5" s="547"/>
      <c r="I5" s="546"/>
      <c r="J5" s="532"/>
      <c r="K5" s="533"/>
      <c r="L5" s="546"/>
      <c r="M5" s="546"/>
      <c r="N5" s="546"/>
      <c r="O5" s="549"/>
      <c r="P5" s="549"/>
    </row>
    <row r="6" spans="1:16">
      <c r="A6" s="532"/>
      <c r="B6" s="545"/>
      <c r="C6" s="549"/>
      <c r="D6" s="549"/>
      <c r="E6" s="549"/>
      <c r="F6" s="549"/>
      <c r="G6" s="549"/>
      <c r="H6" s="551"/>
      <c r="I6" s="549"/>
      <c r="J6" s="533"/>
      <c r="K6" s="532"/>
      <c r="L6" s="549"/>
      <c r="M6" s="549"/>
      <c r="N6" s="549"/>
      <c r="O6" s="546"/>
      <c r="P6" s="549"/>
    </row>
    <row r="7" spans="1:16">
      <c r="A7" s="532"/>
      <c r="B7" s="550"/>
      <c r="C7" s="546"/>
      <c r="D7" s="546"/>
      <c r="E7" s="546"/>
      <c r="F7" s="546"/>
      <c r="G7" s="546"/>
      <c r="H7" s="547"/>
      <c r="I7" s="546"/>
      <c r="J7" s="532"/>
      <c r="K7" s="533"/>
      <c r="L7" s="546"/>
      <c r="M7" s="546"/>
      <c r="N7" s="546"/>
      <c r="O7" s="546"/>
      <c r="P7" s="522"/>
    </row>
    <row r="8" spans="1:16">
      <c r="A8" s="532"/>
      <c r="B8" s="545"/>
      <c r="C8" s="549"/>
      <c r="D8" s="546"/>
      <c r="E8" s="549"/>
      <c r="F8" s="549"/>
      <c r="G8" s="549"/>
      <c r="H8" s="551"/>
      <c r="I8" s="549"/>
      <c r="J8" s="533"/>
      <c r="K8" s="532"/>
      <c r="L8" s="549"/>
      <c r="M8" s="549"/>
      <c r="N8" s="549"/>
      <c r="O8" s="549"/>
      <c r="P8" s="549"/>
    </row>
    <row r="9" spans="1:16">
      <c r="A9" s="532"/>
      <c r="B9" s="550"/>
      <c r="C9" s="546"/>
      <c r="D9" s="546"/>
      <c r="E9" s="546"/>
      <c r="F9" s="546"/>
      <c r="G9" s="546"/>
      <c r="H9" s="547"/>
      <c r="I9" s="546"/>
      <c r="J9" s="532"/>
      <c r="K9" s="533"/>
      <c r="L9" s="546"/>
      <c r="M9" s="546"/>
      <c r="N9" s="546"/>
      <c r="O9" s="546"/>
      <c r="P9" s="549"/>
    </row>
    <row r="10" spans="1:16">
      <c r="A10" s="532"/>
      <c r="B10" s="545"/>
      <c r="C10" s="549"/>
      <c r="D10" s="546"/>
      <c r="E10" s="549"/>
      <c r="F10" s="549"/>
      <c r="G10" s="549"/>
      <c r="H10" s="551"/>
      <c r="I10" s="549"/>
      <c r="J10" s="534"/>
      <c r="K10" s="532"/>
      <c r="L10" s="549"/>
      <c r="M10" s="549"/>
      <c r="N10" s="549"/>
      <c r="O10" s="549"/>
      <c r="P10" s="549"/>
    </row>
    <row r="11" spans="1:16">
      <c r="A11" s="532"/>
      <c r="B11" s="552"/>
      <c r="C11" s="546"/>
      <c r="D11" s="549"/>
      <c r="E11" s="546"/>
      <c r="F11" s="546"/>
      <c r="G11" s="546"/>
      <c r="H11" s="546"/>
      <c r="I11" s="546"/>
      <c r="J11" s="533"/>
      <c r="K11" s="533"/>
      <c r="L11" s="546"/>
      <c r="M11" s="546"/>
      <c r="N11" s="546"/>
      <c r="O11" s="546"/>
      <c r="P11" s="549"/>
    </row>
    <row r="12" spans="1:16">
      <c r="A12" s="532"/>
      <c r="B12" s="545"/>
      <c r="C12" s="549"/>
      <c r="D12" s="549"/>
      <c r="E12" s="549"/>
      <c r="F12" s="549"/>
      <c r="G12" s="549"/>
      <c r="H12" s="551"/>
      <c r="I12" s="549"/>
      <c r="J12" s="532"/>
      <c r="K12" s="532"/>
      <c r="L12" s="549"/>
      <c r="M12" s="549"/>
      <c r="N12" s="549"/>
      <c r="O12" s="549"/>
      <c r="P12" s="549"/>
    </row>
    <row r="13" spans="1:16">
      <c r="A13" s="532"/>
      <c r="B13" s="550"/>
      <c r="C13" s="546"/>
      <c r="D13" s="549"/>
      <c r="E13" s="546"/>
      <c r="F13" s="546"/>
      <c r="G13" s="546"/>
      <c r="H13" s="547"/>
      <c r="I13" s="546"/>
      <c r="J13" s="533"/>
      <c r="K13" s="533"/>
      <c r="L13" s="546"/>
      <c r="M13" s="546"/>
      <c r="N13" s="546"/>
      <c r="O13" s="546"/>
      <c r="P13" s="549"/>
    </row>
    <row r="14" spans="1:16">
      <c r="A14" s="532"/>
      <c r="B14" s="545"/>
      <c r="C14" s="549"/>
      <c r="D14" s="549"/>
      <c r="E14" s="549"/>
      <c r="F14" s="549"/>
      <c r="G14" s="549"/>
      <c r="H14" s="551"/>
      <c r="I14" s="549"/>
      <c r="J14" s="532"/>
      <c r="K14" s="532"/>
      <c r="L14" s="549"/>
      <c r="M14" s="549"/>
      <c r="N14" s="549"/>
      <c r="O14" s="549"/>
      <c r="P14" s="549"/>
    </row>
    <row r="15" spans="1:16">
      <c r="A15" s="532"/>
      <c r="B15" s="550"/>
      <c r="C15" s="546"/>
      <c r="D15" s="549"/>
      <c r="E15" s="546"/>
      <c r="F15" s="546"/>
      <c r="G15" s="546"/>
      <c r="H15" s="547"/>
      <c r="I15" s="548"/>
      <c r="J15" s="533"/>
      <c r="K15" s="533"/>
      <c r="L15" s="546"/>
      <c r="M15" s="549"/>
      <c r="N15" s="546"/>
      <c r="O15" s="546"/>
      <c r="P15" s="549"/>
    </row>
    <row r="16" spans="1:16">
      <c r="A16" s="532"/>
      <c r="B16" s="550"/>
      <c r="C16" s="546"/>
      <c r="D16" s="549"/>
      <c r="E16" s="546"/>
      <c r="F16" s="546"/>
      <c r="G16" s="546"/>
      <c r="H16" s="547"/>
      <c r="I16" s="548"/>
      <c r="J16" s="533"/>
      <c r="K16" s="533"/>
      <c r="L16" s="546"/>
      <c r="M16" s="549"/>
      <c r="N16" s="546"/>
      <c r="O16" s="546"/>
      <c r="P16" s="549"/>
    </row>
    <row r="17" spans="1:16">
      <c r="A17" s="532"/>
      <c r="B17" s="545"/>
      <c r="C17" s="549"/>
      <c r="D17" s="549"/>
      <c r="E17" s="549"/>
      <c r="F17" s="549"/>
      <c r="G17" s="549"/>
      <c r="H17" s="551"/>
      <c r="I17" s="549"/>
      <c r="J17" s="532"/>
      <c r="K17" s="532"/>
      <c r="L17" s="549"/>
      <c r="M17" s="549"/>
      <c r="N17" s="549"/>
      <c r="O17" s="549"/>
      <c r="P17" s="549"/>
    </row>
    <row r="18" spans="1:16">
      <c r="A18" s="532"/>
      <c r="B18" s="545"/>
      <c r="C18" s="549"/>
      <c r="D18" s="549"/>
      <c r="E18" s="549"/>
      <c r="F18" s="549"/>
      <c r="G18" s="549"/>
      <c r="H18" s="551"/>
      <c r="I18" s="553"/>
      <c r="J18" s="532"/>
      <c r="K18" s="532"/>
      <c r="L18" s="549"/>
      <c r="M18" s="549"/>
      <c r="N18" s="549"/>
      <c r="O18" s="549"/>
      <c r="P18" s="549"/>
    </row>
    <row r="19" spans="1:16">
      <c r="A19" s="532"/>
      <c r="B19" s="545"/>
      <c r="C19" s="549"/>
      <c r="D19" s="549"/>
      <c r="E19" s="549"/>
      <c r="F19" s="549"/>
      <c r="G19" s="549"/>
      <c r="H19" s="551"/>
      <c r="I19" s="553"/>
      <c r="J19" s="532"/>
      <c r="K19" s="532"/>
      <c r="L19" s="549"/>
      <c r="M19" s="549"/>
      <c r="N19" s="549"/>
      <c r="O19" s="549"/>
      <c r="P19" s="549"/>
    </row>
    <row r="20" spans="1:16">
      <c r="A20" s="532"/>
      <c r="B20" s="550"/>
      <c r="C20" s="546"/>
      <c r="D20" s="549"/>
      <c r="E20" s="546"/>
      <c r="F20" s="546"/>
      <c r="G20" s="546"/>
      <c r="H20" s="547"/>
      <c r="I20" s="548"/>
      <c r="J20" s="533"/>
      <c r="K20" s="533"/>
      <c r="L20" s="546"/>
      <c r="M20" s="549"/>
      <c r="N20" s="546"/>
      <c r="O20" s="546"/>
      <c r="P20" s="549"/>
    </row>
    <row r="21" spans="1:16">
      <c r="A21" s="532"/>
      <c r="B21" s="545"/>
      <c r="C21" s="549"/>
      <c r="D21" s="549"/>
      <c r="E21" s="549"/>
      <c r="F21" s="549"/>
      <c r="G21" s="549"/>
      <c r="H21" s="551"/>
      <c r="I21" s="553"/>
      <c r="J21" s="532"/>
      <c r="K21" s="532"/>
      <c r="L21" s="549"/>
      <c r="M21" s="549"/>
      <c r="N21" s="549"/>
      <c r="O21" s="549"/>
      <c r="P21" s="549"/>
    </row>
    <row r="22" spans="1:16">
      <c r="A22" s="532"/>
      <c r="B22" s="545"/>
      <c r="C22" s="549"/>
      <c r="D22" s="549"/>
      <c r="E22" s="549"/>
      <c r="F22" s="549"/>
      <c r="G22" s="549"/>
      <c r="H22" s="551"/>
      <c r="I22" s="549"/>
      <c r="J22" s="532"/>
      <c r="K22" s="532"/>
      <c r="L22" s="549"/>
      <c r="M22" s="549"/>
      <c r="N22" s="549"/>
      <c r="O22" s="549"/>
      <c r="P22" s="549"/>
    </row>
    <row r="23" spans="1:16">
      <c r="A23" s="532"/>
      <c r="B23" s="545"/>
      <c r="C23" s="549"/>
      <c r="D23" s="549"/>
      <c r="E23" s="549"/>
      <c r="F23" s="549"/>
      <c r="G23" s="549"/>
      <c r="H23" s="551"/>
      <c r="I23" s="553"/>
      <c r="J23" s="532"/>
      <c r="K23" s="532"/>
      <c r="L23" s="549"/>
      <c r="M23" s="549"/>
      <c r="N23" s="549"/>
      <c r="O23" s="549"/>
      <c r="P23" s="549"/>
    </row>
    <row r="24" spans="1:16">
      <c r="A24" s="532"/>
      <c r="B24" s="545"/>
      <c r="C24" s="549"/>
      <c r="D24" s="549"/>
      <c r="E24" s="549"/>
      <c r="F24" s="549"/>
      <c r="G24" s="549"/>
      <c r="H24" s="551"/>
      <c r="I24" s="553"/>
      <c r="J24" s="532"/>
      <c r="K24" s="532"/>
      <c r="L24" s="549"/>
      <c r="M24" s="549"/>
      <c r="N24" s="549"/>
      <c r="O24" s="549"/>
      <c r="P24" s="549"/>
    </row>
    <row r="25" spans="1:16">
      <c r="A25" s="532"/>
      <c r="B25" s="550"/>
      <c r="C25" s="546"/>
      <c r="D25" s="549"/>
      <c r="E25" s="546"/>
      <c r="F25" s="546"/>
      <c r="G25" s="546"/>
      <c r="H25" s="547"/>
      <c r="I25" s="548"/>
      <c r="J25" s="533"/>
      <c r="K25" s="533"/>
      <c r="L25" s="546"/>
      <c r="M25" s="549"/>
      <c r="N25" s="546"/>
      <c r="O25" s="546"/>
      <c r="P25" s="549"/>
    </row>
    <row r="26" spans="1:16">
      <c r="A26" s="532"/>
      <c r="B26" s="545"/>
      <c r="C26" s="549"/>
      <c r="D26" s="549"/>
      <c r="E26" s="549"/>
      <c r="F26" s="549"/>
      <c r="G26" s="549"/>
      <c r="H26" s="551"/>
      <c r="I26" s="553"/>
      <c r="J26" s="532"/>
      <c r="K26" s="532"/>
      <c r="L26" s="549"/>
      <c r="M26" s="549"/>
      <c r="N26" s="549"/>
      <c r="O26" s="549"/>
      <c r="P26" s="549"/>
    </row>
    <row r="27" spans="1:16">
      <c r="A27" s="532"/>
      <c r="B27" s="545"/>
      <c r="C27" s="549"/>
      <c r="D27" s="549"/>
      <c r="E27" s="549"/>
      <c r="F27" s="549"/>
      <c r="G27" s="549"/>
      <c r="H27" s="551"/>
      <c r="I27" s="549"/>
      <c r="J27" s="532"/>
      <c r="K27" s="532"/>
      <c r="L27" s="549"/>
      <c r="M27" s="549"/>
      <c r="N27" s="549"/>
      <c r="O27" s="549"/>
      <c r="P27" s="549"/>
    </row>
    <row r="28" spans="1:16">
      <c r="A28" s="532"/>
      <c r="B28" s="545"/>
      <c r="C28" s="549"/>
      <c r="D28" s="549"/>
      <c r="E28" s="549"/>
      <c r="F28" s="549"/>
      <c r="G28" s="549"/>
      <c r="H28" s="551"/>
      <c r="I28" s="553"/>
      <c r="J28" s="532"/>
      <c r="K28" s="532"/>
      <c r="L28" s="549"/>
      <c r="M28" s="549"/>
      <c r="N28" s="549"/>
      <c r="O28" s="549"/>
      <c r="P28" s="549"/>
    </row>
    <row r="29" spans="1:16">
      <c r="A29" s="532"/>
      <c r="B29" s="545"/>
      <c r="C29" s="549"/>
      <c r="D29" s="549"/>
      <c r="E29" s="549"/>
      <c r="F29" s="549"/>
      <c r="G29" s="549"/>
      <c r="H29" s="551"/>
      <c r="I29" s="553"/>
      <c r="J29" s="532"/>
      <c r="K29" s="532"/>
      <c r="L29" s="549"/>
      <c r="M29" s="549"/>
      <c r="N29" s="549"/>
      <c r="O29" s="549"/>
      <c r="P29" s="549"/>
    </row>
    <row r="30" spans="1:16">
      <c r="A30" s="532"/>
      <c r="B30" s="550"/>
      <c r="C30" s="546"/>
      <c r="D30" s="549"/>
      <c r="E30" s="546"/>
      <c r="F30" s="546"/>
      <c r="G30" s="546"/>
      <c r="H30" s="547"/>
      <c r="I30" s="548"/>
      <c r="J30" s="533"/>
      <c r="K30" s="533"/>
      <c r="L30" s="546"/>
      <c r="M30" s="549"/>
      <c r="N30" s="546"/>
      <c r="O30" s="546"/>
      <c r="P30" s="549"/>
    </row>
    <row r="31" spans="1:16">
      <c r="A31" s="532"/>
      <c r="B31" s="545"/>
      <c r="C31" s="549"/>
      <c r="D31" s="549"/>
      <c r="E31" s="549"/>
      <c r="F31" s="549"/>
      <c r="G31" s="549"/>
      <c r="H31" s="551"/>
      <c r="I31" s="553"/>
      <c r="J31" s="532"/>
      <c r="K31" s="532"/>
      <c r="L31" s="549"/>
      <c r="M31" s="549"/>
      <c r="N31" s="549"/>
      <c r="O31" s="549"/>
      <c r="P31" s="549"/>
    </row>
    <row r="32" spans="1:16">
      <c r="A32" s="554"/>
      <c r="B32" s="555"/>
      <c r="C32" s="554"/>
      <c r="D32" s="554"/>
      <c r="E32" s="554"/>
      <c r="F32" s="554"/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>
      <c r="A33" s="522"/>
      <c r="B33" s="556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</row>
    <row r="34" spans="1:16">
      <c r="A34" s="735" t="s">
        <v>542</v>
      </c>
      <c r="B34" s="736"/>
      <c r="C34" s="737"/>
      <c r="D34" s="737"/>
      <c r="E34" s="737"/>
      <c r="F34" s="737"/>
      <c r="G34" s="737"/>
      <c r="H34" s="737"/>
      <c r="I34" s="809"/>
      <c r="J34" s="809"/>
      <c r="K34" s="809"/>
      <c r="L34" s="809"/>
      <c r="M34" s="809"/>
      <c r="N34" s="522"/>
      <c r="O34" s="522"/>
      <c r="P34" s="522"/>
    </row>
    <row r="35" spans="1:16">
      <c r="A35" s="557" t="s">
        <v>543</v>
      </c>
      <c r="B35" s="558" t="s">
        <v>544</v>
      </c>
      <c r="C35" s="559" t="s">
        <v>545</v>
      </c>
      <c r="D35" s="560"/>
      <c r="E35" s="810" t="s">
        <v>546</v>
      </c>
      <c r="F35" s="810"/>
      <c r="G35" s="559" t="s">
        <v>545</v>
      </c>
      <c r="H35" s="560" t="s">
        <v>547</v>
      </c>
      <c r="I35" s="535" t="s">
        <v>548</v>
      </c>
      <c r="J35" s="536"/>
      <c r="K35" s="536"/>
      <c r="L35" s="536"/>
      <c r="M35" s="536"/>
      <c r="N35" s="536"/>
      <c r="O35" s="536"/>
      <c r="P35" s="536"/>
    </row>
    <row r="36" spans="1:16">
      <c r="A36" s="537"/>
      <c r="B36" s="543"/>
      <c r="C36" s="537"/>
      <c r="D36" s="730"/>
      <c r="E36" s="731"/>
      <c r="F36" s="732"/>
      <c r="G36" s="537"/>
      <c r="H36" s="538"/>
      <c r="I36" s="561"/>
      <c r="J36" s="522"/>
      <c r="K36" s="522"/>
      <c r="L36" s="522"/>
      <c r="M36" s="522"/>
      <c r="N36" s="522"/>
      <c r="O36" s="522"/>
      <c r="P36" s="522"/>
    </row>
    <row r="37" spans="1:16">
      <c r="A37" s="537"/>
      <c r="B37" s="543"/>
      <c r="C37" s="537"/>
      <c r="D37" s="730"/>
      <c r="E37" s="731"/>
      <c r="F37" s="732"/>
      <c r="G37" s="537"/>
      <c r="H37" s="538"/>
      <c r="I37" s="562"/>
      <c r="J37" s="522"/>
      <c r="K37" s="522"/>
      <c r="L37" s="522"/>
      <c r="M37" s="522"/>
      <c r="N37" s="522"/>
      <c r="O37" s="522"/>
      <c r="P37" s="522"/>
    </row>
    <row r="38" spans="1:16">
      <c r="A38" s="537"/>
      <c r="B38" s="563"/>
      <c r="C38" s="6"/>
      <c r="D38" s="811"/>
      <c r="E38" s="812"/>
      <c r="F38" s="813"/>
      <c r="G38" s="6"/>
      <c r="H38" s="538"/>
      <c r="I38" s="522"/>
      <c r="J38" s="522"/>
      <c r="K38" s="522"/>
      <c r="L38" s="522"/>
      <c r="M38" s="522"/>
      <c r="N38" s="522"/>
      <c r="O38" s="522"/>
      <c r="P38" s="522"/>
    </row>
    <row r="39" spans="1:16">
      <c r="A39" s="537"/>
      <c r="B39" s="543"/>
      <c r="C39" s="537"/>
      <c r="D39" s="730"/>
      <c r="E39" s="731"/>
      <c r="F39" s="732"/>
      <c r="G39" s="537"/>
      <c r="H39" s="538"/>
      <c r="I39" s="522"/>
      <c r="J39" s="522"/>
      <c r="K39" s="522"/>
      <c r="L39" s="522"/>
      <c r="M39" s="522"/>
      <c r="N39" s="522"/>
      <c r="O39" s="522"/>
      <c r="P39" s="522"/>
    </row>
    <row r="40" spans="1:16">
      <c r="A40" s="537"/>
      <c r="B40" s="543"/>
      <c r="C40" s="537"/>
      <c r="D40" s="730"/>
      <c r="E40" s="731"/>
      <c r="F40" s="732"/>
      <c r="G40" s="537"/>
      <c r="H40" s="539"/>
      <c r="I40" s="522"/>
      <c r="J40" s="522"/>
      <c r="K40" s="522"/>
      <c r="L40" s="522"/>
      <c r="M40" s="522"/>
      <c r="N40" s="522"/>
      <c r="O40" s="522"/>
      <c r="P40" s="522"/>
    </row>
    <row r="41" spans="1:16">
      <c r="A41" s="537"/>
      <c r="B41" s="544"/>
      <c r="C41" s="540"/>
      <c r="D41" s="738" t="s">
        <v>551</v>
      </c>
      <c r="E41" s="739"/>
      <c r="F41" s="739"/>
      <c r="G41" s="740"/>
      <c r="H41" s="541"/>
      <c r="I41" s="522"/>
      <c r="J41" s="522"/>
      <c r="K41" s="522"/>
      <c r="L41" s="522"/>
      <c r="M41" s="522"/>
      <c r="N41" s="522"/>
      <c r="O41" s="522"/>
      <c r="P41" s="522"/>
    </row>
    <row r="42" spans="1:16">
      <c r="A42" s="522"/>
      <c r="B42" s="556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</row>
    <row r="43" spans="1:16">
      <c r="A43" s="735" t="s">
        <v>552</v>
      </c>
      <c r="B43" s="736"/>
      <c r="C43" s="737"/>
      <c r="D43" s="737"/>
      <c r="E43" s="737"/>
      <c r="F43" s="737"/>
      <c r="G43" s="737"/>
      <c r="H43" s="522"/>
      <c r="I43" s="522"/>
      <c r="J43" s="522"/>
      <c r="K43" s="522"/>
      <c r="L43" s="522"/>
      <c r="M43" s="522"/>
      <c r="N43" s="522"/>
      <c r="O43" s="522"/>
      <c r="P43" s="522"/>
    </row>
    <row r="44" spans="1:16">
      <c r="A44" s="741" t="s">
        <v>553</v>
      </c>
      <c r="B44" s="742"/>
      <c r="C44" s="743"/>
      <c r="D44" s="542"/>
      <c r="E44" s="743" t="s">
        <v>554</v>
      </c>
      <c r="F44" s="743"/>
      <c r="G44" s="743"/>
      <c r="H44" s="522"/>
      <c r="I44" s="522"/>
      <c r="J44" s="522"/>
      <c r="K44" s="522"/>
      <c r="L44" s="522"/>
      <c r="M44" s="522"/>
      <c r="N44" s="522"/>
      <c r="O44" s="522"/>
      <c r="P44" s="522"/>
    </row>
    <row r="45" spans="1:16">
      <c r="A45" s="814"/>
      <c r="B45" s="815"/>
      <c r="C45" s="816"/>
      <c r="D45" s="564"/>
      <c r="E45" s="816"/>
      <c r="F45" s="816"/>
      <c r="G45" s="816"/>
      <c r="H45" s="522"/>
      <c r="I45" s="522"/>
      <c r="J45" s="522"/>
      <c r="K45" s="522"/>
      <c r="L45" s="522"/>
      <c r="M45" s="522"/>
      <c r="N45" s="522"/>
      <c r="O45" s="522"/>
      <c r="P45" s="522"/>
    </row>
    <row r="46" spans="1:16">
      <c r="A46" s="522"/>
      <c r="B46" s="556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</row>
    <row r="47" spans="1:16">
      <c r="A47" s="522"/>
      <c r="B47" s="556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</row>
    <row r="48" spans="1:16">
      <c r="A48" s="522"/>
      <c r="B48" s="556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</row>
    <row r="49" spans="1:16">
      <c r="A49" s="522"/>
      <c r="B49" s="556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</row>
    <row r="50" spans="1:16">
      <c r="A50" s="522"/>
      <c r="B50" s="556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</row>
    <row r="51" spans="1:16">
      <c r="A51" s="522"/>
      <c r="B51" s="556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</row>
    <row r="52" spans="1:16">
      <c r="A52" s="522"/>
      <c r="B52" s="556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</row>
    <row r="53" spans="1:16">
      <c r="A53" s="522"/>
      <c r="B53" s="556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</row>
    <row r="54" spans="1:16">
      <c r="A54" s="522"/>
      <c r="B54" s="556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</row>
    <row r="55" spans="1:16">
      <c r="B55" s="565"/>
    </row>
    <row r="56" spans="1:16">
      <c r="B56" s="565"/>
    </row>
    <row r="57" spans="1:16">
      <c r="B57" s="565"/>
    </row>
    <row r="58" spans="1:16">
      <c r="B58" s="565"/>
    </row>
    <row r="59" spans="1:16">
      <c r="B59" s="565"/>
    </row>
    <row r="60" spans="1:16">
      <c r="B60" s="565"/>
    </row>
    <row r="61" spans="1:16">
      <c r="B61" s="565"/>
    </row>
    <row r="62" spans="1:16">
      <c r="B62" s="565"/>
    </row>
    <row r="63" spans="1:16">
      <c r="B63" s="565"/>
    </row>
    <row r="64" spans="1:16">
      <c r="B64" s="565"/>
    </row>
    <row r="65" spans="2:2">
      <c r="B65" s="565"/>
    </row>
    <row r="66" spans="2:2">
      <c r="B66" s="565"/>
    </row>
    <row r="67" spans="2:2">
      <c r="B67" s="565"/>
    </row>
    <row r="68" spans="2:2">
      <c r="B68" s="565"/>
    </row>
    <row r="69" spans="2:2">
      <c r="B69" s="565"/>
    </row>
    <row r="70" spans="2:2">
      <c r="B70" s="565"/>
    </row>
    <row r="71" spans="2:2">
      <c r="B71" s="565"/>
    </row>
    <row r="72" spans="2:2">
      <c r="B72" s="565"/>
    </row>
    <row r="73" spans="2:2">
      <c r="B73" s="565"/>
    </row>
    <row r="74" spans="2:2">
      <c r="B74" s="565"/>
    </row>
    <row r="75" spans="2:2">
      <c r="B75" s="565"/>
    </row>
    <row r="76" spans="2:2">
      <c r="B76" s="565"/>
    </row>
    <row r="77" spans="2:2">
      <c r="B77" s="565"/>
    </row>
    <row r="78" spans="2:2">
      <c r="B78" s="565"/>
    </row>
    <row r="79" spans="2:2">
      <c r="B79" s="565"/>
    </row>
    <row r="80" spans="2:2">
      <c r="B80" s="565"/>
    </row>
    <row r="81" spans="2:2">
      <c r="B81" s="565"/>
    </row>
    <row r="82" spans="2:2">
      <c r="B82" s="565"/>
    </row>
    <row r="83" spans="2:2">
      <c r="B83" s="565"/>
    </row>
    <row r="84" spans="2:2">
      <c r="B84" s="565"/>
    </row>
    <row r="85" spans="2:2">
      <c r="B85" s="565"/>
    </row>
    <row r="86" spans="2:2">
      <c r="B86" s="565"/>
    </row>
    <row r="87" spans="2:2">
      <c r="B87" s="565"/>
    </row>
    <row r="88" spans="2:2">
      <c r="B88" s="565"/>
    </row>
    <row r="89" spans="2:2">
      <c r="B89" s="565"/>
    </row>
    <row r="90" spans="2:2">
      <c r="B90" s="565"/>
    </row>
    <row r="91" spans="2:2">
      <c r="B91" s="565"/>
    </row>
    <row r="92" spans="2:2">
      <c r="B92" s="565"/>
    </row>
    <row r="93" spans="2:2">
      <c r="B93" s="565"/>
    </row>
    <row r="94" spans="2:2">
      <c r="B94" s="565"/>
    </row>
    <row r="95" spans="2:2">
      <c r="B95" s="565"/>
    </row>
    <row r="96" spans="2:2">
      <c r="B96" s="565"/>
    </row>
    <row r="97" spans="2:2">
      <c r="B97" s="565"/>
    </row>
    <row r="98" spans="2:2">
      <c r="B98" s="565"/>
    </row>
    <row r="99" spans="2:2">
      <c r="B99" s="565"/>
    </row>
    <row r="100" spans="2:2">
      <c r="B100" s="565"/>
    </row>
    <row r="101" spans="2:2">
      <c r="B101" s="565"/>
    </row>
    <row r="102" spans="2:2">
      <c r="B102" s="565"/>
    </row>
    <row r="103" spans="2:2">
      <c r="B103" s="565"/>
    </row>
    <row r="104" spans="2:2">
      <c r="B104" s="565"/>
    </row>
    <row r="105" spans="2:2">
      <c r="B105" s="565"/>
    </row>
    <row r="106" spans="2:2">
      <c r="B106" s="565"/>
    </row>
    <row r="107" spans="2:2">
      <c r="B107" s="565"/>
    </row>
    <row r="108" spans="2:2">
      <c r="B108" s="565"/>
    </row>
    <row r="109" spans="2:2">
      <c r="B109" s="565"/>
    </row>
    <row r="110" spans="2:2">
      <c r="B110" s="565"/>
    </row>
    <row r="111" spans="2:2">
      <c r="B111" s="565"/>
    </row>
    <row r="112" spans="2:2">
      <c r="B112" s="565"/>
    </row>
    <row r="113" spans="2:2">
      <c r="B113" s="565"/>
    </row>
    <row r="114" spans="2:2">
      <c r="B114" s="565"/>
    </row>
    <row r="115" spans="2:2">
      <c r="B115" s="565"/>
    </row>
    <row r="116" spans="2:2">
      <c r="B116" s="565"/>
    </row>
    <row r="117" spans="2:2">
      <c r="B117" s="565"/>
    </row>
    <row r="118" spans="2:2">
      <c r="B118" s="565"/>
    </row>
    <row r="119" spans="2:2">
      <c r="B119" s="565"/>
    </row>
    <row r="120" spans="2:2">
      <c r="B120" s="565"/>
    </row>
    <row r="121" spans="2:2">
      <c r="B121" s="565"/>
    </row>
    <row r="122" spans="2:2">
      <c r="B122" s="565"/>
    </row>
    <row r="123" spans="2:2">
      <c r="B123" s="565"/>
    </row>
    <row r="124" spans="2:2">
      <c r="B124" s="565"/>
    </row>
    <row r="125" spans="2:2">
      <c r="B125" s="565"/>
    </row>
    <row r="126" spans="2:2">
      <c r="B126" s="565"/>
    </row>
    <row r="127" spans="2:2">
      <c r="B127" s="565"/>
    </row>
    <row r="128" spans="2:2">
      <c r="B128" s="565"/>
    </row>
    <row r="129" spans="2:2">
      <c r="B129" s="565"/>
    </row>
    <row r="130" spans="2:2">
      <c r="B130" s="565"/>
    </row>
    <row r="131" spans="2:2">
      <c r="B131" s="565"/>
    </row>
    <row r="132" spans="2:2">
      <c r="B132" s="565"/>
    </row>
    <row r="133" spans="2:2">
      <c r="B133" s="565"/>
    </row>
    <row r="134" spans="2:2">
      <c r="B134" s="565"/>
    </row>
    <row r="135" spans="2:2">
      <c r="B135" s="565"/>
    </row>
    <row r="136" spans="2:2">
      <c r="B136" s="565"/>
    </row>
    <row r="137" spans="2:2">
      <c r="B137" s="565"/>
    </row>
    <row r="138" spans="2:2">
      <c r="B138" s="565"/>
    </row>
    <row r="139" spans="2:2">
      <c r="B139" s="565"/>
    </row>
    <row r="140" spans="2:2">
      <c r="B140" s="565"/>
    </row>
    <row r="141" spans="2:2">
      <c r="B141" s="565"/>
    </row>
    <row r="142" spans="2:2">
      <c r="B142" s="565"/>
    </row>
    <row r="143" spans="2:2">
      <c r="B143" s="565"/>
    </row>
    <row r="144" spans="2:2">
      <c r="B144" s="565"/>
    </row>
    <row r="145" spans="2:2">
      <c r="B145" s="565"/>
    </row>
    <row r="146" spans="2:2">
      <c r="B146" s="565"/>
    </row>
    <row r="147" spans="2:2">
      <c r="B147" s="565"/>
    </row>
    <row r="148" spans="2:2">
      <c r="B148" s="565"/>
    </row>
    <row r="149" spans="2:2">
      <c r="B149" s="565"/>
    </row>
    <row r="150" spans="2:2">
      <c r="B150" s="565"/>
    </row>
    <row r="151" spans="2:2">
      <c r="B151" s="565"/>
    </row>
    <row r="152" spans="2:2">
      <c r="B152" s="565"/>
    </row>
    <row r="153" spans="2:2">
      <c r="B153" s="565"/>
    </row>
    <row r="154" spans="2:2">
      <c r="B154" s="565"/>
    </row>
    <row r="155" spans="2:2">
      <c r="B155" s="565"/>
    </row>
    <row r="156" spans="2:2">
      <c r="B156" s="565"/>
    </row>
    <row r="157" spans="2:2">
      <c r="B157" s="565"/>
    </row>
    <row r="158" spans="2:2">
      <c r="B158" s="565"/>
    </row>
    <row r="159" spans="2:2">
      <c r="B159" s="565"/>
    </row>
    <row r="160" spans="2:2">
      <c r="B160" s="565"/>
    </row>
    <row r="161" spans="2:2">
      <c r="B161" s="565"/>
    </row>
    <row r="162" spans="2:2">
      <c r="B162" s="565"/>
    </row>
    <row r="163" spans="2:2">
      <c r="B163" s="565"/>
    </row>
    <row r="164" spans="2:2">
      <c r="B164" s="565"/>
    </row>
    <row r="165" spans="2:2">
      <c r="B165" s="565"/>
    </row>
    <row r="166" spans="2:2">
      <c r="B166" s="565"/>
    </row>
    <row r="167" spans="2:2">
      <c r="B167" s="565"/>
    </row>
    <row r="168" spans="2:2">
      <c r="B168" s="565"/>
    </row>
    <row r="169" spans="2:2">
      <c r="B169" s="565"/>
    </row>
    <row r="170" spans="2:2">
      <c r="B170" s="565"/>
    </row>
    <row r="171" spans="2:2">
      <c r="B171" s="565"/>
    </row>
    <row r="172" spans="2:2">
      <c r="B172" s="565"/>
    </row>
    <row r="173" spans="2:2">
      <c r="B173" s="565"/>
    </row>
    <row r="174" spans="2:2">
      <c r="B174" s="565"/>
    </row>
    <row r="175" spans="2:2">
      <c r="B175" s="565"/>
    </row>
    <row r="176" spans="2:2">
      <c r="B176" s="565"/>
    </row>
    <row r="177" spans="2:2">
      <c r="B177" s="565"/>
    </row>
    <row r="178" spans="2:2">
      <c r="B178" s="565"/>
    </row>
    <row r="179" spans="2:2">
      <c r="B179" s="565"/>
    </row>
    <row r="180" spans="2:2">
      <c r="B180" s="565"/>
    </row>
    <row r="181" spans="2:2">
      <c r="B181" s="565"/>
    </row>
    <row r="182" spans="2:2">
      <c r="B182" s="565"/>
    </row>
    <row r="183" spans="2:2">
      <c r="B183" s="565"/>
    </row>
    <row r="184" spans="2:2">
      <c r="B184" s="565"/>
    </row>
    <row r="185" spans="2:2">
      <c r="B185" s="565"/>
    </row>
    <row r="186" spans="2:2">
      <c r="B186" s="565"/>
    </row>
    <row r="187" spans="2:2">
      <c r="B187" s="565"/>
    </row>
    <row r="188" spans="2:2">
      <c r="B188" s="565"/>
    </row>
    <row r="189" spans="2:2">
      <c r="B189" s="565"/>
    </row>
    <row r="190" spans="2:2">
      <c r="B190" s="565"/>
    </row>
    <row r="191" spans="2:2">
      <c r="B191" s="565"/>
    </row>
    <row r="192" spans="2:2">
      <c r="B192" s="565"/>
    </row>
    <row r="193" spans="2:2">
      <c r="B193" s="565"/>
    </row>
    <row r="194" spans="2:2">
      <c r="B194" s="565"/>
    </row>
    <row r="195" spans="2:2">
      <c r="B195" s="565"/>
    </row>
    <row r="196" spans="2:2">
      <c r="B196" s="565"/>
    </row>
    <row r="197" spans="2:2">
      <c r="B197" s="565"/>
    </row>
    <row r="198" spans="2:2">
      <c r="B198" s="565"/>
    </row>
    <row r="199" spans="2:2">
      <c r="B199" s="565"/>
    </row>
    <row r="200" spans="2:2">
      <c r="B200" s="565"/>
    </row>
    <row r="201" spans="2:2">
      <c r="B201" s="565"/>
    </row>
    <row r="202" spans="2:2">
      <c r="B202" s="565"/>
    </row>
    <row r="203" spans="2:2">
      <c r="B203" s="565"/>
    </row>
    <row r="204" spans="2:2">
      <c r="B204" s="565"/>
    </row>
    <row r="205" spans="2:2">
      <c r="B205" s="565"/>
    </row>
    <row r="206" spans="2:2">
      <c r="B206" s="565"/>
    </row>
    <row r="207" spans="2:2">
      <c r="B207" s="565"/>
    </row>
    <row r="208" spans="2:2">
      <c r="B208" s="565"/>
    </row>
    <row r="209" spans="2:2">
      <c r="B209" s="565"/>
    </row>
    <row r="210" spans="2:2">
      <c r="B210" s="565"/>
    </row>
    <row r="211" spans="2:2">
      <c r="B211" s="565"/>
    </row>
    <row r="212" spans="2:2">
      <c r="B212" s="565"/>
    </row>
    <row r="213" spans="2:2">
      <c r="B213" s="565"/>
    </row>
    <row r="214" spans="2:2">
      <c r="B214" s="565"/>
    </row>
    <row r="215" spans="2:2">
      <c r="B215" s="565"/>
    </row>
    <row r="216" spans="2:2">
      <c r="B216" s="565"/>
    </row>
    <row r="217" spans="2:2">
      <c r="B217" s="565"/>
    </row>
    <row r="218" spans="2:2">
      <c r="B218" s="565"/>
    </row>
    <row r="219" spans="2:2">
      <c r="B219" s="565"/>
    </row>
    <row r="220" spans="2:2">
      <c r="B220" s="565"/>
    </row>
    <row r="221" spans="2:2">
      <c r="B221" s="565"/>
    </row>
    <row r="222" spans="2:2">
      <c r="B222" s="565"/>
    </row>
    <row r="223" spans="2:2">
      <c r="B223" s="565"/>
    </row>
    <row r="224" spans="2:2">
      <c r="B224" s="565"/>
    </row>
    <row r="225" spans="2:2">
      <c r="B225" s="565"/>
    </row>
    <row r="226" spans="2:2">
      <c r="B226" s="565"/>
    </row>
    <row r="227" spans="2:2">
      <c r="B227" s="565"/>
    </row>
    <row r="228" spans="2:2">
      <c r="B228" s="565"/>
    </row>
    <row r="229" spans="2:2">
      <c r="B229" s="565"/>
    </row>
    <row r="230" spans="2:2">
      <c r="B230" s="565"/>
    </row>
    <row r="231" spans="2:2">
      <c r="B231" s="565"/>
    </row>
    <row r="232" spans="2:2">
      <c r="B232" s="565"/>
    </row>
    <row r="233" spans="2:2">
      <c r="B233" s="565"/>
    </row>
    <row r="234" spans="2:2">
      <c r="B234" s="565"/>
    </row>
    <row r="235" spans="2:2">
      <c r="B235" s="565"/>
    </row>
    <row r="236" spans="2:2">
      <c r="B236" s="565"/>
    </row>
    <row r="237" spans="2:2">
      <c r="B237" s="565"/>
    </row>
    <row r="238" spans="2:2">
      <c r="B238" s="565"/>
    </row>
    <row r="239" spans="2:2">
      <c r="B239" s="565"/>
    </row>
    <row r="240" spans="2:2">
      <c r="B240" s="565"/>
    </row>
    <row r="241" spans="2:2">
      <c r="B241" s="565"/>
    </row>
    <row r="242" spans="2:2">
      <c r="B242" s="565"/>
    </row>
    <row r="243" spans="2:2">
      <c r="B243" s="565"/>
    </row>
    <row r="244" spans="2:2">
      <c r="B244" s="565"/>
    </row>
    <row r="245" spans="2:2">
      <c r="B245" s="565"/>
    </row>
    <row r="246" spans="2:2">
      <c r="B246" s="565"/>
    </row>
    <row r="247" spans="2:2">
      <c r="B247" s="565"/>
    </row>
    <row r="248" spans="2:2">
      <c r="B248" s="565"/>
    </row>
    <row r="249" spans="2:2">
      <c r="B249" s="565"/>
    </row>
    <row r="250" spans="2:2">
      <c r="B250" s="565"/>
    </row>
    <row r="251" spans="2:2">
      <c r="B251" s="565"/>
    </row>
    <row r="252" spans="2:2">
      <c r="B252" s="565"/>
    </row>
    <row r="253" spans="2:2">
      <c r="B253" s="565"/>
    </row>
    <row r="254" spans="2:2">
      <c r="B254" s="565"/>
    </row>
    <row r="255" spans="2:2">
      <c r="B255" s="565"/>
    </row>
    <row r="256" spans="2:2">
      <c r="B256" s="565"/>
    </row>
    <row r="257" spans="2:2">
      <c r="B257" s="565"/>
    </row>
    <row r="258" spans="2:2">
      <c r="B258" s="565"/>
    </row>
    <row r="259" spans="2:2">
      <c r="B259" s="565"/>
    </row>
    <row r="260" spans="2:2">
      <c r="B260" s="565"/>
    </row>
    <row r="261" spans="2:2">
      <c r="B261" s="565"/>
    </row>
    <row r="262" spans="2:2">
      <c r="B262" s="565"/>
    </row>
    <row r="263" spans="2:2">
      <c r="B263" s="565"/>
    </row>
    <row r="264" spans="2:2">
      <c r="B264" s="565"/>
    </row>
    <row r="265" spans="2:2">
      <c r="B265" s="565"/>
    </row>
    <row r="266" spans="2:2">
      <c r="B266" s="565"/>
    </row>
    <row r="267" spans="2:2">
      <c r="B267" s="565"/>
    </row>
    <row r="268" spans="2:2">
      <c r="B268" s="565"/>
    </row>
    <row r="269" spans="2:2">
      <c r="B269" s="565"/>
    </row>
    <row r="270" spans="2:2">
      <c r="B270" s="565"/>
    </row>
    <row r="271" spans="2:2">
      <c r="B271" s="565"/>
    </row>
    <row r="272" spans="2:2">
      <c r="B272" s="565"/>
    </row>
    <row r="273" spans="2:2">
      <c r="B273" s="565"/>
    </row>
    <row r="274" spans="2:2">
      <c r="B274" s="565"/>
    </row>
    <row r="275" spans="2:2">
      <c r="B275" s="565"/>
    </row>
    <row r="276" spans="2:2">
      <c r="B276" s="565"/>
    </row>
    <row r="277" spans="2:2">
      <c r="B277" s="565"/>
    </row>
    <row r="278" spans="2:2">
      <c r="B278" s="565"/>
    </row>
    <row r="279" spans="2:2">
      <c r="B279" s="565"/>
    </row>
    <row r="280" spans="2:2">
      <c r="B280" s="565"/>
    </row>
    <row r="281" spans="2:2">
      <c r="B281" s="565"/>
    </row>
    <row r="282" spans="2:2">
      <c r="B282" s="565"/>
    </row>
    <row r="283" spans="2:2">
      <c r="B283" s="565"/>
    </row>
    <row r="284" spans="2:2">
      <c r="B284" s="565"/>
    </row>
    <row r="285" spans="2:2">
      <c r="B285" s="565"/>
    </row>
    <row r="286" spans="2:2">
      <c r="B286" s="565"/>
    </row>
    <row r="287" spans="2:2">
      <c r="B287" s="565"/>
    </row>
    <row r="288" spans="2:2">
      <c r="B288" s="565"/>
    </row>
    <row r="289" spans="2:2">
      <c r="B289" s="565"/>
    </row>
    <row r="290" spans="2:2">
      <c r="B290" s="565"/>
    </row>
    <row r="291" spans="2:2">
      <c r="B291" s="565"/>
    </row>
    <row r="292" spans="2:2">
      <c r="B292" s="565"/>
    </row>
    <row r="293" spans="2:2">
      <c r="B293" s="565"/>
    </row>
    <row r="294" spans="2:2">
      <c r="B294" s="565"/>
    </row>
    <row r="295" spans="2:2">
      <c r="B295" s="565"/>
    </row>
    <row r="296" spans="2:2">
      <c r="B296" s="565"/>
    </row>
    <row r="297" spans="2:2">
      <c r="B297" s="565"/>
    </row>
    <row r="298" spans="2:2">
      <c r="B298" s="565"/>
    </row>
    <row r="299" spans="2:2">
      <c r="B299" s="565"/>
    </row>
    <row r="300" spans="2:2">
      <c r="B300" s="565"/>
    </row>
    <row r="301" spans="2:2">
      <c r="B301" s="565"/>
    </row>
    <row r="302" spans="2:2">
      <c r="B302" s="565"/>
    </row>
    <row r="303" spans="2:2">
      <c r="B303" s="565"/>
    </row>
    <row r="304" spans="2:2">
      <c r="B304" s="565"/>
    </row>
    <row r="305" spans="2:2">
      <c r="B305" s="565"/>
    </row>
    <row r="306" spans="2:2">
      <c r="B306" s="565"/>
    </row>
    <row r="307" spans="2:2">
      <c r="B307" s="565"/>
    </row>
    <row r="308" spans="2:2">
      <c r="B308" s="565"/>
    </row>
    <row r="309" spans="2:2">
      <c r="B309" s="565"/>
    </row>
    <row r="310" spans="2:2">
      <c r="B310" s="565"/>
    </row>
    <row r="311" spans="2:2">
      <c r="B311" s="565"/>
    </row>
    <row r="312" spans="2:2">
      <c r="B312" s="565"/>
    </row>
    <row r="313" spans="2:2">
      <c r="B313" s="565"/>
    </row>
    <row r="314" spans="2:2">
      <c r="B314" s="565"/>
    </row>
    <row r="315" spans="2:2">
      <c r="B315" s="565"/>
    </row>
    <row r="316" spans="2:2">
      <c r="B316" s="565"/>
    </row>
    <row r="317" spans="2:2">
      <c r="B317" s="565"/>
    </row>
    <row r="318" spans="2:2">
      <c r="B318" s="565"/>
    </row>
    <row r="319" spans="2:2">
      <c r="B319" s="565"/>
    </row>
    <row r="320" spans="2:2">
      <c r="B320" s="565"/>
    </row>
    <row r="321" spans="2:2">
      <c r="B321" s="565"/>
    </row>
    <row r="322" spans="2:2">
      <c r="B322" s="565"/>
    </row>
    <row r="323" spans="2:2">
      <c r="B323" s="565"/>
    </row>
    <row r="324" spans="2:2">
      <c r="B324" s="565"/>
    </row>
    <row r="325" spans="2:2">
      <c r="B325" s="565"/>
    </row>
    <row r="326" spans="2:2">
      <c r="B326" s="565"/>
    </row>
    <row r="327" spans="2:2">
      <c r="B327" s="565"/>
    </row>
    <row r="328" spans="2:2">
      <c r="B328" s="565"/>
    </row>
    <row r="329" spans="2:2">
      <c r="B329" s="565"/>
    </row>
    <row r="330" spans="2:2">
      <c r="B330" s="565"/>
    </row>
    <row r="331" spans="2:2">
      <c r="B331" s="565"/>
    </row>
    <row r="332" spans="2:2">
      <c r="B332" s="565"/>
    </row>
    <row r="333" spans="2:2">
      <c r="B333" s="565"/>
    </row>
    <row r="334" spans="2:2">
      <c r="B334" s="565"/>
    </row>
    <row r="335" spans="2:2">
      <c r="B335" s="565"/>
    </row>
    <row r="336" spans="2:2">
      <c r="B336" s="565"/>
    </row>
    <row r="337" spans="2:2">
      <c r="B337" s="565"/>
    </row>
    <row r="338" spans="2:2">
      <c r="B338" s="565"/>
    </row>
    <row r="339" spans="2:2">
      <c r="B339" s="565"/>
    </row>
    <row r="340" spans="2:2">
      <c r="B340" s="565"/>
    </row>
    <row r="341" spans="2:2">
      <c r="B341" s="565"/>
    </row>
    <row r="342" spans="2:2">
      <c r="B342" s="565"/>
    </row>
    <row r="343" spans="2:2">
      <c r="B343" s="565"/>
    </row>
    <row r="344" spans="2:2">
      <c r="B344" s="565"/>
    </row>
    <row r="345" spans="2:2">
      <c r="B345" s="565"/>
    </row>
    <row r="346" spans="2:2">
      <c r="B346" s="565"/>
    </row>
    <row r="347" spans="2:2">
      <c r="B347" s="565"/>
    </row>
    <row r="348" spans="2:2">
      <c r="B348" s="565"/>
    </row>
    <row r="349" spans="2:2">
      <c r="B349" s="565"/>
    </row>
    <row r="350" spans="2:2">
      <c r="B350" s="565"/>
    </row>
    <row r="351" spans="2:2">
      <c r="B351" s="565"/>
    </row>
    <row r="352" spans="2:2">
      <c r="B352" s="565"/>
    </row>
    <row r="353" spans="2:2">
      <c r="B353" s="565"/>
    </row>
    <row r="354" spans="2:2">
      <c r="B354" s="565"/>
    </row>
    <row r="355" spans="2:2">
      <c r="B355" s="565"/>
    </row>
    <row r="356" spans="2:2">
      <c r="B356" s="565"/>
    </row>
    <row r="357" spans="2:2">
      <c r="B357" s="565"/>
    </row>
    <row r="358" spans="2:2">
      <c r="B358" s="565"/>
    </row>
    <row r="359" spans="2:2">
      <c r="B359" s="565"/>
    </row>
    <row r="360" spans="2:2">
      <c r="B360" s="565"/>
    </row>
    <row r="361" spans="2:2">
      <c r="B361" s="565"/>
    </row>
    <row r="362" spans="2:2">
      <c r="B362" s="565"/>
    </row>
    <row r="363" spans="2:2">
      <c r="B363" s="565"/>
    </row>
    <row r="364" spans="2:2">
      <c r="B364" s="565"/>
    </row>
    <row r="365" spans="2:2">
      <c r="B365" s="565"/>
    </row>
    <row r="366" spans="2:2">
      <c r="B366" s="565"/>
    </row>
    <row r="367" spans="2:2">
      <c r="B367" s="565"/>
    </row>
    <row r="368" spans="2:2">
      <c r="B368" s="565"/>
    </row>
    <row r="369" spans="2:2">
      <c r="B369" s="565"/>
    </row>
    <row r="370" spans="2:2">
      <c r="B370" s="565"/>
    </row>
    <row r="371" spans="2:2">
      <c r="B371" s="565"/>
    </row>
    <row r="372" spans="2:2">
      <c r="B372" s="565"/>
    </row>
    <row r="373" spans="2:2">
      <c r="B373" s="565"/>
    </row>
    <row r="374" spans="2:2">
      <c r="B374" s="565"/>
    </row>
    <row r="375" spans="2:2">
      <c r="B375" s="565"/>
    </row>
    <row r="376" spans="2:2">
      <c r="B376" s="565"/>
    </row>
    <row r="377" spans="2:2">
      <c r="B377" s="565"/>
    </row>
    <row r="378" spans="2:2">
      <c r="B378" s="565"/>
    </row>
    <row r="379" spans="2:2">
      <c r="B379" s="565"/>
    </row>
    <row r="380" spans="2:2">
      <c r="B380" s="565"/>
    </row>
    <row r="381" spans="2:2">
      <c r="B381" s="565"/>
    </row>
    <row r="382" spans="2:2">
      <c r="B382" s="565"/>
    </row>
    <row r="383" spans="2:2">
      <c r="B383" s="565"/>
    </row>
    <row r="384" spans="2:2">
      <c r="B384" s="565"/>
    </row>
    <row r="385" spans="2:2">
      <c r="B385" s="565"/>
    </row>
    <row r="386" spans="2:2">
      <c r="B386" s="565"/>
    </row>
    <row r="387" spans="2:2">
      <c r="B387" s="565"/>
    </row>
    <row r="388" spans="2:2">
      <c r="B388" s="565"/>
    </row>
    <row r="389" spans="2:2">
      <c r="B389" s="565"/>
    </row>
    <row r="390" spans="2:2">
      <c r="B390" s="565"/>
    </row>
    <row r="391" spans="2:2">
      <c r="B391" s="565"/>
    </row>
    <row r="392" spans="2:2">
      <c r="B392" s="565"/>
    </row>
    <row r="393" spans="2:2">
      <c r="B393" s="565"/>
    </row>
    <row r="394" spans="2:2">
      <c r="B394" s="565"/>
    </row>
    <row r="395" spans="2:2">
      <c r="B395" s="565"/>
    </row>
    <row r="396" spans="2:2">
      <c r="B396" s="565"/>
    </row>
    <row r="397" spans="2:2">
      <c r="B397" s="565"/>
    </row>
    <row r="398" spans="2:2">
      <c r="B398" s="565"/>
    </row>
    <row r="399" spans="2:2">
      <c r="B399" s="565"/>
    </row>
    <row r="400" spans="2:2">
      <c r="B400" s="565"/>
    </row>
    <row r="401" spans="2:2">
      <c r="B401" s="565"/>
    </row>
    <row r="402" spans="2:2">
      <c r="B402" s="565"/>
    </row>
    <row r="403" spans="2:2">
      <c r="B403" s="565"/>
    </row>
    <row r="404" spans="2:2">
      <c r="B404" s="565"/>
    </row>
    <row r="405" spans="2:2">
      <c r="B405" s="565"/>
    </row>
    <row r="406" spans="2:2">
      <c r="B406" s="565"/>
    </row>
    <row r="407" spans="2:2">
      <c r="B407" s="565"/>
    </row>
    <row r="408" spans="2:2">
      <c r="B408" s="565"/>
    </row>
    <row r="409" spans="2:2">
      <c r="B409" s="565"/>
    </row>
    <row r="410" spans="2:2">
      <c r="B410" s="565"/>
    </row>
    <row r="411" spans="2:2">
      <c r="B411" s="565"/>
    </row>
    <row r="412" spans="2:2">
      <c r="B412" s="565"/>
    </row>
    <row r="413" spans="2:2">
      <c r="B413" s="565"/>
    </row>
    <row r="414" spans="2:2">
      <c r="B414" s="565"/>
    </row>
    <row r="415" spans="2:2">
      <c r="B415" s="565"/>
    </row>
    <row r="416" spans="2:2">
      <c r="B416" s="565"/>
    </row>
    <row r="417" spans="2:2">
      <c r="B417" s="565"/>
    </row>
    <row r="418" spans="2:2">
      <c r="B418" s="565"/>
    </row>
    <row r="419" spans="2:2">
      <c r="B419" s="565"/>
    </row>
    <row r="420" spans="2:2">
      <c r="B420" s="565"/>
    </row>
    <row r="421" spans="2:2">
      <c r="B421" s="565"/>
    </row>
    <row r="422" spans="2:2">
      <c r="B422" s="565"/>
    </row>
    <row r="423" spans="2:2">
      <c r="B423" s="565"/>
    </row>
    <row r="424" spans="2:2">
      <c r="B424" s="565"/>
    </row>
    <row r="425" spans="2:2">
      <c r="B425" s="565"/>
    </row>
    <row r="426" spans="2:2">
      <c r="B426" s="565"/>
    </row>
    <row r="427" spans="2:2">
      <c r="B427" s="565"/>
    </row>
    <row r="428" spans="2:2">
      <c r="B428" s="565"/>
    </row>
    <row r="429" spans="2:2">
      <c r="B429" s="565"/>
    </row>
    <row r="430" spans="2:2">
      <c r="B430" s="565"/>
    </row>
    <row r="431" spans="2:2">
      <c r="B431" s="565"/>
    </row>
    <row r="432" spans="2:2">
      <c r="B432" s="565"/>
    </row>
    <row r="433" spans="2:2">
      <c r="B433" s="565"/>
    </row>
    <row r="434" spans="2:2">
      <c r="B434" s="565"/>
    </row>
    <row r="435" spans="2:2">
      <c r="B435" s="565"/>
    </row>
    <row r="436" spans="2:2">
      <c r="B436" s="565"/>
    </row>
    <row r="437" spans="2:2">
      <c r="B437" s="565"/>
    </row>
    <row r="438" spans="2:2">
      <c r="B438" s="565"/>
    </row>
    <row r="439" spans="2:2">
      <c r="B439" s="565"/>
    </row>
    <row r="440" spans="2:2">
      <c r="B440" s="565"/>
    </row>
    <row r="441" spans="2:2">
      <c r="B441" s="565"/>
    </row>
    <row r="442" spans="2:2">
      <c r="B442" s="565"/>
    </row>
    <row r="443" spans="2:2">
      <c r="B443" s="565"/>
    </row>
    <row r="444" spans="2:2">
      <c r="B444" s="565"/>
    </row>
    <row r="445" spans="2:2">
      <c r="B445" s="565"/>
    </row>
    <row r="446" spans="2:2">
      <c r="B446" s="565"/>
    </row>
    <row r="447" spans="2:2">
      <c r="B447" s="565"/>
    </row>
    <row r="448" spans="2:2">
      <c r="B448" s="565"/>
    </row>
    <row r="449" spans="2:2">
      <c r="B449" s="565"/>
    </row>
    <row r="450" spans="2:2">
      <c r="B450" s="565"/>
    </row>
    <row r="451" spans="2:2">
      <c r="B451" s="565"/>
    </row>
    <row r="452" spans="2:2">
      <c r="B452" s="565"/>
    </row>
    <row r="453" spans="2:2">
      <c r="B453" s="565"/>
    </row>
    <row r="454" spans="2:2">
      <c r="B454" s="565"/>
    </row>
    <row r="455" spans="2:2">
      <c r="B455" s="565"/>
    </row>
    <row r="456" spans="2:2">
      <c r="B456" s="565"/>
    </row>
    <row r="457" spans="2:2">
      <c r="B457" s="565"/>
    </row>
    <row r="458" spans="2:2">
      <c r="B458" s="565"/>
    </row>
    <row r="459" spans="2:2">
      <c r="B459" s="565"/>
    </row>
    <row r="460" spans="2:2">
      <c r="B460" s="565"/>
    </row>
    <row r="461" spans="2:2">
      <c r="B461" s="565"/>
    </row>
    <row r="462" spans="2:2">
      <c r="B462" s="565"/>
    </row>
    <row r="463" spans="2:2">
      <c r="B463" s="565"/>
    </row>
    <row r="464" spans="2:2">
      <c r="B464" s="565"/>
    </row>
    <row r="465" spans="2:2">
      <c r="B465" s="565"/>
    </row>
    <row r="466" spans="2:2">
      <c r="B466" s="565"/>
    </row>
    <row r="467" spans="2:2">
      <c r="B467" s="565"/>
    </row>
    <row r="468" spans="2:2">
      <c r="B468" s="565"/>
    </row>
    <row r="469" spans="2:2">
      <c r="B469" s="565"/>
    </row>
    <row r="470" spans="2:2">
      <c r="B470" s="565"/>
    </row>
    <row r="471" spans="2:2">
      <c r="B471" s="565"/>
    </row>
    <row r="472" spans="2:2">
      <c r="B472" s="565"/>
    </row>
    <row r="473" spans="2:2">
      <c r="B473" s="565"/>
    </row>
    <row r="474" spans="2:2">
      <c r="B474" s="565"/>
    </row>
    <row r="475" spans="2:2">
      <c r="B475" s="565"/>
    </row>
    <row r="476" spans="2:2">
      <c r="B476" s="565"/>
    </row>
    <row r="477" spans="2:2">
      <c r="B477" s="565"/>
    </row>
    <row r="478" spans="2:2">
      <c r="B478" s="565"/>
    </row>
    <row r="479" spans="2:2">
      <c r="B479" s="565"/>
    </row>
    <row r="480" spans="2:2">
      <c r="B480" s="565"/>
    </row>
    <row r="481" spans="2:2">
      <c r="B481" s="565"/>
    </row>
    <row r="482" spans="2:2">
      <c r="B482" s="565"/>
    </row>
    <row r="483" spans="2:2">
      <c r="B483" s="565"/>
    </row>
    <row r="484" spans="2:2">
      <c r="B484" s="565"/>
    </row>
    <row r="485" spans="2:2">
      <c r="B485" s="565"/>
    </row>
    <row r="486" spans="2:2">
      <c r="B486" s="565"/>
    </row>
    <row r="487" spans="2:2">
      <c r="B487" s="565"/>
    </row>
    <row r="488" spans="2:2">
      <c r="B488" s="565"/>
    </row>
    <row r="489" spans="2:2">
      <c r="B489" s="565"/>
    </row>
    <row r="490" spans="2:2">
      <c r="B490" s="565"/>
    </row>
    <row r="491" spans="2:2">
      <c r="B491" s="565"/>
    </row>
    <row r="492" spans="2:2">
      <c r="B492" s="565"/>
    </row>
    <row r="493" spans="2:2">
      <c r="B493" s="565"/>
    </row>
    <row r="494" spans="2:2">
      <c r="B494" s="565"/>
    </row>
    <row r="495" spans="2:2">
      <c r="B495" s="565"/>
    </row>
    <row r="496" spans="2:2">
      <c r="B496" s="565"/>
    </row>
    <row r="497" spans="2:2">
      <c r="B497" s="565"/>
    </row>
    <row r="498" spans="2:2">
      <c r="B498" s="565"/>
    </row>
    <row r="499" spans="2:2">
      <c r="B499" s="565"/>
    </row>
    <row r="500" spans="2:2">
      <c r="B500" s="565"/>
    </row>
    <row r="501" spans="2:2">
      <c r="B501" s="565"/>
    </row>
    <row r="502" spans="2:2">
      <c r="B502" s="565"/>
    </row>
    <row r="503" spans="2:2">
      <c r="B503" s="565"/>
    </row>
    <row r="504" spans="2:2">
      <c r="B504" s="565"/>
    </row>
    <row r="505" spans="2:2">
      <c r="B505" s="565"/>
    </row>
    <row r="506" spans="2:2">
      <c r="B506" s="565"/>
    </row>
    <row r="507" spans="2:2">
      <c r="B507" s="565"/>
    </row>
    <row r="508" spans="2:2">
      <c r="B508" s="565"/>
    </row>
    <row r="509" spans="2:2">
      <c r="B509" s="565"/>
    </row>
    <row r="510" spans="2:2">
      <c r="B510" s="565"/>
    </row>
    <row r="511" spans="2:2">
      <c r="B511" s="565"/>
    </row>
    <row r="512" spans="2:2">
      <c r="B512" s="565"/>
    </row>
    <row r="513" spans="2:2">
      <c r="B513" s="565"/>
    </row>
    <row r="514" spans="2:2">
      <c r="B514" s="565"/>
    </row>
    <row r="515" spans="2:2">
      <c r="B515" s="565"/>
    </row>
    <row r="516" spans="2:2">
      <c r="B516" s="565"/>
    </row>
    <row r="517" spans="2:2">
      <c r="B517" s="565"/>
    </row>
    <row r="518" spans="2:2">
      <c r="B518" s="565"/>
    </row>
    <row r="519" spans="2:2">
      <c r="B519" s="565"/>
    </row>
    <row r="520" spans="2:2">
      <c r="B520" s="565"/>
    </row>
    <row r="521" spans="2:2">
      <c r="B521" s="565"/>
    </row>
    <row r="522" spans="2:2">
      <c r="B522" s="565"/>
    </row>
    <row r="523" spans="2:2">
      <c r="B523" s="565"/>
    </row>
    <row r="524" spans="2:2">
      <c r="B524" s="565"/>
    </row>
    <row r="525" spans="2:2">
      <c r="B525" s="565"/>
    </row>
    <row r="526" spans="2:2">
      <c r="B526" s="565"/>
    </row>
    <row r="527" spans="2:2">
      <c r="B527" s="565"/>
    </row>
    <row r="528" spans="2:2">
      <c r="B528" s="565"/>
    </row>
    <row r="529" spans="2:2">
      <c r="B529" s="565"/>
    </row>
    <row r="530" spans="2:2">
      <c r="B530" s="565"/>
    </row>
    <row r="531" spans="2:2">
      <c r="B531" s="565"/>
    </row>
    <row r="532" spans="2:2">
      <c r="B532" s="565"/>
    </row>
    <row r="533" spans="2:2">
      <c r="B533" s="565"/>
    </row>
    <row r="534" spans="2:2">
      <c r="B534" s="565"/>
    </row>
    <row r="535" spans="2:2">
      <c r="B535" s="565"/>
    </row>
    <row r="536" spans="2:2">
      <c r="B536" s="565"/>
    </row>
    <row r="537" spans="2:2">
      <c r="B537" s="565"/>
    </row>
    <row r="538" spans="2:2">
      <c r="B538" s="565"/>
    </row>
    <row r="539" spans="2:2">
      <c r="B539" s="565"/>
    </row>
    <row r="540" spans="2:2">
      <c r="B540" s="565"/>
    </row>
    <row r="541" spans="2:2">
      <c r="B541" s="565"/>
    </row>
    <row r="542" spans="2:2">
      <c r="B542" s="565"/>
    </row>
    <row r="543" spans="2:2">
      <c r="B543" s="565"/>
    </row>
    <row r="544" spans="2:2">
      <c r="B544" s="565"/>
    </row>
    <row r="545" spans="2:2">
      <c r="B545" s="565"/>
    </row>
    <row r="546" spans="2:2">
      <c r="B546" s="565"/>
    </row>
    <row r="547" spans="2:2">
      <c r="B547" s="565"/>
    </row>
    <row r="548" spans="2:2">
      <c r="B548" s="565"/>
    </row>
    <row r="549" spans="2:2">
      <c r="B549" s="565"/>
    </row>
    <row r="550" spans="2:2">
      <c r="B550" s="565"/>
    </row>
    <row r="551" spans="2:2">
      <c r="B551" s="565"/>
    </row>
    <row r="552" spans="2:2">
      <c r="B552" s="565"/>
    </row>
    <row r="553" spans="2:2">
      <c r="B553" s="565"/>
    </row>
    <row r="554" spans="2:2">
      <c r="B554" s="565"/>
    </row>
    <row r="555" spans="2:2">
      <c r="B555" s="565"/>
    </row>
    <row r="556" spans="2:2">
      <c r="B556" s="565"/>
    </row>
    <row r="557" spans="2:2">
      <c r="B557" s="565"/>
    </row>
    <row r="558" spans="2:2">
      <c r="B558" s="565"/>
    </row>
    <row r="559" spans="2:2">
      <c r="B559" s="565"/>
    </row>
    <row r="560" spans="2:2">
      <c r="B560" s="565"/>
    </row>
    <row r="561" spans="2:2">
      <c r="B561" s="565"/>
    </row>
    <row r="562" spans="2:2">
      <c r="B562" s="565"/>
    </row>
    <row r="563" spans="2:2">
      <c r="B563" s="565"/>
    </row>
    <row r="564" spans="2:2">
      <c r="B564" s="565"/>
    </row>
    <row r="565" spans="2:2">
      <c r="B565" s="565"/>
    </row>
    <row r="566" spans="2:2">
      <c r="B566" s="565"/>
    </row>
    <row r="567" spans="2:2">
      <c r="B567" s="565"/>
    </row>
    <row r="568" spans="2:2">
      <c r="B568" s="565"/>
    </row>
    <row r="569" spans="2:2">
      <c r="B569" s="565"/>
    </row>
    <row r="570" spans="2:2">
      <c r="B570" s="565"/>
    </row>
    <row r="571" spans="2:2">
      <c r="B571" s="565"/>
    </row>
    <row r="572" spans="2:2">
      <c r="B572" s="565"/>
    </row>
    <row r="573" spans="2:2">
      <c r="B573" s="565"/>
    </row>
    <row r="574" spans="2:2">
      <c r="B574" s="565"/>
    </row>
    <row r="575" spans="2:2">
      <c r="B575" s="565"/>
    </row>
    <row r="576" spans="2:2">
      <c r="B576" s="565"/>
    </row>
    <row r="577" spans="2:2">
      <c r="B577" s="565"/>
    </row>
    <row r="578" spans="2:2">
      <c r="B578" s="565"/>
    </row>
    <row r="579" spans="2:2">
      <c r="B579" s="565"/>
    </row>
    <row r="580" spans="2:2">
      <c r="B580" s="565"/>
    </row>
    <row r="581" spans="2:2">
      <c r="B581" s="565"/>
    </row>
    <row r="582" spans="2:2">
      <c r="B582" s="565"/>
    </row>
    <row r="583" spans="2:2">
      <c r="B583" s="565"/>
    </row>
    <row r="584" spans="2:2">
      <c r="B584" s="565"/>
    </row>
    <row r="585" spans="2:2">
      <c r="B585" s="565"/>
    </row>
    <row r="586" spans="2:2">
      <c r="B586" s="565"/>
    </row>
    <row r="587" spans="2:2">
      <c r="B587" s="565"/>
    </row>
    <row r="588" spans="2:2">
      <c r="B588" s="565"/>
    </row>
    <row r="589" spans="2:2">
      <c r="B589" s="565"/>
    </row>
    <row r="590" spans="2:2">
      <c r="B590" s="565"/>
    </row>
    <row r="591" spans="2:2">
      <c r="B591" s="565"/>
    </row>
    <row r="592" spans="2:2">
      <c r="B592" s="565"/>
    </row>
    <row r="593" spans="2:2">
      <c r="B593" s="565"/>
    </row>
    <row r="594" spans="2:2">
      <c r="B594" s="565"/>
    </row>
    <row r="595" spans="2:2">
      <c r="B595" s="565"/>
    </row>
    <row r="596" spans="2:2">
      <c r="B596" s="565"/>
    </row>
    <row r="597" spans="2:2">
      <c r="B597" s="565"/>
    </row>
    <row r="598" spans="2:2">
      <c r="B598" s="565"/>
    </row>
    <row r="599" spans="2:2">
      <c r="B599" s="565"/>
    </row>
    <row r="600" spans="2:2">
      <c r="B600" s="565"/>
    </row>
    <row r="601" spans="2:2">
      <c r="B601" s="565"/>
    </row>
    <row r="602" spans="2:2">
      <c r="B602" s="565"/>
    </row>
    <row r="603" spans="2:2">
      <c r="B603" s="565"/>
    </row>
    <row r="604" spans="2:2">
      <c r="B604" s="565"/>
    </row>
    <row r="605" spans="2:2">
      <c r="B605" s="565"/>
    </row>
    <row r="606" spans="2:2">
      <c r="B606" s="565"/>
    </row>
    <row r="607" spans="2:2">
      <c r="B607" s="565"/>
    </row>
    <row r="608" spans="2:2">
      <c r="B608" s="565"/>
    </row>
    <row r="609" spans="2:2">
      <c r="B609" s="565"/>
    </row>
    <row r="610" spans="2:2">
      <c r="B610" s="565"/>
    </row>
    <row r="611" spans="2:2">
      <c r="B611" s="565"/>
    </row>
    <row r="612" spans="2:2">
      <c r="B612" s="565"/>
    </row>
    <row r="613" spans="2:2">
      <c r="B613" s="565"/>
    </row>
    <row r="614" spans="2:2">
      <c r="B614" s="565"/>
    </row>
    <row r="615" spans="2:2">
      <c r="B615" s="565"/>
    </row>
    <row r="616" spans="2:2">
      <c r="B616" s="565"/>
    </row>
    <row r="617" spans="2:2">
      <c r="B617" s="565"/>
    </row>
    <row r="618" spans="2:2">
      <c r="B618" s="565"/>
    </row>
    <row r="619" spans="2:2">
      <c r="B619" s="565"/>
    </row>
    <row r="620" spans="2:2">
      <c r="B620" s="565"/>
    </row>
    <row r="621" spans="2:2">
      <c r="B621" s="565"/>
    </row>
    <row r="622" spans="2:2">
      <c r="B622" s="565"/>
    </row>
    <row r="623" spans="2:2">
      <c r="B623" s="565"/>
    </row>
    <row r="624" spans="2:2">
      <c r="B624" s="565"/>
    </row>
    <row r="625" spans="2:2">
      <c r="B625" s="565"/>
    </row>
    <row r="626" spans="2:2">
      <c r="B626" s="565"/>
    </row>
    <row r="627" spans="2:2">
      <c r="B627" s="565"/>
    </row>
    <row r="628" spans="2:2">
      <c r="B628" s="565"/>
    </row>
    <row r="629" spans="2:2">
      <c r="B629" s="565"/>
    </row>
    <row r="630" spans="2:2">
      <c r="B630" s="565"/>
    </row>
    <row r="631" spans="2:2">
      <c r="B631" s="565"/>
    </row>
    <row r="632" spans="2:2">
      <c r="B632" s="565"/>
    </row>
    <row r="633" spans="2:2">
      <c r="B633" s="565"/>
    </row>
    <row r="634" spans="2:2">
      <c r="B634" s="565"/>
    </row>
    <row r="635" spans="2:2">
      <c r="B635" s="565"/>
    </row>
    <row r="636" spans="2:2">
      <c r="B636" s="565"/>
    </row>
    <row r="637" spans="2:2">
      <c r="B637" s="565"/>
    </row>
    <row r="638" spans="2:2">
      <c r="B638" s="565"/>
    </row>
    <row r="639" spans="2:2">
      <c r="B639" s="565"/>
    </row>
    <row r="640" spans="2:2">
      <c r="B640" s="565"/>
    </row>
    <row r="641" spans="2:2">
      <c r="B641" s="565"/>
    </row>
    <row r="642" spans="2:2">
      <c r="B642" s="565"/>
    </row>
    <row r="643" spans="2:2">
      <c r="B643" s="565"/>
    </row>
    <row r="644" spans="2:2">
      <c r="B644" s="565"/>
    </row>
    <row r="645" spans="2:2">
      <c r="B645" s="565"/>
    </row>
    <row r="646" spans="2:2">
      <c r="B646" s="565"/>
    </row>
    <row r="647" spans="2:2">
      <c r="B647" s="565"/>
    </row>
    <row r="648" spans="2:2">
      <c r="B648" s="565"/>
    </row>
    <row r="649" spans="2:2">
      <c r="B649" s="565"/>
    </row>
    <row r="650" spans="2:2">
      <c r="B650" s="565"/>
    </row>
    <row r="651" spans="2:2">
      <c r="B651" s="565"/>
    </row>
    <row r="652" spans="2:2">
      <c r="B652" s="565"/>
    </row>
    <row r="653" spans="2:2">
      <c r="B653" s="565"/>
    </row>
    <row r="654" spans="2:2">
      <c r="B654" s="565"/>
    </row>
    <row r="655" spans="2:2">
      <c r="B655" s="565"/>
    </row>
    <row r="656" spans="2:2">
      <c r="B656" s="565"/>
    </row>
    <row r="657" spans="2:2">
      <c r="B657" s="565"/>
    </row>
    <row r="658" spans="2:2">
      <c r="B658" s="565"/>
    </row>
    <row r="659" spans="2:2">
      <c r="B659" s="565"/>
    </row>
    <row r="660" spans="2:2">
      <c r="B660" s="565"/>
    </row>
    <row r="661" spans="2:2">
      <c r="B661" s="565"/>
    </row>
    <row r="662" spans="2:2">
      <c r="B662" s="565"/>
    </row>
    <row r="663" spans="2:2">
      <c r="B663" s="565"/>
    </row>
    <row r="664" spans="2:2">
      <c r="B664" s="565"/>
    </row>
    <row r="665" spans="2:2">
      <c r="B665" s="565"/>
    </row>
    <row r="666" spans="2:2">
      <c r="B666" s="565"/>
    </row>
    <row r="667" spans="2:2">
      <c r="B667" s="565"/>
    </row>
    <row r="668" spans="2:2">
      <c r="B668" s="565"/>
    </row>
    <row r="669" spans="2:2">
      <c r="B669" s="565"/>
    </row>
    <row r="670" spans="2:2">
      <c r="B670" s="565"/>
    </row>
    <row r="671" spans="2:2">
      <c r="B671" s="565"/>
    </row>
    <row r="672" spans="2:2">
      <c r="B672" s="565"/>
    </row>
    <row r="673" spans="2:2">
      <c r="B673" s="565"/>
    </row>
    <row r="674" spans="2:2">
      <c r="B674" s="565"/>
    </row>
    <row r="675" spans="2:2">
      <c r="B675" s="565"/>
    </row>
    <row r="676" spans="2:2">
      <c r="B676" s="565"/>
    </row>
    <row r="677" spans="2:2">
      <c r="B677" s="565"/>
    </row>
    <row r="678" spans="2:2">
      <c r="B678" s="565"/>
    </row>
    <row r="679" spans="2:2">
      <c r="B679" s="565"/>
    </row>
    <row r="680" spans="2:2">
      <c r="B680" s="565"/>
    </row>
    <row r="681" spans="2:2">
      <c r="B681" s="565"/>
    </row>
    <row r="682" spans="2:2">
      <c r="B682" s="565"/>
    </row>
    <row r="683" spans="2:2">
      <c r="B683" s="565"/>
    </row>
    <row r="684" spans="2:2">
      <c r="B684" s="565"/>
    </row>
    <row r="685" spans="2:2">
      <c r="B685" s="565"/>
    </row>
    <row r="686" spans="2:2">
      <c r="B686" s="565"/>
    </row>
    <row r="687" spans="2:2">
      <c r="B687" s="565"/>
    </row>
    <row r="688" spans="2:2">
      <c r="B688" s="565"/>
    </row>
    <row r="689" spans="2:2">
      <c r="B689" s="565"/>
    </row>
    <row r="690" spans="2:2">
      <c r="B690" s="565"/>
    </row>
    <row r="691" spans="2:2">
      <c r="B691" s="565"/>
    </row>
    <row r="692" spans="2:2">
      <c r="B692" s="565"/>
    </row>
    <row r="693" spans="2:2">
      <c r="B693" s="565"/>
    </row>
    <row r="694" spans="2:2">
      <c r="B694" s="565"/>
    </row>
    <row r="695" spans="2:2">
      <c r="B695" s="565"/>
    </row>
    <row r="696" spans="2:2">
      <c r="B696" s="565"/>
    </row>
    <row r="697" spans="2:2">
      <c r="B697" s="565"/>
    </row>
    <row r="698" spans="2:2">
      <c r="B698" s="565"/>
    </row>
    <row r="699" spans="2:2">
      <c r="B699" s="565"/>
    </row>
    <row r="700" spans="2:2">
      <c r="B700" s="565"/>
    </row>
    <row r="701" spans="2:2">
      <c r="B701" s="565"/>
    </row>
    <row r="702" spans="2:2">
      <c r="B702" s="565"/>
    </row>
    <row r="703" spans="2:2">
      <c r="B703" s="565"/>
    </row>
    <row r="704" spans="2:2">
      <c r="B704" s="565"/>
    </row>
    <row r="705" spans="2:2">
      <c r="B705" s="565"/>
    </row>
    <row r="706" spans="2:2">
      <c r="B706" s="565"/>
    </row>
    <row r="707" spans="2:2">
      <c r="B707" s="565"/>
    </row>
    <row r="708" spans="2:2">
      <c r="B708" s="565"/>
    </row>
    <row r="709" spans="2:2">
      <c r="B709" s="565"/>
    </row>
    <row r="710" spans="2:2">
      <c r="B710" s="565"/>
    </row>
    <row r="711" spans="2:2">
      <c r="B711" s="565"/>
    </row>
    <row r="712" spans="2:2">
      <c r="B712" s="565"/>
    </row>
    <row r="713" spans="2:2">
      <c r="B713" s="565"/>
    </row>
    <row r="714" spans="2:2">
      <c r="B714" s="565"/>
    </row>
    <row r="715" spans="2:2">
      <c r="B715" s="565"/>
    </row>
    <row r="716" spans="2:2">
      <c r="B716" s="565"/>
    </row>
    <row r="717" spans="2:2">
      <c r="B717" s="565"/>
    </row>
    <row r="718" spans="2:2">
      <c r="B718" s="565"/>
    </row>
    <row r="719" spans="2:2">
      <c r="B719" s="565"/>
    </row>
    <row r="720" spans="2:2">
      <c r="B720" s="565"/>
    </row>
    <row r="721" spans="2:2">
      <c r="B721" s="565"/>
    </row>
    <row r="722" spans="2:2">
      <c r="B722" s="565"/>
    </row>
    <row r="723" spans="2:2">
      <c r="B723" s="565"/>
    </row>
    <row r="724" spans="2:2">
      <c r="B724" s="565"/>
    </row>
    <row r="725" spans="2:2">
      <c r="B725" s="565"/>
    </row>
    <row r="726" spans="2:2">
      <c r="B726" s="565"/>
    </row>
    <row r="727" spans="2:2">
      <c r="B727" s="565"/>
    </row>
    <row r="728" spans="2:2">
      <c r="B728" s="565"/>
    </row>
    <row r="729" spans="2:2">
      <c r="B729" s="565"/>
    </row>
    <row r="730" spans="2:2">
      <c r="B730" s="565"/>
    </row>
    <row r="731" spans="2:2">
      <c r="B731" s="565"/>
    </row>
    <row r="732" spans="2:2">
      <c r="B732" s="565"/>
    </row>
    <row r="733" spans="2:2">
      <c r="B733" s="565"/>
    </row>
    <row r="734" spans="2:2">
      <c r="B734" s="565"/>
    </row>
    <row r="735" spans="2:2">
      <c r="B735" s="565"/>
    </row>
    <row r="736" spans="2:2">
      <c r="B736" s="565"/>
    </row>
    <row r="737" spans="2:2">
      <c r="B737" s="565"/>
    </row>
    <row r="738" spans="2:2">
      <c r="B738" s="565"/>
    </row>
    <row r="739" spans="2:2">
      <c r="B739" s="565"/>
    </row>
    <row r="740" spans="2:2">
      <c r="B740" s="565"/>
    </row>
    <row r="741" spans="2:2">
      <c r="B741" s="565"/>
    </row>
    <row r="742" spans="2:2">
      <c r="B742" s="565"/>
    </row>
    <row r="743" spans="2:2">
      <c r="B743" s="565"/>
    </row>
    <row r="744" spans="2:2">
      <c r="B744" s="565"/>
    </row>
    <row r="745" spans="2:2">
      <c r="B745" s="565"/>
    </row>
    <row r="746" spans="2:2">
      <c r="B746" s="565"/>
    </row>
    <row r="747" spans="2:2">
      <c r="B747" s="565"/>
    </row>
    <row r="748" spans="2:2">
      <c r="B748" s="565"/>
    </row>
    <row r="749" spans="2:2">
      <c r="B749" s="565"/>
    </row>
    <row r="750" spans="2:2">
      <c r="B750" s="565"/>
    </row>
    <row r="751" spans="2:2">
      <c r="B751" s="565"/>
    </row>
    <row r="752" spans="2:2">
      <c r="B752" s="565"/>
    </row>
    <row r="753" spans="2:2">
      <c r="B753" s="565"/>
    </row>
    <row r="754" spans="2:2">
      <c r="B754" s="565"/>
    </row>
    <row r="755" spans="2:2">
      <c r="B755" s="565"/>
    </row>
    <row r="756" spans="2:2">
      <c r="B756" s="565"/>
    </row>
    <row r="757" spans="2:2">
      <c r="B757" s="565"/>
    </row>
    <row r="758" spans="2:2">
      <c r="B758" s="565"/>
    </row>
    <row r="759" spans="2:2">
      <c r="B759" s="565"/>
    </row>
    <row r="760" spans="2:2">
      <c r="B760" s="565"/>
    </row>
    <row r="761" spans="2:2">
      <c r="B761" s="565"/>
    </row>
    <row r="762" spans="2:2">
      <c r="B762" s="565"/>
    </row>
    <row r="763" spans="2:2">
      <c r="B763" s="565"/>
    </row>
    <row r="764" spans="2:2">
      <c r="B764" s="565"/>
    </row>
    <row r="765" spans="2:2">
      <c r="B765" s="565"/>
    </row>
    <row r="766" spans="2:2">
      <c r="B766" s="565"/>
    </row>
    <row r="767" spans="2:2">
      <c r="B767" s="565"/>
    </row>
    <row r="768" spans="2:2">
      <c r="B768" s="565"/>
    </row>
    <row r="769" spans="2:2">
      <c r="B769" s="565"/>
    </row>
    <row r="770" spans="2:2">
      <c r="B770" s="565"/>
    </row>
    <row r="771" spans="2:2">
      <c r="B771" s="565"/>
    </row>
    <row r="772" spans="2:2">
      <c r="B772" s="565"/>
    </row>
    <row r="773" spans="2:2">
      <c r="B773" s="565"/>
    </row>
    <row r="774" spans="2:2">
      <c r="B774" s="565"/>
    </row>
    <row r="775" spans="2:2">
      <c r="B775" s="565"/>
    </row>
    <row r="776" spans="2:2">
      <c r="B776" s="565"/>
    </row>
    <row r="777" spans="2:2">
      <c r="B777" s="565"/>
    </row>
    <row r="778" spans="2:2">
      <c r="B778" s="565"/>
    </row>
    <row r="779" spans="2:2">
      <c r="B779" s="565"/>
    </row>
    <row r="780" spans="2:2">
      <c r="B780" s="565"/>
    </row>
    <row r="781" spans="2:2">
      <c r="B781" s="565"/>
    </row>
    <row r="782" spans="2:2">
      <c r="B782" s="565"/>
    </row>
    <row r="783" spans="2:2">
      <c r="B783" s="565"/>
    </row>
    <row r="784" spans="2:2">
      <c r="B784" s="565"/>
    </row>
    <row r="785" spans="2:2">
      <c r="B785" s="565"/>
    </row>
    <row r="786" spans="2:2">
      <c r="B786" s="565"/>
    </row>
    <row r="787" spans="2:2">
      <c r="B787" s="565"/>
    </row>
    <row r="788" spans="2:2">
      <c r="B788" s="565"/>
    </row>
    <row r="789" spans="2:2">
      <c r="B789" s="565"/>
    </row>
    <row r="790" spans="2:2">
      <c r="B790" s="565"/>
    </row>
    <row r="791" spans="2:2">
      <c r="B791" s="565"/>
    </row>
    <row r="792" spans="2:2">
      <c r="B792" s="565"/>
    </row>
    <row r="793" spans="2:2">
      <c r="B793" s="565"/>
    </row>
    <row r="794" spans="2:2">
      <c r="B794" s="565"/>
    </row>
    <row r="795" spans="2:2">
      <c r="B795" s="565"/>
    </row>
    <row r="796" spans="2:2">
      <c r="B796" s="565"/>
    </row>
    <row r="797" spans="2:2">
      <c r="B797" s="565"/>
    </row>
    <row r="798" spans="2:2">
      <c r="B798" s="565"/>
    </row>
    <row r="799" spans="2:2">
      <c r="B799" s="565"/>
    </row>
    <row r="800" spans="2:2">
      <c r="B800" s="565"/>
    </row>
    <row r="801" spans="2:2">
      <c r="B801" s="565"/>
    </row>
    <row r="802" spans="2:2">
      <c r="B802" s="565"/>
    </row>
    <row r="803" spans="2:2">
      <c r="B803" s="565"/>
    </row>
    <row r="804" spans="2:2">
      <c r="B804" s="565"/>
    </row>
    <row r="805" spans="2:2">
      <c r="B805" s="565"/>
    </row>
    <row r="806" spans="2:2">
      <c r="B806" s="565"/>
    </row>
    <row r="807" spans="2:2">
      <c r="B807" s="565"/>
    </row>
    <row r="808" spans="2:2">
      <c r="B808" s="565"/>
    </row>
    <row r="809" spans="2:2">
      <c r="B809" s="565"/>
    </row>
    <row r="810" spans="2:2">
      <c r="B810" s="565"/>
    </row>
    <row r="811" spans="2:2">
      <c r="B811" s="565"/>
    </row>
    <row r="812" spans="2:2">
      <c r="B812" s="565"/>
    </row>
    <row r="813" spans="2:2">
      <c r="B813" s="565"/>
    </row>
    <row r="814" spans="2:2">
      <c r="B814" s="565"/>
    </row>
    <row r="815" spans="2:2">
      <c r="B815" s="565"/>
    </row>
    <row r="816" spans="2:2">
      <c r="B816" s="565"/>
    </row>
    <row r="817" spans="2:2">
      <c r="B817" s="565"/>
    </row>
    <row r="818" spans="2:2">
      <c r="B818" s="565"/>
    </row>
    <row r="819" spans="2:2">
      <c r="B819" s="565"/>
    </row>
    <row r="820" spans="2:2">
      <c r="B820" s="565"/>
    </row>
    <row r="821" spans="2:2">
      <c r="B821" s="565"/>
    </row>
    <row r="822" spans="2:2">
      <c r="B822" s="565"/>
    </row>
    <row r="823" spans="2:2">
      <c r="B823" s="565"/>
    </row>
    <row r="824" spans="2:2">
      <c r="B824" s="565"/>
    </row>
    <row r="825" spans="2:2">
      <c r="B825" s="565"/>
    </row>
    <row r="826" spans="2:2">
      <c r="B826" s="565"/>
    </row>
    <row r="827" spans="2:2">
      <c r="B827" s="565"/>
    </row>
    <row r="828" spans="2:2">
      <c r="B828" s="565"/>
    </row>
    <row r="829" spans="2:2">
      <c r="B829" s="565"/>
    </row>
    <row r="830" spans="2:2">
      <c r="B830" s="565"/>
    </row>
    <row r="831" spans="2:2">
      <c r="B831" s="565"/>
    </row>
    <row r="832" spans="2:2">
      <c r="B832" s="565"/>
    </row>
    <row r="833" spans="2:2">
      <c r="B833" s="565"/>
    </row>
    <row r="834" spans="2:2">
      <c r="B834" s="565"/>
    </row>
    <row r="835" spans="2:2">
      <c r="B835" s="565"/>
    </row>
    <row r="836" spans="2:2">
      <c r="B836" s="565"/>
    </row>
    <row r="837" spans="2:2">
      <c r="B837" s="565"/>
    </row>
    <row r="838" spans="2:2">
      <c r="B838" s="565"/>
    </row>
    <row r="839" spans="2:2">
      <c r="B839" s="565"/>
    </row>
    <row r="840" spans="2:2">
      <c r="B840" s="565"/>
    </row>
    <row r="841" spans="2:2">
      <c r="B841" s="565"/>
    </row>
    <row r="842" spans="2:2">
      <c r="B842" s="565"/>
    </row>
    <row r="843" spans="2:2">
      <c r="B843" s="565"/>
    </row>
    <row r="844" spans="2:2">
      <c r="B844" s="565"/>
    </row>
    <row r="845" spans="2:2">
      <c r="B845" s="565"/>
    </row>
    <row r="846" spans="2:2">
      <c r="B846" s="565"/>
    </row>
    <row r="847" spans="2:2">
      <c r="B847" s="565"/>
    </row>
    <row r="848" spans="2:2">
      <c r="B848" s="565"/>
    </row>
    <row r="849" spans="2:2">
      <c r="B849" s="565"/>
    </row>
    <row r="850" spans="2:2">
      <c r="B850" s="565"/>
    </row>
    <row r="851" spans="2:2">
      <c r="B851" s="565"/>
    </row>
    <row r="852" spans="2:2">
      <c r="B852" s="565"/>
    </row>
    <row r="853" spans="2:2">
      <c r="B853" s="565"/>
    </row>
    <row r="854" spans="2:2">
      <c r="B854" s="565"/>
    </row>
    <row r="855" spans="2:2">
      <c r="B855" s="565"/>
    </row>
    <row r="856" spans="2:2">
      <c r="B856" s="565"/>
    </row>
    <row r="857" spans="2:2">
      <c r="B857" s="565"/>
    </row>
    <row r="858" spans="2:2">
      <c r="B858" s="565"/>
    </row>
    <row r="859" spans="2:2">
      <c r="B859" s="565"/>
    </row>
    <row r="860" spans="2:2">
      <c r="B860" s="565"/>
    </row>
    <row r="861" spans="2:2">
      <c r="B861" s="565"/>
    </row>
    <row r="862" spans="2:2">
      <c r="B862" s="565"/>
    </row>
    <row r="863" spans="2:2">
      <c r="B863" s="565"/>
    </row>
    <row r="864" spans="2:2">
      <c r="B864" s="565"/>
    </row>
    <row r="865" spans="2:2">
      <c r="B865" s="565"/>
    </row>
    <row r="866" spans="2:2">
      <c r="B866" s="565"/>
    </row>
    <row r="867" spans="2:2">
      <c r="B867" s="565"/>
    </row>
    <row r="868" spans="2:2">
      <c r="B868" s="565"/>
    </row>
    <row r="869" spans="2:2">
      <c r="B869" s="565"/>
    </row>
    <row r="870" spans="2:2">
      <c r="B870" s="565"/>
    </row>
    <row r="871" spans="2:2">
      <c r="B871" s="565"/>
    </row>
    <row r="872" spans="2:2">
      <c r="B872" s="565"/>
    </row>
    <row r="873" spans="2:2">
      <c r="B873" s="565"/>
    </row>
    <row r="874" spans="2:2">
      <c r="B874" s="565"/>
    </row>
    <row r="875" spans="2:2">
      <c r="B875" s="565"/>
    </row>
    <row r="876" spans="2:2">
      <c r="B876" s="565"/>
    </row>
    <row r="877" spans="2:2">
      <c r="B877" s="565"/>
    </row>
    <row r="878" spans="2:2">
      <c r="B878" s="565"/>
    </row>
    <row r="879" spans="2:2">
      <c r="B879" s="565"/>
    </row>
    <row r="880" spans="2:2">
      <c r="B880" s="565"/>
    </row>
    <row r="881" spans="2:2">
      <c r="B881" s="565"/>
    </row>
    <row r="882" spans="2:2">
      <c r="B882" s="565"/>
    </row>
    <row r="883" spans="2:2">
      <c r="B883" s="565"/>
    </row>
    <row r="884" spans="2:2">
      <c r="B884" s="565"/>
    </row>
    <row r="885" spans="2:2">
      <c r="B885" s="565"/>
    </row>
    <row r="886" spans="2:2">
      <c r="B886" s="565"/>
    </row>
    <row r="887" spans="2:2">
      <c r="B887" s="565"/>
    </row>
    <row r="888" spans="2:2">
      <c r="B888" s="565"/>
    </row>
    <row r="889" spans="2:2">
      <c r="B889" s="565"/>
    </row>
    <row r="890" spans="2:2">
      <c r="B890" s="565"/>
    </row>
    <row r="891" spans="2:2">
      <c r="B891" s="565"/>
    </row>
    <row r="892" spans="2:2">
      <c r="B892" s="565"/>
    </row>
    <row r="893" spans="2:2">
      <c r="B893" s="565"/>
    </row>
    <row r="894" spans="2:2">
      <c r="B894" s="565"/>
    </row>
    <row r="895" spans="2:2">
      <c r="B895" s="565"/>
    </row>
    <row r="896" spans="2:2">
      <c r="B896" s="565"/>
    </row>
    <row r="897" spans="2:2">
      <c r="B897" s="565"/>
    </row>
    <row r="898" spans="2:2">
      <c r="B898" s="565"/>
    </row>
    <row r="899" spans="2:2">
      <c r="B899" s="565"/>
    </row>
    <row r="900" spans="2:2">
      <c r="B900" s="565"/>
    </row>
    <row r="901" spans="2:2">
      <c r="B901" s="565"/>
    </row>
    <row r="902" spans="2:2">
      <c r="B902" s="565"/>
    </row>
    <row r="903" spans="2:2">
      <c r="B903" s="565"/>
    </row>
    <row r="904" spans="2:2">
      <c r="B904" s="565"/>
    </row>
    <row r="905" spans="2:2">
      <c r="B905" s="565"/>
    </row>
    <row r="906" spans="2:2">
      <c r="B906" s="565"/>
    </row>
    <row r="907" spans="2:2">
      <c r="B907" s="565"/>
    </row>
    <row r="908" spans="2:2">
      <c r="B908" s="565"/>
    </row>
    <row r="909" spans="2:2">
      <c r="B909" s="565"/>
    </row>
    <row r="910" spans="2:2">
      <c r="B910" s="565"/>
    </row>
    <row r="911" spans="2:2">
      <c r="B911" s="565"/>
    </row>
    <row r="912" spans="2:2">
      <c r="B912" s="565"/>
    </row>
    <row r="913" spans="2:2">
      <c r="B913" s="565"/>
    </row>
    <row r="914" spans="2:2">
      <c r="B914" s="565"/>
    </row>
    <row r="915" spans="2:2">
      <c r="B915" s="565"/>
    </row>
    <row r="916" spans="2:2">
      <c r="B916" s="565"/>
    </row>
    <row r="917" spans="2:2">
      <c r="B917" s="565"/>
    </row>
    <row r="918" spans="2:2">
      <c r="B918" s="565"/>
    </row>
    <row r="919" spans="2:2">
      <c r="B919" s="565"/>
    </row>
    <row r="920" spans="2:2">
      <c r="B920" s="565"/>
    </row>
    <row r="921" spans="2:2">
      <c r="B921" s="565"/>
    </row>
    <row r="922" spans="2:2">
      <c r="B922" s="565"/>
    </row>
    <row r="923" spans="2:2">
      <c r="B923" s="565"/>
    </row>
    <row r="924" spans="2:2">
      <c r="B924" s="565"/>
    </row>
    <row r="925" spans="2:2">
      <c r="B925" s="565"/>
    </row>
    <row r="926" spans="2:2">
      <c r="B926" s="565"/>
    </row>
    <row r="927" spans="2:2">
      <c r="B927" s="565"/>
    </row>
    <row r="928" spans="2:2">
      <c r="B928" s="565"/>
    </row>
    <row r="929" spans="2:2">
      <c r="B929" s="565"/>
    </row>
    <row r="930" spans="2:2">
      <c r="B930" s="565"/>
    </row>
    <row r="931" spans="2:2">
      <c r="B931" s="565"/>
    </row>
    <row r="932" spans="2:2">
      <c r="B932" s="565"/>
    </row>
    <row r="933" spans="2:2">
      <c r="B933" s="565"/>
    </row>
    <row r="934" spans="2:2">
      <c r="B934" s="565"/>
    </row>
    <row r="935" spans="2:2">
      <c r="B935" s="565"/>
    </row>
    <row r="936" spans="2:2">
      <c r="B936" s="565"/>
    </row>
    <row r="937" spans="2:2">
      <c r="B937" s="565"/>
    </row>
    <row r="938" spans="2:2">
      <c r="B938" s="565"/>
    </row>
    <row r="939" spans="2:2">
      <c r="B939" s="565"/>
    </row>
    <row r="940" spans="2:2">
      <c r="B940" s="565"/>
    </row>
    <row r="941" spans="2:2">
      <c r="B941" s="565"/>
    </row>
    <row r="942" spans="2:2">
      <c r="B942" s="565"/>
    </row>
    <row r="943" spans="2:2">
      <c r="B943" s="565"/>
    </row>
    <row r="944" spans="2:2">
      <c r="B944" s="565"/>
    </row>
    <row r="945" spans="2:2">
      <c r="B945" s="565"/>
    </row>
    <row r="946" spans="2:2">
      <c r="B946" s="565"/>
    </row>
    <row r="947" spans="2:2">
      <c r="B947" s="565"/>
    </row>
    <row r="948" spans="2:2">
      <c r="B948" s="565"/>
    </row>
    <row r="949" spans="2:2">
      <c r="B949" s="565"/>
    </row>
    <row r="950" spans="2:2">
      <c r="B950" s="565"/>
    </row>
    <row r="951" spans="2:2">
      <c r="B951" s="565"/>
    </row>
    <row r="952" spans="2:2">
      <c r="B952" s="565"/>
    </row>
    <row r="953" spans="2:2">
      <c r="B953" s="565"/>
    </row>
    <row r="954" spans="2:2">
      <c r="B954" s="565"/>
    </row>
    <row r="955" spans="2:2">
      <c r="B955" s="565"/>
    </row>
    <row r="956" spans="2:2">
      <c r="B956" s="565"/>
    </row>
    <row r="957" spans="2:2">
      <c r="B957" s="565"/>
    </row>
    <row r="958" spans="2:2">
      <c r="B958" s="565"/>
    </row>
    <row r="959" spans="2:2">
      <c r="B959" s="565"/>
    </row>
    <row r="960" spans="2:2">
      <c r="B960" s="565"/>
    </row>
    <row r="961" spans="2:2">
      <c r="B961" s="565"/>
    </row>
    <row r="962" spans="2:2">
      <c r="B962" s="565"/>
    </row>
    <row r="963" spans="2:2">
      <c r="B963" s="565"/>
    </row>
    <row r="964" spans="2:2">
      <c r="B964" s="565"/>
    </row>
    <row r="965" spans="2:2">
      <c r="B965" s="565"/>
    </row>
    <row r="966" spans="2:2">
      <c r="B966" s="565"/>
    </row>
    <row r="967" spans="2:2">
      <c r="B967" s="565"/>
    </row>
    <row r="968" spans="2:2">
      <c r="B968" s="565"/>
    </row>
    <row r="969" spans="2:2">
      <c r="B969" s="565"/>
    </row>
    <row r="970" spans="2:2">
      <c r="B970" s="565"/>
    </row>
    <row r="971" spans="2:2">
      <c r="B971" s="565"/>
    </row>
    <row r="972" spans="2:2">
      <c r="B972" s="565"/>
    </row>
    <row r="973" spans="2:2">
      <c r="B973" s="565"/>
    </row>
    <row r="974" spans="2:2">
      <c r="B974" s="565"/>
    </row>
    <row r="975" spans="2:2">
      <c r="B975" s="565"/>
    </row>
    <row r="976" spans="2:2">
      <c r="B976" s="565"/>
    </row>
    <row r="977" spans="2:2">
      <c r="B977" s="565"/>
    </row>
    <row r="978" spans="2:2">
      <c r="B978" s="565"/>
    </row>
    <row r="979" spans="2:2">
      <c r="B979" s="565"/>
    </row>
    <row r="980" spans="2:2">
      <c r="B980" s="565"/>
    </row>
    <row r="981" spans="2:2">
      <c r="B981" s="565"/>
    </row>
    <row r="982" spans="2:2">
      <c r="B982" s="565"/>
    </row>
    <row r="983" spans="2:2">
      <c r="B983" s="565"/>
    </row>
    <row r="984" spans="2:2">
      <c r="B984" s="565"/>
    </row>
    <row r="985" spans="2:2">
      <c r="B985" s="565"/>
    </row>
    <row r="986" spans="2:2">
      <c r="B986" s="565"/>
    </row>
    <row r="987" spans="2:2">
      <c r="B987" s="565"/>
    </row>
    <row r="988" spans="2:2">
      <c r="B988" s="565"/>
    </row>
    <row r="989" spans="2:2">
      <c r="B989" s="565"/>
    </row>
    <row r="990" spans="2:2">
      <c r="B990" s="565"/>
    </row>
    <row r="991" spans="2:2">
      <c r="B991" s="565"/>
    </row>
    <row r="992" spans="2:2">
      <c r="B992" s="565"/>
    </row>
    <row r="993" spans="2:2">
      <c r="B993" s="565"/>
    </row>
    <row r="994" spans="2:2">
      <c r="B994" s="565"/>
    </row>
    <row r="995" spans="2:2">
      <c r="B995" s="565"/>
    </row>
    <row r="996" spans="2:2">
      <c r="B996" s="565"/>
    </row>
    <row r="997" spans="2:2">
      <c r="B997" s="565"/>
    </row>
    <row r="998" spans="2:2">
      <c r="B998" s="565"/>
    </row>
    <row r="999" spans="2:2">
      <c r="B999" s="565"/>
    </row>
    <row r="1000" spans="2:2">
      <c r="B1000" s="565"/>
    </row>
    <row r="1001" spans="2:2">
      <c r="B1001" s="565"/>
    </row>
    <row r="1002" spans="2:2">
      <c r="B1002" s="565"/>
    </row>
    <row r="1003" spans="2:2">
      <c r="B1003" s="565"/>
    </row>
    <row r="1004" spans="2:2">
      <c r="B1004" s="565"/>
    </row>
    <row r="1005" spans="2:2">
      <c r="B1005" s="565"/>
    </row>
    <row r="1006" spans="2:2">
      <c r="B1006" s="565"/>
    </row>
    <row r="1007" spans="2:2">
      <c r="B1007" s="565"/>
    </row>
    <row r="1008" spans="2:2">
      <c r="B1008" s="565"/>
    </row>
    <row r="1009" spans="2:2">
      <c r="B1009" s="565"/>
    </row>
    <row r="1010" spans="2:2">
      <c r="B1010" s="565"/>
    </row>
    <row r="1011" spans="2:2">
      <c r="B1011" s="565"/>
    </row>
    <row r="1012" spans="2:2">
      <c r="B1012" s="565"/>
    </row>
    <row r="1013" spans="2:2">
      <c r="B1013" s="565"/>
    </row>
    <row r="1014" spans="2:2">
      <c r="B1014" s="565"/>
    </row>
    <row r="1015" spans="2:2">
      <c r="B1015" s="565"/>
    </row>
    <row r="1016" spans="2:2">
      <c r="B1016" s="565"/>
    </row>
    <row r="1017" spans="2:2">
      <c r="B1017" s="565"/>
    </row>
    <row r="1018" spans="2:2">
      <c r="B1018" s="565"/>
    </row>
    <row r="1019" spans="2:2">
      <c r="B1019" s="565"/>
    </row>
    <row r="1020" spans="2:2">
      <c r="B1020" s="565"/>
    </row>
    <row r="1021" spans="2:2">
      <c r="B1021" s="565"/>
    </row>
    <row r="1022" spans="2:2">
      <c r="B1022" s="565"/>
    </row>
    <row r="1023" spans="2:2">
      <c r="B1023" s="565"/>
    </row>
    <row r="1024" spans="2:2">
      <c r="B1024" s="565"/>
    </row>
    <row r="1025" spans="2:2">
      <c r="B1025" s="565"/>
    </row>
    <row r="1026" spans="2:2">
      <c r="B1026" s="565"/>
    </row>
    <row r="1027" spans="2:2">
      <c r="B1027" s="565"/>
    </row>
    <row r="1028" spans="2:2">
      <c r="B1028" s="565"/>
    </row>
    <row r="1029" spans="2:2">
      <c r="B1029" s="565"/>
    </row>
    <row r="1030" spans="2:2">
      <c r="B1030" s="565"/>
    </row>
    <row r="1031" spans="2:2">
      <c r="B1031" s="565"/>
    </row>
    <row r="1032" spans="2:2">
      <c r="B1032" s="565"/>
    </row>
    <row r="1033" spans="2:2">
      <c r="B1033" s="565"/>
    </row>
    <row r="1034" spans="2:2">
      <c r="B1034" s="565"/>
    </row>
    <row r="1035" spans="2:2">
      <c r="B1035" s="565"/>
    </row>
    <row r="1036" spans="2:2">
      <c r="B1036" s="565"/>
    </row>
    <row r="1037" spans="2:2">
      <c r="B1037" s="565"/>
    </row>
    <row r="1038" spans="2:2">
      <c r="B1038" s="565"/>
    </row>
    <row r="1039" spans="2:2">
      <c r="B1039" s="565"/>
    </row>
    <row r="1040" spans="2:2">
      <c r="B1040" s="565"/>
    </row>
    <row r="1041" spans="2:2">
      <c r="B1041" s="565"/>
    </row>
    <row r="1042" spans="2:2">
      <c r="B1042" s="565"/>
    </row>
    <row r="1043" spans="2:2">
      <c r="B1043" s="565"/>
    </row>
    <row r="1044" spans="2:2">
      <c r="B1044" s="565"/>
    </row>
    <row r="1045" spans="2:2">
      <c r="B1045" s="565"/>
    </row>
    <row r="1046" spans="2:2">
      <c r="B1046" s="565"/>
    </row>
    <row r="1047" spans="2:2">
      <c r="B1047" s="565"/>
    </row>
    <row r="1048" spans="2:2">
      <c r="B1048" s="565"/>
    </row>
    <row r="1049" spans="2:2">
      <c r="B1049" s="565"/>
    </row>
    <row r="1050" spans="2:2">
      <c r="B1050" s="565"/>
    </row>
    <row r="1051" spans="2:2">
      <c r="B1051" s="565"/>
    </row>
    <row r="1052" spans="2:2">
      <c r="B1052" s="565"/>
    </row>
    <row r="1053" spans="2:2">
      <c r="B1053" s="565"/>
    </row>
    <row r="1054" spans="2:2">
      <c r="B1054" s="565"/>
    </row>
    <row r="1055" spans="2:2">
      <c r="B1055" s="565"/>
    </row>
    <row r="1056" spans="2:2">
      <c r="B1056" s="565"/>
    </row>
    <row r="1057" spans="2:2">
      <c r="B1057" s="565"/>
    </row>
    <row r="1058" spans="2:2">
      <c r="B1058" s="565"/>
    </row>
    <row r="1059" spans="2:2">
      <c r="B1059" s="565"/>
    </row>
    <row r="1060" spans="2:2">
      <c r="B1060" s="565"/>
    </row>
    <row r="1061" spans="2:2">
      <c r="B1061" s="565"/>
    </row>
    <row r="1062" spans="2:2">
      <c r="B1062" s="565"/>
    </row>
    <row r="1063" spans="2:2">
      <c r="B1063" s="565"/>
    </row>
    <row r="1064" spans="2:2">
      <c r="B1064" s="565"/>
    </row>
    <row r="1065" spans="2:2">
      <c r="B1065" s="565"/>
    </row>
    <row r="1066" spans="2:2">
      <c r="B1066" s="565"/>
    </row>
    <row r="1067" spans="2:2">
      <c r="B1067" s="565"/>
    </row>
    <row r="1068" spans="2:2">
      <c r="B1068" s="565"/>
    </row>
    <row r="1069" spans="2:2">
      <c r="B1069" s="565"/>
    </row>
    <row r="1070" spans="2:2">
      <c r="B1070" s="565"/>
    </row>
    <row r="1071" spans="2:2">
      <c r="B1071" s="565"/>
    </row>
    <row r="1072" spans="2:2">
      <c r="B1072" s="565"/>
    </row>
    <row r="1073" spans="2:2">
      <c r="B1073" s="565"/>
    </row>
    <row r="1074" spans="2:2">
      <c r="B1074" s="565"/>
    </row>
    <row r="1075" spans="2:2">
      <c r="B1075" s="565"/>
    </row>
    <row r="1076" spans="2:2">
      <c r="B1076" s="565"/>
    </row>
    <row r="1077" spans="2:2">
      <c r="B1077" s="565"/>
    </row>
    <row r="1078" spans="2:2">
      <c r="B1078" s="565"/>
    </row>
    <row r="1079" spans="2:2">
      <c r="B1079" s="565"/>
    </row>
    <row r="1080" spans="2:2">
      <c r="B1080" s="565"/>
    </row>
    <row r="1081" spans="2:2">
      <c r="B1081" s="565"/>
    </row>
    <row r="1082" spans="2:2">
      <c r="B1082" s="565"/>
    </row>
    <row r="1083" spans="2:2">
      <c r="B1083" s="565"/>
    </row>
    <row r="1084" spans="2:2">
      <c r="B1084" s="565"/>
    </row>
    <row r="1085" spans="2:2">
      <c r="B1085" s="565"/>
    </row>
    <row r="1086" spans="2:2">
      <c r="B1086" s="565"/>
    </row>
    <row r="1087" spans="2:2">
      <c r="B1087" s="565"/>
    </row>
    <row r="1088" spans="2:2">
      <c r="B1088" s="565"/>
    </row>
    <row r="1089" spans="2:2">
      <c r="B1089" s="565"/>
    </row>
    <row r="1090" spans="2:2">
      <c r="B1090" s="565"/>
    </row>
    <row r="1091" spans="2:2">
      <c r="B1091" s="565"/>
    </row>
    <row r="1092" spans="2:2">
      <c r="B1092" s="565"/>
    </row>
    <row r="1093" spans="2:2">
      <c r="B1093" s="565"/>
    </row>
    <row r="1094" spans="2:2">
      <c r="B1094" s="565"/>
    </row>
    <row r="1095" spans="2:2">
      <c r="B1095" s="565"/>
    </row>
    <row r="1096" spans="2:2">
      <c r="B1096" s="565"/>
    </row>
    <row r="1097" spans="2:2">
      <c r="B1097" s="565"/>
    </row>
    <row r="1098" spans="2:2">
      <c r="B1098" s="565"/>
    </row>
    <row r="1099" spans="2:2">
      <c r="B1099" s="565"/>
    </row>
    <row r="1100" spans="2:2">
      <c r="B1100" s="565"/>
    </row>
    <row r="1101" spans="2:2">
      <c r="B1101" s="565"/>
    </row>
    <row r="1102" spans="2:2">
      <c r="B1102" s="565"/>
    </row>
    <row r="1103" spans="2:2">
      <c r="B1103" s="565"/>
    </row>
    <row r="1104" spans="2:2">
      <c r="B1104" s="565"/>
    </row>
    <row r="1105" spans="2:2">
      <c r="B1105" s="565"/>
    </row>
    <row r="1106" spans="2:2">
      <c r="B1106" s="565"/>
    </row>
    <row r="1107" spans="2:2">
      <c r="B1107" s="565"/>
    </row>
    <row r="1108" spans="2:2">
      <c r="B1108" s="565"/>
    </row>
    <row r="1109" spans="2:2">
      <c r="B1109" s="565"/>
    </row>
    <row r="1110" spans="2:2">
      <c r="B1110" s="565"/>
    </row>
    <row r="1111" spans="2:2">
      <c r="B1111" s="565"/>
    </row>
    <row r="1112" spans="2:2">
      <c r="B1112" s="565"/>
    </row>
    <row r="1113" spans="2:2">
      <c r="B1113" s="565"/>
    </row>
    <row r="1114" spans="2:2">
      <c r="B1114" s="565"/>
    </row>
    <row r="1115" spans="2:2">
      <c r="B1115" s="565"/>
    </row>
    <row r="1116" spans="2:2">
      <c r="B1116" s="565"/>
    </row>
    <row r="1117" spans="2:2">
      <c r="B1117" s="565"/>
    </row>
    <row r="1118" spans="2:2">
      <c r="B1118" s="565"/>
    </row>
    <row r="1119" spans="2:2">
      <c r="B1119" s="565"/>
    </row>
    <row r="1120" spans="2:2">
      <c r="B1120" s="565"/>
    </row>
    <row r="1121" spans="2:2">
      <c r="B1121" s="565"/>
    </row>
    <row r="1122" spans="2:2">
      <c r="B1122" s="565"/>
    </row>
    <row r="1123" spans="2:2">
      <c r="B1123" s="565"/>
    </row>
    <row r="1124" spans="2:2">
      <c r="B1124" s="565"/>
    </row>
    <row r="1125" spans="2:2">
      <c r="B1125" s="565"/>
    </row>
    <row r="1126" spans="2:2">
      <c r="B1126" s="565"/>
    </row>
    <row r="1127" spans="2:2">
      <c r="B1127" s="565"/>
    </row>
    <row r="1128" spans="2:2">
      <c r="B1128" s="565"/>
    </row>
    <row r="1129" spans="2:2">
      <c r="B1129" s="565"/>
    </row>
    <row r="1130" spans="2:2">
      <c r="B1130" s="565"/>
    </row>
    <row r="1131" spans="2:2">
      <c r="B1131" s="565"/>
    </row>
    <row r="1132" spans="2:2">
      <c r="B1132" s="565"/>
    </row>
    <row r="1133" spans="2:2">
      <c r="B1133" s="565"/>
    </row>
    <row r="1134" spans="2:2">
      <c r="B1134" s="565"/>
    </row>
    <row r="1135" spans="2:2">
      <c r="B1135" s="565"/>
    </row>
    <row r="1136" spans="2:2">
      <c r="B1136" s="565"/>
    </row>
    <row r="1137" spans="2:2">
      <c r="B1137" s="565"/>
    </row>
    <row r="1138" spans="2:2">
      <c r="B1138" s="565"/>
    </row>
    <row r="1139" spans="2:2">
      <c r="B1139" s="565"/>
    </row>
    <row r="1140" spans="2:2">
      <c r="B1140" s="565"/>
    </row>
    <row r="1141" spans="2:2">
      <c r="B1141" s="565"/>
    </row>
    <row r="1142" spans="2:2">
      <c r="B1142" s="565"/>
    </row>
    <row r="1143" spans="2:2">
      <c r="B1143" s="565"/>
    </row>
    <row r="1144" spans="2:2">
      <c r="B1144" s="565"/>
    </row>
    <row r="1145" spans="2:2">
      <c r="B1145" s="565"/>
    </row>
    <row r="1146" spans="2:2">
      <c r="B1146" s="565"/>
    </row>
    <row r="1147" spans="2:2">
      <c r="B1147" s="565"/>
    </row>
    <row r="1148" spans="2:2">
      <c r="B1148" s="565"/>
    </row>
    <row r="1149" spans="2:2">
      <c r="B1149" s="565"/>
    </row>
    <row r="1150" spans="2:2">
      <c r="B1150" s="565"/>
    </row>
    <row r="1151" spans="2:2">
      <c r="B1151" s="565"/>
    </row>
    <row r="1152" spans="2:2">
      <c r="B1152" s="565"/>
    </row>
    <row r="1153" spans="2:2">
      <c r="B1153" s="565"/>
    </row>
    <row r="1154" spans="2:2">
      <c r="B1154" s="565"/>
    </row>
    <row r="1155" spans="2:2">
      <c r="B1155" s="565"/>
    </row>
    <row r="1156" spans="2:2">
      <c r="B1156" s="565"/>
    </row>
    <row r="1157" spans="2:2">
      <c r="B1157" s="565"/>
    </row>
    <row r="1158" spans="2:2">
      <c r="B1158" s="565"/>
    </row>
    <row r="1159" spans="2:2">
      <c r="B1159" s="565"/>
    </row>
    <row r="1160" spans="2:2">
      <c r="B1160" s="565"/>
    </row>
    <row r="1161" spans="2:2">
      <c r="B1161" s="565"/>
    </row>
    <row r="1162" spans="2:2">
      <c r="B1162" s="565"/>
    </row>
    <row r="1163" spans="2:2">
      <c r="B1163" s="565"/>
    </row>
    <row r="1164" spans="2:2">
      <c r="B1164" s="565"/>
    </row>
    <row r="1165" spans="2:2">
      <c r="B1165" s="565"/>
    </row>
    <row r="1166" spans="2:2">
      <c r="B1166" s="565"/>
    </row>
    <row r="1167" spans="2:2">
      <c r="B1167" s="565"/>
    </row>
    <row r="1168" spans="2:2">
      <c r="B1168" s="565"/>
    </row>
    <row r="1169" spans="2:2">
      <c r="B1169" s="565"/>
    </row>
    <row r="1170" spans="2:2">
      <c r="B1170" s="565"/>
    </row>
    <row r="1171" spans="2:2">
      <c r="B1171" s="565"/>
    </row>
    <row r="1172" spans="2:2">
      <c r="B1172" s="565"/>
    </row>
    <row r="1173" spans="2:2">
      <c r="B1173" s="565"/>
    </row>
    <row r="1174" spans="2:2">
      <c r="B1174" s="565"/>
    </row>
    <row r="1175" spans="2:2">
      <c r="B1175" s="565"/>
    </row>
    <row r="1176" spans="2:2">
      <c r="B1176" s="565"/>
    </row>
    <row r="1177" spans="2:2">
      <c r="B1177" s="565"/>
    </row>
    <row r="1178" spans="2:2">
      <c r="B1178" s="565"/>
    </row>
    <row r="1179" spans="2:2">
      <c r="B1179" s="565"/>
    </row>
    <row r="1180" spans="2:2">
      <c r="B1180" s="565"/>
    </row>
    <row r="1181" spans="2:2">
      <c r="B1181" s="565"/>
    </row>
    <row r="1182" spans="2:2">
      <c r="B1182" s="565"/>
    </row>
    <row r="1183" spans="2:2">
      <c r="B1183" s="565"/>
    </row>
    <row r="1184" spans="2:2">
      <c r="B1184" s="565"/>
    </row>
    <row r="1185" spans="2:2">
      <c r="B1185" s="565"/>
    </row>
    <row r="1186" spans="2:2">
      <c r="B1186" s="565"/>
    </row>
    <row r="1187" spans="2:2">
      <c r="B1187" s="565"/>
    </row>
    <row r="1188" spans="2:2">
      <c r="B1188" s="565"/>
    </row>
    <row r="1189" spans="2:2">
      <c r="B1189" s="565"/>
    </row>
    <row r="1190" spans="2:2">
      <c r="B1190" s="565"/>
    </row>
    <row r="1191" spans="2:2">
      <c r="B1191" s="565"/>
    </row>
    <row r="1192" spans="2:2">
      <c r="B1192" s="565"/>
    </row>
    <row r="1193" spans="2:2">
      <c r="B1193" s="565"/>
    </row>
    <row r="1194" spans="2:2">
      <c r="B1194" s="565"/>
    </row>
    <row r="1195" spans="2:2">
      <c r="B1195" s="565"/>
    </row>
    <row r="1196" spans="2:2">
      <c r="B1196" s="565"/>
    </row>
    <row r="1197" spans="2:2">
      <c r="B1197" s="565"/>
    </row>
    <row r="1198" spans="2:2">
      <c r="B1198" s="565"/>
    </row>
    <row r="1199" spans="2:2">
      <c r="B1199" s="565"/>
    </row>
    <row r="1200" spans="2:2">
      <c r="B1200" s="565"/>
    </row>
    <row r="1201" spans="2:2">
      <c r="B1201" s="565"/>
    </row>
    <row r="1202" spans="2:2">
      <c r="B1202" s="565"/>
    </row>
    <row r="1203" spans="2:2">
      <c r="B1203" s="565"/>
    </row>
    <row r="1204" spans="2:2">
      <c r="B1204" s="565"/>
    </row>
    <row r="1205" spans="2:2">
      <c r="B1205" s="565"/>
    </row>
    <row r="1206" spans="2:2">
      <c r="B1206" s="565"/>
    </row>
    <row r="1207" spans="2:2">
      <c r="B1207" s="565"/>
    </row>
    <row r="1208" spans="2:2">
      <c r="B1208" s="565"/>
    </row>
    <row r="1209" spans="2:2">
      <c r="B1209" s="565"/>
    </row>
    <row r="1210" spans="2:2">
      <c r="B1210" s="565"/>
    </row>
    <row r="1211" spans="2:2">
      <c r="B1211" s="565"/>
    </row>
    <row r="1212" spans="2:2">
      <c r="B1212" s="565"/>
    </row>
    <row r="1213" spans="2:2">
      <c r="B1213" s="565"/>
    </row>
    <row r="1214" spans="2:2">
      <c r="B1214" s="565"/>
    </row>
    <row r="1215" spans="2:2">
      <c r="B1215" s="565"/>
    </row>
    <row r="1216" spans="2:2">
      <c r="B1216" s="565"/>
    </row>
    <row r="1217" spans="2:2">
      <c r="B1217" s="565"/>
    </row>
    <row r="1218" spans="2:2">
      <c r="B1218" s="565"/>
    </row>
    <row r="1219" spans="2:2">
      <c r="B1219" s="565"/>
    </row>
    <row r="1220" spans="2:2">
      <c r="B1220" s="565"/>
    </row>
    <row r="1221" spans="2:2">
      <c r="B1221" s="565"/>
    </row>
    <row r="1222" spans="2:2">
      <c r="B1222" s="565"/>
    </row>
    <row r="1223" spans="2:2">
      <c r="B1223" s="565"/>
    </row>
    <row r="1224" spans="2:2">
      <c r="B1224" s="565"/>
    </row>
    <row r="1225" spans="2:2">
      <c r="B1225" s="565"/>
    </row>
    <row r="1226" spans="2:2">
      <c r="B1226" s="565"/>
    </row>
    <row r="1227" spans="2:2">
      <c r="B1227" s="565"/>
    </row>
    <row r="1228" spans="2:2">
      <c r="B1228" s="565"/>
    </row>
    <row r="1229" spans="2:2">
      <c r="B1229" s="565"/>
    </row>
    <row r="1230" spans="2:2">
      <c r="B1230" s="565"/>
    </row>
    <row r="1231" spans="2:2">
      <c r="B1231" s="565"/>
    </row>
    <row r="1232" spans="2:2">
      <c r="B1232" s="565"/>
    </row>
    <row r="1233" spans="2:2">
      <c r="B1233" s="565"/>
    </row>
    <row r="1234" spans="2:2">
      <c r="B1234" s="565"/>
    </row>
    <row r="1235" spans="2:2">
      <c r="B1235" s="565"/>
    </row>
    <row r="1236" spans="2:2">
      <c r="B1236" s="565"/>
    </row>
    <row r="1237" spans="2:2">
      <c r="B1237" s="565"/>
    </row>
    <row r="1238" spans="2:2">
      <c r="B1238" s="565"/>
    </row>
    <row r="1239" spans="2:2">
      <c r="B1239" s="565"/>
    </row>
    <row r="1240" spans="2:2">
      <c r="B1240" s="565"/>
    </row>
    <row r="1241" spans="2:2">
      <c r="B1241" s="565"/>
    </row>
    <row r="1242" spans="2:2">
      <c r="B1242" s="565"/>
    </row>
    <row r="1243" spans="2:2">
      <c r="B1243" s="565"/>
    </row>
    <row r="1244" spans="2:2">
      <c r="B1244" s="565"/>
    </row>
    <row r="1245" spans="2:2">
      <c r="B1245" s="565"/>
    </row>
    <row r="1246" spans="2:2">
      <c r="B1246" s="565"/>
    </row>
    <row r="1247" spans="2:2">
      <c r="B1247" s="565"/>
    </row>
    <row r="1248" spans="2:2">
      <c r="B1248" s="565"/>
    </row>
    <row r="1249" spans="2:2">
      <c r="B1249" s="565"/>
    </row>
    <row r="1250" spans="2:2">
      <c r="B1250" s="565"/>
    </row>
    <row r="1251" spans="2:2">
      <c r="B1251" s="565"/>
    </row>
    <row r="1252" spans="2:2">
      <c r="B1252" s="565"/>
    </row>
    <row r="1253" spans="2:2">
      <c r="B1253" s="565"/>
    </row>
    <row r="1254" spans="2:2">
      <c r="B1254" s="565"/>
    </row>
    <row r="1255" spans="2:2">
      <c r="B1255" s="565"/>
    </row>
    <row r="1256" spans="2:2">
      <c r="B1256" s="565"/>
    </row>
    <row r="1257" spans="2:2">
      <c r="B1257" s="565"/>
    </row>
    <row r="1258" spans="2:2">
      <c r="B1258" s="565"/>
    </row>
    <row r="1259" spans="2:2">
      <c r="B1259" s="565"/>
    </row>
    <row r="1260" spans="2:2">
      <c r="B1260" s="565"/>
    </row>
    <row r="1261" spans="2:2">
      <c r="B1261" s="565"/>
    </row>
    <row r="1262" spans="2:2">
      <c r="B1262" s="565"/>
    </row>
    <row r="1263" spans="2:2">
      <c r="B1263" s="565"/>
    </row>
    <row r="1264" spans="2:2">
      <c r="B1264" s="565"/>
    </row>
    <row r="1265" spans="2:2">
      <c r="B1265" s="565"/>
    </row>
    <row r="1266" spans="2:2">
      <c r="B1266" s="565"/>
    </row>
    <row r="1267" spans="2:2">
      <c r="B1267" s="565"/>
    </row>
    <row r="1268" spans="2:2">
      <c r="B1268" s="565"/>
    </row>
    <row r="1269" spans="2:2">
      <c r="B1269" s="565"/>
    </row>
    <row r="1270" spans="2:2">
      <c r="B1270" s="565"/>
    </row>
    <row r="1271" spans="2:2">
      <c r="B1271" s="565"/>
    </row>
    <row r="1272" spans="2:2">
      <c r="B1272" s="565"/>
    </row>
    <row r="1273" spans="2:2">
      <c r="B1273" s="565"/>
    </row>
    <row r="1274" spans="2:2">
      <c r="B1274" s="565"/>
    </row>
    <row r="1275" spans="2:2">
      <c r="B1275" s="565"/>
    </row>
    <row r="1276" spans="2:2">
      <c r="B1276" s="565"/>
    </row>
    <row r="1277" spans="2:2">
      <c r="B1277" s="565"/>
    </row>
    <row r="1278" spans="2:2">
      <c r="B1278" s="565"/>
    </row>
    <row r="1279" spans="2:2">
      <c r="B1279" s="565"/>
    </row>
    <row r="1280" spans="2:2">
      <c r="B1280" s="565"/>
    </row>
    <row r="1281" spans="2:2">
      <c r="B1281" s="565"/>
    </row>
    <row r="1282" spans="2:2">
      <c r="B1282" s="565"/>
    </row>
    <row r="1283" spans="2:2">
      <c r="B1283" s="565"/>
    </row>
    <row r="1284" spans="2:2">
      <c r="B1284" s="565"/>
    </row>
    <row r="1285" spans="2:2">
      <c r="B1285" s="565"/>
    </row>
    <row r="1286" spans="2:2">
      <c r="B1286" s="565"/>
    </row>
    <row r="1287" spans="2:2">
      <c r="B1287" s="565"/>
    </row>
    <row r="1288" spans="2:2">
      <c r="B1288" s="565"/>
    </row>
    <row r="1289" spans="2:2">
      <c r="B1289" s="565"/>
    </row>
    <row r="1290" spans="2:2">
      <c r="B1290" s="565"/>
    </row>
    <row r="1291" spans="2:2">
      <c r="B1291" s="565"/>
    </row>
    <row r="1292" spans="2:2">
      <c r="B1292" s="565"/>
    </row>
    <row r="1293" spans="2:2">
      <c r="B1293" s="565"/>
    </row>
    <row r="1294" spans="2:2">
      <c r="B1294" s="565"/>
    </row>
    <row r="1295" spans="2:2">
      <c r="B1295" s="565"/>
    </row>
    <row r="1296" spans="2:2">
      <c r="B1296" s="565"/>
    </row>
    <row r="1297" spans="2:2">
      <c r="B1297" s="565"/>
    </row>
    <row r="1298" spans="2:2">
      <c r="B1298" s="565"/>
    </row>
    <row r="1299" spans="2:2">
      <c r="B1299" s="565"/>
    </row>
    <row r="1300" spans="2:2">
      <c r="B1300" s="565"/>
    </row>
    <row r="1301" spans="2:2">
      <c r="B1301" s="565"/>
    </row>
    <row r="1302" spans="2:2">
      <c r="B1302" s="565"/>
    </row>
    <row r="1303" spans="2:2">
      <c r="B1303" s="565"/>
    </row>
    <row r="1304" spans="2:2">
      <c r="B1304" s="565"/>
    </row>
    <row r="1305" spans="2:2">
      <c r="B1305" s="565"/>
    </row>
    <row r="1306" spans="2:2">
      <c r="B1306" s="565"/>
    </row>
    <row r="1307" spans="2:2">
      <c r="B1307" s="565"/>
    </row>
    <row r="1308" spans="2:2">
      <c r="B1308" s="565"/>
    </row>
    <row r="1309" spans="2:2">
      <c r="B1309" s="565"/>
    </row>
    <row r="1310" spans="2:2">
      <c r="B1310" s="565"/>
    </row>
    <row r="1311" spans="2:2">
      <c r="B1311" s="565"/>
    </row>
    <row r="1312" spans="2:2">
      <c r="B1312" s="565"/>
    </row>
    <row r="1313" spans="2:2">
      <c r="B1313" s="565"/>
    </row>
    <row r="1314" spans="2:2">
      <c r="B1314" s="565"/>
    </row>
    <row r="1315" spans="2:2">
      <c r="B1315" s="565"/>
    </row>
    <row r="1316" spans="2:2">
      <c r="B1316" s="565"/>
    </row>
    <row r="1317" spans="2:2">
      <c r="B1317" s="565"/>
    </row>
    <row r="1318" spans="2:2">
      <c r="B1318" s="565"/>
    </row>
    <row r="1319" spans="2:2">
      <c r="B1319" s="565"/>
    </row>
    <row r="1320" spans="2:2">
      <c r="B1320" s="565"/>
    </row>
    <row r="1321" spans="2:2">
      <c r="B1321" s="565"/>
    </row>
    <row r="1322" spans="2:2">
      <c r="B1322" s="565"/>
    </row>
    <row r="1323" spans="2:2">
      <c r="B1323" s="565"/>
    </row>
    <row r="1324" spans="2:2">
      <c r="B1324" s="565"/>
    </row>
    <row r="1325" spans="2:2">
      <c r="B1325" s="565"/>
    </row>
    <row r="1326" spans="2:2">
      <c r="B1326" s="565"/>
    </row>
    <row r="1327" spans="2:2">
      <c r="B1327" s="565"/>
    </row>
    <row r="1328" spans="2:2">
      <c r="B1328" s="565"/>
    </row>
    <row r="1329" spans="2:2">
      <c r="B1329" s="565"/>
    </row>
    <row r="1330" spans="2:2">
      <c r="B1330" s="565"/>
    </row>
    <row r="1331" spans="2:2">
      <c r="B1331" s="565"/>
    </row>
    <row r="1332" spans="2:2">
      <c r="B1332" s="565"/>
    </row>
    <row r="1333" spans="2:2">
      <c r="B1333" s="565"/>
    </row>
    <row r="1334" spans="2:2">
      <c r="B1334" s="565"/>
    </row>
    <row r="1335" spans="2:2">
      <c r="B1335" s="565"/>
    </row>
    <row r="1336" spans="2:2">
      <c r="B1336" s="565"/>
    </row>
    <row r="1337" spans="2:2">
      <c r="B1337" s="565"/>
    </row>
    <row r="1338" spans="2:2">
      <c r="B1338" s="565"/>
    </row>
    <row r="1339" spans="2:2">
      <c r="B1339" s="565"/>
    </row>
    <row r="1340" spans="2:2">
      <c r="B1340" s="565"/>
    </row>
    <row r="1341" spans="2:2">
      <c r="B1341" s="565"/>
    </row>
    <row r="1342" spans="2:2">
      <c r="B1342" s="565"/>
    </row>
    <row r="1343" spans="2:2">
      <c r="B1343" s="565"/>
    </row>
    <row r="1344" spans="2:2">
      <c r="B1344" s="565"/>
    </row>
    <row r="1345" spans="2:2">
      <c r="B1345" s="565"/>
    </row>
    <row r="1346" spans="2:2">
      <c r="B1346" s="565"/>
    </row>
    <row r="1347" spans="2:2">
      <c r="B1347" s="565"/>
    </row>
    <row r="1348" spans="2:2">
      <c r="B1348" s="565"/>
    </row>
    <row r="1349" spans="2:2">
      <c r="B1349" s="565"/>
    </row>
    <row r="1350" spans="2:2">
      <c r="B1350" s="565"/>
    </row>
    <row r="1351" spans="2:2">
      <c r="B1351" s="565"/>
    </row>
    <row r="1352" spans="2:2">
      <c r="B1352" s="565"/>
    </row>
    <row r="1353" spans="2:2">
      <c r="B1353" s="565"/>
    </row>
    <row r="1354" spans="2:2">
      <c r="B1354" s="565"/>
    </row>
    <row r="1355" spans="2:2">
      <c r="B1355" s="565"/>
    </row>
    <row r="1356" spans="2:2">
      <c r="B1356" s="565"/>
    </row>
    <row r="1357" spans="2:2">
      <c r="B1357" s="565"/>
    </row>
    <row r="1358" spans="2:2">
      <c r="B1358" s="565"/>
    </row>
    <row r="1359" spans="2:2">
      <c r="B1359" s="565"/>
    </row>
    <row r="1360" spans="2:2">
      <c r="B1360" s="565"/>
    </row>
    <row r="1361" spans="2:2">
      <c r="B1361" s="565"/>
    </row>
    <row r="1362" spans="2:2">
      <c r="B1362" s="565"/>
    </row>
    <row r="1363" spans="2:2">
      <c r="B1363" s="565"/>
    </row>
    <row r="1364" spans="2:2">
      <c r="B1364" s="565"/>
    </row>
    <row r="1365" spans="2:2">
      <c r="B1365" s="565"/>
    </row>
    <row r="1366" spans="2:2">
      <c r="B1366" s="565"/>
    </row>
    <row r="1367" spans="2:2">
      <c r="B1367" s="565"/>
    </row>
    <row r="1368" spans="2:2">
      <c r="B1368" s="565"/>
    </row>
    <row r="1369" spans="2:2">
      <c r="B1369" s="565"/>
    </row>
    <row r="1370" spans="2:2">
      <c r="B1370" s="565"/>
    </row>
    <row r="1371" spans="2:2">
      <c r="B1371" s="565"/>
    </row>
    <row r="1372" spans="2:2">
      <c r="B1372" s="565"/>
    </row>
    <row r="1373" spans="2:2">
      <c r="B1373" s="565"/>
    </row>
    <row r="1374" spans="2:2">
      <c r="B1374" s="565"/>
    </row>
    <row r="1375" spans="2:2">
      <c r="B1375" s="565"/>
    </row>
    <row r="1376" spans="2:2">
      <c r="B1376" s="565"/>
    </row>
    <row r="1377" spans="2:2">
      <c r="B1377" s="565"/>
    </row>
    <row r="1378" spans="2:2">
      <c r="B1378" s="565"/>
    </row>
    <row r="1379" spans="2:2">
      <c r="B1379" s="565"/>
    </row>
    <row r="1380" spans="2:2">
      <c r="B1380" s="565"/>
    </row>
    <row r="1381" spans="2:2">
      <c r="B1381" s="565"/>
    </row>
    <row r="1382" spans="2:2">
      <c r="B1382" s="565"/>
    </row>
    <row r="1383" spans="2:2">
      <c r="B1383" s="565"/>
    </row>
    <row r="1384" spans="2:2">
      <c r="B1384" s="565"/>
    </row>
    <row r="1385" spans="2:2">
      <c r="B1385" s="565"/>
    </row>
    <row r="1386" spans="2:2">
      <c r="B1386" s="565"/>
    </row>
    <row r="1387" spans="2:2">
      <c r="B1387" s="565"/>
    </row>
    <row r="1388" spans="2:2">
      <c r="B1388" s="565"/>
    </row>
    <row r="1389" spans="2:2">
      <c r="B1389" s="565"/>
    </row>
    <row r="1390" spans="2:2">
      <c r="B1390" s="565"/>
    </row>
    <row r="1391" spans="2:2">
      <c r="B1391" s="565"/>
    </row>
    <row r="1392" spans="2:2">
      <c r="B1392" s="565"/>
    </row>
    <row r="1393" spans="2:2">
      <c r="B1393" s="565"/>
    </row>
    <row r="1394" spans="2:2">
      <c r="B1394" s="565"/>
    </row>
    <row r="1395" spans="2:2">
      <c r="B1395" s="565"/>
    </row>
    <row r="1396" spans="2:2">
      <c r="B1396" s="565"/>
    </row>
    <row r="1397" spans="2:2">
      <c r="B1397" s="565"/>
    </row>
    <row r="1398" spans="2:2">
      <c r="B1398" s="565"/>
    </row>
    <row r="1399" spans="2:2">
      <c r="B1399" s="565"/>
    </row>
    <row r="1400" spans="2:2">
      <c r="B1400" s="565"/>
    </row>
    <row r="1401" spans="2:2">
      <c r="B1401" s="565"/>
    </row>
    <row r="1402" spans="2:2">
      <c r="B1402" s="565"/>
    </row>
    <row r="1403" spans="2:2">
      <c r="B1403" s="565"/>
    </row>
    <row r="1404" spans="2:2">
      <c r="B1404" s="565"/>
    </row>
    <row r="1405" spans="2:2">
      <c r="B1405" s="565"/>
    </row>
    <row r="1406" spans="2:2">
      <c r="B1406" s="565"/>
    </row>
    <row r="1407" spans="2:2">
      <c r="B1407" s="565"/>
    </row>
    <row r="1408" spans="2:2">
      <c r="B1408" s="565"/>
    </row>
    <row r="1409" spans="2:2">
      <c r="B1409" s="565"/>
    </row>
    <row r="1410" spans="2:2">
      <c r="B1410" s="565"/>
    </row>
    <row r="1411" spans="2:2">
      <c r="B1411" s="565"/>
    </row>
    <row r="1412" spans="2:2">
      <c r="B1412" s="565"/>
    </row>
    <row r="1413" spans="2:2">
      <c r="B1413" s="565"/>
    </row>
    <row r="1414" spans="2:2">
      <c r="B1414" s="565"/>
    </row>
    <row r="1415" spans="2:2">
      <c r="B1415" s="565"/>
    </row>
    <row r="1416" spans="2:2">
      <c r="B1416" s="565"/>
    </row>
    <row r="1417" spans="2:2">
      <c r="B1417" s="565"/>
    </row>
    <row r="1418" spans="2:2">
      <c r="B1418" s="565"/>
    </row>
    <row r="1419" spans="2:2">
      <c r="B1419" s="565"/>
    </row>
    <row r="1420" spans="2:2">
      <c r="B1420" s="565"/>
    </row>
    <row r="1421" spans="2:2">
      <c r="B1421" s="565"/>
    </row>
    <row r="1422" spans="2:2">
      <c r="B1422" s="565"/>
    </row>
    <row r="1423" spans="2:2">
      <c r="B1423" s="565"/>
    </row>
    <row r="1424" spans="2:2">
      <c r="B1424" s="565"/>
    </row>
    <row r="1425" spans="2:2">
      <c r="B1425" s="565"/>
    </row>
    <row r="1426" spans="2:2">
      <c r="B1426" s="565"/>
    </row>
    <row r="1427" spans="2:2">
      <c r="B1427" s="565"/>
    </row>
    <row r="1428" spans="2:2">
      <c r="B1428" s="565"/>
    </row>
    <row r="1429" spans="2:2">
      <c r="B1429" s="565"/>
    </row>
    <row r="1430" spans="2:2">
      <c r="B1430" s="565"/>
    </row>
    <row r="1431" spans="2:2">
      <c r="B1431" s="565"/>
    </row>
    <row r="1432" spans="2:2">
      <c r="B1432" s="565"/>
    </row>
    <row r="1433" spans="2:2">
      <c r="B1433" s="565"/>
    </row>
    <row r="1434" spans="2:2">
      <c r="B1434" s="565"/>
    </row>
    <row r="1435" spans="2:2">
      <c r="B1435" s="565"/>
    </row>
    <row r="1436" spans="2:2">
      <c r="B1436" s="565"/>
    </row>
    <row r="1437" spans="2:2">
      <c r="B1437" s="565"/>
    </row>
    <row r="1438" spans="2:2">
      <c r="B1438" s="565"/>
    </row>
    <row r="1439" spans="2:2">
      <c r="B1439" s="565"/>
    </row>
    <row r="1440" spans="2:2">
      <c r="B1440" s="565"/>
    </row>
    <row r="1441" spans="2:2">
      <c r="B1441" s="565"/>
    </row>
    <row r="1442" spans="2:2">
      <c r="B1442" s="565"/>
    </row>
    <row r="1443" spans="2:2">
      <c r="B1443" s="565"/>
    </row>
    <row r="1444" spans="2:2">
      <c r="B1444" s="565"/>
    </row>
    <row r="1445" spans="2:2">
      <c r="B1445" s="565"/>
    </row>
    <row r="1446" spans="2:2">
      <c r="B1446" s="565"/>
    </row>
    <row r="1447" spans="2:2">
      <c r="B1447" s="565"/>
    </row>
    <row r="1448" spans="2:2">
      <c r="B1448" s="565"/>
    </row>
    <row r="1449" spans="2:2">
      <c r="B1449" s="565"/>
    </row>
    <row r="1450" spans="2:2">
      <c r="B1450" s="565"/>
    </row>
    <row r="1451" spans="2:2">
      <c r="B1451" s="565"/>
    </row>
    <row r="1452" spans="2:2">
      <c r="B1452" s="565"/>
    </row>
    <row r="1453" spans="2:2">
      <c r="B1453" s="565"/>
    </row>
    <row r="1454" spans="2:2">
      <c r="B1454" s="565"/>
    </row>
    <row r="1455" spans="2:2">
      <c r="B1455" s="565"/>
    </row>
    <row r="1456" spans="2:2">
      <c r="B1456" s="565"/>
    </row>
    <row r="1457" spans="2:2">
      <c r="B1457" s="565"/>
    </row>
    <row r="1458" spans="2:2">
      <c r="B1458" s="565"/>
    </row>
    <row r="1459" spans="2:2">
      <c r="B1459" s="565"/>
    </row>
    <row r="1460" spans="2:2">
      <c r="B1460" s="565"/>
    </row>
    <row r="1461" spans="2:2">
      <c r="B1461" s="565"/>
    </row>
    <row r="1462" spans="2:2">
      <c r="B1462" s="565"/>
    </row>
    <row r="1463" spans="2:2">
      <c r="B1463" s="565"/>
    </row>
    <row r="1464" spans="2:2">
      <c r="B1464" s="565"/>
    </row>
    <row r="1465" spans="2:2">
      <c r="B1465" s="565"/>
    </row>
    <row r="1466" spans="2:2">
      <c r="B1466" s="565"/>
    </row>
    <row r="1467" spans="2:2">
      <c r="B1467" s="565"/>
    </row>
    <row r="1468" spans="2:2">
      <c r="B1468" s="565"/>
    </row>
    <row r="1469" spans="2:2">
      <c r="B1469" s="565"/>
    </row>
    <row r="1470" spans="2:2">
      <c r="B1470" s="565"/>
    </row>
    <row r="1471" spans="2:2">
      <c r="B1471" s="565"/>
    </row>
    <row r="1472" spans="2:2">
      <c r="B1472" s="565"/>
    </row>
    <row r="1473" spans="2:2">
      <c r="B1473" s="565"/>
    </row>
    <row r="1474" spans="2:2">
      <c r="B1474" s="565"/>
    </row>
    <row r="1475" spans="2:2">
      <c r="B1475" s="565"/>
    </row>
    <row r="1476" spans="2:2">
      <c r="B1476" s="565"/>
    </row>
    <row r="1477" spans="2:2">
      <c r="B1477" s="565"/>
    </row>
    <row r="1478" spans="2:2">
      <c r="B1478" s="565"/>
    </row>
    <row r="1479" spans="2:2">
      <c r="B1479" s="565"/>
    </row>
    <row r="1480" spans="2:2">
      <c r="B1480" s="565"/>
    </row>
    <row r="1481" spans="2:2">
      <c r="B1481" s="565"/>
    </row>
    <row r="1482" spans="2:2">
      <c r="B1482" s="565"/>
    </row>
    <row r="1483" spans="2:2">
      <c r="B1483" s="565"/>
    </row>
    <row r="1484" spans="2:2">
      <c r="B1484" s="565"/>
    </row>
    <row r="1485" spans="2:2">
      <c r="B1485" s="565"/>
    </row>
    <row r="1486" spans="2:2">
      <c r="B1486" s="565"/>
    </row>
    <row r="1487" spans="2:2">
      <c r="B1487" s="565"/>
    </row>
    <row r="1488" spans="2:2">
      <c r="B1488" s="565"/>
    </row>
    <row r="1489" spans="2:2">
      <c r="B1489" s="565"/>
    </row>
    <row r="1490" spans="2:2">
      <c r="B1490" s="565"/>
    </row>
    <row r="1491" spans="2:2">
      <c r="B1491" s="565"/>
    </row>
    <row r="1492" spans="2:2">
      <c r="B1492" s="565"/>
    </row>
    <row r="1493" spans="2:2">
      <c r="B1493" s="565"/>
    </row>
    <row r="1494" spans="2:2">
      <c r="B1494" s="565"/>
    </row>
    <row r="1495" spans="2:2">
      <c r="B1495" s="565"/>
    </row>
    <row r="1496" spans="2:2">
      <c r="B1496" s="565"/>
    </row>
    <row r="1497" spans="2:2">
      <c r="B1497" s="565"/>
    </row>
    <row r="1498" spans="2:2">
      <c r="B1498" s="565"/>
    </row>
    <row r="1499" spans="2:2">
      <c r="B1499" s="565"/>
    </row>
    <row r="1500" spans="2:2">
      <c r="B1500" s="565"/>
    </row>
    <row r="1501" spans="2:2">
      <c r="B1501" s="565"/>
    </row>
    <row r="1502" spans="2:2">
      <c r="B1502" s="565"/>
    </row>
    <row r="1503" spans="2:2">
      <c r="B1503" s="565"/>
    </row>
    <row r="1504" spans="2:2">
      <c r="B1504" s="565"/>
    </row>
    <row r="1505" spans="2:2">
      <c r="B1505" s="565"/>
    </row>
    <row r="1506" spans="2:2">
      <c r="B1506" s="565"/>
    </row>
    <row r="1507" spans="2:2">
      <c r="B1507" s="565"/>
    </row>
    <row r="1508" spans="2:2">
      <c r="B1508" s="565"/>
    </row>
    <row r="1509" spans="2:2">
      <c r="B1509" s="565"/>
    </row>
    <row r="1510" spans="2:2">
      <c r="B1510" s="565"/>
    </row>
    <row r="1511" spans="2:2">
      <c r="B1511" s="565"/>
    </row>
    <row r="1512" spans="2:2">
      <c r="B1512" s="565"/>
    </row>
    <row r="1513" spans="2:2">
      <c r="B1513" s="565"/>
    </row>
    <row r="1514" spans="2:2">
      <c r="B1514" s="565"/>
    </row>
    <row r="1515" spans="2:2">
      <c r="B1515" s="565"/>
    </row>
    <row r="1516" spans="2:2">
      <c r="B1516" s="565"/>
    </row>
    <row r="1517" spans="2:2">
      <c r="B1517" s="565"/>
    </row>
    <row r="1518" spans="2:2">
      <c r="B1518" s="565"/>
    </row>
    <row r="1519" spans="2:2">
      <c r="B1519" s="565"/>
    </row>
    <row r="1520" spans="2:2">
      <c r="B1520" s="565"/>
    </row>
    <row r="1521" spans="2:2">
      <c r="B1521" s="565"/>
    </row>
    <row r="1522" spans="2:2">
      <c r="B1522" s="565"/>
    </row>
    <row r="1523" spans="2:2">
      <c r="B1523" s="565"/>
    </row>
    <row r="1524" spans="2:2">
      <c r="B1524" s="565"/>
    </row>
    <row r="1525" spans="2:2">
      <c r="B1525" s="565"/>
    </row>
    <row r="1526" spans="2:2">
      <c r="B1526" s="565"/>
    </row>
    <row r="1527" spans="2:2">
      <c r="B1527" s="565"/>
    </row>
    <row r="1528" spans="2:2">
      <c r="B1528" s="565"/>
    </row>
    <row r="1529" spans="2:2">
      <c r="B1529" s="565"/>
    </row>
    <row r="1530" spans="2:2">
      <c r="B1530" s="565"/>
    </row>
    <row r="1531" spans="2:2">
      <c r="B1531" s="565"/>
    </row>
    <row r="1532" spans="2:2">
      <c r="B1532" s="565"/>
    </row>
    <row r="1533" spans="2:2">
      <c r="B1533" s="565"/>
    </row>
    <row r="1534" spans="2:2">
      <c r="B1534" s="565"/>
    </row>
    <row r="1535" spans="2:2">
      <c r="B1535" s="565"/>
    </row>
    <row r="1536" spans="2:2">
      <c r="B1536" s="565"/>
    </row>
    <row r="1537" spans="2:2">
      <c r="B1537" s="565"/>
    </row>
    <row r="1538" spans="2:2">
      <c r="B1538" s="565"/>
    </row>
    <row r="1539" spans="2:2">
      <c r="B1539" s="565"/>
    </row>
    <row r="1540" spans="2:2">
      <c r="B1540" s="565"/>
    </row>
    <row r="1541" spans="2:2">
      <c r="B1541" s="565"/>
    </row>
    <row r="1542" spans="2:2">
      <c r="B1542" s="565"/>
    </row>
    <row r="1543" spans="2:2">
      <c r="B1543" s="565"/>
    </row>
    <row r="1544" spans="2:2">
      <c r="B1544" s="565"/>
    </row>
    <row r="1545" spans="2:2">
      <c r="B1545" s="565"/>
    </row>
    <row r="1546" spans="2:2">
      <c r="B1546" s="565"/>
    </row>
    <row r="1547" spans="2:2">
      <c r="B1547" s="565"/>
    </row>
    <row r="1548" spans="2:2">
      <c r="B1548" s="565"/>
    </row>
    <row r="1549" spans="2:2">
      <c r="B1549" s="565"/>
    </row>
    <row r="1550" spans="2:2">
      <c r="B1550" s="565"/>
    </row>
    <row r="1551" spans="2:2">
      <c r="B1551" s="565"/>
    </row>
    <row r="1552" spans="2:2">
      <c r="B1552" s="565"/>
    </row>
    <row r="1553" spans="2:2">
      <c r="B1553" s="565"/>
    </row>
    <row r="1554" spans="2:2">
      <c r="B1554" s="565"/>
    </row>
    <row r="1555" spans="2:2">
      <c r="B1555" s="565"/>
    </row>
    <row r="1556" spans="2:2">
      <c r="B1556" s="565"/>
    </row>
    <row r="1557" spans="2:2">
      <c r="B1557" s="565"/>
    </row>
    <row r="1558" spans="2:2">
      <c r="B1558" s="565"/>
    </row>
    <row r="1559" spans="2:2">
      <c r="B1559" s="565"/>
    </row>
    <row r="1560" spans="2:2">
      <c r="B1560" s="565"/>
    </row>
    <row r="1561" spans="2:2">
      <c r="B1561" s="565"/>
    </row>
    <row r="1562" spans="2:2">
      <c r="B1562" s="565"/>
    </row>
    <row r="1563" spans="2:2">
      <c r="B1563" s="565"/>
    </row>
    <row r="1564" spans="2:2">
      <c r="B1564" s="565"/>
    </row>
    <row r="1565" spans="2:2">
      <c r="B1565" s="565"/>
    </row>
    <row r="1566" spans="2:2">
      <c r="B1566" s="565"/>
    </row>
    <row r="1567" spans="2:2">
      <c r="B1567" s="565"/>
    </row>
    <row r="1568" spans="2:2">
      <c r="B1568" s="565"/>
    </row>
    <row r="1569" spans="2:2">
      <c r="B1569" s="565"/>
    </row>
    <row r="1570" spans="2:2">
      <c r="B1570" s="565"/>
    </row>
    <row r="1571" spans="2:2">
      <c r="B1571" s="565"/>
    </row>
    <row r="1572" spans="2:2">
      <c r="B1572" s="565"/>
    </row>
    <row r="1573" spans="2:2">
      <c r="B1573" s="565"/>
    </row>
    <row r="1574" spans="2:2">
      <c r="B1574" s="565"/>
    </row>
    <row r="1575" spans="2:2">
      <c r="B1575" s="565"/>
    </row>
    <row r="1576" spans="2:2">
      <c r="B1576" s="565"/>
    </row>
    <row r="1577" spans="2:2">
      <c r="B1577" s="565"/>
    </row>
    <row r="1578" spans="2:2">
      <c r="B1578" s="565"/>
    </row>
    <row r="1579" spans="2:2">
      <c r="B1579" s="565"/>
    </row>
    <row r="1580" spans="2:2">
      <c r="B1580" s="565"/>
    </row>
    <row r="1581" spans="2:2">
      <c r="B1581" s="565"/>
    </row>
    <row r="1582" spans="2:2">
      <c r="B1582" s="565"/>
    </row>
    <row r="1583" spans="2:2">
      <c r="B1583" s="565"/>
    </row>
    <row r="1584" spans="2:2">
      <c r="B1584" s="565"/>
    </row>
    <row r="1585" spans="2:2">
      <c r="B1585" s="565"/>
    </row>
    <row r="1586" spans="2:2">
      <c r="B1586" s="565"/>
    </row>
    <row r="1587" spans="2:2">
      <c r="B1587" s="565"/>
    </row>
    <row r="1588" spans="2:2">
      <c r="B1588" s="565"/>
    </row>
    <row r="1589" spans="2:2">
      <c r="B1589" s="565"/>
    </row>
    <row r="1590" spans="2:2">
      <c r="B1590" s="565"/>
    </row>
    <row r="1591" spans="2:2">
      <c r="B1591" s="565"/>
    </row>
    <row r="1592" spans="2:2">
      <c r="B1592" s="565"/>
    </row>
    <row r="1593" spans="2:2">
      <c r="B1593" s="565"/>
    </row>
    <row r="1594" spans="2:2">
      <c r="B1594" s="565"/>
    </row>
    <row r="1595" spans="2:2">
      <c r="B1595" s="565"/>
    </row>
    <row r="1596" spans="2:2">
      <c r="B1596" s="565"/>
    </row>
    <row r="1597" spans="2:2">
      <c r="B1597" s="565"/>
    </row>
    <row r="1598" spans="2:2">
      <c r="B1598" s="565"/>
    </row>
    <row r="1599" spans="2:2">
      <c r="B1599" s="565"/>
    </row>
    <row r="1600" spans="2:2">
      <c r="B1600" s="565"/>
    </row>
    <row r="1601" spans="2:2">
      <c r="B1601" s="565"/>
    </row>
    <row r="1602" spans="2:2">
      <c r="B1602" s="565"/>
    </row>
    <row r="1603" spans="2:2">
      <c r="B1603" s="565"/>
    </row>
    <row r="1604" spans="2:2">
      <c r="B1604" s="565"/>
    </row>
    <row r="1605" spans="2:2">
      <c r="B1605" s="565"/>
    </row>
    <row r="1606" spans="2:2">
      <c r="B1606" s="565"/>
    </row>
    <row r="1607" spans="2:2">
      <c r="B1607" s="565"/>
    </row>
    <row r="1608" spans="2:2">
      <c r="B1608" s="565"/>
    </row>
    <row r="1609" spans="2:2">
      <c r="B1609" s="565"/>
    </row>
    <row r="1610" spans="2:2">
      <c r="B1610" s="565"/>
    </row>
    <row r="1611" spans="2:2">
      <c r="B1611" s="565"/>
    </row>
    <row r="1612" spans="2:2">
      <c r="B1612" s="565"/>
    </row>
    <row r="1613" spans="2:2">
      <c r="B1613" s="565"/>
    </row>
    <row r="1614" spans="2:2">
      <c r="B1614" s="565"/>
    </row>
    <row r="1615" spans="2:2">
      <c r="B1615" s="565"/>
    </row>
    <row r="1616" spans="2:2">
      <c r="B1616" s="565"/>
    </row>
    <row r="1617" spans="2:2">
      <c r="B1617" s="565"/>
    </row>
    <row r="1618" spans="2:2">
      <c r="B1618" s="565"/>
    </row>
    <row r="1619" spans="2:2">
      <c r="B1619" s="565"/>
    </row>
    <row r="1620" spans="2:2">
      <c r="B1620" s="565"/>
    </row>
    <row r="1621" spans="2:2">
      <c r="B1621" s="565"/>
    </row>
    <row r="1622" spans="2:2">
      <c r="B1622" s="565"/>
    </row>
    <row r="1623" spans="2:2">
      <c r="B1623" s="565"/>
    </row>
    <row r="1624" spans="2:2">
      <c r="B1624" s="565"/>
    </row>
    <row r="1625" spans="2:2">
      <c r="B1625" s="565"/>
    </row>
    <row r="1626" spans="2:2">
      <c r="B1626" s="565"/>
    </row>
    <row r="1627" spans="2:2">
      <c r="B1627" s="565"/>
    </row>
    <row r="1628" spans="2:2">
      <c r="B1628" s="565"/>
    </row>
    <row r="1629" spans="2:2">
      <c r="B1629" s="565"/>
    </row>
    <row r="1630" spans="2:2">
      <c r="B1630" s="565"/>
    </row>
    <row r="1631" spans="2:2">
      <c r="B1631" s="565"/>
    </row>
    <row r="1632" spans="2:2">
      <c r="B1632" s="565"/>
    </row>
    <row r="1633" spans="2:2">
      <c r="B1633" s="565"/>
    </row>
    <row r="1634" spans="2:2">
      <c r="B1634" s="565"/>
    </row>
    <row r="1635" spans="2:2">
      <c r="B1635" s="565"/>
    </row>
    <row r="1636" spans="2:2">
      <c r="B1636" s="565"/>
    </row>
    <row r="1637" spans="2:2">
      <c r="B1637" s="565"/>
    </row>
    <row r="1638" spans="2:2">
      <c r="B1638" s="565"/>
    </row>
    <row r="1639" spans="2:2">
      <c r="B1639" s="565"/>
    </row>
    <row r="1640" spans="2:2">
      <c r="B1640" s="565"/>
    </row>
    <row r="1641" spans="2:2">
      <c r="B1641" s="565"/>
    </row>
    <row r="1642" spans="2:2">
      <c r="B1642" s="565"/>
    </row>
    <row r="1643" spans="2:2">
      <c r="B1643" s="565"/>
    </row>
    <row r="1644" spans="2:2">
      <c r="B1644" s="565"/>
    </row>
    <row r="1645" spans="2:2">
      <c r="B1645" s="565"/>
    </row>
    <row r="1646" spans="2:2">
      <c r="B1646" s="565"/>
    </row>
    <row r="1647" spans="2:2">
      <c r="B1647" s="565"/>
    </row>
    <row r="1648" spans="2:2">
      <c r="B1648" s="565"/>
    </row>
    <row r="1649" spans="2:2">
      <c r="B1649" s="565"/>
    </row>
    <row r="1650" spans="2:2">
      <c r="B1650" s="565"/>
    </row>
    <row r="1651" spans="2:2">
      <c r="B1651" s="565"/>
    </row>
    <row r="1652" spans="2:2">
      <c r="B1652" s="565"/>
    </row>
    <row r="1653" spans="2:2">
      <c r="B1653" s="565"/>
    </row>
    <row r="1654" spans="2:2">
      <c r="B1654" s="565"/>
    </row>
    <row r="1655" spans="2:2">
      <c r="B1655" s="565"/>
    </row>
    <row r="1656" spans="2:2">
      <c r="B1656" s="565"/>
    </row>
    <row r="1657" spans="2:2">
      <c r="B1657" s="565"/>
    </row>
    <row r="1658" spans="2:2">
      <c r="B1658" s="565"/>
    </row>
    <row r="1659" spans="2:2">
      <c r="B1659" s="565"/>
    </row>
    <row r="1660" spans="2:2">
      <c r="B1660" s="565"/>
    </row>
    <row r="1661" spans="2:2">
      <c r="B1661" s="565"/>
    </row>
    <row r="1662" spans="2:2">
      <c r="B1662" s="565"/>
    </row>
    <row r="1663" spans="2:2">
      <c r="B1663" s="565"/>
    </row>
    <row r="1664" spans="2:2">
      <c r="B1664" s="565"/>
    </row>
    <row r="1665" spans="2:2">
      <c r="B1665" s="565"/>
    </row>
    <row r="1666" spans="2:2">
      <c r="B1666" s="565"/>
    </row>
    <row r="1667" spans="2:2">
      <c r="B1667" s="565"/>
    </row>
    <row r="1668" spans="2:2">
      <c r="B1668" s="565"/>
    </row>
    <row r="1669" spans="2:2">
      <c r="B1669" s="565"/>
    </row>
    <row r="1670" spans="2:2">
      <c r="B1670" s="565"/>
    </row>
    <row r="1671" spans="2:2">
      <c r="B1671" s="565"/>
    </row>
    <row r="1672" spans="2:2">
      <c r="B1672" s="565"/>
    </row>
    <row r="1673" spans="2:2">
      <c r="B1673" s="565"/>
    </row>
    <row r="1674" spans="2:2">
      <c r="B1674" s="565"/>
    </row>
    <row r="1675" spans="2:2">
      <c r="B1675" s="565"/>
    </row>
    <row r="1676" spans="2:2">
      <c r="B1676" s="565"/>
    </row>
    <row r="1677" spans="2:2">
      <c r="B1677" s="565"/>
    </row>
    <row r="1678" spans="2:2">
      <c r="B1678" s="565"/>
    </row>
    <row r="1679" spans="2:2">
      <c r="B1679" s="565"/>
    </row>
    <row r="1680" spans="2:2">
      <c r="B1680" s="565"/>
    </row>
    <row r="1681" spans="2:2">
      <c r="B1681" s="565"/>
    </row>
    <row r="1682" spans="2:2">
      <c r="B1682" s="565"/>
    </row>
    <row r="1683" spans="2:2">
      <c r="B1683" s="565"/>
    </row>
    <row r="1684" spans="2:2">
      <c r="B1684" s="565"/>
    </row>
    <row r="1685" spans="2:2">
      <c r="B1685" s="565"/>
    </row>
    <row r="1686" spans="2:2">
      <c r="B1686" s="565"/>
    </row>
    <row r="1687" spans="2:2">
      <c r="B1687" s="565"/>
    </row>
    <row r="1688" spans="2:2">
      <c r="B1688" s="565"/>
    </row>
    <row r="1689" spans="2:2">
      <c r="B1689" s="565"/>
    </row>
    <row r="1690" spans="2:2">
      <c r="B1690" s="565"/>
    </row>
    <row r="1691" spans="2:2">
      <c r="B1691" s="565"/>
    </row>
    <row r="1692" spans="2:2">
      <c r="B1692" s="565"/>
    </row>
    <row r="1693" spans="2:2">
      <c r="B1693" s="565"/>
    </row>
    <row r="1694" spans="2:2">
      <c r="B1694" s="565"/>
    </row>
    <row r="1695" spans="2:2">
      <c r="B1695" s="565"/>
    </row>
    <row r="1696" spans="2:2">
      <c r="B1696" s="565"/>
    </row>
    <row r="1697" spans="2:2">
      <c r="B1697" s="565"/>
    </row>
    <row r="1698" spans="2:2">
      <c r="B1698" s="565"/>
    </row>
    <row r="1699" spans="2:2">
      <c r="B1699" s="565"/>
    </row>
    <row r="1700" spans="2:2">
      <c r="B1700" s="565"/>
    </row>
    <row r="1701" spans="2:2">
      <c r="B1701" s="565"/>
    </row>
    <row r="1702" spans="2:2">
      <c r="B1702" s="565"/>
    </row>
    <row r="1703" spans="2:2">
      <c r="B1703" s="565"/>
    </row>
    <row r="1704" spans="2:2">
      <c r="B1704" s="565"/>
    </row>
    <row r="1705" spans="2:2">
      <c r="B1705" s="565"/>
    </row>
    <row r="1706" spans="2:2">
      <c r="B1706" s="565"/>
    </row>
    <row r="1707" spans="2:2">
      <c r="B1707" s="565"/>
    </row>
    <row r="1708" spans="2:2">
      <c r="B1708" s="565"/>
    </row>
    <row r="1709" spans="2:2">
      <c r="B1709" s="565"/>
    </row>
    <row r="1710" spans="2:2">
      <c r="B1710" s="565"/>
    </row>
    <row r="1711" spans="2:2">
      <c r="B1711" s="565"/>
    </row>
    <row r="1712" spans="2:2">
      <c r="B1712" s="565"/>
    </row>
    <row r="1713" spans="2:2">
      <c r="B1713" s="565"/>
    </row>
    <row r="1714" spans="2:2">
      <c r="B1714" s="565"/>
    </row>
    <row r="1715" spans="2:2">
      <c r="B1715" s="565"/>
    </row>
    <row r="1716" spans="2:2">
      <c r="B1716" s="565"/>
    </row>
    <row r="1717" spans="2:2">
      <c r="B1717" s="565"/>
    </row>
    <row r="1718" spans="2:2">
      <c r="B1718" s="565"/>
    </row>
    <row r="1719" spans="2:2">
      <c r="B1719" s="565"/>
    </row>
    <row r="1720" spans="2:2">
      <c r="B1720" s="565"/>
    </row>
    <row r="1721" spans="2:2">
      <c r="B1721" s="565"/>
    </row>
    <row r="1722" spans="2:2">
      <c r="B1722" s="565"/>
    </row>
    <row r="1723" spans="2:2">
      <c r="B1723" s="565"/>
    </row>
    <row r="1724" spans="2:2">
      <c r="B1724" s="565"/>
    </row>
    <row r="1725" spans="2:2">
      <c r="B1725" s="565"/>
    </row>
    <row r="1726" spans="2:2">
      <c r="B1726" s="565"/>
    </row>
    <row r="1727" spans="2:2">
      <c r="B1727" s="565"/>
    </row>
    <row r="1728" spans="2:2">
      <c r="B1728" s="565"/>
    </row>
    <row r="1729" spans="2:2">
      <c r="B1729" s="565"/>
    </row>
    <row r="1730" spans="2:2">
      <c r="B1730" s="565"/>
    </row>
    <row r="1731" spans="2:2">
      <c r="B1731" s="565"/>
    </row>
    <row r="1732" spans="2:2">
      <c r="B1732" s="565"/>
    </row>
    <row r="1733" spans="2:2">
      <c r="B1733" s="565"/>
    </row>
    <row r="1734" spans="2:2">
      <c r="B1734" s="565"/>
    </row>
    <row r="1735" spans="2:2">
      <c r="B1735" s="565"/>
    </row>
    <row r="1736" spans="2:2">
      <c r="B1736" s="565"/>
    </row>
    <row r="1737" spans="2:2">
      <c r="B1737" s="565"/>
    </row>
    <row r="1738" spans="2:2">
      <c r="B1738" s="565"/>
    </row>
    <row r="1739" spans="2:2">
      <c r="B1739" s="565"/>
    </row>
    <row r="1740" spans="2:2">
      <c r="B1740" s="565"/>
    </row>
    <row r="1741" spans="2:2">
      <c r="B1741" s="565"/>
    </row>
    <row r="1742" spans="2:2">
      <c r="B1742" s="565"/>
    </row>
    <row r="1743" spans="2:2">
      <c r="B1743" s="565"/>
    </row>
    <row r="1744" spans="2:2">
      <c r="B1744" s="565"/>
    </row>
    <row r="1745" spans="2:2">
      <c r="B1745" s="565"/>
    </row>
    <row r="1746" spans="2:2">
      <c r="B1746" s="565"/>
    </row>
    <row r="1747" spans="2:2">
      <c r="B1747" s="565"/>
    </row>
    <row r="1748" spans="2:2">
      <c r="B1748" s="565"/>
    </row>
    <row r="1749" spans="2:2">
      <c r="B1749" s="565"/>
    </row>
    <row r="1750" spans="2:2">
      <c r="B1750" s="565"/>
    </row>
    <row r="1751" spans="2:2">
      <c r="B1751" s="565"/>
    </row>
    <row r="1752" spans="2:2">
      <c r="B1752" s="565"/>
    </row>
    <row r="1753" spans="2:2">
      <c r="B1753" s="565"/>
    </row>
    <row r="1754" spans="2:2">
      <c r="B1754" s="565"/>
    </row>
    <row r="1755" spans="2:2">
      <c r="B1755" s="565"/>
    </row>
    <row r="1756" spans="2:2">
      <c r="B1756" s="565"/>
    </row>
    <row r="1757" spans="2:2">
      <c r="B1757" s="565"/>
    </row>
    <row r="1758" spans="2:2">
      <c r="B1758" s="565"/>
    </row>
    <row r="1759" spans="2:2">
      <c r="B1759" s="565"/>
    </row>
    <row r="1760" spans="2:2">
      <c r="B1760" s="565"/>
    </row>
    <row r="1761" spans="2:2">
      <c r="B1761" s="565"/>
    </row>
    <row r="1762" spans="2:2">
      <c r="B1762" s="565"/>
    </row>
    <row r="1763" spans="2:2">
      <c r="B1763" s="565"/>
    </row>
    <row r="1764" spans="2:2">
      <c r="B1764" s="565"/>
    </row>
    <row r="1765" spans="2:2">
      <c r="B1765" s="565"/>
    </row>
    <row r="1766" spans="2:2">
      <c r="B1766" s="565"/>
    </row>
    <row r="1767" spans="2:2">
      <c r="B1767" s="565"/>
    </row>
    <row r="1768" spans="2:2">
      <c r="B1768" s="565"/>
    </row>
    <row r="1769" spans="2:2">
      <c r="B1769" s="565"/>
    </row>
    <row r="1770" spans="2:2">
      <c r="B1770" s="565"/>
    </row>
    <row r="1771" spans="2:2">
      <c r="B1771" s="565"/>
    </row>
    <row r="1772" spans="2:2">
      <c r="B1772" s="565"/>
    </row>
    <row r="1773" spans="2:2">
      <c r="B1773" s="565"/>
    </row>
    <row r="1774" spans="2:2">
      <c r="B1774" s="565"/>
    </row>
    <row r="1775" spans="2:2">
      <c r="B1775" s="565"/>
    </row>
    <row r="1776" spans="2:2">
      <c r="B1776" s="565"/>
    </row>
    <row r="1777" spans="2:2">
      <c r="B1777" s="565"/>
    </row>
    <row r="1778" spans="2:2">
      <c r="B1778" s="565"/>
    </row>
    <row r="1779" spans="2:2">
      <c r="B1779" s="565"/>
    </row>
    <row r="1780" spans="2:2">
      <c r="B1780" s="565"/>
    </row>
    <row r="1781" spans="2:2">
      <c r="B1781" s="565"/>
    </row>
    <row r="1782" spans="2:2">
      <c r="B1782" s="565"/>
    </row>
    <row r="1783" spans="2:2">
      <c r="B1783" s="565"/>
    </row>
    <row r="1784" spans="2:2">
      <c r="B1784" s="565"/>
    </row>
    <row r="1785" spans="2:2">
      <c r="B1785" s="565"/>
    </row>
    <row r="1786" spans="2:2">
      <c r="B1786" s="565"/>
    </row>
    <row r="1787" spans="2:2">
      <c r="B1787" s="565"/>
    </row>
    <row r="1788" spans="2:2">
      <c r="B1788" s="565"/>
    </row>
    <row r="1789" spans="2:2">
      <c r="B1789" s="565"/>
    </row>
    <row r="1790" spans="2:2">
      <c r="B1790" s="565"/>
    </row>
    <row r="1791" spans="2:2">
      <c r="B1791" s="565"/>
    </row>
    <row r="1792" spans="2:2">
      <c r="B1792" s="565"/>
    </row>
    <row r="1793" spans="2:2">
      <c r="B1793" s="565"/>
    </row>
    <row r="1794" spans="2:2">
      <c r="B1794" s="565"/>
    </row>
    <row r="1795" spans="2:2">
      <c r="B1795" s="565"/>
    </row>
    <row r="1796" spans="2:2">
      <c r="B1796" s="565"/>
    </row>
    <row r="1797" spans="2:2">
      <c r="B1797" s="565"/>
    </row>
    <row r="1798" spans="2:2">
      <c r="B1798" s="565"/>
    </row>
    <row r="1799" spans="2:2">
      <c r="B1799" s="565"/>
    </row>
    <row r="1800" spans="2:2">
      <c r="B1800" s="565"/>
    </row>
    <row r="1801" spans="2:2">
      <c r="B1801" s="565"/>
    </row>
    <row r="1802" spans="2:2">
      <c r="B1802" s="565"/>
    </row>
    <row r="1803" spans="2:2">
      <c r="B1803" s="565"/>
    </row>
    <row r="1804" spans="2:2">
      <c r="B1804" s="565"/>
    </row>
    <row r="1805" spans="2:2">
      <c r="B1805" s="565"/>
    </row>
    <row r="1806" spans="2:2">
      <c r="B1806" s="565"/>
    </row>
    <row r="1807" spans="2:2">
      <c r="B1807" s="565"/>
    </row>
    <row r="1808" spans="2:2">
      <c r="B1808" s="565"/>
    </row>
    <row r="1809" spans="2:2">
      <c r="B1809" s="565"/>
    </row>
    <row r="1810" spans="2:2">
      <c r="B1810" s="565"/>
    </row>
    <row r="1811" spans="2:2">
      <c r="B1811" s="565"/>
    </row>
    <row r="1812" spans="2:2">
      <c r="B1812" s="565"/>
    </row>
    <row r="1813" spans="2:2">
      <c r="B1813" s="565"/>
    </row>
    <row r="1814" spans="2:2">
      <c r="B1814" s="565"/>
    </row>
    <row r="1815" spans="2:2">
      <c r="B1815" s="565"/>
    </row>
    <row r="1816" spans="2:2">
      <c r="B1816" s="565"/>
    </row>
    <row r="1817" spans="2:2">
      <c r="B1817" s="565"/>
    </row>
    <row r="1818" spans="2:2">
      <c r="B1818" s="565"/>
    </row>
    <row r="1819" spans="2:2">
      <c r="B1819" s="565"/>
    </row>
    <row r="1820" spans="2:2">
      <c r="B1820" s="565"/>
    </row>
    <row r="1821" spans="2:2">
      <c r="B1821" s="565"/>
    </row>
    <row r="1822" spans="2:2">
      <c r="B1822" s="565"/>
    </row>
    <row r="1823" spans="2:2">
      <c r="B1823" s="565"/>
    </row>
    <row r="1824" spans="2:2">
      <c r="B1824" s="565"/>
    </row>
    <row r="1825" spans="2:2">
      <c r="B1825" s="565"/>
    </row>
    <row r="1826" spans="2:2">
      <c r="B1826" s="565"/>
    </row>
    <row r="1827" spans="2:2">
      <c r="B1827" s="565"/>
    </row>
    <row r="1828" spans="2:2">
      <c r="B1828" s="565"/>
    </row>
    <row r="1829" spans="2:2">
      <c r="B1829" s="565"/>
    </row>
    <row r="1830" spans="2:2">
      <c r="B1830" s="565"/>
    </row>
    <row r="1831" spans="2:2">
      <c r="B1831" s="565"/>
    </row>
    <row r="1832" spans="2:2">
      <c r="B1832" s="565"/>
    </row>
    <row r="1833" spans="2:2">
      <c r="B1833" s="565"/>
    </row>
    <row r="1834" spans="2:2">
      <c r="B1834" s="565"/>
    </row>
    <row r="1835" spans="2:2">
      <c r="B1835" s="565"/>
    </row>
    <row r="1836" spans="2:2">
      <c r="B1836" s="565"/>
    </row>
    <row r="1837" spans="2:2">
      <c r="B1837" s="565"/>
    </row>
    <row r="1838" spans="2:2">
      <c r="B1838" s="565"/>
    </row>
    <row r="1839" spans="2:2">
      <c r="B1839" s="565"/>
    </row>
    <row r="1840" spans="2:2">
      <c r="B1840" s="565"/>
    </row>
    <row r="1841" spans="2:2">
      <c r="B1841" s="565"/>
    </row>
    <row r="1842" spans="2:2">
      <c r="B1842" s="565"/>
    </row>
    <row r="1843" spans="2:2">
      <c r="B1843" s="565"/>
    </row>
    <row r="1844" spans="2:2">
      <c r="B1844" s="565"/>
    </row>
    <row r="1845" spans="2:2">
      <c r="B1845" s="565"/>
    </row>
    <row r="1846" spans="2:2">
      <c r="B1846" s="565"/>
    </row>
    <row r="1847" spans="2:2">
      <c r="B1847" s="565"/>
    </row>
    <row r="1848" spans="2:2">
      <c r="B1848" s="565"/>
    </row>
    <row r="1849" spans="2:2">
      <c r="B1849" s="565"/>
    </row>
    <row r="1850" spans="2:2">
      <c r="B1850" s="565"/>
    </row>
    <row r="1851" spans="2:2">
      <c r="B1851" s="565"/>
    </row>
    <row r="1852" spans="2:2">
      <c r="B1852" s="565"/>
    </row>
    <row r="1853" spans="2:2">
      <c r="B1853" s="565"/>
    </row>
    <row r="1854" spans="2:2">
      <c r="B1854" s="565"/>
    </row>
    <row r="1855" spans="2:2">
      <c r="B1855" s="565"/>
    </row>
    <row r="1856" spans="2:2">
      <c r="B1856" s="565"/>
    </row>
    <row r="1857" spans="2:2">
      <c r="B1857" s="565"/>
    </row>
    <row r="1858" spans="2:2">
      <c r="B1858" s="565"/>
    </row>
    <row r="1859" spans="2:2">
      <c r="B1859" s="565"/>
    </row>
    <row r="1860" spans="2:2">
      <c r="B1860" s="565"/>
    </row>
    <row r="1861" spans="2:2">
      <c r="B1861" s="565"/>
    </row>
    <row r="1862" spans="2:2">
      <c r="B1862" s="565"/>
    </row>
    <row r="1863" spans="2:2">
      <c r="B1863" s="565"/>
    </row>
    <row r="1864" spans="2:2">
      <c r="B1864" s="565"/>
    </row>
    <row r="1865" spans="2:2">
      <c r="B1865" s="565"/>
    </row>
    <row r="1866" spans="2:2">
      <c r="B1866" s="565"/>
    </row>
    <row r="1867" spans="2:2">
      <c r="B1867" s="565"/>
    </row>
    <row r="1868" spans="2:2">
      <c r="B1868" s="565"/>
    </row>
    <row r="1869" spans="2:2">
      <c r="B1869" s="565"/>
    </row>
    <row r="1870" spans="2:2">
      <c r="B1870" s="565"/>
    </row>
    <row r="1871" spans="2:2">
      <c r="B1871" s="565"/>
    </row>
    <row r="1872" spans="2:2">
      <c r="B1872" s="565"/>
    </row>
    <row r="1873" spans="2:2">
      <c r="B1873" s="565"/>
    </row>
    <row r="1874" spans="2:2">
      <c r="B1874" s="565"/>
    </row>
    <row r="1875" spans="2:2">
      <c r="B1875" s="565"/>
    </row>
    <row r="1876" spans="2:2">
      <c r="B1876" s="565"/>
    </row>
    <row r="1877" spans="2:2">
      <c r="B1877" s="565"/>
    </row>
    <row r="1878" spans="2:2">
      <c r="B1878" s="565"/>
    </row>
    <row r="1879" spans="2:2">
      <c r="B1879" s="565"/>
    </row>
    <row r="1880" spans="2:2">
      <c r="B1880" s="565"/>
    </row>
    <row r="1881" spans="2:2">
      <c r="B1881" s="565"/>
    </row>
    <row r="1882" spans="2:2">
      <c r="B1882" s="565"/>
    </row>
    <row r="1883" spans="2:2">
      <c r="B1883" s="565"/>
    </row>
    <row r="1884" spans="2:2">
      <c r="B1884" s="565"/>
    </row>
    <row r="1885" spans="2:2">
      <c r="B1885" s="565"/>
    </row>
    <row r="1886" spans="2:2">
      <c r="B1886" s="565"/>
    </row>
    <row r="1887" spans="2:2">
      <c r="B1887" s="565"/>
    </row>
    <row r="1888" spans="2:2">
      <c r="B1888" s="565"/>
    </row>
    <row r="1889" spans="2:2">
      <c r="B1889" s="565"/>
    </row>
    <row r="1890" spans="2:2">
      <c r="B1890" s="565"/>
    </row>
    <row r="1891" spans="2:2">
      <c r="B1891" s="565"/>
    </row>
    <row r="1892" spans="2:2">
      <c r="B1892" s="565"/>
    </row>
    <row r="1893" spans="2:2">
      <c r="B1893" s="565"/>
    </row>
    <row r="1894" spans="2:2">
      <c r="B1894" s="565"/>
    </row>
    <row r="1895" spans="2:2">
      <c r="B1895" s="565"/>
    </row>
    <row r="1896" spans="2:2">
      <c r="B1896" s="565"/>
    </row>
    <row r="1897" spans="2:2">
      <c r="B1897" s="565"/>
    </row>
    <row r="1898" spans="2:2">
      <c r="B1898" s="565"/>
    </row>
    <row r="1899" spans="2:2">
      <c r="B1899" s="565"/>
    </row>
    <row r="1900" spans="2:2">
      <c r="B1900" s="565"/>
    </row>
    <row r="1901" spans="2:2">
      <c r="B1901" s="565"/>
    </row>
    <row r="1902" spans="2:2">
      <c r="B1902" s="565"/>
    </row>
    <row r="1903" spans="2:2">
      <c r="B1903" s="565"/>
    </row>
    <row r="1904" spans="2:2">
      <c r="B1904" s="565"/>
    </row>
    <row r="1905" spans="2:2">
      <c r="B1905" s="565"/>
    </row>
    <row r="1906" spans="2:2">
      <c r="B1906" s="565"/>
    </row>
    <row r="1907" spans="2:2">
      <c r="B1907" s="565"/>
    </row>
    <row r="1908" spans="2:2">
      <c r="B1908" s="565"/>
    </row>
    <row r="1909" spans="2:2">
      <c r="B1909" s="565"/>
    </row>
    <row r="1910" spans="2:2">
      <c r="B1910" s="565"/>
    </row>
    <row r="1911" spans="2:2">
      <c r="B1911" s="565"/>
    </row>
    <row r="1912" spans="2:2">
      <c r="B1912" s="565"/>
    </row>
    <row r="1913" spans="2:2">
      <c r="B1913" s="565"/>
    </row>
    <row r="1914" spans="2:2">
      <c r="B1914" s="565"/>
    </row>
    <row r="1915" spans="2:2">
      <c r="B1915" s="565"/>
    </row>
    <row r="1916" spans="2:2">
      <c r="B1916" s="565"/>
    </row>
    <row r="1917" spans="2:2">
      <c r="B1917" s="565"/>
    </row>
    <row r="1918" spans="2:2">
      <c r="B1918" s="565"/>
    </row>
    <row r="1919" spans="2:2">
      <c r="B1919" s="565"/>
    </row>
    <row r="1920" spans="2:2">
      <c r="B1920" s="565"/>
    </row>
    <row r="1921" spans="2:2">
      <c r="B1921" s="565"/>
    </row>
    <row r="1922" spans="2:2">
      <c r="B1922" s="565"/>
    </row>
    <row r="1923" spans="2:2">
      <c r="B1923" s="565"/>
    </row>
    <row r="1924" spans="2:2">
      <c r="B1924" s="565"/>
    </row>
    <row r="1925" spans="2:2">
      <c r="B1925" s="565"/>
    </row>
    <row r="1926" spans="2:2">
      <c r="B1926" s="565"/>
    </row>
    <row r="1927" spans="2:2">
      <c r="B1927" s="565"/>
    </row>
    <row r="1928" spans="2:2">
      <c r="B1928" s="565"/>
    </row>
    <row r="1929" spans="2:2">
      <c r="B1929" s="565"/>
    </row>
    <row r="1930" spans="2:2">
      <c r="B1930" s="565"/>
    </row>
    <row r="1931" spans="2:2">
      <c r="B1931" s="565"/>
    </row>
    <row r="1932" spans="2:2">
      <c r="B1932" s="565"/>
    </row>
    <row r="1933" spans="2:2">
      <c r="B1933" s="565"/>
    </row>
    <row r="1934" spans="2:2">
      <c r="B1934" s="565"/>
    </row>
    <row r="1935" spans="2:2">
      <c r="B1935" s="565"/>
    </row>
    <row r="1936" spans="2:2">
      <c r="B1936" s="565"/>
    </row>
    <row r="1937" spans="2:2">
      <c r="B1937" s="565"/>
    </row>
    <row r="1938" spans="2:2">
      <c r="B1938" s="565"/>
    </row>
    <row r="1939" spans="2:2">
      <c r="B1939" s="565"/>
    </row>
    <row r="1940" spans="2:2">
      <c r="B1940" s="565"/>
    </row>
    <row r="1941" spans="2:2">
      <c r="B1941" s="565"/>
    </row>
    <row r="1942" spans="2:2">
      <c r="B1942" s="565"/>
    </row>
    <row r="1943" spans="2:2">
      <c r="B1943" s="565"/>
    </row>
    <row r="1944" spans="2:2">
      <c r="B1944" s="565"/>
    </row>
    <row r="1945" spans="2:2">
      <c r="B1945" s="565"/>
    </row>
    <row r="1946" spans="2:2">
      <c r="B1946" s="565"/>
    </row>
    <row r="1947" spans="2:2">
      <c r="B1947" s="565"/>
    </row>
    <row r="1948" spans="2:2">
      <c r="B1948" s="565"/>
    </row>
    <row r="1949" spans="2:2">
      <c r="B1949" s="565"/>
    </row>
    <row r="1950" spans="2:2">
      <c r="B1950" s="565"/>
    </row>
    <row r="1951" spans="2:2">
      <c r="B1951" s="565"/>
    </row>
    <row r="1952" spans="2:2">
      <c r="B1952" s="565"/>
    </row>
    <row r="1953" spans="2:2">
      <c r="B1953" s="565"/>
    </row>
    <row r="1954" spans="2:2">
      <c r="B1954" s="565"/>
    </row>
    <row r="1955" spans="2:2">
      <c r="B1955" s="565"/>
    </row>
    <row r="1956" spans="2:2">
      <c r="B1956" s="565"/>
    </row>
    <row r="1957" spans="2:2">
      <c r="B1957" s="565"/>
    </row>
    <row r="1958" spans="2:2">
      <c r="B1958" s="565"/>
    </row>
    <row r="1959" spans="2:2">
      <c r="B1959" s="565"/>
    </row>
    <row r="1960" spans="2:2">
      <c r="B1960" s="565"/>
    </row>
    <row r="1961" spans="2:2">
      <c r="B1961" s="565"/>
    </row>
    <row r="1962" spans="2:2">
      <c r="B1962" s="565"/>
    </row>
    <row r="1963" spans="2:2">
      <c r="B1963" s="565"/>
    </row>
    <row r="1964" spans="2:2">
      <c r="B1964" s="565"/>
    </row>
    <row r="1965" spans="2:2">
      <c r="B1965" s="565"/>
    </row>
    <row r="1966" spans="2:2">
      <c r="B1966" s="565"/>
    </row>
    <row r="1967" spans="2:2">
      <c r="B1967" s="565"/>
    </row>
    <row r="1968" spans="2:2">
      <c r="B1968" s="565"/>
    </row>
    <row r="1969" spans="2:2">
      <c r="B1969" s="565"/>
    </row>
    <row r="1970" spans="2:2">
      <c r="B1970" s="565"/>
    </row>
    <row r="1971" spans="2:2">
      <c r="B1971" s="565"/>
    </row>
    <row r="1972" spans="2:2">
      <c r="B1972" s="565"/>
    </row>
    <row r="1973" spans="2:2">
      <c r="B1973" s="565"/>
    </row>
    <row r="1974" spans="2:2">
      <c r="B1974" s="565"/>
    </row>
    <row r="1975" spans="2:2">
      <c r="B1975" s="565"/>
    </row>
    <row r="1976" spans="2:2">
      <c r="B1976" s="565"/>
    </row>
    <row r="1977" spans="2:2">
      <c r="B1977" s="565"/>
    </row>
    <row r="1978" spans="2:2">
      <c r="B1978" s="565"/>
    </row>
    <row r="1979" spans="2:2">
      <c r="B1979" s="565"/>
    </row>
    <row r="1980" spans="2:2">
      <c r="B1980" s="565"/>
    </row>
    <row r="1981" spans="2:2">
      <c r="B1981" s="565"/>
    </row>
    <row r="1982" spans="2:2">
      <c r="B1982" s="565"/>
    </row>
    <row r="1983" spans="2:2">
      <c r="B1983" s="565"/>
    </row>
    <row r="1984" spans="2:2">
      <c r="B1984" s="565"/>
    </row>
    <row r="1985" spans="2:2">
      <c r="B1985" s="565"/>
    </row>
    <row r="1986" spans="2:2">
      <c r="B1986" s="565"/>
    </row>
    <row r="1987" spans="2:2">
      <c r="B1987" s="565"/>
    </row>
    <row r="1988" spans="2:2">
      <c r="B1988" s="565"/>
    </row>
    <row r="1989" spans="2:2">
      <c r="B1989" s="565"/>
    </row>
    <row r="1990" spans="2:2">
      <c r="B1990" s="565"/>
    </row>
    <row r="1991" spans="2:2">
      <c r="B1991" s="565"/>
    </row>
    <row r="1992" spans="2:2">
      <c r="B1992" s="565"/>
    </row>
    <row r="1993" spans="2:2">
      <c r="B1993" s="565"/>
    </row>
    <row r="1994" spans="2:2">
      <c r="B1994" s="565"/>
    </row>
    <row r="1995" spans="2:2">
      <c r="B1995" s="565"/>
    </row>
    <row r="1996" spans="2:2">
      <c r="B1996" s="565"/>
    </row>
    <row r="1997" spans="2:2">
      <c r="B1997" s="565"/>
    </row>
    <row r="1998" spans="2:2">
      <c r="B1998" s="565"/>
    </row>
    <row r="1999" spans="2:2">
      <c r="B1999" s="565"/>
    </row>
    <row r="2000" spans="2:2">
      <c r="B2000" s="565"/>
    </row>
    <row r="2001" spans="2:2">
      <c r="B2001" s="565"/>
    </row>
    <row r="2002" spans="2:2">
      <c r="B2002" s="565"/>
    </row>
    <row r="2003" spans="2:2">
      <c r="B2003" s="565"/>
    </row>
    <row r="2004" spans="2:2">
      <c r="B2004" s="565"/>
    </row>
    <row r="2005" spans="2:2">
      <c r="B2005" s="565"/>
    </row>
    <row r="2006" spans="2:2">
      <c r="B2006" s="565"/>
    </row>
    <row r="2007" spans="2:2">
      <c r="B2007" s="565"/>
    </row>
    <row r="2008" spans="2:2">
      <c r="B2008" s="565"/>
    </row>
    <row r="2009" spans="2:2">
      <c r="B2009" s="565"/>
    </row>
    <row r="2010" spans="2:2">
      <c r="B2010" s="565"/>
    </row>
    <row r="2011" spans="2:2">
      <c r="B2011" s="565"/>
    </row>
    <row r="2012" spans="2:2">
      <c r="B2012" s="565"/>
    </row>
    <row r="2013" spans="2:2">
      <c r="B2013" s="565"/>
    </row>
    <row r="2014" spans="2:2">
      <c r="B2014" s="565"/>
    </row>
    <row r="2015" spans="2:2">
      <c r="B2015" s="565"/>
    </row>
    <row r="2016" spans="2:2">
      <c r="B2016" s="565"/>
    </row>
    <row r="2017" spans="2:2">
      <c r="B2017" s="565"/>
    </row>
    <row r="2018" spans="2:2">
      <c r="B2018" s="565"/>
    </row>
    <row r="2019" spans="2:2">
      <c r="B2019" s="565"/>
    </row>
    <row r="2020" spans="2:2">
      <c r="B2020" s="565"/>
    </row>
    <row r="2021" spans="2:2">
      <c r="B2021" s="565"/>
    </row>
    <row r="2022" spans="2:2">
      <c r="B2022" s="565"/>
    </row>
    <row r="2023" spans="2:2">
      <c r="B2023" s="565"/>
    </row>
    <row r="2024" spans="2:2">
      <c r="B2024" s="565"/>
    </row>
    <row r="2025" spans="2:2">
      <c r="B2025" s="565"/>
    </row>
    <row r="2026" spans="2:2">
      <c r="B2026" s="565"/>
    </row>
    <row r="2027" spans="2:2">
      <c r="B2027" s="565"/>
    </row>
    <row r="2028" spans="2:2">
      <c r="B2028" s="565"/>
    </row>
    <row r="2029" spans="2:2">
      <c r="B2029" s="565"/>
    </row>
    <row r="2030" spans="2:2">
      <c r="B2030" s="565"/>
    </row>
    <row r="2031" spans="2:2">
      <c r="B2031" s="565"/>
    </row>
    <row r="2032" spans="2:2">
      <c r="B2032" s="565"/>
    </row>
    <row r="2033" spans="2:2">
      <c r="B2033" s="565"/>
    </row>
    <row r="2034" spans="2:2">
      <c r="B2034" s="565"/>
    </row>
    <row r="2035" spans="2:2">
      <c r="B2035" s="565"/>
    </row>
    <row r="2036" spans="2:2">
      <c r="B2036" s="565"/>
    </row>
    <row r="2037" spans="2:2">
      <c r="B2037" s="565"/>
    </row>
    <row r="2038" spans="2:2">
      <c r="B2038" s="565"/>
    </row>
    <row r="2039" spans="2:2">
      <c r="B2039" s="565"/>
    </row>
    <row r="2040" spans="2:2">
      <c r="B2040" s="565"/>
    </row>
    <row r="2041" spans="2:2">
      <c r="B2041" s="565"/>
    </row>
    <row r="2042" spans="2:2">
      <c r="B2042" s="565"/>
    </row>
    <row r="2043" spans="2:2">
      <c r="B2043" s="565"/>
    </row>
    <row r="2044" spans="2:2">
      <c r="B2044" s="565"/>
    </row>
    <row r="2045" spans="2:2">
      <c r="B2045" s="565"/>
    </row>
    <row r="2046" spans="2:2">
      <c r="B2046" s="565"/>
    </row>
    <row r="2047" spans="2:2">
      <c r="B2047" s="565"/>
    </row>
    <row r="2048" spans="2:2">
      <c r="B2048" s="565"/>
    </row>
    <row r="2049" spans="2:2">
      <c r="B2049" s="565"/>
    </row>
    <row r="2050" spans="2:2">
      <c r="B2050" s="565"/>
    </row>
    <row r="2051" spans="2:2">
      <c r="B2051" s="565"/>
    </row>
    <row r="2052" spans="2:2">
      <c r="B2052" s="565"/>
    </row>
    <row r="2053" spans="2:2">
      <c r="B2053" s="565"/>
    </row>
    <row r="2054" spans="2:2">
      <c r="B2054" s="565"/>
    </row>
    <row r="2055" spans="2:2">
      <c r="B2055" s="565"/>
    </row>
    <row r="2056" spans="2:2">
      <c r="B2056" s="565"/>
    </row>
    <row r="2057" spans="2:2">
      <c r="B2057" s="565"/>
    </row>
    <row r="2058" spans="2:2">
      <c r="B2058" s="565"/>
    </row>
    <row r="2059" spans="2:2">
      <c r="B2059" s="565"/>
    </row>
    <row r="2060" spans="2:2">
      <c r="B2060" s="565"/>
    </row>
    <row r="2061" spans="2:2">
      <c r="B2061" s="565"/>
    </row>
    <row r="2062" spans="2:2">
      <c r="B2062" s="565"/>
    </row>
    <row r="2063" spans="2:2">
      <c r="B2063" s="565"/>
    </row>
    <row r="2064" spans="2:2">
      <c r="B2064" s="565"/>
    </row>
    <row r="2065" spans="2:2">
      <c r="B2065" s="565"/>
    </row>
    <row r="2066" spans="2:2">
      <c r="B2066" s="565"/>
    </row>
    <row r="2067" spans="2:2">
      <c r="B2067" s="565"/>
    </row>
    <row r="2068" spans="2:2">
      <c r="B2068" s="565"/>
    </row>
    <row r="2069" spans="2:2">
      <c r="B2069" s="565"/>
    </row>
    <row r="2070" spans="2:2">
      <c r="B2070" s="565"/>
    </row>
    <row r="2071" spans="2:2">
      <c r="B2071" s="565"/>
    </row>
    <row r="2072" spans="2:2">
      <c r="B2072" s="565"/>
    </row>
    <row r="2073" spans="2:2">
      <c r="B2073" s="565"/>
    </row>
    <row r="2074" spans="2:2">
      <c r="B2074" s="565"/>
    </row>
    <row r="2075" spans="2:2">
      <c r="B2075" s="565"/>
    </row>
    <row r="2076" spans="2:2">
      <c r="B2076" s="565"/>
    </row>
    <row r="2077" spans="2:2">
      <c r="B2077" s="565"/>
    </row>
    <row r="2078" spans="2:2">
      <c r="B2078" s="565"/>
    </row>
    <row r="2079" spans="2:2">
      <c r="B2079" s="565"/>
    </row>
    <row r="2080" spans="2:2">
      <c r="B2080" s="565"/>
    </row>
    <row r="2081" spans="2:2">
      <c r="B2081" s="565"/>
    </row>
    <row r="2082" spans="2:2">
      <c r="B2082" s="565"/>
    </row>
    <row r="2083" spans="2:2">
      <c r="B2083" s="565"/>
    </row>
    <row r="2084" spans="2:2">
      <c r="B2084" s="565"/>
    </row>
    <row r="2085" spans="2:2">
      <c r="B2085" s="565"/>
    </row>
    <row r="2086" spans="2:2">
      <c r="B2086" s="565"/>
    </row>
    <row r="2087" spans="2:2">
      <c r="B2087" s="565"/>
    </row>
    <row r="2088" spans="2:2">
      <c r="B2088" s="565"/>
    </row>
    <row r="2089" spans="2:2">
      <c r="B2089" s="565"/>
    </row>
    <row r="2090" spans="2:2">
      <c r="B2090" s="565"/>
    </row>
    <row r="2091" spans="2:2">
      <c r="B2091" s="565"/>
    </row>
    <row r="2092" spans="2:2">
      <c r="B2092" s="565"/>
    </row>
    <row r="2093" spans="2:2">
      <c r="B2093" s="565"/>
    </row>
    <row r="2094" spans="2:2">
      <c r="B2094" s="565"/>
    </row>
    <row r="2095" spans="2:2">
      <c r="B2095" s="565"/>
    </row>
    <row r="2096" spans="2:2">
      <c r="B2096" s="565"/>
    </row>
    <row r="2097" spans="2:2">
      <c r="B2097" s="565"/>
    </row>
    <row r="2098" spans="2:2">
      <c r="B2098" s="565"/>
    </row>
    <row r="2099" spans="2:2">
      <c r="B2099" s="565"/>
    </row>
    <row r="2100" spans="2:2">
      <c r="B2100" s="565"/>
    </row>
    <row r="2101" spans="2:2">
      <c r="B2101" s="565"/>
    </row>
    <row r="2102" spans="2:2">
      <c r="B2102" s="565"/>
    </row>
    <row r="2103" spans="2:2">
      <c r="B2103" s="565"/>
    </row>
    <row r="2104" spans="2:2">
      <c r="B2104" s="565"/>
    </row>
    <row r="2105" spans="2:2">
      <c r="B2105" s="565"/>
    </row>
    <row r="2106" spans="2:2">
      <c r="B2106" s="565"/>
    </row>
    <row r="2107" spans="2:2">
      <c r="B2107" s="565"/>
    </row>
    <row r="2108" spans="2:2">
      <c r="B2108" s="565"/>
    </row>
    <row r="2109" spans="2:2">
      <c r="B2109" s="565"/>
    </row>
    <row r="2110" spans="2:2">
      <c r="B2110" s="565"/>
    </row>
    <row r="2111" spans="2:2">
      <c r="B2111" s="565"/>
    </row>
    <row r="2112" spans="2:2">
      <c r="B2112" s="565"/>
    </row>
    <row r="2113" spans="2:2">
      <c r="B2113" s="565"/>
    </row>
    <row r="2114" spans="2:2">
      <c r="B2114" s="565"/>
    </row>
    <row r="2115" spans="2:2">
      <c r="B2115" s="565"/>
    </row>
    <row r="2116" spans="2:2">
      <c r="B2116" s="565"/>
    </row>
    <row r="2117" spans="2:2">
      <c r="B2117" s="565"/>
    </row>
    <row r="2118" spans="2:2">
      <c r="B2118" s="565"/>
    </row>
    <row r="2119" spans="2:2">
      <c r="B2119" s="565"/>
    </row>
    <row r="2120" spans="2:2">
      <c r="B2120" s="565"/>
    </row>
    <row r="2121" spans="2:2">
      <c r="B2121" s="565"/>
    </row>
    <row r="2122" spans="2:2">
      <c r="B2122" s="565"/>
    </row>
    <row r="2123" spans="2:2">
      <c r="B2123" s="565"/>
    </row>
    <row r="2124" spans="2:2">
      <c r="B2124" s="565"/>
    </row>
    <row r="2125" spans="2:2">
      <c r="B2125" s="565"/>
    </row>
    <row r="2126" spans="2:2">
      <c r="B2126" s="565"/>
    </row>
    <row r="2127" spans="2:2">
      <c r="B2127" s="565"/>
    </row>
    <row r="2128" spans="2:2">
      <c r="B2128" s="565"/>
    </row>
    <row r="2129" spans="2:2">
      <c r="B2129" s="565"/>
    </row>
    <row r="2130" spans="2:2">
      <c r="B2130" s="565"/>
    </row>
    <row r="2131" spans="2:2">
      <c r="B2131" s="565"/>
    </row>
    <row r="2132" spans="2:2">
      <c r="B2132" s="565"/>
    </row>
    <row r="2133" spans="2:2">
      <c r="B2133" s="565"/>
    </row>
    <row r="2134" spans="2:2">
      <c r="B2134" s="565"/>
    </row>
    <row r="2135" spans="2:2">
      <c r="B2135" s="565"/>
    </row>
    <row r="2136" spans="2:2">
      <c r="B2136" s="565"/>
    </row>
    <row r="2137" spans="2:2">
      <c r="B2137" s="565"/>
    </row>
    <row r="2138" spans="2:2">
      <c r="B2138" s="565"/>
    </row>
    <row r="2139" spans="2:2">
      <c r="B2139" s="565"/>
    </row>
    <row r="2140" spans="2:2">
      <c r="B2140" s="565"/>
    </row>
    <row r="2141" spans="2:2">
      <c r="B2141" s="565"/>
    </row>
    <row r="2142" spans="2:2">
      <c r="B2142" s="565"/>
    </row>
    <row r="2143" spans="2:2">
      <c r="B2143" s="565"/>
    </row>
    <row r="2144" spans="2:2">
      <c r="B2144" s="565"/>
    </row>
    <row r="2145" spans="2:2">
      <c r="B2145" s="565"/>
    </row>
    <row r="2146" spans="2:2">
      <c r="B2146" s="565"/>
    </row>
    <row r="2147" spans="2:2">
      <c r="B2147" s="565"/>
    </row>
    <row r="2148" spans="2:2">
      <c r="B2148" s="565"/>
    </row>
    <row r="2149" spans="2:2">
      <c r="B2149" s="565"/>
    </row>
    <row r="2150" spans="2:2">
      <c r="B2150" s="565"/>
    </row>
    <row r="2151" spans="2:2">
      <c r="B2151" s="565"/>
    </row>
    <row r="2152" spans="2:2">
      <c r="B2152" s="565"/>
    </row>
    <row r="2153" spans="2:2">
      <c r="B2153" s="565"/>
    </row>
    <row r="2154" spans="2:2">
      <c r="B2154" s="565"/>
    </row>
    <row r="2155" spans="2:2">
      <c r="B2155" s="565"/>
    </row>
    <row r="2156" spans="2:2">
      <c r="B2156" s="565"/>
    </row>
    <row r="2157" spans="2:2">
      <c r="B2157" s="565"/>
    </row>
    <row r="2158" spans="2:2">
      <c r="B2158" s="565"/>
    </row>
    <row r="2159" spans="2:2">
      <c r="B2159" s="565"/>
    </row>
    <row r="2160" spans="2:2">
      <c r="B2160" s="565"/>
    </row>
    <row r="2161" spans="2:2">
      <c r="B2161" s="565"/>
    </row>
    <row r="2162" spans="2:2">
      <c r="B2162" s="565"/>
    </row>
    <row r="2163" spans="2:2">
      <c r="B2163" s="565"/>
    </row>
    <row r="2164" spans="2:2">
      <c r="B2164" s="565"/>
    </row>
    <row r="2165" spans="2:2">
      <c r="B2165" s="565"/>
    </row>
    <row r="2166" spans="2:2">
      <c r="B2166" s="565"/>
    </row>
    <row r="2167" spans="2:2">
      <c r="B2167" s="565"/>
    </row>
    <row r="2168" spans="2:2">
      <c r="B2168" s="565"/>
    </row>
    <row r="2169" spans="2:2">
      <c r="B2169" s="565"/>
    </row>
    <row r="2170" spans="2:2">
      <c r="B2170" s="565"/>
    </row>
    <row r="2171" spans="2:2">
      <c r="B2171" s="565"/>
    </row>
    <row r="2172" spans="2:2">
      <c r="B2172" s="565"/>
    </row>
    <row r="2173" spans="2:2">
      <c r="B2173" s="565"/>
    </row>
    <row r="2174" spans="2:2">
      <c r="B2174" s="565"/>
    </row>
    <row r="2175" spans="2:2">
      <c r="B2175" s="565"/>
    </row>
    <row r="2176" spans="2:2">
      <c r="B2176" s="565"/>
    </row>
    <row r="2177" spans="2:2">
      <c r="B2177" s="565"/>
    </row>
    <row r="2178" spans="2:2">
      <c r="B2178" s="565"/>
    </row>
    <row r="2179" spans="2:2">
      <c r="B2179" s="565"/>
    </row>
    <row r="2180" spans="2:2">
      <c r="B2180" s="565"/>
    </row>
    <row r="2181" spans="2:2">
      <c r="B2181" s="565"/>
    </row>
    <row r="2182" spans="2:2">
      <c r="B2182" s="565"/>
    </row>
    <row r="2183" spans="2:2">
      <c r="B2183" s="565"/>
    </row>
    <row r="2184" spans="2:2">
      <c r="B2184" s="565"/>
    </row>
    <row r="2185" spans="2:2">
      <c r="B2185" s="565"/>
    </row>
    <row r="2186" spans="2:2">
      <c r="B2186" s="565"/>
    </row>
    <row r="2187" spans="2:2">
      <c r="B2187" s="565"/>
    </row>
    <row r="2188" spans="2:2">
      <c r="B2188" s="565"/>
    </row>
    <row r="2189" spans="2:2">
      <c r="B2189" s="565"/>
    </row>
    <row r="2190" spans="2:2">
      <c r="B2190" s="565"/>
    </row>
    <row r="2191" spans="2:2">
      <c r="B2191" s="565"/>
    </row>
    <row r="2192" spans="2:2">
      <c r="B2192" s="565"/>
    </row>
    <row r="2193" spans="2:2">
      <c r="B2193" s="565"/>
    </row>
    <row r="2194" spans="2:2">
      <c r="B2194" s="565"/>
    </row>
    <row r="2195" spans="2:2">
      <c r="B2195" s="565"/>
    </row>
    <row r="2196" spans="2:2">
      <c r="B2196" s="565"/>
    </row>
    <row r="2197" spans="2:2">
      <c r="B2197" s="565"/>
    </row>
    <row r="2198" spans="2:2">
      <c r="B2198" s="565"/>
    </row>
    <row r="2199" spans="2:2">
      <c r="B2199" s="565"/>
    </row>
    <row r="2200" spans="2:2">
      <c r="B2200" s="565"/>
    </row>
    <row r="2201" spans="2:2">
      <c r="B2201" s="565"/>
    </row>
    <row r="2202" spans="2:2">
      <c r="B2202" s="565"/>
    </row>
    <row r="2203" spans="2:2">
      <c r="B2203" s="565"/>
    </row>
    <row r="2204" spans="2:2">
      <c r="B2204" s="565"/>
    </row>
    <row r="2205" spans="2:2">
      <c r="B2205" s="565"/>
    </row>
    <row r="2206" spans="2:2">
      <c r="B2206" s="565"/>
    </row>
    <row r="2207" spans="2:2">
      <c r="B2207" s="565"/>
    </row>
    <row r="2208" spans="2:2">
      <c r="B2208" s="565"/>
    </row>
    <row r="2209" spans="2:2">
      <c r="B2209" s="565"/>
    </row>
    <row r="2210" spans="2:2">
      <c r="B2210" s="565"/>
    </row>
    <row r="2211" spans="2:2">
      <c r="B2211" s="565"/>
    </row>
    <row r="2212" spans="2:2">
      <c r="B2212" s="565"/>
    </row>
    <row r="2213" spans="2:2">
      <c r="B2213" s="565"/>
    </row>
    <row r="2214" spans="2:2">
      <c r="B2214" s="565"/>
    </row>
    <row r="2215" spans="2:2">
      <c r="B2215" s="565"/>
    </row>
    <row r="2216" spans="2:2">
      <c r="B2216" s="565"/>
    </row>
    <row r="2217" spans="2:2">
      <c r="B2217" s="565"/>
    </row>
    <row r="2218" spans="2:2">
      <c r="B2218" s="565"/>
    </row>
    <row r="2219" spans="2:2">
      <c r="B2219" s="565"/>
    </row>
    <row r="2220" spans="2:2">
      <c r="B2220" s="565"/>
    </row>
    <row r="2221" spans="2:2">
      <c r="B2221" s="565"/>
    </row>
    <row r="2222" spans="2:2">
      <c r="B2222" s="565"/>
    </row>
    <row r="2223" spans="2:2">
      <c r="B2223" s="565"/>
    </row>
    <row r="2224" spans="2:2">
      <c r="B2224" s="565"/>
    </row>
    <row r="2225" spans="2:2">
      <c r="B2225" s="565"/>
    </row>
    <row r="2226" spans="2:2">
      <c r="B2226" s="565"/>
    </row>
    <row r="2227" spans="2:2">
      <c r="B2227" s="565"/>
    </row>
    <row r="2228" spans="2:2">
      <c r="B2228" s="565"/>
    </row>
    <row r="2229" spans="2:2">
      <c r="B2229" s="565"/>
    </row>
    <row r="2230" spans="2:2">
      <c r="B2230" s="565"/>
    </row>
    <row r="2231" spans="2:2">
      <c r="B2231" s="565"/>
    </row>
    <row r="2232" spans="2:2">
      <c r="B2232" s="565"/>
    </row>
    <row r="2233" spans="2:2">
      <c r="B2233" s="565"/>
    </row>
    <row r="2234" spans="2:2">
      <c r="B2234" s="565"/>
    </row>
    <row r="2235" spans="2:2">
      <c r="B2235" s="565"/>
    </row>
    <row r="2236" spans="2:2">
      <c r="B2236" s="565"/>
    </row>
    <row r="2237" spans="2:2">
      <c r="B2237" s="565"/>
    </row>
    <row r="2238" spans="2:2">
      <c r="B2238" s="565"/>
    </row>
    <row r="2239" spans="2:2">
      <c r="B2239" s="565"/>
    </row>
    <row r="2240" spans="2:2">
      <c r="B2240" s="565"/>
    </row>
    <row r="2241" spans="2:2">
      <c r="B2241" s="565"/>
    </row>
    <row r="2242" spans="2:2">
      <c r="B2242" s="565"/>
    </row>
    <row r="2243" spans="2:2">
      <c r="B2243" s="565"/>
    </row>
    <row r="2244" spans="2:2">
      <c r="B2244" s="565"/>
    </row>
    <row r="2245" spans="2:2">
      <c r="B2245" s="565"/>
    </row>
    <row r="2246" spans="2:2">
      <c r="B2246" s="565"/>
    </row>
    <row r="2247" spans="2:2">
      <c r="B2247" s="565"/>
    </row>
    <row r="2248" spans="2:2">
      <c r="B2248" s="565"/>
    </row>
    <row r="2249" spans="2:2">
      <c r="B2249" s="565"/>
    </row>
    <row r="2250" spans="2:2">
      <c r="B2250" s="565"/>
    </row>
    <row r="2251" spans="2:2">
      <c r="B2251" s="565"/>
    </row>
    <row r="2252" spans="2:2">
      <c r="B2252" s="565"/>
    </row>
    <row r="2253" spans="2:2">
      <c r="B2253" s="565"/>
    </row>
    <row r="2254" spans="2:2">
      <c r="B2254" s="565"/>
    </row>
    <row r="2255" spans="2:2">
      <c r="B2255" s="565"/>
    </row>
    <row r="2256" spans="2:2">
      <c r="B2256" s="565"/>
    </row>
    <row r="2257" spans="2:2">
      <c r="B2257" s="565"/>
    </row>
    <row r="2258" spans="2:2">
      <c r="B2258" s="565"/>
    </row>
    <row r="2259" spans="2:2">
      <c r="B2259" s="565"/>
    </row>
    <row r="2260" spans="2:2">
      <c r="B2260" s="565"/>
    </row>
    <row r="2261" spans="2:2">
      <c r="B2261" s="565"/>
    </row>
    <row r="2262" spans="2:2">
      <c r="B2262" s="565"/>
    </row>
    <row r="2263" spans="2:2">
      <c r="B2263" s="565"/>
    </row>
    <row r="2264" spans="2:2">
      <c r="B2264" s="565"/>
    </row>
    <row r="2265" spans="2:2">
      <c r="B2265" s="565"/>
    </row>
    <row r="2266" spans="2:2">
      <c r="B2266" s="565"/>
    </row>
    <row r="2267" spans="2:2">
      <c r="B2267" s="565"/>
    </row>
    <row r="2268" spans="2:2">
      <c r="B2268" s="565"/>
    </row>
    <row r="2269" spans="2:2">
      <c r="B2269" s="565"/>
    </row>
    <row r="2270" spans="2:2">
      <c r="B2270" s="565"/>
    </row>
    <row r="2271" spans="2:2">
      <c r="B2271" s="565"/>
    </row>
    <row r="2272" spans="2:2">
      <c r="B2272" s="565"/>
    </row>
    <row r="2273" spans="2:2">
      <c r="B2273" s="565"/>
    </row>
    <row r="2274" spans="2:2">
      <c r="B2274" s="565"/>
    </row>
    <row r="2275" spans="2:2">
      <c r="B2275" s="565"/>
    </row>
    <row r="2276" spans="2:2">
      <c r="B2276" s="565"/>
    </row>
    <row r="2277" spans="2:2">
      <c r="B2277" s="565"/>
    </row>
    <row r="2278" spans="2:2">
      <c r="B2278" s="565"/>
    </row>
    <row r="2279" spans="2:2">
      <c r="B2279" s="565"/>
    </row>
    <row r="2280" spans="2:2">
      <c r="B2280" s="565"/>
    </row>
    <row r="2281" spans="2:2">
      <c r="B2281" s="565"/>
    </row>
    <row r="2282" spans="2:2">
      <c r="B2282" s="565"/>
    </row>
    <row r="2283" spans="2:2">
      <c r="B2283" s="565"/>
    </row>
    <row r="2284" spans="2:2">
      <c r="B2284" s="565"/>
    </row>
    <row r="2285" spans="2:2">
      <c r="B2285" s="565"/>
    </row>
    <row r="2286" spans="2:2">
      <c r="B2286" s="565"/>
    </row>
    <row r="2287" spans="2:2">
      <c r="B2287" s="565"/>
    </row>
    <row r="2288" spans="2:2">
      <c r="B2288" s="565"/>
    </row>
    <row r="2289" spans="2:2">
      <c r="B2289" s="565"/>
    </row>
    <row r="2290" spans="2:2">
      <c r="B2290" s="565"/>
    </row>
    <row r="2291" spans="2:2">
      <c r="B2291" s="565"/>
    </row>
    <row r="2292" spans="2:2">
      <c r="B2292" s="565"/>
    </row>
    <row r="2293" spans="2:2">
      <c r="B2293" s="565"/>
    </row>
    <row r="2294" spans="2:2">
      <c r="B2294" s="565"/>
    </row>
    <row r="2295" spans="2:2">
      <c r="B2295" s="565"/>
    </row>
    <row r="2296" spans="2:2">
      <c r="B2296" s="565"/>
    </row>
    <row r="2297" spans="2:2">
      <c r="B2297" s="565"/>
    </row>
    <row r="2298" spans="2:2">
      <c r="B2298" s="565"/>
    </row>
    <row r="2299" spans="2:2">
      <c r="B2299" s="565"/>
    </row>
    <row r="2300" spans="2:2">
      <c r="B2300" s="565"/>
    </row>
    <row r="2301" spans="2:2">
      <c r="B2301" s="565"/>
    </row>
    <row r="2302" spans="2:2">
      <c r="B2302" s="565"/>
    </row>
    <row r="2303" spans="2:2">
      <c r="B2303" s="565"/>
    </row>
    <row r="2304" spans="2:2">
      <c r="B2304" s="565"/>
    </row>
    <row r="2305" spans="2:2">
      <c r="B2305" s="565"/>
    </row>
    <row r="2306" spans="2:2">
      <c r="B2306" s="565"/>
    </row>
    <row r="2307" spans="2:2">
      <c r="B2307" s="565"/>
    </row>
    <row r="2308" spans="2:2">
      <c r="B2308" s="565"/>
    </row>
    <row r="2309" spans="2:2">
      <c r="B2309" s="565"/>
    </row>
    <row r="2310" spans="2:2">
      <c r="B2310" s="565"/>
    </row>
    <row r="2311" spans="2:2">
      <c r="B2311" s="565"/>
    </row>
    <row r="2312" spans="2:2">
      <c r="B2312" s="565"/>
    </row>
    <row r="2313" spans="2:2">
      <c r="B2313" s="565"/>
    </row>
    <row r="2314" spans="2:2">
      <c r="B2314" s="565"/>
    </row>
    <row r="2315" spans="2:2">
      <c r="B2315" s="565"/>
    </row>
    <row r="2316" spans="2:2">
      <c r="B2316" s="565"/>
    </row>
    <row r="2317" spans="2:2">
      <c r="B2317" s="565"/>
    </row>
    <row r="2318" spans="2:2">
      <c r="B2318" s="565"/>
    </row>
    <row r="2319" spans="2:2">
      <c r="B2319" s="565"/>
    </row>
    <row r="2320" spans="2:2">
      <c r="B2320" s="565"/>
    </row>
    <row r="2321" spans="2:2">
      <c r="B2321" s="565"/>
    </row>
    <row r="2322" spans="2:2">
      <c r="B2322" s="565"/>
    </row>
    <row r="2323" spans="2:2">
      <c r="B2323" s="565"/>
    </row>
    <row r="2324" spans="2:2">
      <c r="B2324" s="565"/>
    </row>
    <row r="2325" spans="2:2">
      <c r="B2325" s="565"/>
    </row>
    <row r="2326" spans="2:2">
      <c r="B2326" s="565"/>
    </row>
    <row r="2327" spans="2:2">
      <c r="B2327" s="565"/>
    </row>
    <row r="2328" spans="2:2">
      <c r="B2328" s="565"/>
    </row>
    <row r="2329" spans="2:2">
      <c r="B2329" s="565"/>
    </row>
    <row r="2330" spans="2:2">
      <c r="B2330" s="565"/>
    </row>
    <row r="2331" spans="2:2">
      <c r="B2331" s="565"/>
    </row>
    <row r="2332" spans="2:2">
      <c r="B2332" s="565"/>
    </row>
    <row r="2333" spans="2:2">
      <c r="B2333" s="565"/>
    </row>
    <row r="2334" spans="2:2">
      <c r="B2334" s="565"/>
    </row>
    <row r="2335" spans="2:2">
      <c r="B2335" s="565"/>
    </row>
    <row r="2336" spans="2:2">
      <c r="B2336" s="565"/>
    </row>
    <row r="2337" spans="2:2">
      <c r="B2337" s="565"/>
    </row>
    <row r="2338" spans="2:2">
      <c r="B2338" s="565"/>
    </row>
    <row r="2339" spans="2:2">
      <c r="B2339" s="565"/>
    </row>
    <row r="2340" spans="2:2">
      <c r="B2340" s="565"/>
    </row>
    <row r="2341" spans="2:2">
      <c r="B2341" s="565"/>
    </row>
    <row r="2342" spans="2:2">
      <c r="B2342" s="565"/>
    </row>
    <row r="2343" spans="2:2">
      <c r="B2343" s="565"/>
    </row>
    <row r="2344" spans="2:2">
      <c r="B2344" s="565"/>
    </row>
    <row r="2345" spans="2:2">
      <c r="B2345" s="565"/>
    </row>
    <row r="2346" spans="2:2">
      <c r="B2346" s="565"/>
    </row>
    <row r="2347" spans="2:2">
      <c r="B2347" s="565"/>
    </row>
    <row r="2348" spans="2:2">
      <c r="B2348" s="565"/>
    </row>
    <row r="2349" spans="2:2">
      <c r="B2349" s="565"/>
    </row>
    <row r="2350" spans="2:2">
      <c r="B2350" s="565"/>
    </row>
    <row r="2351" spans="2:2">
      <c r="B2351" s="565"/>
    </row>
    <row r="2352" spans="2:2">
      <c r="B2352" s="565"/>
    </row>
    <row r="2353" spans="2:2">
      <c r="B2353" s="565"/>
    </row>
    <row r="2354" spans="2:2">
      <c r="B2354" s="565"/>
    </row>
    <row r="2355" spans="2:2">
      <c r="B2355" s="565"/>
    </row>
    <row r="2356" spans="2:2">
      <c r="B2356" s="565"/>
    </row>
    <row r="2357" spans="2:2">
      <c r="B2357" s="565"/>
    </row>
    <row r="2358" spans="2:2">
      <c r="B2358" s="565"/>
    </row>
    <row r="2359" spans="2:2">
      <c r="B2359" s="565"/>
    </row>
    <row r="2360" spans="2:2">
      <c r="B2360" s="565"/>
    </row>
    <row r="2361" spans="2:2">
      <c r="B2361" s="565"/>
    </row>
    <row r="2362" spans="2:2">
      <c r="B2362" s="565"/>
    </row>
    <row r="2363" spans="2:2">
      <c r="B2363" s="565"/>
    </row>
    <row r="2364" spans="2:2">
      <c r="B2364" s="565"/>
    </row>
    <row r="2365" spans="2:2">
      <c r="B2365" s="565"/>
    </row>
    <row r="2366" spans="2:2">
      <c r="B2366" s="565"/>
    </row>
    <row r="2367" spans="2:2">
      <c r="B2367" s="565"/>
    </row>
    <row r="2368" spans="2:2">
      <c r="B2368" s="565"/>
    </row>
    <row r="2369" spans="2:2">
      <c r="B2369" s="565"/>
    </row>
    <row r="2370" spans="2:2">
      <c r="B2370" s="565"/>
    </row>
    <row r="2371" spans="2:2">
      <c r="B2371" s="565"/>
    </row>
    <row r="2372" spans="2:2">
      <c r="B2372" s="565"/>
    </row>
    <row r="2373" spans="2:2">
      <c r="B2373" s="565"/>
    </row>
    <row r="2374" spans="2:2">
      <c r="B2374" s="565"/>
    </row>
    <row r="2375" spans="2:2">
      <c r="B2375" s="565"/>
    </row>
    <row r="2376" spans="2:2">
      <c r="B2376" s="565"/>
    </row>
    <row r="2377" spans="2:2">
      <c r="B2377" s="565"/>
    </row>
    <row r="2378" spans="2:2">
      <c r="B2378" s="565"/>
    </row>
    <row r="2379" spans="2:2">
      <c r="B2379" s="565"/>
    </row>
    <row r="2380" spans="2:2">
      <c r="B2380" s="565"/>
    </row>
    <row r="2381" spans="2:2">
      <c r="B2381" s="565"/>
    </row>
    <row r="2382" spans="2:2">
      <c r="B2382" s="565"/>
    </row>
    <row r="2383" spans="2:2">
      <c r="B2383" s="565"/>
    </row>
    <row r="2384" spans="2:2">
      <c r="B2384" s="565"/>
    </row>
    <row r="2385" spans="2:2">
      <c r="B2385" s="565"/>
    </row>
    <row r="2386" spans="2:2">
      <c r="B2386" s="565"/>
    </row>
    <row r="2387" spans="2:2">
      <c r="B2387" s="565"/>
    </row>
    <row r="2388" spans="2:2">
      <c r="B2388" s="565"/>
    </row>
    <row r="2389" spans="2:2">
      <c r="B2389" s="565"/>
    </row>
    <row r="2390" spans="2:2">
      <c r="B2390" s="565"/>
    </row>
    <row r="2391" spans="2:2">
      <c r="B2391" s="565"/>
    </row>
    <row r="2392" spans="2:2">
      <c r="B2392" s="565"/>
    </row>
    <row r="2393" spans="2:2">
      <c r="B2393" s="565"/>
    </row>
    <row r="2394" spans="2:2">
      <c r="B2394" s="565"/>
    </row>
    <row r="2395" spans="2:2">
      <c r="B2395" s="565"/>
    </row>
    <row r="2396" spans="2:2">
      <c r="B2396" s="565"/>
    </row>
    <row r="2397" spans="2:2">
      <c r="B2397" s="565"/>
    </row>
    <row r="2398" spans="2:2">
      <c r="B2398" s="565"/>
    </row>
    <row r="2399" spans="2:2">
      <c r="B2399" s="565"/>
    </row>
    <row r="2400" spans="2:2">
      <c r="B2400" s="565"/>
    </row>
    <row r="2401" spans="2:2">
      <c r="B2401" s="565"/>
    </row>
    <row r="2402" spans="2:2">
      <c r="B2402" s="565"/>
    </row>
    <row r="2403" spans="2:2">
      <c r="B2403" s="565"/>
    </row>
    <row r="2404" spans="2:2">
      <c r="B2404" s="565"/>
    </row>
    <row r="2405" spans="2:2">
      <c r="B2405" s="565"/>
    </row>
    <row r="2406" spans="2:2">
      <c r="B2406" s="565"/>
    </row>
    <row r="2407" spans="2:2">
      <c r="B2407" s="565"/>
    </row>
    <row r="2408" spans="2:2">
      <c r="B2408" s="565"/>
    </row>
    <row r="2409" spans="2:2">
      <c r="B2409" s="565"/>
    </row>
    <row r="2410" spans="2:2">
      <c r="B2410" s="565"/>
    </row>
    <row r="2411" spans="2:2">
      <c r="B2411" s="565"/>
    </row>
    <row r="2412" spans="2:2">
      <c r="B2412" s="565"/>
    </row>
    <row r="2413" spans="2:2">
      <c r="B2413" s="565"/>
    </row>
    <row r="2414" spans="2:2">
      <c r="B2414" s="565"/>
    </row>
    <row r="2415" spans="2:2">
      <c r="B2415" s="565"/>
    </row>
    <row r="2416" spans="2:2">
      <c r="B2416" s="565"/>
    </row>
    <row r="2417" spans="2:2">
      <c r="B2417" s="565"/>
    </row>
    <row r="2418" spans="2:2">
      <c r="B2418" s="565"/>
    </row>
    <row r="2419" spans="2:2">
      <c r="B2419" s="565"/>
    </row>
    <row r="2420" spans="2:2">
      <c r="B2420" s="565"/>
    </row>
    <row r="2421" spans="2:2">
      <c r="B2421" s="565"/>
    </row>
    <row r="2422" spans="2:2">
      <c r="B2422" s="565"/>
    </row>
    <row r="2423" spans="2:2">
      <c r="B2423" s="565"/>
    </row>
    <row r="2424" spans="2:2">
      <c r="B2424" s="565"/>
    </row>
    <row r="2425" spans="2:2">
      <c r="B2425" s="565"/>
    </row>
    <row r="2426" spans="2:2">
      <c r="B2426" s="565"/>
    </row>
    <row r="2427" spans="2:2">
      <c r="B2427" s="565"/>
    </row>
    <row r="2428" spans="2:2">
      <c r="B2428" s="565"/>
    </row>
    <row r="2429" spans="2:2">
      <c r="B2429" s="565"/>
    </row>
    <row r="2430" spans="2:2">
      <c r="B2430" s="565"/>
    </row>
    <row r="2431" spans="2:2">
      <c r="B2431" s="565"/>
    </row>
    <row r="2432" spans="2:2">
      <c r="B2432" s="565"/>
    </row>
    <row r="2433" spans="2:2">
      <c r="B2433" s="565"/>
    </row>
    <row r="2434" spans="2:2">
      <c r="B2434" s="565"/>
    </row>
    <row r="2435" spans="2:2">
      <c r="B2435" s="565"/>
    </row>
    <row r="2436" spans="2:2">
      <c r="B2436" s="565"/>
    </row>
    <row r="2437" spans="2:2">
      <c r="B2437" s="565"/>
    </row>
    <row r="2438" spans="2:2">
      <c r="B2438" s="565"/>
    </row>
    <row r="2439" spans="2:2">
      <c r="B2439" s="565"/>
    </row>
    <row r="2440" spans="2:2">
      <c r="B2440" s="565"/>
    </row>
    <row r="2441" spans="2:2">
      <c r="B2441" s="565"/>
    </row>
    <row r="2442" spans="2:2">
      <c r="B2442" s="565"/>
    </row>
    <row r="2443" spans="2:2">
      <c r="B2443" s="565"/>
    </row>
    <row r="2444" spans="2:2">
      <c r="B2444" s="565"/>
    </row>
    <row r="2445" spans="2:2">
      <c r="B2445" s="565"/>
    </row>
    <row r="2446" spans="2:2">
      <c r="B2446" s="565"/>
    </row>
    <row r="2447" spans="2:2">
      <c r="B2447" s="565"/>
    </row>
    <row r="2448" spans="2:2">
      <c r="B2448" s="565"/>
    </row>
    <row r="2449" spans="2:2">
      <c r="B2449" s="565"/>
    </row>
    <row r="2450" spans="2:2">
      <c r="B2450" s="565"/>
    </row>
    <row r="2451" spans="2:2">
      <c r="B2451" s="565"/>
    </row>
    <row r="2452" spans="2:2">
      <c r="B2452" s="565"/>
    </row>
    <row r="2453" spans="2:2">
      <c r="B2453" s="565"/>
    </row>
    <row r="2454" spans="2:2">
      <c r="B2454" s="565"/>
    </row>
    <row r="2455" spans="2:2">
      <c r="B2455" s="565"/>
    </row>
    <row r="2456" spans="2:2">
      <c r="B2456" s="565"/>
    </row>
    <row r="2457" spans="2:2">
      <c r="B2457" s="565"/>
    </row>
    <row r="2458" spans="2:2">
      <c r="B2458" s="565"/>
    </row>
    <row r="2459" spans="2:2">
      <c r="B2459" s="565"/>
    </row>
    <row r="2460" spans="2:2">
      <c r="B2460" s="565"/>
    </row>
    <row r="2461" spans="2:2">
      <c r="B2461" s="565"/>
    </row>
    <row r="2462" spans="2:2">
      <c r="B2462" s="565"/>
    </row>
    <row r="2463" spans="2:2">
      <c r="B2463" s="565"/>
    </row>
    <row r="2464" spans="2:2">
      <c r="B2464" s="565"/>
    </row>
    <row r="2465" spans="2:2">
      <c r="B2465" s="565"/>
    </row>
    <row r="2466" spans="2:2">
      <c r="B2466" s="565"/>
    </row>
    <row r="2467" spans="2:2">
      <c r="B2467" s="565"/>
    </row>
    <row r="2468" spans="2:2">
      <c r="B2468" s="565"/>
    </row>
    <row r="2469" spans="2:2">
      <c r="B2469" s="565"/>
    </row>
    <row r="2470" spans="2:2">
      <c r="B2470" s="565"/>
    </row>
    <row r="2471" spans="2:2">
      <c r="B2471" s="565"/>
    </row>
    <row r="2472" spans="2:2">
      <c r="B2472" s="565"/>
    </row>
    <row r="2473" spans="2:2">
      <c r="B2473" s="565"/>
    </row>
    <row r="2474" spans="2:2">
      <c r="B2474" s="565"/>
    </row>
    <row r="2475" spans="2:2">
      <c r="B2475" s="565"/>
    </row>
    <row r="2476" spans="2:2">
      <c r="B2476" s="565"/>
    </row>
    <row r="2477" spans="2:2">
      <c r="B2477" s="565"/>
    </row>
    <row r="2478" spans="2:2">
      <c r="B2478" s="565"/>
    </row>
    <row r="2479" spans="2:2">
      <c r="B2479" s="565"/>
    </row>
    <row r="2480" spans="2:2">
      <c r="B2480" s="565"/>
    </row>
    <row r="2481" spans="2:2">
      <c r="B2481" s="565"/>
    </row>
    <row r="2482" spans="2:2">
      <c r="B2482" s="565"/>
    </row>
    <row r="2483" spans="2:2">
      <c r="B2483" s="565"/>
    </row>
    <row r="2484" spans="2:2">
      <c r="B2484" s="565"/>
    </row>
    <row r="2485" spans="2:2">
      <c r="B2485" s="565"/>
    </row>
    <row r="2486" spans="2:2">
      <c r="B2486" s="565"/>
    </row>
    <row r="2487" spans="2:2">
      <c r="B2487" s="565"/>
    </row>
    <row r="2488" spans="2:2">
      <c r="B2488" s="565"/>
    </row>
    <row r="2489" spans="2:2">
      <c r="B2489" s="565"/>
    </row>
    <row r="2490" spans="2:2">
      <c r="B2490" s="565"/>
    </row>
    <row r="2491" spans="2:2">
      <c r="B2491" s="565"/>
    </row>
    <row r="2492" spans="2:2">
      <c r="B2492" s="565"/>
    </row>
    <row r="2493" spans="2:2">
      <c r="B2493" s="565"/>
    </row>
    <row r="2494" spans="2:2">
      <c r="B2494" s="565"/>
    </row>
    <row r="2495" spans="2:2">
      <c r="B2495" s="565"/>
    </row>
    <row r="2496" spans="2:2">
      <c r="B2496" s="565"/>
    </row>
    <row r="2497" spans="2:2">
      <c r="B2497" s="565"/>
    </row>
    <row r="2498" spans="2:2">
      <c r="B2498" s="565"/>
    </row>
    <row r="2499" spans="2:2">
      <c r="B2499" s="565"/>
    </row>
    <row r="2500" spans="2:2">
      <c r="B2500" s="565"/>
    </row>
    <row r="2501" spans="2:2">
      <c r="B2501" s="565"/>
    </row>
    <row r="2502" spans="2:2">
      <c r="B2502" s="565"/>
    </row>
    <row r="2503" spans="2:2">
      <c r="B2503" s="565"/>
    </row>
    <row r="2504" spans="2:2">
      <c r="B2504" s="565"/>
    </row>
    <row r="2505" spans="2:2">
      <c r="B2505" s="565"/>
    </row>
    <row r="2506" spans="2:2">
      <c r="B2506" s="565"/>
    </row>
    <row r="2507" spans="2:2">
      <c r="B2507" s="565"/>
    </row>
    <row r="2508" spans="2:2">
      <c r="B2508" s="565"/>
    </row>
    <row r="2509" spans="2:2">
      <c r="B2509" s="565"/>
    </row>
    <row r="2510" spans="2:2">
      <c r="B2510" s="565"/>
    </row>
    <row r="2511" spans="2:2">
      <c r="B2511" s="565"/>
    </row>
    <row r="2512" spans="2:2">
      <c r="B2512" s="565"/>
    </row>
    <row r="2513" spans="2:2">
      <c r="B2513" s="565"/>
    </row>
    <row r="2514" spans="2:2">
      <c r="B2514" s="565"/>
    </row>
    <row r="2515" spans="2:2">
      <c r="B2515" s="565"/>
    </row>
    <row r="2516" spans="2:2">
      <c r="B2516" s="565"/>
    </row>
    <row r="2517" spans="2:2">
      <c r="B2517" s="565"/>
    </row>
    <row r="2518" spans="2:2">
      <c r="B2518" s="565"/>
    </row>
    <row r="2519" spans="2:2">
      <c r="B2519" s="565"/>
    </row>
    <row r="2520" spans="2:2">
      <c r="B2520" s="565"/>
    </row>
    <row r="2521" spans="2:2">
      <c r="B2521" s="565"/>
    </row>
    <row r="2522" spans="2:2">
      <c r="B2522" s="565"/>
    </row>
    <row r="2523" spans="2:2">
      <c r="B2523" s="565"/>
    </row>
    <row r="2524" spans="2:2">
      <c r="B2524" s="565"/>
    </row>
    <row r="2525" spans="2:2">
      <c r="B2525" s="565"/>
    </row>
    <row r="2526" spans="2:2">
      <c r="B2526" s="565"/>
    </row>
    <row r="2527" spans="2:2">
      <c r="B2527" s="565"/>
    </row>
    <row r="2528" spans="2:2">
      <c r="B2528" s="565"/>
    </row>
    <row r="2529" spans="2:2">
      <c r="B2529" s="565"/>
    </row>
    <row r="2530" spans="2:2">
      <c r="B2530" s="565"/>
    </row>
    <row r="2531" spans="2:2">
      <c r="B2531" s="565"/>
    </row>
    <row r="2532" spans="2:2">
      <c r="B2532" s="565"/>
    </row>
    <row r="2533" spans="2:2">
      <c r="B2533" s="565"/>
    </row>
    <row r="2534" spans="2:2">
      <c r="B2534" s="565"/>
    </row>
    <row r="2535" spans="2:2">
      <c r="B2535" s="565"/>
    </row>
    <row r="2536" spans="2:2">
      <c r="B2536" s="565"/>
    </row>
    <row r="2537" spans="2:2">
      <c r="B2537" s="565"/>
    </row>
    <row r="2538" spans="2:2">
      <c r="B2538" s="565"/>
    </row>
    <row r="2539" spans="2:2">
      <c r="B2539" s="565"/>
    </row>
    <row r="2540" spans="2:2">
      <c r="B2540" s="565"/>
    </row>
    <row r="2541" spans="2:2">
      <c r="B2541" s="565"/>
    </row>
    <row r="2542" spans="2:2">
      <c r="B2542" s="565"/>
    </row>
    <row r="2543" spans="2:2">
      <c r="B2543" s="565"/>
    </row>
    <row r="2544" spans="2:2">
      <c r="B2544" s="565"/>
    </row>
    <row r="2545" spans="2:2">
      <c r="B2545" s="565"/>
    </row>
    <row r="2546" spans="2:2">
      <c r="B2546" s="565"/>
    </row>
    <row r="2547" spans="2:2">
      <c r="B2547" s="565"/>
    </row>
    <row r="2548" spans="2:2">
      <c r="B2548" s="565"/>
    </row>
    <row r="2549" spans="2:2">
      <c r="B2549" s="565"/>
    </row>
    <row r="2550" spans="2:2">
      <c r="B2550" s="565"/>
    </row>
    <row r="2551" spans="2:2">
      <c r="B2551" s="565"/>
    </row>
    <row r="2552" spans="2:2">
      <c r="B2552" s="565"/>
    </row>
    <row r="2553" spans="2:2">
      <c r="B2553" s="565"/>
    </row>
    <row r="2554" spans="2:2">
      <c r="B2554" s="565"/>
    </row>
    <row r="2555" spans="2:2">
      <c r="B2555" s="565"/>
    </row>
    <row r="2556" spans="2:2">
      <c r="B2556" s="565"/>
    </row>
    <row r="2557" spans="2:2">
      <c r="B2557" s="565"/>
    </row>
    <row r="2558" spans="2:2">
      <c r="B2558" s="565"/>
    </row>
    <row r="2559" spans="2:2">
      <c r="B2559" s="565"/>
    </row>
    <row r="2560" spans="2:2">
      <c r="B2560" s="565"/>
    </row>
    <row r="2561" spans="2:2">
      <c r="B2561" s="565"/>
    </row>
    <row r="2562" spans="2:2">
      <c r="B2562" s="565"/>
    </row>
    <row r="2563" spans="2:2">
      <c r="B2563" s="565"/>
    </row>
    <row r="2564" spans="2:2">
      <c r="B2564" s="565"/>
    </row>
    <row r="2565" spans="2:2">
      <c r="B2565" s="565"/>
    </row>
    <row r="2566" spans="2:2">
      <c r="B2566" s="565"/>
    </row>
    <row r="2567" spans="2:2">
      <c r="B2567" s="565"/>
    </row>
    <row r="2568" spans="2:2">
      <c r="B2568" s="565"/>
    </row>
    <row r="2569" spans="2:2">
      <c r="B2569" s="565"/>
    </row>
    <row r="2570" spans="2:2">
      <c r="B2570" s="565"/>
    </row>
    <row r="2571" spans="2:2">
      <c r="B2571" s="565"/>
    </row>
    <row r="2572" spans="2:2">
      <c r="B2572" s="565"/>
    </row>
    <row r="2573" spans="2:2">
      <c r="B2573" s="565"/>
    </row>
    <row r="2574" spans="2:2">
      <c r="B2574" s="565"/>
    </row>
    <row r="2575" spans="2:2">
      <c r="B2575" s="565"/>
    </row>
    <row r="2576" spans="2:2">
      <c r="B2576" s="565"/>
    </row>
    <row r="2577" spans="2:2">
      <c r="B2577" s="565"/>
    </row>
    <row r="2578" spans="2:2">
      <c r="B2578" s="565"/>
    </row>
    <row r="2579" spans="2:2">
      <c r="B2579" s="565"/>
    </row>
    <row r="2580" spans="2:2">
      <c r="B2580" s="565"/>
    </row>
    <row r="2581" spans="2:2">
      <c r="B2581" s="565"/>
    </row>
    <row r="2582" spans="2:2">
      <c r="B2582" s="565"/>
    </row>
    <row r="2583" spans="2:2">
      <c r="B2583" s="565"/>
    </row>
    <row r="2584" spans="2:2">
      <c r="B2584" s="565"/>
    </row>
    <row r="2585" spans="2:2">
      <c r="B2585" s="565"/>
    </row>
    <row r="2586" spans="2:2">
      <c r="B2586" s="565"/>
    </row>
    <row r="2587" spans="2:2">
      <c r="B2587" s="565"/>
    </row>
    <row r="2588" spans="2:2">
      <c r="B2588" s="565"/>
    </row>
    <row r="2589" spans="2:2">
      <c r="B2589" s="565"/>
    </row>
    <row r="2590" spans="2:2">
      <c r="B2590" s="565"/>
    </row>
    <row r="2591" spans="2:2">
      <c r="B2591" s="565"/>
    </row>
    <row r="2592" spans="2:2">
      <c r="B2592" s="565"/>
    </row>
    <row r="2593" spans="2:2">
      <c r="B2593" s="565"/>
    </row>
    <row r="2594" spans="2:2">
      <c r="B2594" s="565"/>
    </row>
    <row r="2595" spans="2:2">
      <c r="B2595" s="565"/>
    </row>
    <row r="2596" spans="2:2">
      <c r="B2596" s="565"/>
    </row>
    <row r="2597" spans="2:2">
      <c r="B2597" s="565"/>
    </row>
    <row r="2598" spans="2:2">
      <c r="B2598" s="565"/>
    </row>
    <row r="2599" spans="2:2">
      <c r="B2599" s="565"/>
    </row>
    <row r="2600" spans="2:2">
      <c r="B2600" s="565"/>
    </row>
    <row r="2601" spans="2:2">
      <c r="B2601" s="565"/>
    </row>
    <row r="2602" spans="2:2">
      <c r="B2602" s="565"/>
    </row>
    <row r="2603" spans="2:2">
      <c r="B2603" s="565"/>
    </row>
    <row r="2604" spans="2:2">
      <c r="B2604" s="565"/>
    </row>
    <row r="2605" spans="2:2">
      <c r="B2605" s="565"/>
    </row>
    <row r="2606" spans="2:2">
      <c r="B2606" s="565"/>
    </row>
    <row r="2607" spans="2:2">
      <c r="B2607" s="565"/>
    </row>
    <row r="2608" spans="2:2">
      <c r="B2608" s="565"/>
    </row>
    <row r="2609" spans="2:2">
      <c r="B2609" s="565"/>
    </row>
    <row r="2610" spans="2:2">
      <c r="B2610" s="565"/>
    </row>
    <row r="2611" spans="2:2">
      <c r="B2611" s="565"/>
    </row>
    <row r="2612" spans="2:2">
      <c r="B2612" s="565"/>
    </row>
    <row r="2613" spans="2:2">
      <c r="B2613" s="565"/>
    </row>
    <row r="2614" spans="2:2">
      <c r="B2614" s="565"/>
    </row>
    <row r="2615" spans="2:2">
      <c r="B2615" s="565"/>
    </row>
    <row r="2616" spans="2:2">
      <c r="B2616" s="565"/>
    </row>
    <row r="2617" spans="2:2">
      <c r="B2617" s="565"/>
    </row>
    <row r="2618" spans="2:2">
      <c r="B2618" s="565"/>
    </row>
    <row r="2619" spans="2:2">
      <c r="B2619" s="565"/>
    </row>
    <row r="2620" spans="2:2">
      <c r="B2620" s="565"/>
    </row>
    <row r="2621" spans="2:2">
      <c r="B2621" s="565"/>
    </row>
    <row r="2622" spans="2:2">
      <c r="B2622" s="565"/>
    </row>
    <row r="2623" spans="2:2">
      <c r="B2623" s="565"/>
    </row>
    <row r="2624" spans="2:2">
      <c r="B2624" s="565"/>
    </row>
    <row r="2625" spans="2:2">
      <c r="B2625" s="565"/>
    </row>
    <row r="2626" spans="2:2">
      <c r="B2626" s="565"/>
    </row>
    <row r="2627" spans="2:2">
      <c r="B2627" s="565"/>
    </row>
    <row r="2628" spans="2:2">
      <c r="B2628" s="565"/>
    </row>
    <row r="2629" spans="2:2">
      <c r="B2629" s="565"/>
    </row>
    <row r="2630" spans="2:2">
      <c r="B2630" s="565"/>
    </row>
    <row r="2631" spans="2:2">
      <c r="B2631" s="565"/>
    </row>
    <row r="2632" spans="2:2">
      <c r="B2632" s="565"/>
    </row>
    <row r="2633" spans="2:2">
      <c r="B2633" s="565"/>
    </row>
    <row r="2634" spans="2:2">
      <c r="B2634" s="565"/>
    </row>
    <row r="2635" spans="2:2">
      <c r="B2635" s="565"/>
    </row>
    <row r="2636" spans="2:2">
      <c r="B2636" s="565"/>
    </row>
    <row r="2637" spans="2:2">
      <c r="B2637" s="565"/>
    </row>
    <row r="2638" spans="2:2">
      <c r="B2638" s="565"/>
    </row>
    <row r="2639" spans="2:2">
      <c r="B2639" s="565"/>
    </row>
    <row r="2640" spans="2:2">
      <c r="B2640" s="565"/>
    </row>
    <row r="2641" spans="2:2">
      <c r="B2641" s="565"/>
    </row>
    <row r="2642" spans="2:2">
      <c r="B2642" s="565"/>
    </row>
    <row r="2643" spans="2:2">
      <c r="B2643" s="565"/>
    </row>
    <row r="2644" spans="2:2">
      <c r="B2644" s="565"/>
    </row>
    <row r="2645" spans="2:2">
      <c r="B2645" s="565"/>
    </row>
    <row r="2646" spans="2:2">
      <c r="B2646" s="565"/>
    </row>
    <row r="2647" spans="2:2">
      <c r="B2647" s="565"/>
    </row>
    <row r="2648" spans="2:2">
      <c r="B2648" s="565"/>
    </row>
    <row r="2649" spans="2:2">
      <c r="B2649" s="565"/>
    </row>
    <row r="2650" spans="2:2">
      <c r="B2650" s="565"/>
    </row>
    <row r="2651" spans="2:2">
      <c r="B2651" s="565"/>
    </row>
    <row r="2652" spans="2:2">
      <c r="B2652" s="565"/>
    </row>
    <row r="2653" spans="2:2">
      <c r="B2653" s="565"/>
    </row>
    <row r="2654" spans="2:2">
      <c r="B2654" s="565"/>
    </row>
    <row r="2655" spans="2:2">
      <c r="B2655" s="565"/>
    </row>
    <row r="2656" spans="2:2">
      <c r="B2656" s="565"/>
    </row>
    <row r="2657" spans="2:2">
      <c r="B2657" s="565"/>
    </row>
    <row r="2658" spans="2:2">
      <c r="B2658" s="565"/>
    </row>
    <row r="2659" spans="2:2">
      <c r="B2659" s="565"/>
    </row>
    <row r="2660" spans="2:2">
      <c r="B2660" s="565"/>
    </row>
    <row r="2661" spans="2:2">
      <c r="B2661" s="565"/>
    </row>
    <row r="2662" spans="2:2">
      <c r="B2662" s="565"/>
    </row>
    <row r="2663" spans="2:2">
      <c r="B2663" s="565"/>
    </row>
    <row r="2664" spans="2:2">
      <c r="B2664" s="565"/>
    </row>
    <row r="2665" spans="2:2">
      <c r="B2665" s="565"/>
    </row>
    <row r="2666" spans="2:2">
      <c r="B2666" s="565"/>
    </row>
    <row r="2667" spans="2:2">
      <c r="B2667" s="565"/>
    </row>
    <row r="2668" spans="2:2">
      <c r="B2668" s="565"/>
    </row>
    <row r="2669" spans="2:2">
      <c r="B2669" s="565"/>
    </row>
    <row r="2670" spans="2:2">
      <c r="B2670" s="565"/>
    </row>
    <row r="2671" spans="2:2">
      <c r="B2671" s="565"/>
    </row>
    <row r="2672" spans="2:2">
      <c r="B2672" s="565"/>
    </row>
    <row r="2673" spans="2:2">
      <c r="B2673" s="565"/>
    </row>
    <row r="2674" spans="2:2">
      <c r="B2674" s="565"/>
    </row>
    <row r="2675" spans="2:2">
      <c r="B2675" s="565"/>
    </row>
    <row r="2676" spans="2:2">
      <c r="B2676" s="565"/>
    </row>
    <row r="2677" spans="2:2">
      <c r="B2677" s="565"/>
    </row>
    <row r="2678" spans="2:2">
      <c r="B2678" s="565"/>
    </row>
    <row r="2679" spans="2:2">
      <c r="B2679" s="565"/>
    </row>
    <row r="2680" spans="2:2">
      <c r="B2680" s="565"/>
    </row>
    <row r="2681" spans="2:2">
      <c r="B2681" s="565"/>
    </row>
    <row r="2682" spans="2:2">
      <c r="B2682" s="565"/>
    </row>
    <row r="2683" spans="2:2">
      <c r="B2683" s="565"/>
    </row>
    <row r="2684" spans="2:2">
      <c r="B2684" s="565"/>
    </row>
    <row r="2685" spans="2:2">
      <c r="B2685" s="565"/>
    </row>
    <row r="2686" spans="2:2">
      <c r="B2686" s="565"/>
    </row>
    <row r="2687" spans="2:2">
      <c r="B2687" s="565"/>
    </row>
    <row r="2688" spans="2:2">
      <c r="B2688" s="565"/>
    </row>
    <row r="2689" spans="2:2">
      <c r="B2689" s="565"/>
    </row>
    <row r="2690" spans="2:2">
      <c r="B2690" s="565"/>
    </row>
    <row r="2691" spans="2:2">
      <c r="B2691" s="565"/>
    </row>
    <row r="2692" spans="2:2">
      <c r="B2692" s="565"/>
    </row>
    <row r="2693" spans="2:2">
      <c r="B2693" s="565"/>
    </row>
    <row r="2694" spans="2:2">
      <c r="B2694" s="565"/>
    </row>
    <row r="2695" spans="2:2">
      <c r="B2695" s="565"/>
    </row>
    <row r="2696" spans="2:2">
      <c r="B2696" s="565"/>
    </row>
    <row r="2697" spans="2:2">
      <c r="B2697" s="565"/>
    </row>
    <row r="2698" spans="2:2">
      <c r="B2698" s="565"/>
    </row>
    <row r="2699" spans="2:2">
      <c r="B2699" s="565"/>
    </row>
    <row r="2700" spans="2:2">
      <c r="B2700" s="565"/>
    </row>
    <row r="2701" spans="2:2">
      <c r="B2701" s="565"/>
    </row>
    <row r="2702" spans="2:2">
      <c r="B2702" s="565"/>
    </row>
    <row r="2703" spans="2:2">
      <c r="B2703" s="565"/>
    </row>
    <row r="2704" spans="2:2">
      <c r="B2704" s="565"/>
    </row>
    <row r="2705" spans="2:2">
      <c r="B2705" s="565"/>
    </row>
    <row r="2706" spans="2:2">
      <c r="B2706" s="565"/>
    </row>
    <row r="2707" spans="2:2">
      <c r="B2707" s="565"/>
    </row>
    <row r="2708" spans="2:2">
      <c r="B2708" s="565"/>
    </row>
    <row r="2709" spans="2:2">
      <c r="B2709" s="565"/>
    </row>
    <row r="2710" spans="2:2">
      <c r="B2710" s="565"/>
    </row>
    <row r="2711" spans="2:2">
      <c r="B2711" s="565"/>
    </row>
    <row r="2712" spans="2:2">
      <c r="B2712" s="565"/>
    </row>
    <row r="2713" spans="2:2">
      <c r="B2713" s="565"/>
    </row>
    <row r="2714" spans="2:2">
      <c r="B2714" s="565"/>
    </row>
    <row r="2715" spans="2:2">
      <c r="B2715" s="565"/>
    </row>
    <row r="2716" spans="2:2">
      <c r="B2716" s="565"/>
    </row>
    <row r="2717" spans="2:2">
      <c r="B2717" s="565"/>
    </row>
    <row r="2718" spans="2:2">
      <c r="B2718" s="565"/>
    </row>
    <row r="2719" spans="2:2">
      <c r="B2719" s="565"/>
    </row>
    <row r="2720" spans="2:2">
      <c r="B2720" s="565"/>
    </row>
    <row r="2721" spans="2:2">
      <c r="B2721" s="565"/>
    </row>
    <row r="2722" spans="2:2">
      <c r="B2722" s="565"/>
    </row>
    <row r="2723" spans="2:2">
      <c r="B2723" s="565"/>
    </row>
    <row r="2724" spans="2:2">
      <c r="B2724" s="565"/>
    </row>
    <row r="2725" spans="2:2">
      <c r="B2725" s="565"/>
    </row>
    <row r="2726" spans="2:2">
      <c r="B2726" s="565"/>
    </row>
    <row r="2727" spans="2:2">
      <c r="B2727" s="565"/>
    </row>
    <row r="2728" spans="2:2">
      <c r="B2728" s="565"/>
    </row>
    <row r="2729" spans="2:2">
      <c r="B2729" s="565"/>
    </row>
    <row r="2730" spans="2:2">
      <c r="B2730" s="565"/>
    </row>
    <row r="2731" spans="2:2">
      <c r="B2731" s="565"/>
    </row>
    <row r="2732" spans="2:2">
      <c r="B2732" s="565"/>
    </row>
    <row r="2733" spans="2:2">
      <c r="B2733" s="565"/>
    </row>
    <row r="2734" spans="2:2">
      <c r="B2734" s="565"/>
    </row>
    <row r="2735" spans="2:2">
      <c r="B2735" s="565"/>
    </row>
    <row r="2736" spans="2:2">
      <c r="B2736" s="565"/>
    </row>
    <row r="2737" spans="2:2">
      <c r="B2737" s="565"/>
    </row>
    <row r="2738" spans="2:2">
      <c r="B2738" s="565"/>
    </row>
    <row r="2739" spans="2:2">
      <c r="B2739" s="565"/>
    </row>
    <row r="2740" spans="2:2">
      <c r="B2740" s="565"/>
    </row>
    <row r="2741" spans="2:2">
      <c r="B2741" s="565"/>
    </row>
    <row r="2742" spans="2:2">
      <c r="B2742" s="565"/>
    </row>
    <row r="2743" spans="2:2">
      <c r="B2743" s="565"/>
    </row>
    <row r="2744" spans="2:2">
      <c r="B2744" s="565"/>
    </row>
    <row r="2745" spans="2:2">
      <c r="B2745" s="565"/>
    </row>
    <row r="2746" spans="2:2">
      <c r="B2746" s="565"/>
    </row>
    <row r="2747" spans="2:2">
      <c r="B2747" s="565"/>
    </row>
    <row r="2748" spans="2:2">
      <c r="B2748" s="565"/>
    </row>
    <row r="2749" spans="2:2">
      <c r="B2749" s="565"/>
    </row>
    <row r="2750" spans="2:2">
      <c r="B2750" s="565"/>
    </row>
    <row r="2751" spans="2:2">
      <c r="B2751" s="565"/>
    </row>
    <row r="2752" spans="2:2">
      <c r="B2752" s="565"/>
    </row>
    <row r="2753" spans="2:2">
      <c r="B2753" s="565"/>
    </row>
    <row r="2754" spans="2:2">
      <c r="B2754" s="565"/>
    </row>
    <row r="2755" spans="2:2">
      <c r="B2755" s="565"/>
    </row>
    <row r="2756" spans="2:2">
      <c r="B2756" s="565"/>
    </row>
    <row r="2757" spans="2:2">
      <c r="B2757" s="565"/>
    </row>
    <row r="2758" spans="2:2">
      <c r="B2758" s="565"/>
    </row>
    <row r="2759" spans="2:2">
      <c r="B2759" s="565"/>
    </row>
    <row r="2760" spans="2:2">
      <c r="B2760" s="565"/>
    </row>
    <row r="2761" spans="2:2">
      <c r="B2761" s="565"/>
    </row>
    <row r="2762" spans="2:2">
      <c r="B2762" s="565"/>
    </row>
    <row r="2763" spans="2:2">
      <c r="B2763" s="565"/>
    </row>
    <row r="2764" spans="2:2">
      <c r="B2764" s="565"/>
    </row>
    <row r="2765" spans="2:2">
      <c r="B2765" s="565"/>
    </row>
    <row r="2766" spans="2:2">
      <c r="B2766" s="565"/>
    </row>
    <row r="2767" spans="2:2">
      <c r="B2767" s="565"/>
    </row>
    <row r="2768" spans="2:2">
      <c r="B2768" s="565"/>
    </row>
    <row r="2769" spans="2:2">
      <c r="B2769" s="565"/>
    </row>
    <row r="2770" spans="2:2">
      <c r="B2770" s="565"/>
    </row>
    <row r="2771" spans="2:2">
      <c r="B2771" s="565"/>
    </row>
    <row r="2772" spans="2:2">
      <c r="B2772" s="565"/>
    </row>
    <row r="2773" spans="2:2">
      <c r="B2773" s="565"/>
    </row>
    <row r="2774" spans="2:2">
      <c r="B2774" s="565"/>
    </row>
    <row r="2775" spans="2:2">
      <c r="B2775" s="565"/>
    </row>
    <row r="2776" spans="2:2">
      <c r="B2776" s="565"/>
    </row>
    <row r="2777" spans="2:2">
      <c r="B2777" s="565"/>
    </row>
    <row r="2778" spans="2:2">
      <c r="B2778" s="565"/>
    </row>
    <row r="2779" spans="2:2">
      <c r="B2779" s="565"/>
    </row>
    <row r="2780" spans="2:2">
      <c r="B2780" s="565"/>
    </row>
    <row r="2781" spans="2:2">
      <c r="B2781" s="565"/>
    </row>
    <row r="2782" spans="2:2">
      <c r="B2782" s="565"/>
    </row>
    <row r="2783" spans="2:2">
      <c r="B2783" s="565"/>
    </row>
    <row r="2784" spans="2:2">
      <c r="B2784" s="565"/>
    </row>
    <row r="2785" spans="2:2">
      <c r="B2785" s="565"/>
    </row>
    <row r="2786" spans="2:2">
      <c r="B2786" s="565"/>
    </row>
    <row r="2787" spans="2:2">
      <c r="B2787" s="565"/>
    </row>
    <row r="2788" spans="2:2">
      <c r="B2788" s="565"/>
    </row>
    <row r="2789" spans="2:2">
      <c r="B2789" s="565"/>
    </row>
    <row r="2790" spans="2:2">
      <c r="B2790" s="565"/>
    </row>
    <row r="2791" spans="2:2">
      <c r="B2791" s="565"/>
    </row>
    <row r="2792" spans="2:2">
      <c r="B2792" s="565"/>
    </row>
    <row r="2793" spans="2:2">
      <c r="B2793" s="565"/>
    </row>
    <row r="2794" spans="2:2">
      <c r="B2794" s="565"/>
    </row>
    <row r="2795" spans="2:2">
      <c r="B2795" s="565"/>
    </row>
    <row r="2796" spans="2:2">
      <c r="B2796" s="565"/>
    </row>
    <row r="2797" spans="2:2">
      <c r="B2797" s="565"/>
    </row>
    <row r="2798" spans="2:2">
      <c r="B2798" s="565"/>
    </row>
    <row r="2799" spans="2:2">
      <c r="B2799" s="565"/>
    </row>
    <row r="2800" spans="2:2">
      <c r="B2800" s="565"/>
    </row>
    <row r="2801" spans="2:2">
      <c r="B2801" s="565"/>
    </row>
    <row r="2802" spans="2:2">
      <c r="B2802" s="565"/>
    </row>
    <row r="2803" spans="2:2">
      <c r="B2803" s="565"/>
    </row>
    <row r="2804" spans="2:2">
      <c r="B2804" s="565"/>
    </row>
    <row r="2805" spans="2:2">
      <c r="B2805" s="565"/>
    </row>
    <row r="2806" spans="2:2">
      <c r="B2806" s="565"/>
    </row>
    <row r="2807" spans="2:2">
      <c r="B2807" s="565"/>
    </row>
    <row r="2808" spans="2:2">
      <c r="B2808" s="565"/>
    </row>
    <row r="2809" spans="2:2">
      <c r="B2809" s="565"/>
    </row>
    <row r="2810" spans="2:2">
      <c r="B2810" s="565"/>
    </row>
    <row r="2811" spans="2:2">
      <c r="B2811" s="565"/>
    </row>
    <row r="2812" spans="2:2">
      <c r="B2812" s="565"/>
    </row>
    <row r="2813" spans="2:2">
      <c r="B2813" s="565"/>
    </row>
    <row r="2814" spans="2:2">
      <c r="B2814" s="565"/>
    </row>
    <row r="2815" spans="2:2">
      <c r="B2815" s="565"/>
    </row>
    <row r="2816" spans="2:2">
      <c r="B2816" s="565"/>
    </row>
    <row r="2817" spans="2:2">
      <c r="B2817" s="565"/>
    </row>
    <row r="2818" spans="2:2">
      <c r="B2818" s="565"/>
    </row>
    <row r="2819" spans="2:2">
      <c r="B2819" s="565"/>
    </row>
    <row r="2820" spans="2:2">
      <c r="B2820" s="565"/>
    </row>
    <row r="2821" spans="2:2">
      <c r="B2821" s="565"/>
    </row>
    <row r="2822" spans="2:2">
      <c r="B2822" s="565"/>
    </row>
    <row r="2823" spans="2:2">
      <c r="B2823" s="565"/>
    </row>
    <row r="2824" spans="2:2">
      <c r="B2824" s="565"/>
    </row>
    <row r="2825" spans="2:2">
      <c r="B2825" s="565"/>
    </row>
    <row r="2826" spans="2:2">
      <c r="B2826" s="565"/>
    </row>
    <row r="2827" spans="2:2">
      <c r="B2827" s="565"/>
    </row>
    <row r="2828" spans="2:2">
      <c r="B2828" s="565"/>
    </row>
    <row r="2829" spans="2:2">
      <c r="B2829" s="565"/>
    </row>
    <row r="2830" spans="2:2">
      <c r="B2830" s="565"/>
    </row>
    <row r="2831" spans="2:2">
      <c r="B2831" s="565"/>
    </row>
    <row r="2832" spans="2:2">
      <c r="B2832" s="565"/>
    </row>
    <row r="2833" spans="2:2">
      <c r="B2833" s="565"/>
    </row>
    <row r="2834" spans="2:2">
      <c r="B2834" s="565"/>
    </row>
    <row r="2835" spans="2:2">
      <c r="B2835" s="565"/>
    </row>
    <row r="2836" spans="2:2">
      <c r="B2836" s="565"/>
    </row>
    <row r="2837" spans="2:2">
      <c r="B2837" s="565"/>
    </row>
    <row r="2838" spans="2:2">
      <c r="B2838" s="565"/>
    </row>
    <row r="2839" spans="2:2">
      <c r="B2839" s="565"/>
    </row>
    <row r="2840" spans="2:2">
      <c r="B2840" s="565"/>
    </row>
    <row r="2841" spans="2:2">
      <c r="B2841" s="565"/>
    </row>
    <row r="2842" spans="2:2">
      <c r="B2842" s="565"/>
    </row>
    <row r="2843" spans="2:2">
      <c r="B2843" s="565"/>
    </row>
    <row r="2844" spans="2:2">
      <c r="B2844" s="565"/>
    </row>
    <row r="2845" spans="2:2">
      <c r="B2845" s="565"/>
    </row>
    <row r="2846" spans="2:2">
      <c r="B2846" s="565"/>
    </row>
    <row r="2847" spans="2:2">
      <c r="B2847" s="565"/>
    </row>
    <row r="2848" spans="2:2">
      <c r="B2848" s="565"/>
    </row>
    <row r="2849" spans="2:2">
      <c r="B2849" s="565"/>
    </row>
    <row r="2850" spans="2:2">
      <c r="B2850" s="565"/>
    </row>
    <row r="2851" spans="2:2">
      <c r="B2851" s="565"/>
    </row>
    <row r="2852" spans="2:2">
      <c r="B2852" s="565"/>
    </row>
    <row r="2853" spans="2:2">
      <c r="B2853" s="565"/>
    </row>
    <row r="2854" spans="2:2">
      <c r="B2854" s="565"/>
    </row>
    <row r="2855" spans="2:2">
      <c r="B2855" s="565"/>
    </row>
    <row r="2856" spans="2:2">
      <c r="B2856" s="565"/>
    </row>
    <row r="2857" spans="2:2">
      <c r="B2857" s="565"/>
    </row>
    <row r="2858" spans="2:2">
      <c r="B2858" s="565"/>
    </row>
    <row r="2859" spans="2:2">
      <c r="B2859" s="565"/>
    </row>
    <row r="2860" spans="2:2">
      <c r="B2860" s="565"/>
    </row>
    <row r="2861" spans="2:2">
      <c r="B2861" s="565"/>
    </row>
    <row r="2862" spans="2:2">
      <c r="B2862" s="565"/>
    </row>
    <row r="2863" spans="2:2">
      <c r="B2863" s="565"/>
    </row>
    <row r="2864" spans="2:2">
      <c r="B2864" s="565"/>
    </row>
    <row r="2865" spans="2:2">
      <c r="B2865" s="565"/>
    </row>
    <row r="2866" spans="2:2">
      <c r="B2866" s="565"/>
    </row>
    <row r="2867" spans="2:2">
      <c r="B2867" s="565"/>
    </row>
    <row r="2868" spans="2:2">
      <c r="B2868" s="565"/>
    </row>
    <row r="2869" spans="2:2">
      <c r="B2869" s="565"/>
    </row>
    <row r="2870" spans="2:2">
      <c r="B2870" s="565"/>
    </row>
    <row r="2871" spans="2:2">
      <c r="B2871" s="565"/>
    </row>
    <row r="2872" spans="2:2">
      <c r="B2872" s="565"/>
    </row>
    <row r="2873" spans="2:2">
      <c r="B2873" s="565"/>
    </row>
    <row r="2874" spans="2:2">
      <c r="B2874" s="565"/>
    </row>
    <row r="2875" spans="2:2">
      <c r="B2875" s="565"/>
    </row>
    <row r="2876" spans="2:2">
      <c r="B2876" s="565"/>
    </row>
    <row r="2877" spans="2:2">
      <c r="B2877" s="565"/>
    </row>
    <row r="2878" spans="2:2">
      <c r="B2878" s="565"/>
    </row>
    <row r="2879" spans="2:2">
      <c r="B2879" s="565"/>
    </row>
    <row r="2880" spans="2:2">
      <c r="B2880" s="565"/>
    </row>
    <row r="2881" spans="2:2">
      <c r="B2881" s="565"/>
    </row>
    <row r="2882" spans="2:2">
      <c r="B2882" s="565"/>
    </row>
    <row r="2883" spans="2:2">
      <c r="B2883" s="565"/>
    </row>
    <row r="2884" spans="2:2">
      <c r="B2884" s="565"/>
    </row>
    <row r="2885" spans="2:2">
      <c r="B2885" s="565"/>
    </row>
    <row r="2886" spans="2:2">
      <c r="B2886" s="565"/>
    </row>
    <row r="2887" spans="2:2">
      <c r="B2887" s="565"/>
    </row>
    <row r="2888" spans="2:2">
      <c r="B2888" s="565"/>
    </row>
    <row r="2889" spans="2:2">
      <c r="B2889" s="565"/>
    </row>
    <row r="2890" spans="2:2">
      <c r="B2890" s="565"/>
    </row>
    <row r="2891" spans="2:2">
      <c r="B2891" s="565"/>
    </row>
    <row r="2892" spans="2:2">
      <c r="B2892" s="565"/>
    </row>
    <row r="2893" spans="2:2">
      <c r="B2893" s="565"/>
    </row>
    <row r="2894" spans="2:2">
      <c r="B2894" s="565"/>
    </row>
    <row r="2895" spans="2:2">
      <c r="B2895" s="565"/>
    </row>
    <row r="2896" spans="2:2">
      <c r="B2896" s="565"/>
    </row>
    <row r="2897" spans="2:2">
      <c r="B2897" s="565"/>
    </row>
    <row r="2898" spans="2:2">
      <c r="B2898" s="565"/>
    </row>
    <row r="2899" spans="2:2">
      <c r="B2899" s="565"/>
    </row>
    <row r="2900" spans="2:2">
      <c r="B2900" s="565"/>
    </row>
    <row r="2901" spans="2:2">
      <c r="B2901" s="565"/>
    </row>
    <row r="2902" spans="2:2">
      <c r="B2902" s="565"/>
    </row>
    <row r="2903" spans="2:2">
      <c r="B2903" s="565"/>
    </row>
    <row r="2904" spans="2:2">
      <c r="B2904" s="565"/>
    </row>
    <row r="2905" spans="2:2">
      <c r="B2905" s="565"/>
    </row>
    <row r="2906" spans="2:2">
      <c r="B2906" s="565"/>
    </row>
    <row r="2907" spans="2:2">
      <c r="B2907" s="565"/>
    </row>
    <row r="2908" spans="2:2">
      <c r="B2908" s="565"/>
    </row>
    <row r="2909" spans="2:2">
      <c r="B2909" s="565"/>
    </row>
    <row r="2910" spans="2:2">
      <c r="B2910" s="565"/>
    </row>
    <row r="2911" spans="2:2">
      <c r="B2911" s="565"/>
    </row>
    <row r="2912" spans="2:2">
      <c r="B2912" s="565"/>
    </row>
    <row r="2913" spans="2:2">
      <c r="B2913" s="565"/>
    </row>
    <row r="2914" spans="2:2">
      <c r="B2914" s="565"/>
    </row>
    <row r="2915" spans="2:2">
      <c r="B2915" s="565"/>
    </row>
    <row r="2916" spans="2:2">
      <c r="B2916" s="565"/>
    </row>
    <row r="2917" spans="2:2">
      <c r="B2917" s="565"/>
    </row>
    <row r="2918" spans="2:2">
      <c r="B2918" s="565"/>
    </row>
    <row r="2919" spans="2:2">
      <c r="B2919" s="565"/>
    </row>
    <row r="2920" spans="2:2">
      <c r="B2920" s="565"/>
    </row>
    <row r="2921" spans="2:2">
      <c r="B2921" s="565"/>
    </row>
    <row r="2922" spans="2:2">
      <c r="B2922" s="565"/>
    </row>
    <row r="2923" spans="2:2">
      <c r="B2923" s="565"/>
    </row>
    <row r="2924" spans="2:2">
      <c r="B2924" s="565"/>
    </row>
    <row r="2925" spans="2:2">
      <c r="B2925" s="565"/>
    </row>
    <row r="2926" spans="2:2">
      <c r="B2926" s="565"/>
    </row>
    <row r="2927" spans="2:2">
      <c r="B2927" s="565"/>
    </row>
    <row r="2928" spans="2:2">
      <c r="B2928" s="565"/>
    </row>
    <row r="2929" spans="2:2">
      <c r="B2929" s="565"/>
    </row>
    <row r="2930" spans="2:2">
      <c r="B2930" s="565"/>
    </row>
    <row r="2931" spans="2:2">
      <c r="B2931" s="565"/>
    </row>
    <row r="2932" spans="2:2">
      <c r="B2932" s="565"/>
    </row>
    <row r="2933" spans="2:2">
      <c r="B2933" s="565"/>
    </row>
    <row r="2934" spans="2:2">
      <c r="B2934" s="565"/>
    </row>
    <row r="2935" spans="2:2">
      <c r="B2935" s="565"/>
    </row>
    <row r="2936" spans="2:2">
      <c r="B2936" s="565"/>
    </row>
    <row r="2937" spans="2:2">
      <c r="B2937" s="565"/>
    </row>
    <row r="2938" spans="2:2">
      <c r="B2938" s="565"/>
    </row>
    <row r="2939" spans="2:2">
      <c r="B2939" s="565"/>
    </row>
    <row r="2940" spans="2:2">
      <c r="B2940" s="565"/>
    </row>
    <row r="2941" spans="2:2">
      <c r="B2941" s="565"/>
    </row>
    <row r="2942" spans="2:2">
      <c r="B2942" s="565"/>
    </row>
    <row r="2943" spans="2:2">
      <c r="B2943" s="565"/>
    </row>
    <row r="2944" spans="2:2">
      <c r="B2944" s="565"/>
    </row>
    <row r="2945" spans="2:2">
      <c r="B2945" s="565"/>
    </row>
    <row r="2946" spans="2:2">
      <c r="B2946" s="565"/>
    </row>
    <row r="2947" spans="2:2">
      <c r="B2947" s="565"/>
    </row>
    <row r="2948" spans="2:2">
      <c r="B2948" s="565"/>
    </row>
    <row r="2949" spans="2:2">
      <c r="B2949" s="565"/>
    </row>
    <row r="2950" spans="2:2">
      <c r="B2950" s="565"/>
    </row>
    <row r="2951" spans="2:2">
      <c r="B2951" s="565"/>
    </row>
    <row r="2952" spans="2:2">
      <c r="B2952" s="565"/>
    </row>
    <row r="2953" spans="2:2">
      <c r="B2953" s="565"/>
    </row>
    <row r="2954" spans="2:2">
      <c r="B2954" s="565"/>
    </row>
    <row r="2955" spans="2:2">
      <c r="B2955" s="565"/>
    </row>
    <row r="2956" spans="2:2">
      <c r="B2956" s="565"/>
    </row>
    <row r="2957" spans="2:2">
      <c r="B2957" s="565"/>
    </row>
    <row r="2958" spans="2:2">
      <c r="B2958" s="565"/>
    </row>
    <row r="2959" spans="2:2">
      <c r="B2959" s="565"/>
    </row>
    <row r="2960" spans="2:2">
      <c r="B2960" s="565"/>
    </row>
    <row r="2961" spans="2:2">
      <c r="B2961" s="565"/>
    </row>
    <row r="2962" spans="2:2">
      <c r="B2962" s="565"/>
    </row>
    <row r="2963" spans="2:2">
      <c r="B2963" s="565"/>
    </row>
    <row r="2964" spans="2:2">
      <c r="B2964" s="565"/>
    </row>
    <row r="2965" spans="2:2">
      <c r="B2965" s="565"/>
    </row>
    <row r="2966" spans="2:2">
      <c r="B2966" s="565"/>
    </row>
    <row r="2967" spans="2:2">
      <c r="B2967" s="565"/>
    </row>
    <row r="2968" spans="2:2">
      <c r="B2968" s="565"/>
    </row>
    <row r="2969" spans="2:2">
      <c r="B2969" s="565"/>
    </row>
    <row r="2970" spans="2:2">
      <c r="B2970" s="565"/>
    </row>
    <row r="2971" spans="2:2">
      <c r="B2971" s="565"/>
    </row>
    <row r="2972" spans="2:2">
      <c r="B2972" s="565"/>
    </row>
    <row r="2973" spans="2:2">
      <c r="B2973" s="565"/>
    </row>
    <row r="2974" spans="2:2">
      <c r="B2974" s="565"/>
    </row>
    <row r="2975" spans="2:2">
      <c r="B2975" s="565"/>
    </row>
    <row r="2976" spans="2:2">
      <c r="B2976" s="565"/>
    </row>
    <row r="2977" spans="2:2">
      <c r="B2977" s="565"/>
    </row>
    <row r="2978" spans="2:2">
      <c r="B2978" s="565"/>
    </row>
    <row r="2979" spans="2:2">
      <c r="B2979" s="565"/>
    </row>
    <row r="2980" spans="2:2">
      <c r="B2980" s="565"/>
    </row>
    <row r="2981" spans="2:2">
      <c r="B2981" s="565"/>
    </row>
    <row r="2982" spans="2:2">
      <c r="B2982" s="565"/>
    </row>
    <row r="2983" spans="2:2">
      <c r="B2983" s="565"/>
    </row>
    <row r="2984" spans="2:2">
      <c r="B2984" s="565"/>
    </row>
    <row r="2985" spans="2:2">
      <c r="B2985" s="565"/>
    </row>
    <row r="2986" spans="2:2">
      <c r="B2986" s="565"/>
    </row>
    <row r="2987" spans="2:2">
      <c r="B2987" s="565"/>
    </row>
    <row r="2988" spans="2:2">
      <c r="B2988" s="565"/>
    </row>
    <row r="2989" spans="2:2">
      <c r="B2989" s="565"/>
    </row>
    <row r="2990" spans="2:2">
      <c r="B2990" s="565"/>
    </row>
    <row r="2991" spans="2:2">
      <c r="B2991" s="565"/>
    </row>
    <row r="2992" spans="2:2">
      <c r="B2992" s="565"/>
    </row>
    <row r="2993" spans="2:2">
      <c r="B2993" s="565"/>
    </row>
    <row r="2994" spans="2:2">
      <c r="B2994" s="565"/>
    </row>
    <row r="2995" spans="2:2">
      <c r="B2995" s="565"/>
    </row>
    <row r="2996" spans="2:2">
      <c r="B2996" s="565"/>
    </row>
    <row r="2997" spans="2:2">
      <c r="B2997" s="565"/>
    </row>
    <row r="2998" spans="2:2">
      <c r="B2998" s="565"/>
    </row>
    <row r="2999" spans="2:2">
      <c r="B2999" s="565"/>
    </row>
    <row r="3000" spans="2:2">
      <c r="B3000" s="565"/>
    </row>
    <row r="3001" spans="2:2">
      <c r="B3001" s="565"/>
    </row>
    <row r="3002" spans="2:2">
      <c r="B3002" s="565"/>
    </row>
    <row r="3003" spans="2:2">
      <c r="B3003" s="565"/>
    </row>
    <row r="3004" spans="2:2">
      <c r="B3004" s="565"/>
    </row>
    <row r="3005" spans="2:2">
      <c r="B3005" s="565"/>
    </row>
    <row r="3006" spans="2:2">
      <c r="B3006" s="565"/>
    </row>
    <row r="3007" spans="2:2">
      <c r="B3007" s="565"/>
    </row>
    <row r="3008" spans="2:2">
      <c r="B3008" s="565"/>
    </row>
    <row r="3009" spans="2:2">
      <c r="B3009" s="565"/>
    </row>
    <row r="3010" spans="2:2">
      <c r="B3010" s="565"/>
    </row>
    <row r="3011" spans="2:2">
      <c r="B3011" s="565"/>
    </row>
    <row r="3012" spans="2:2">
      <c r="B3012" s="565"/>
    </row>
    <row r="3013" spans="2:2">
      <c r="B3013" s="565"/>
    </row>
    <row r="3014" spans="2:2">
      <c r="B3014" s="565"/>
    </row>
    <row r="3015" spans="2:2">
      <c r="B3015" s="565"/>
    </row>
    <row r="3016" spans="2:2">
      <c r="B3016" s="565"/>
    </row>
    <row r="3017" spans="2:2">
      <c r="B3017" s="565"/>
    </row>
    <row r="3018" spans="2:2">
      <c r="B3018" s="565"/>
    </row>
    <row r="3019" spans="2:2">
      <c r="B3019" s="565"/>
    </row>
    <row r="3020" spans="2:2">
      <c r="B3020" s="565"/>
    </row>
    <row r="3021" spans="2:2">
      <c r="B3021" s="565"/>
    </row>
    <row r="3022" spans="2:2">
      <c r="B3022" s="565"/>
    </row>
    <row r="3023" spans="2:2">
      <c r="B3023" s="565"/>
    </row>
    <row r="3024" spans="2:2">
      <c r="B3024" s="565"/>
    </row>
    <row r="3025" spans="2:2">
      <c r="B3025" s="565"/>
    </row>
    <row r="3026" spans="2:2">
      <c r="B3026" s="565"/>
    </row>
    <row r="3027" spans="2:2">
      <c r="B3027" s="565"/>
    </row>
    <row r="3028" spans="2:2">
      <c r="B3028" s="565"/>
    </row>
    <row r="3029" spans="2:2">
      <c r="B3029" s="565"/>
    </row>
    <row r="3030" spans="2:2">
      <c r="B3030" s="565"/>
    </row>
    <row r="3031" spans="2:2">
      <c r="B3031" s="565"/>
    </row>
    <row r="3032" spans="2:2">
      <c r="B3032" s="565"/>
    </row>
    <row r="3033" spans="2:2">
      <c r="B3033" s="565"/>
    </row>
    <row r="3034" spans="2:2">
      <c r="B3034" s="565"/>
    </row>
    <row r="3035" spans="2:2">
      <c r="B3035" s="565"/>
    </row>
    <row r="3036" spans="2:2">
      <c r="B3036" s="565"/>
    </row>
    <row r="3037" spans="2:2">
      <c r="B3037" s="565"/>
    </row>
    <row r="3038" spans="2:2">
      <c r="B3038" s="565"/>
    </row>
    <row r="3039" spans="2:2">
      <c r="B3039" s="565"/>
    </row>
    <row r="3040" spans="2:2">
      <c r="B3040" s="565"/>
    </row>
    <row r="3041" spans="2:2">
      <c r="B3041" s="565"/>
    </row>
    <row r="3042" spans="2:2">
      <c r="B3042" s="565"/>
    </row>
    <row r="3043" spans="2:2">
      <c r="B3043" s="565"/>
    </row>
    <row r="3044" spans="2:2">
      <c r="B3044" s="565"/>
    </row>
    <row r="3045" spans="2:2">
      <c r="B3045" s="565"/>
    </row>
    <row r="3046" spans="2:2">
      <c r="B3046" s="565"/>
    </row>
    <row r="3047" spans="2:2">
      <c r="B3047" s="565"/>
    </row>
    <row r="3048" spans="2:2">
      <c r="B3048" s="565"/>
    </row>
    <row r="3049" spans="2:2">
      <c r="B3049" s="565"/>
    </row>
    <row r="3050" spans="2:2">
      <c r="B3050" s="565"/>
    </row>
    <row r="3051" spans="2:2">
      <c r="B3051" s="565"/>
    </row>
    <row r="3052" spans="2:2">
      <c r="B3052" s="565"/>
    </row>
    <row r="3053" spans="2:2">
      <c r="B3053" s="565"/>
    </row>
    <row r="3054" spans="2:2">
      <c r="B3054" s="565"/>
    </row>
    <row r="3055" spans="2:2">
      <c r="B3055" s="565"/>
    </row>
    <row r="3056" spans="2:2">
      <c r="B3056" s="565"/>
    </row>
    <row r="3057" spans="2:2">
      <c r="B3057" s="565"/>
    </row>
    <row r="3058" spans="2:2">
      <c r="B3058" s="565"/>
    </row>
    <row r="3059" spans="2:2">
      <c r="B3059" s="565"/>
    </row>
    <row r="3060" spans="2:2">
      <c r="B3060" s="565"/>
    </row>
    <row r="3061" spans="2:2">
      <c r="B3061" s="565"/>
    </row>
    <row r="3062" spans="2:2">
      <c r="B3062" s="565"/>
    </row>
    <row r="3063" spans="2:2">
      <c r="B3063" s="565"/>
    </row>
    <row r="3064" spans="2:2">
      <c r="B3064" s="565"/>
    </row>
    <row r="3065" spans="2:2">
      <c r="B3065" s="565"/>
    </row>
    <row r="3066" spans="2:2">
      <c r="B3066" s="565"/>
    </row>
    <row r="3067" spans="2:2">
      <c r="B3067" s="565"/>
    </row>
    <row r="3068" spans="2:2">
      <c r="B3068" s="565"/>
    </row>
    <row r="3069" spans="2:2">
      <c r="B3069" s="565"/>
    </row>
    <row r="3070" spans="2:2">
      <c r="B3070" s="565"/>
    </row>
    <row r="3071" spans="2:2">
      <c r="B3071" s="565"/>
    </row>
    <row r="3072" spans="2:2">
      <c r="B3072" s="565"/>
    </row>
    <row r="3073" spans="2:2">
      <c r="B3073" s="565"/>
    </row>
    <row r="3074" spans="2:2">
      <c r="B3074" s="565"/>
    </row>
    <row r="3075" spans="2:2">
      <c r="B3075" s="565"/>
    </row>
    <row r="3076" spans="2:2">
      <c r="B3076" s="565"/>
    </row>
    <row r="3077" spans="2:2">
      <c r="B3077" s="565"/>
    </row>
    <row r="3078" spans="2:2">
      <c r="B3078" s="565"/>
    </row>
    <row r="3079" spans="2:2">
      <c r="B3079" s="565"/>
    </row>
    <row r="3080" spans="2:2">
      <c r="B3080" s="565"/>
    </row>
    <row r="3081" spans="2:2">
      <c r="B3081" s="565"/>
    </row>
    <row r="3082" spans="2:2">
      <c r="B3082" s="565"/>
    </row>
    <row r="3083" spans="2:2">
      <c r="B3083" s="565"/>
    </row>
    <row r="3084" spans="2:2">
      <c r="B3084" s="565"/>
    </row>
    <row r="3085" spans="2:2">
      <c r="B3085" s="565"/>
    </row>
    <row r="3086" spans="2:2">
      <c r="B3086" s="565"/>
    </row>
    <row r="3087" spans="2:2">
      <c r="B3087" s="565"/>
    </row>
    <row r="3088" spans="2:2">
      <c r="B3088" s="565"/>
    </row>
    <row r="3089" spans="2:2">
      <c r="B3089" s="565"/>
    </row>
    <row r="3090" spans="2:2">
      <c r="B3090" s="565"/>
    </row>
    <row r="3091" spans="2:2">
      <c r="B3091" s="565"/>
    </row>
    <row r="3092" spans="2:2">
      <c r="B3092" s="565"/>
    </row>
    <row r="3093" spans="2:2">
      <c r="B3093" s="565"/>
    </row>
    <row r="3094" spans="2:2">
      <c r="B3094" s="565"/>
    </row>
    <row r="3095" spans="2:2">
      <c r="B3095" s="565"/>
    </row>
    <row r="3096" spans="2:2">
      <c r="B3096" s="565"/>
    </row>
    <row r="3097" spans="2:2">
      <c r="B3097" s="565"/>
    </row>
    <row r="3098" spans="2:2">
      <c r="B3098" s="565"/>
    </row>
    <row r="3099" spans="2:2">
      <c r="B3099" s="565"/>
    </row>
    <row r="3100" spans="2:2">
      <c r="B3100" s="565"/>
    </row>
    <row r="3101" spans="2:2">
      <c r="B3101" s="565"/>
    </row>
    <row r="3102" spans="2:2">
      <c r="B3102" s="565"/>
    </row>
    <row r="3103" spans="2:2">
      <c r="B3103" s="565"/>
    </row>
    <row r="3104" spans="2:2">
      <c r="B3104" s="565"/>
    </row>
    <row r="3105" spans="2:2">
      <c r="B3105" s="565"/>
    </row>
    <row r="3106" spans="2:2">
      <c r="B3106" s="565"/>
    </row>
    <row r="3107" spans="2:2">
      <c r="B3107" s="565"/>
    </row>
    <row r="3108" spans="2:2">
      <c r="B3108" s="565"/>
    </row>
    <row r="3109" spans="2:2">
      <c r="B3109" s="565"/>
    </row>
    <row r="3110" spans="2:2">
      <c r="B3110" s="565"/>
    </row>
    <row r="3111" spans="2:2">
      <c r="B3111" s="565"/>
    </row>
    <row r="3112" spans="2:2">
      <c r="B3112" s="565"/>
    </row>
    <row r="3113" spans="2:2">
      <c r="B3113" s="565"/>
    </row>
    <row r="3114" spans="2:2">
      <c r="B3114" s="565"/>
    </row>
    <row r="3115" spans="2:2">
      <c r="B3115" s="565"/>
    </row>
    <row r="3116" spans="2:2">
      <c r="B3116" s="565"/>
    </row>
    <row r="3117" spans="2:2">
      <c r="B3117" s="565"/>
    </row>
    <row r="3118" spans="2:2">
      <c r="B3118" s="565"/>
    </row>
    <row r="3119" spans="2:2">
      <c r="B3119" s="565"/>
    </row>
    <row r="3120" spans="2:2">
      <c r="B3120" s="565"/>
    </row>
    <row r="3121" spans="2:2">
      <c r="B3121" s="565"/>
    </row>
    <row r="3122" spans="2:2">
      <c r="B3122" s="565"/>
    </row>
    <row r="3123" spans="2:2">
      <c r="B3123" s="565"/>
    </row>
    <row r="3124" spans="2:2">
      <c r="B3124" s="565"/>
    </row>
    <row r="3125" spans="2:2">
      <c r="B3125" s="565"/>
    </row>
    <row r="3126" spans="2:2">
      <c r="B3126" s="565"/>
    </row>
    <row r="3127" spans="2:2">
      <c r="B3127" s="565"/>
    </row>
    <row r="3128" spans="2:2">
      <c r="B3128" s="565"/>
    </row>
    <row r="3129" spans="2:2">
      <c r="B3129" s="565"/>
    </row>
    <row r="3130" spans="2:2">
      <c r="B3130" s="565"/>
    </row>
    <row r="3131" spans="2:2">
      <c r="B3131" s="565"/>
    </row>
    <row r="3132" spans="2:2">
      <c r="B3132" s="565"/>
    </row>
    <row r="3133" spans="2:2">
      <c r="B3133" s="565"/>
    </row>
    <row r="3134" spans="2:2">
      <c r="B3134" s="565"/>
    </row>
    <row r="3135" spans="2:2">
      <c r="B3135" s="565"/>
    </row>
    <row r="3136" spans="2:2">
      <c r="B3136" s="565"/>
    </row>
    <row r="3137" spans="2:2">
      <c r="B3137" s="565"/>
    </row>
    <row r="3138" spans="2:2">
      <c r="B3138" s="565"/>
    </row>
    <row r="3139" spans="2:2">
      <c r="B3139" s="565"/>
    </row>
    <row r="3140" spans="2:2">
      <c r="B3140" s="565"/>
    </row>
    <row r="3141" spans="2:2">
      <c r="B3141" s="565"/>
    </row>
    <row r="3142" spans="2:2">
      <c r="B3142" s="565"/>
    </row>
    <row r="3143" spans="2:2">
      <c r="B3143" s="565"/>
    </row>
    <row r="3144" spans="2:2">
      <c r="B3144" s="565"/>
    </row>
    <row r="3145" spans="2:2">
      <c r="B3145" s="565"/>
    </row>
    <row r="3146" spans="2:2">
      <c r="B3146" s="565"/>
    </row>
    <row r="3147" spans="2:2">
      <c r="B3147" s="565"/>
    </row>
    <row r="3148" spans="2:2">
      <c r="B3148" s="565"/>
    </row>
    <row r="3149" spans="2:2">
      <c r="B3149" s="565"/>
    </row>
    <row r="3150" spans="2:2">
      <c r="B3150" s="565"/>
    </row>
    <row r="3151" spans="2:2">
      <c r="B3151" s="565"/>
    </row>
    <row r="3152" spans="2:2">
      <c r="B3152" s="565"/>
    </row>
    <row r="3153" spans="2:2">
      <c r="B3153" s="565"/>
    </row>
    <row r="3154" spans="2:2">
      <c r="B3154" s="565"/>
    </row>
    <row r="3155" spans="2:2">
      <c r="B3155" s="565"/>
    </row>
    <row r="3156" spans="2:2">
      <c r="B3156" s="565"/>
    </row>
    <row r="3157" spans="2:2">
      <c r="B3157" s="565"/>
    </row>
    <row r="3158" spans="2:2">
      <c r="B3158" s="565"/>
    </row>
    <row r="3159" spans="2:2">
      <c r="B3159" s="565"/>
    </row>
    <row r="3160" spans="2:2">
      <c r="B3160" s="565"/>
    </row>
    <row r="3161" spans="2:2">
      <c r="B3161" s="565"/>
    </row>
    <row r="3162" spans="2:2">
      <c r="B3162" s="565"/>
    </row>
    <row r="3163" spans="2:2">
      <c r="B3163" s="565"/>
    </row>
    <row r="3164" spans="2:2">
      <c r="B3164" s="565"/>
    </row>
    <row r="3165" spans="2:2">
      <c r="B3165" s="565"/>
    </row>
    <row r="3166" spans="2:2">
      <c r="B3166" s="565"/>
    </row>
    <row r="3167" spans="2:2">
      <c r="B3167" s="565"/>
    </row>
    <row r="3168" spans="2:2">
      <c r="B3168" s="565"/>
    </row>
    <row r="3169" spans="2:2">
      <c r="B3169" s="565"/>
    </row>
    <row r="3170" spans="2:2">
      <c r="B3170" s="565"/>
    </row>
    <row r="3171" spans="2:2">
      <c r="B3171" s="565"/>
    </row>
    <row r="3172" spans="2:2">
      <c r="B3172" s="565"/>
    </row>
    <row r="3173" spans="2:2">
      <c r="B3173" s="565"/>
    </row>
    <row r="3174" spans="2:2">
      <c r="B3174" s="565"/>
    </row>
    <row r="3175" spans="2:2">
      <c r="B3175" s="565"/>
    </row>
    <row r="3176" spans="2:2">
      <c r="B3176" s="565"/>
    </row>
    <row r="3177" spans="2:2">
      <c r="B3177" s="565"/>
    </row>
    <row r="3178" spans="2:2">
      <c r="B3178" s="565"/>
    </row>
    <row r="3179" spans="2:2">
      <c r="B3179" s="565"/>
    </row>
    <row r="3180" spans="2:2">
      <c r="B3180" s="565"/>
    </row>
    <row r="3181" spans="2:2">
      <c r="B3181" s="565"/>
    </row>
    <row r="3182" spans="2:2">
      <c r="B3182" s="565"/>
    </row>
    <row r="3183" spans="2:2">
      <c r="B3183" s="565"/>
    </row>
    <row r="3184" spans="2:2">
      <c r="B3184" s="565"/>
    </row>
    <row r="3185" spans="2:2">
      <c r="B3185" s="565"/>
    </row>
    <row r="3186" spans="2:2">
      <c r="B3186" s="565"/>
    </row>
    <row r="3187" spans="2:2">
      <c r="B3187" s="565"/>
    </row>
    <row r="3188" spans="2:2">
      <c r="B3188" s="565"/>
    </row>
    <row r="3189" spans="2:2">
      <c r="B3189" s="565"/>
    </row>
    <row r="3190" spans="2:2">
      <c r="B3190" s="565"/>
    </row>
    <row r="3191" spans="2:2">
      <c r="B3191" s="565"/>
    </row>
    <row r="3192" spans="2:2">
      <c r="B3192" s="565"/>
    </row>
    <row r="3193" spans="2:2">
      <c r="B3193" s="565"/>
    </row>
    <row r="3194" spans="2:2">
      <c r="B3194" s="565"/>
    </row>
    <row r="3195" spans="2:2">
      <c r="B3195" s="565"/>
    </row>
    <row r="3196" spans="2:2">
      <c r="B3196" s="565"/>
    </row>
    <row r="3197" spans="2:2">
      <c r="B3197" s="565"/>
    </row>
    <row r="3198" spans="2:2">
      <c r="B3198" s="565"/>
    </row>
    <row r="3199" spans="2:2">
      <c r="B3199" s="565"/>
    </row>
    <row r="3200" spans="2:2">
      <c r="B3200" s="565"/>
    </row>
    <row r="3201" spans="2:2">
      <c r="B3201" s="565"/>
    </row>
    <row r="3202" spans="2:2">
      <c r="B3202" s="565"/>
    </row>
    <row r="3203" spans="2:2">
      <c r="B3203" s="565"/>
    </row>
    <row r="3204" spans="2:2">
      <c r="B3204" s="565"/>
    </row>
    <row r="3205" spans="2:2">
      <c r="B3205" s="565"/>
    </row>
    <row r="3206" spans="2:2">
      <c r="B3206" s="565"/>
    </row>
    <row r="3207" spans="2:2">
      <c r="B3207" s="565"/>
    </row>
    <row r="3208" spans="2:2">
      <c r="B3208" s="565"/>
    </row>
    <row r="3209" spans="2:2">
      <c r="B3209" s="565"/>
    </row>
    <row r="3210" spans="2:2">
      <c r="B3210" s="565"/>
    </row>
    <row r="3211" spans="2:2">
      <c r="B3211" s="565"/>
    </row>
    <row r="3212" spans="2:2">
      <c r="B3212" s="565"/>
    </row>
    <row r="3213" spans="2:2">
      <c r="B3213" s="565"/>
    </row>
    <row r="3214" spans="2:2">
      <c r="B3214" s="565"/>
    </row>
    <row r="3215" spans="2:2">
      <c r="B3215" s="565"/>
    </row>
    <row r="3216" spans="2:2">
      <c r="B3216" s="565"/>
    </row>
    <row r="3217" spans="2:2">
      <c r="B3217" s="565"/>
    </row>
    <row r="3218" spans="2:2">
      <c r="B3218" s="565"/>
    </row>
    <row r="3219" spans="2:2">
      <c r="B3219" s="565"/>
    </row>
    <row r="3220" spans="2:2">
      <c r="B3220" s="565"/>
    </row>
    <row r="3221" spans="2:2">
      <c r="B3221" s="565"/>
    </row>
    <row r="3222" spans="2:2">
      <c r="B3222" s="565"/>
    </row>
    <row r="3223" spans="2:2">
      <c r="B3223" s="565"/>
    </row>
    <row r="3224" spans="2:2">
      <c r="B3224" s="565"/>
    </row>
    <row r="3225" spans="2:2">
      <c r="B3225" s="565"/>
    </row>
    <row r="3226" spans="2:2">
      <c r="B3226" s="565"/>
    </row>
    <row r="3227" spans="2:2">
      <c r="B3227" s="565"/>
    </row>
    <row r="3228" spans="2:2">
      <c r="B3228" s="565"/>
    </row>
    <row r="3229" spans="2:2">
      <c r="B3229" s="565"/>
    </row>
    <row r="3230" spans="2:2">
      <c r="B3230" s="565"/>
    </row>
    <row r="3231" spans="2:2">
      <c r="B3231" s="565"/>
    </row>
    <row r="3232" spans="2:2">
      <c r="B3232" s="565"/>
    </row>
    <row r="3233" spans="2:2">
      <c r="B3233" s="565"/>
    </row>
    <row r="3234" spans="2:2">
      <c r="B3234" s="565"/>
    </row>
    <row r="3235" spans="2:2">
      <c r="B3235" s="565"/>
    </row>
    <row r="3236" spans="2:2">
      <c r="B3236" s="565"/>
    </row>
    <row r="3237" spans="2:2">
      <c r="B3237" s="565"/>
    </row>
    <row r="3238" spans="2:2">
      <c r="B3238" s="565"/>
    </row>
    <row r="3239" spans="2:2">
      <c r="B3239" s="565"/>
    </row>
    <row r="3240" spans="2:2">
      <c r="B3240" s="565"/>
    </row>
    <row r="3241" spans="2:2">
      <c r="B3241" s="565"/>
    </row>
    <row r="3242" spans="2:2">
      <c r="B3242" s="565"/>
    </row>
    <row r="3243" spans="2:2">
      <c r="B3243" s="565"/>
    </row>
    <row r="3244" spans="2:2">
      <c r="B3244" s="565"/>
    </row>
    <row r="3245" spans="2:2">
      <c r="B3245" s="565"/>
    </row>
    <row r="3246" spans="2:2">
      <c r="B3246" s="565"/>
    </row>
    <row r="3247" spans="2:2">
      <c r="B3247" s="565"/>
    </row>
    <row r="3248" spans="2:2">
      <c r="B3248" s="565"/>
    </row>
    <row r="3249" spans="2:2">
      <c r="B3249" s="565"/>
    </row>
    <row r="3250" spans="2:2">
      <c r="B3250" s="565"/>
    </row>
    <row r="3251" spans="2:2">
      <c r="B3251" s="565"/>
    </row>
    <row r="3252" spans="2:2">
      <c r="B3252" s="565"/>
    </row>
    <row r="3253" spans="2:2">
      <c r="B3253" s="565"/>
    </row>
    <row r="3254" spans="2:2">
      <c r="B3254" s="565"/>
    </row>
    <row r="3255" spans="2:2">
      <c r="B3255" s="565"/>
    </row>
    <row r="3256" spans="2:2">
      <c r="B3256" s="565"/>
    </row>
    <row r="3257" spans="2:2">
      <c r="B3257" s="565"/>
    </row>
    <row r="3258" spans="2:2">
      <c r="B3258" s="565"/>
    </row>
    <row r="3259" spans="2:2">
      <c r="B3259" s="565"/>
    </row>
    <row r="3260" spans="2:2">
      <c r="B3260" s="565"/>
    </row>
    <row r="3261" spans="2:2">
      <c r="B3261" s="565"/>
    </row>
    <row r="3262" spans="2:2">
      <c r="B3262" s="565"/>
    </row>
    <row r="3263" spans="2:2">
      <c r="B3263" s="565"/>
    </row>
    <row r="3264" spans="2:2">
      <c r="B3264" s="565"/>
    </row>
    <row r="3265" spans="2:2">
      <c r="B3265" s="565"/>
    </row>
    <row r="3266" spans="2:2">
      <c r="B3266" s="565"/>
    </row>
    <row r="3267" spans="2:2">
      <c r="B3267" s="565"/>
    </row>
    <row r="3268" spans="2:2">
      <c r="B3268" s="565"/>
    </row>
    <row r="3269" spans="2:2">
      <c r="B3269" s="565"/>
    </row>
    <row r="3270" spans="2:2">
      <c r="B3270" s="565"/>
    </row>
    <row r="3271" spans="2:2">
      <c r="B3271" s="565"/>
    </row>
    <row r="3272" spans="2:2">
      <c r="B3272" s="565"/>
    </row>
    <row r="3273" spans="2:2">
      <c r="B3273" s="565"/>
    </row>
    <row r="3274" spans="2:2">
      <c r="B3274" s="565"/>
    </row>
    <row r="3275" spans="2:2">
      <c r="B3275" s="565"/>
    </row>
    <row r="3276" spans="2:2">
      <c r="B3276" s="565"/>
    </row>
    <row r="3277" spans="2:2">
      <c r="B3277" s="565"/>
    </row>
    <row r="3278" spans="2:2">
      <c r="B3278" s="565"/>
    </row>
    <row r="3279" spans="2:2">
      <c r="B3279" s="565"/>
    </row>
    <row r="3280" spans="2:2">
      <c r="B3280" s="565"/>
    </row>
    <row r="3281" spans="2:2">
      <c r="B3281" s="565"/>
    </row>
    <row r="3282" spans="2:2">
      <c r="B3282" s="565"/>
    </row>
    <row r="3283" spans="2:2">
      <c r="B3283" s="565"/>
    </row>
    <row r="3284" spans="2:2">
      <c r="B3284" s="565"/>
    </row>
    <row r="3285" spans="2:2">
      <c r="B3285" s="565"/>
    </row>
    <row r="3286" spans="2:2">
      <c r="B3286" s="565"/>
    </row>
    <row r="3287" spans="2:2">
      <c r="B3287" s="565"/>
    </row>
    <row r="3288" spans="2:2">
      <c r="B3288" s="565"/>
    </row>
    <row r="3289" spans="2:2">
      <c r="B3289" s="565"/>
    </row>
    <row r="3290" spans="2:2">
      <c r="B3290" s="565"/>
    </row>
    <row r="3291" spans="2:2">
      <c r="B3291" s="565"/>
    </row>
    <row r="3292" spans="2:2">
      <c r="B3292" s="565"/>
    </row>
    <row r="3293" spans="2:2">
      <c r="B3293" s="565"/>
    </row>
    <row r="3294" spans="2:2">
      <c r="B3294" s="565"/>
    </row>
    <row r="3295" spans="2:2">
      <c r="B3295" s="565"/>
    </row>
    <row r="3296" spans="2:2">
      <c r="B3296" s="565"/>
    </row>
    <row r="3297" spans="2:2">
      <c r="B3297" s="565"/>
    </row>
    <row r="3298" spans="2:2">
      <c r="B3298" s="565"/>
    </row>
    <row r="3299" spans="2:2">
      <c r="B3299" s="565"/>
    </row>
    <row r="3300" spans="2:2">
      <c r="B3300" s="565"/>
    </row>
    <row r="3301" spans="2:2">
      <c r="B3301" s="565"/>
    </row>
    <row r="3302" spans="2:2">
      <c r="B3302" s="565"/>
    </row>
    <row r="3303" spans="2:2">
      <c r="B3303" s="565"/>
    </row>
    <row r="3304" spans="2:2">
      <c r="B3304" s="565"/>
    </row>
    <row r="3305" spans="2:2">
      <c r="B3305" s="565"/>
    </row>
    <row r="3306" spans="2:2">
      <c r="B3306" s="565"/>
    </row>
    <row r="3307" spans="2:2">
      <c r="B3307" s="565"/>
    </row>
    <row r="3308" spans="2:2">
      <c r="B3308" s="565"/>
    </row>
    <row r="3309" spans="2:2">
      <c r="B3309" s="565"/>
    </row>
    <row r="3310" spans="2:2">
      <c r="B3310" s="565"/>
    </row>
    <row r="3311" spans="2:2">
      <c r="B3311" s="565"/>
    </row>
    <row r="3312" spans="2:2">
      <c r="B3312" s="565"/>
    </row>
    <row r="3313" spans="2:2">
      <c r="B3313" s="565"/>
    </row>
    <row r="3314" spans="2:2">
      <c r="B3314" s="565"/>
    </row>
    <row r="3315" spans="2:2">
      <c r="B3315" s="565"/>
    </row>
    <row r="3316" spans="2:2">
      <c r="B3316" s="565"/>
    </row>
    <row r="3317" spans="2:2">
      <c r="B3317" s="565"/>
    </row>
    <row r="3318" spans="2:2">
      <c r="B3318" s="565"/>
    </row>
    <row r="3319" spans="2:2">
      <c r="B3319" s="565"/>
    </row>
    <row r="3320" spans="2:2">
      <c r="B3320" s="565"/>
    </row>
    <row r="3321" spans="2:2">
      <c r="B3321" s="565"/>
    </row>
    <row r="3322" spans="2:2">
      <c r="B3322" s="565"/>
    </row>
    <row r="3323" spans="2:2">
      <c r="B3323" s="565"/>
    </row>
    <row r="3324" spans="2:2">
      <c r="B3324" s="565"/>
    </row>
    <row r="3325" spans="2:2">
      <c r="B3325" s="565"/>
    </row>
    <row r="3326" spans="2:2">
      <c r="B3326" s="565"/>
    </row>
    <row r="3327" spans="2:2">
      <c r="B3327" s="565"/>
    </row>
    <row r="3328" spans="2:2">
      <c r="B3328" s="565"/>
    </row>
    <row r="3329" spans="2:2">
      <c r="B3329" s="565"/>
    </row>
    <row r="3330" spans="2:2">
      <c r="B3330" s="565"/>
    </row>
    <row r="3331" spans="2:2">
      <c r="B3331" s="565"/>
    </row>
    <row r="3332" spans="2:2">
      <c r="B3332" s="565"/>
    </row>
    <row r="3333" spans="2:2">
      <c r="B3333" s="565"/>
    </row>
    <row r="3334" spans="2:2">
      <c r="B3334" s="565"/>
    </row>
    <row r="3335" spans="2:2">
      <c r="B3335" s="565"/>
    </row>
    <row r="3336" spans="2:2">
      <c r="B3336" s="565"/>
    </row>
    <row r="3337" spans="2:2">
      <c r="B3337" s="565"/>
    </row>
    <row r="3338" spans="2:2">
      <c r="B3338" s="565"/>
    </row>
    <row r="3339" spans="2:2">
      <c r="B3339" s="565"/>
    </row>
    <row r="3340" spans="2:2">
      <c r="B3340" s="565"/>
    </row>
    <row r="3341" spans="2:2">
      <c r="B3341" s="565"/>
    </row>
    <row r="3342" spans="2:2">
      <c r="B3342" s="565"/>
    </row>
    <row r="3343" spans="2:2">
      <c r="B3343" s="565"/>
    </row>
    <row r="3344" spans="2:2">
      <c r="B3344" s="565"/>
    </row>
    <row r="3345" spans="2:2">
      <c r="B3345" s="565"/>
    </row>
    <row r="3346" spans="2:2">
      <c r="B3346" s="565"/>
    </row>
    <row r="3347" spans="2:2">
      <c r="B3347" s="565"/>
    </row>
    <row r="3348" spans="2:2">
      <c r="B3348" s="565"/>
    </row>
    <row r="3349" spans="2:2">
      <c r="B3349" s="565"/>
    </row>
    <row r="3350" spans="2:2">
      <c r="B3350" s="565"/>
    </row>
    <row r="3351" spans="2:2">
      <c r="B3351" s="565"/>
    </row>
    <row r="3352" spans="2:2">
      <c r="B3352" s="565"/>
    </row>
    <row r="3353" spans="2:2">
      <c r="B3353" s="565"/>
    </row>
    <row r="3354" spans="2:2">
      <c r="B3354" s="565"/>
    </row>
    <row r="3355" spans="2:2">
      <c r="B3355" s="565"/>
    </row>
    <row r="3356" spans="2:2">
      <c r="B3356" s="565"/>
    </row>
    <row r="3357" spans="2:2">
      <c r="B3357" s="565"/>
    </row>
    <row r="3358" spans="2:2">
      <c r="B3358" s="565"/>
    </row>
    <row r="3359" spans="2:2">
      <c r="B3359" s="565"/>
    </row>
    <row r="3360" spans="2:2">
      <c r="B3360" s="565"/>
    </row>
    <row r="3361" spans="2:2">
      <c r="B3361" s="565"/>
    </row>
    <row r="3362" spans="2:2">
      <c r="B3362" s="565"/>
    </row>
    <row r="3363" spans="2:2">
      <c r="B3363" s="565"/>
    </row>
    <row r="3364" spans="2:2">
      <c r="B3364" s="565"/>
    </row>
    <row r="3365" spans="2:2">
      <c r="B3365" s="565"/>
    </row>
    <row r="3366" spans="2:2">
      <c r="B3366" s="565"/>
    </row>
    <row r="3367" spans="2:2">
      <c r="B3367" s="565"/>
    </row>
    <row r="3368" spans="2:2">
      <c r="B3368" s="565"/>
    </row>
    <row r="3369" spans="2:2">
      <c r="B3369" s="565"/>
    </row>
    <row r="3370" spans="2:2">
      <c r="B3370" s="565"/>
    </row>
    <row r="3371" spans="2:2">
      <c r="B3371" s="565"/>
    </row>
    <row r="3372" spans="2:2">
      <c r="B3372" s="565"/>
    </row>
    <row r="3373" spans="2:2">
      <c r="B3373" s="565"/>
    </row>
    <row r="3374" spans="2:2">
      <c r="B3374" s="565"/>
    </row>
    <row r="3375" spans="2:2">
      <c r="B3375" s="565"/>
    </row>
    <row r="3376" spans="2:2">
      <c r="B3376" s="565"/>
    </row>
    <row r="3377" spans="2:2">
      <c r="B3377" s="565"/>
    </row>
    <row r="3378" spans="2:2">
      <c r="B3378" s="565"/>
    </row>
    <row r="3379" spans="2:2">
      <c r="B3379" s="565"/>
    </row>
    <row r="3380" spans="2:2">
      <c r="B3380" s="565"/>
    </row>
    <row r="3381" spans="2:2">
      <c r="B3381" s="565"/>
    </row>
    <row r="3382" spans="2:2">
      <c r="B3382" s="565"/>
    </row>
    <row r="3383" spans="2:2">
      <c r="B3383" s="565"/>
    </row>
    <row r="3384" spans="2:2">
      <c r="B3384" s="565"/>
    </row>
    <row r="3385" spans="2:2">
      <c r="B3385" s="565"/>
    </row>
    <row r="3386" spans="2:2">
      <c r="B3386" s="565"/>
    </row>
    <row r="3387" spans="2:2">
      <c r="B3387" s="565"/>
    </row>
    <row r="3388" spans="2:2">
      <c r="B3388" s="565"/>
    </row>
    <row r="3389" spans="2:2">
      <c r="B3389" s="565"/>
    </row>
    <row r="3390" spans="2:2">
      <c r="B3390" s="565"/>
    </row>
    <row r="3391" spans="2:2">
      <c r="B3391" s="565"/>
    </row>
    <row r="3392" spans="2:2">
      <c r="B3392" s="565"/>
    </row>
    <row r="3393" spans="2:2">
      <c r="B3393" s="565"/>
    </row>
    <row r="3394" spans="2:2">
      <c r="B3394" s="565"/>
    </row>
    <row r="3395" spans="2:2">
      <c r="B3395" s="565"/>
    </row>
    <row r="3396" spans="2:2">
      <c r="B3396" s="565"/>
    </row>
    <row r="3397" spans="2:2">
      <c r="B3397" s="565"/>
    </row>
    <row r="3398" spans="2:2">
      <c r="B3398" s="565"/>
    </row>
    <row r="3399" spans="2:2">
      <c r="B3399" s="565"/>
    </row>
    <row r="3400" spans="2:2">
      <c r="B3400" s="565"/>
    </row>
    <row r="3401" spans="2:2">
      <c r="B3401" s="565"/>
    </row>
    <row r="3402" spans="2:2">
      <c r="B3402" s="565"/>
    </row>
    <row r="3403" spans="2:2">
      <c r="B3403" s="565"/>
    </row>
    <row r="3404" spans="2:2">
      <c r="B3404" s="565"/>
    </row>
    <row r="3405" spans="2:2">
      <c r="B3405" s="565"/>
    </row>
    <row r="3406" spans="2:2">
      <c r="B3406" s="565"/>
    </row>
    <row r="3407" spans="2:2">
      <c r="B3407" s="565"/>
    </row>
    <row r="3408" spans="2:2">
      <c r="B3408" s="565"/>
    </row>
    <row r="3409" spans="2:2">
      <c r="B3409" s="565"/>
    </row>
    <row r="3410" spans="2:2">
      <c r="B3410" s="565"/>
    </row>
    <row r="3411" spans="2:2">
      <c r="B3411" s="565"/>
    </row>
    <row r="3412" spans="2:2">
      <c r="B3412" s="565"/>
    </row>
    <row r="3413" spans="2:2">
      <c r="B3413" s="565"/>
    </row>
    <row r="3414" spans="2:2">
      <c r="B3414" s="565"/>
    </row>
    <row r="3415" spans="2:2">
      <c r="B3415" s="565"/>
    </row>
    <row r="3416" spans="2:2">
      <c r="B3416" s="565"/>
    </row>
    <row r="3417" spans="2:2">
      <c r="B3417" s="565"/>
    </row>
    <row r="3418" spans="2:2">
      <c r="B3418" s="565"/>
    </row>
    <row r="3419" spans="2:2">
      <c r="B3419" s="565"/>
    </row>
    <row r="3420" spans="2:2">
      <c r="B3420" s="565"/>
    </row>
    <row r="3421" spans="2:2">
      <c r="B3421" s="565"/>
    </row>
    <row r="3422" spans="2:2">
      <c r="B3422" s="565"/>
    </row>
    <row r="3423" spans="2:2">
      <c r="B3423" s="565"/>
    </row>
    <row r="3424" spans="2:2">
      <c r="B3424" s="565"/>
    </row>
    <row r="3425" spans="2:2">
      <c r="B3425" s="565"/>
    </row>
    <row r="3426" spans="2:2">
      <c r="B3426" s="565"/>
    </row>
    <row r="3427" spans="2:2">
      <c r="B3427" s="565"/>
    </row>
    <row r="3428" spans="2:2">
      <c r="B3428" s="565"/>
    </row>
    <row r="3429" spans="2:2">
      <c r="B3429" s="565"/>
    </row>
    <row r="3430" spans="2:2">
      <c r="B3430" s="565"/>
    </row>
    <row r="3431" spans="2:2">
      <c r="B3431" s="565"/>
    </row>
    <row r="3432" spans="2:2">
      <c r="B3432" s="565"/>
    </row>
    <row r="3433" spans="2:2">
      <c r="B3433" s="565"/>
    </row>
    <row r="3434" spans="2:2">
      <c r="B3434" s="565"/>
    </row>
    <row r="3435" spans="2:2">
      <c r="B3435" s="565"/>
    </row>
    <row r="3436" spans="2:2">
      <c r="B3436" s="565"/>
    </row>
    <row r="3437" spans="2:2">
      <c r="B3437" s="565"/>
    </row>
    <row r="3438" spans="2:2">
      <c r="B3438" s="565"/>
    </row>
    <row r="3439" spans="2:2">
      <c r="B3439" s="565"/>
    </row>
    <row r="3440" spans="2:2">
      <c r="B3440" s="565"/>
    </row>
    <row r="3441" spans="2:2">
      <c r="B3441" s="565"/>
    </row>
    <row r="3442" spans="2:2">
      <c r="B3442" s="565"/>
    </row>
    <row r="3443" spans="2:2">
      <c r="B3443" s="565"/>
    </row>
    <row r="3444" spans="2:2">
      <c r="B3444" s="565"/>
    </row>
    <row r="3445" spans="2:2">
      <c r="B3445" s="565"/>
    </row>
    <row r="3446" spans="2:2">
      <c r="B3446" s="565"/>
    </row>
    <row r="3447" spans="2:2">
      <c r="B3447" s="565"/>
    </row>
    <row r="3448" spans="2:2">
      <c r="B3448" s="565"/>
    </row>
    <row r="3449" spans="2:2">
      <c r="B3449" s="565"/>
    </row>
    <row r="3450" spans="2:2">
      <c r="B3450" s="565"/>
    </row>
    <row r="3451" spans="2:2">
      <c r="B3451" s="565"/>
    </row>
    <row r="3452" spans="2:2">
      <c r="B3452" s="565"/>
    </row>
    <row r="3453" spans="2:2">
      <c r="B3453" s="565"/>
    </row>
    <row r="3454" spans="2:2">
      <c r="B3454" s="565"/>
    </row>
    <row r="3455" spans="2:2">
      <c r="B3455" s="565"/>
    </row>
    <row r="3456" spans="2:2">
      <c r="B3456" s="565"/>
    </row>
    <row r="3457" spans="2:2">
      <c r="B3457" s="565"/>
    </row>
    <row r="3458" spans="2:2">
      <c r="B3458" s="565"/>
    </row>
    <row r="3459" spans="2:2">
      <c r="B3459" s="565"/>
    </row>
    <row r="3460" spans="2:2">
      <c r="B3460" s="565"/>
    </row>
    <row r="3461" spans="2:2">
      <c r="B3461" s="565"/>
    </row>
    <row r="3462" spans="2:2">
      <c r="B3462" s="565"/>
    </row>
    <row r="3463" spans="2:2">
      <c r="B3463" s="565"/>
    </row>
    <row r="3464" spans="2:2">
      <c r="B3464" s="565"/>
    </row>
    <row r="3465" spans="2:2">
      <c r="B3465" s="565"/>
    </row>
    <row r="3466" spans="2:2">
      <c r="B3466" s="565"/>
    </row>
    <row r="3467" spans="2:2">
      <c r="B3467" s="565"/>
    </row>
    <row r="3468" spans="2:2">
      <c r="B3468" s="565"/>
    </row>
    <row r="3469" spans="2:2">
      <c r="B3469" s="565"/>
    </row>
    <row r="3470" spans="2:2">
      <c r="B3470" s="565"/>
    </row>
    <row r="3471" spans="2:2">
      <c r="B3471" s="565"/>
    </row>
    <row r="3472" spans="2:2">
      <c r="B3472" s="565"/>
    </row>
    <row r="3473" spans="2:2">
      <c r="B3473" s="565"/>
    </row>
    <row r="3474" spans="2:2">
      <c r="B3474" s="565"/>
    </row>
    <row r="3475" spans="2:2">
      <c r="B3475" s="565"/>
    </row>
    <row r="3476" spans="2:2">
      <c r="B3476" s="565"/>
    </row>
    <row r="3477" spans="2:2">
      <c r="B3477" s="565"/>
    </row>
    <row r="3478" spans="2:2">
      <c r="B3478" s="565"/>
    </row>
    <row r="3479" spans="2:2">
      <c r="B3479" s="565"/>
    </row>
    <row r="3480" spans="2:2">
      <c r="B3480" s="565"/>
    </row>
    <row r="3481" spans="2:2">
      <c r="B3481" s="565"/>
    </row>
    <row r="3482" spans="2:2">
      <c r="B3482" s="565"/>
    </row>
    <row r="3483" spans="2:2">
      <c r="B3483" s="565"/>
    </row>
    <row r="3484" spans="2:2">
      <c r="B3484" s="565"/>
    </row>
    <row r="3485" spans="2:2">
      <c r="B3485" s="565"/>
    </row>
    <row r="3486" spans="2:2">
      <c r="B3486" s="565"/>
    </row>
    <row r="3487" spans="2:2">
      <c r="B3487" s="565"/>
    </row>
    <row r="3488" spans="2:2">
      <c r="B3488" s="565"/>
    </row>
    <row r="3489" spans="2:2">
      <c r="B3489" s="565"/>
    </row>
    <row r="3490" spans="2:2">
      <c r="B3490" s="565"/>
    </row>
    <row r="3491" spans="2:2">
      <c r="B3491" s="565"/>
    </row>
    <row r="3492" spans="2:2">
      <c r="B3492" s="565"/>
    </row>
    <row r="3493" spans="2:2">
      <c r="B3493" s="565"/>
    </row>
    <row r="3494" spans="2:2">
      <c r="B3494" s="565"/>
    </row>
    <row r="3495" spans="2:2">
      <c r="B3495" s="565"/>
    </row>
    <row r="3496" spans="2:2">
      <c r="B3496" s="565"/>
    </row>
    <row r="3497" spans="2:2">
      <c r="B3497" s="565"/>
    </row>
    <row r="3498" spans="2:2">
      <c r="B3498" s="565"/>
    </row>
    <row r="3499" spans="2:2">
      <c r="B3499" s="565"/>
    </row>
    <row r="3500" spans="2:2">
      <c r="B3500" s="565"/>
    </row>
    <row r="3501" spans="2:2">
      <c r="B3501" s="565"/>
    </row>
    <row r="3502" spans="2:2">
      <c r="B3502" s="565"/>
    </row>
    <row r="3503" spans="2:2">
      <c r="B3503" s="565"/>
    </row>
    <row r="3504" spans="2:2">
      <c r="B3504" s="565"/>
    </row>
    <row r="3505" spans="2:2">
      <c r="B3505" s="565"/>
    </row>
    <row r="3506" spans="2:2">
      <c r="B3506" s="565"/>
    </row>
    <row r="3507" spans="2:2">
      <c r="B3507" s="565"/>
    </row>
    <row r="3508" spans="2:2">
      <c r="B3508" s="565"/>
    </row>
    <row r="3509" spans="2:2">
      <c r="B3509" s="565"/>
    </row>
    <row r="3510" spans="2:2">
      <c r="B3510" s="565"/>
    </row>
    <row r="3511" spans="2:2">
      <c r="B3511" s="565"/>
    </row>
    <row r="3512" spans="2:2">
      <c r="B3512" s="565"/>
    </row>
    <row r="3513" spans="2:2">
      <c r="B3513" s="565"/>
    </row>
    <row r="3514" spans="2:2">
      <c r="B3514" s="565"/>
    </row>
    <row r="3515" spans="2:2">
      <c r="B3515" s="565"/>
    </row>
    <row r="3516" spans="2:2">
      <c r="B3516" s="565"/>
    </row>
    <row r="3517" spans="2:2">
      <c r="B3517" s="565"/>
    </row>
    <row r="3518" spans="2:2">
      <c r="B3518" s="565"/>
    </row>
    <row r="3519" spans="2:2">
      <c r="B3519" s="565"/>
    </row>
    <row r="3520" spans="2:2">
      <c r="B3520" s="565"/>
    </row>
    <row r="3521" spans="2:2">
      <c r="B3521" s="565"/>
    </row>
    <row r="3522" spans="2:2">
      <c r="B3522" s="565"/>
    </row>
    <row r="3523" spans="2:2">
      <c r="B3523" s="565"/>
    </row>
    <row r="3524" spans="2:2">
      <c r="B3524" s="565"/>
    </row>
    <row r="3525" spans="2:2">
      <c r="B3525" s="565"/>
    </row>
    <row r="3526" spans="2:2">
      <c r="B3526" s="565"/>
    </row>
    <row r="3527" spans="2:2">
      <c r="B3527" s="565"/>
    </row>
    <row r="3528" spans="2:2">
      <c r="B3528" s="565"/>
    </row>
    <row r="3529" spans="2:2">
      <c r="B3529" s="565"/>
    </row>
    <row r="3530" spans="2:2">
      <c r="B3530" s="565"/>
    </row>
    <row r="3531" spans="2:2">
      <c r="B3531" s="565"/>
    </row>
    <row r="3532" spans="2:2">
      <c r="B3532" s="565"/>
    </row>
    <row r="3533" spans="2:2">
      <c r="B3533" s="565"/>
    </row>
    <row r="3534" spans="2:2">
      <c r="B3534" s="565"/>
    </row>
    <row r="3535" spans="2:2">
      <c r="B3535" s="565"/>
    </row>
    <row r="3536" spans="2:2">
      <c r="B3536" s="565"/>
    </row>
    <row r="3537" spans="2:2">
      <c r="B3537" s="565"/>
    </row>
    <row r="3538" spans="2:2">
      <c r="B3538" s="565"/>
    </row>
    <row r="3539" spans="2:2">
      <c r="B3539" s="565"/>
    </row>
    <row r="3540" spans="2:2">
      <c r="B3540" s="565"/>
    </row>
    <row r="3541" spans="2:2">
      <c r="B3541" s="565"/>
    </row>
    <row r="3542" spans="2:2">
      <c r="B3542" s="565"/>
    </row>
    <row r="3543" spans="2:2">
      <c r="B3543" s="565"/>
    </row>
    <row r="3544" spans="2:2">
      <c r="B3544" s="565"/>
    </row>
    <row r="3545" spans="2:2">
      <c r="B3545" s="565"/>
    </row>
    <row r="3546" spans="2:2">
      <c r="B3546" s="565"/>
    </row>
    <row r="3547" spans="2:2">
      <c r="B3547" s="565"/>
    </row>
    <row r="3548" spans="2:2">
      <c r="B3548" s="565"/>
    </row>
    <row r="3549" spans="2:2">
      <c r="B3549" s="565"/>
    </row>
    <row r="3550" spans="2:2">
      <c r="B3550" s="565"/>
    </row>
    <row r="3551" spans="2:2">
      <c r="B3551" s="565"/>
    </row>
    <row r="3552" spans="2:2">
      <c r="B3552" s="565"/>
    </row>
    <row r="3553" spans="2:2">
      <c r="B3553" s="565"/>
    </row>
    <row r="3554" spans="2:2">
      <c r="B3554" s="565"/>
    </row>
    <row r="3555" spans="2:2">
      <c r="B3555" s="565"/>
    </row>
    <row r="3556" spans="2:2">
      <c r="B3556" s="565"/>
    </row>
    <row r="3557" spans="2:2">
      <c r="B3557" s="565"/>
    </row>
    <row r="3558" spans="2:2">
      <c r="B3558" s="565"/>
    </row>
    <row r="3559" spans="2:2">
      <c r="B3559" s="565"/>
    </row>
    <row r="3560" spans="2:2">
      <c r="B3560" s="565"/>
    </row>
    <row r="3561" spans="2:2">
      <c r="B3561" s="565"/>
    </row>
    <row r="3562" spans="2:2">
      <c r="B3562" s="565"/>
    </row>
    <row r="3563" spans="2:2">
      <c r="B3563" s="565"/>
    </row>
    <row r="3564" spans="2:2">
      <c r="B3564" s="565"/>
    </row>
    <row r="3565" spans="2:2">
      <c r="B3565" s="565"/>
    </row>
    <row r="3566" spans="2:2">
      <c r="B3566" s="565"/>
    </row>
    <row r="3567" spans="2:2">
      <c r="B3567" s="565"/>
    </row>
    <row r="3568" spans="2:2">
      <c r="B3568" s="565"/>
    </row>
    <row r="3569" spans="2:2">
      <c r="B3569" s="565"/>
    </row>
    <row r="3570" spans="2:2">
      <c r="B3570" s="565"/>
    </row>
    <row r="3571" spans="2:2">
      <c r="B3571" s="565"/>
    </row>
    <row r="3572" spans="2:2">
      <c r="B3572" s="565"/>
    </row>
    <row r="3573" spans="2:2">
      <c r="B3573" s="565"/>
    </row>
    <row r="3574" spans="2:2">
      <c r="B3574" s="565"/>
    </row>
    <row r="3575" spans="2:2">
      <c r="B3575" s="565"/>
    </row>
    <row r="3576" spans="2:2">
      <c r="B3576" s="565"/>
    </row>
    <row r="3577" spans="2:2">
      <c r="B3577" s="565"/>
    </row>
    <row r="3578" spans="2:2">
      <c r="B3578" s="565"/>
    </row>
    <row r="3579" spans="2:2">
      <c r="B3579" s="565"/>
    </row>
    <row r="3580" spans="2:2">
      <c r="B3580" s="565"/>
    </row>
    <row r="3581" spans="2:2">
      <c r="B3581" s="565"/>
    </row>
    <row r="3582" spans="2:2">
      <c r="B3582" s="565"/>
    </row>
    <row r="3583" spans="2:2">
      <c r="B3583" s="565"/>
    </row>
    <row r="3584" spans="2:2">
      <c r="B3584" s="565"/>
    </row>
    <row r="3585" spans="2:2">
      <c r="B3585" s="565"/>
    </row>
    <row r="3586" spans="2:2">
      <c r="B3586" s="565"/>
    </row>
    <row r="3587" spans="2:2">
      <c r="B3587" s="565"/>
    </row>
    <row r="3588" spans="2:2">
      <c r="B3588" s="565"/>
    </row>
    <row r="3589" spans="2:2">
      <c r="B3589" s="565"/>
    </row>
    <row r="3590" spans="2:2">
      <c r="B3590" s="565"/>
    </row>
    <row r="3591" spans="2:2">
      <c r="B3591" s="565"/>
    </row>
    <row r="3592" spans="2:2">
      <c r="B3592" s="565"/>
    </row>
    <row r="3593" spans="2:2">
      <c r="B3593" s="565"/>
    </row>
    <row r="3594" spans="2:2">
      <c r="B3594" s="565"/>
    </row>
    <row r="3595" spans="2:2">
      <c r="B3595" s="565"/>
    </row>
    <row r="3596" spans="2:2">
      <c r="B3596" s="565"/>
    </row>
    <row r="3597" spans="2:2">
      <c r="B3597" s="565"/>
    </row>
    <row r="3598" spans="2:2">
      <c r="B3598" s="565"/>
    </row>
    <row r="3599" spans="2:2">
      <c r="B3599" s="565"/>
    </row>
    <row r="3600" spans="2:2">
      <c r="B3600" s="565"/>
    </row>
    <row r="3601" spans="2:2">
      <c r="B3601" s="565"/>
    </row>
    <row r="3602" spans="2:2">
      <c r="B3602" s="565"/>
    </row>
    <row r="3603" spans="2:2">
      <c r="B3603" s="565"/>
    </row>
    <row r="3604" spans="2:2">
      <c r="B3604" s="565"/>
    </row>
    <row r="3605" spans="2:2">
      <c r="B3605" s="565"/>
    </row>
    <row r="3606" spans="2:2">
      <c r="B3606" s="565"/>
    </row>
    <row r="3607" spans="2:2">
      <c r="B3607" s="565"/>
    </row>
    <row r="3608" spans="2:2">
      <c r="B3608" s="565"/>
    </row>
    <row r="3609" spans="2:2">
      <c r="B3609" s="565"/>
    </row>
    <row r="3610" spans="2:2">
      <c r="B3610" s="565"/>
    </row>
    <row r="3611" spans="2:2">
      <c r="B3611" s="565"/>
    </row>
    <row r="3612" spans="2:2">
      <c r="B3612" s="565"/>
    </row>
    <row r="3613" spans="2:2">
      <c r="B3613" s="565"/>
    </row>
    <row r="3614" spans="2:2">
      <c r="B3614" s="565"/>
    </row>
    <row r="3615" spans="2:2">
      <c r="B3615" s="565"/>
    </row>
    <row r="3616" spans="2:2">
      <c r="B3616" s="565"/>
    </row>
    <row r="3617" spans="2:2">
      <c r="B3617" s="565"/>
    </row>
    <row r="3618" spans="2:2">
      <c r="B3618" s="565"/>
    </row>
    <row r="3619" spans="2:2">
      <c r="B3619" s="565"/>
    </row>
    <row r="3620" spans="2:2">
      <c r="B3620" s="565"/>
    </row>
    <row r="3621" spans="2:2">
      <c r="B3621" s="565"/>
    </row>
    <row r="3622" spans="2:2">
      <c r="B3622" s="565"/>
    </row>
    <row r="3623" spans="2:2">
      <c r="B3623" s="565"/>
    </row>
    <row r="3624" spans="2:2">
      <c r="B3624" s="565"/>
    </row>
    <row r="3625" spans="2:2">
      <c r="B3625" s="565"/>
    </row>
    <row r="3626" spans="2:2">
      <c r="B3626" s="565"/>
    </row>
    <row r="3627" spans="2:2">
      <c r="B3627" s="565"/>
    </row>
    <row r="3628" spans="2:2">
      <c r="B3628" s="565"/>
    </row>
    <row r="3629" spans="2:2">
      <c r="B3629" s="565"/>
    </row>
    <row r="3630" spans="2:2">
      <c r="B3630" s="565"/>
    </row>
    <row r="3631" spans="2:2">
      <c r="B3631" s="565"/>
    </row>
    <row r="3632" spans="2:2">
      <c r="B3632" s="565"/>
    </row>
    <row r="3633" spans="2:2">
      <c r="B3633" s="565"/>
    </row>
    <row r="3634" spans="2:2">
      <c r="B3634" s="565"/>
    </row>
    <row r="3635" spans="2:2">
      <c r="B3635" s="565"/>
    </row>
    <row r="3636" spans="2:2">
      <c r="B3636" s="565"/>
    </row>
    <row r="3637" spans="2:2">
      <c r="B3637" s="565"/>
    </row>
    <row r="3638" spans="2:2">
      <c r="B3638" s="565"/>
    </row>
    <row r="3639" spans="2:2">
      <c r="B3639" s="565"/>
    </row>
    <row r="3640" spans="2:2">
      <c r="B3640" s="565"/>
    </row>
    <row r="3641" spans="2:2">
      <c r="B3641" s="565"/>
    </row>
    <row r="3642" spans="2:2">
      <c r="B3642" s="565"/>
    </row>
    <row r="3643" spans="2:2">
      <c r="B3643" s="565"/>
    </row>
    <row r="3644" spans="2:2">
      <c r="B3644" s="565"/>
    </row>
    <row r="3645" spans="2:2">
      <c r="B3645" s="565"/>
    </row>
    <row r="3646" spans="2:2">
      <c r="B3646" s="565"/>
    </row>
    <row r="3647" spans="2:2">
      <c r="B3647" s="565"/>
    </row>
    <row r="3648" spans="2:2">
      <c r="B3648" s="565"/>
    </row>
    <row r="3649" spans="2:2">
      <c r="B3649" s="565"/>
    </row>
    <row r="3650" spans="2:2">
      <c r="B3650" s="565"/>
    </row>
    <row r="3651" spans="2:2">
      <c r="B3651" s="565"/>
    </row>
    <row r="3652" spans="2:2">
      <c r="B3652" s="565"/>
    </row>
    <row r="3653" spans="2:2">
      <c r="B3653" s="565"/>
    </row>
    <row r="3654" spans="2:2">
      <c r="B3654" s="565"/>
    </row>
    <row r="3655" spans="2:2">
      <c r="B3655" s="565"/>
    </row>
    <row r="3656" spans="2:2">
      <c r="B3656" s="565"/>
    </row>
    <row r="3657" spans="2:2">
      <c r="B3657" s="565"/>
    </row>
    <row r="3658" spans="2:2">
      <c r="B3658" s="565"/>
    </row>
    <row r="3659" spans="2:2">
      <c r="B3659" s="565"/>
    </row>
    <row r="3660" spans="2:2">
      <c r="B3660" s="565"/>
    </row>
    <row r="3661" spans="2:2">
      <c r="B3661" s="565"/>
    </row>
    <row r="3662" spans="2:2">
      <c r="B3662" s="565"/>
    </row>
    <row r="3663" spans="2:2">
      <c r="B3663" s="565"/>
    </row>
    <row r="3664" spans="2:2">
      <c r="B3664" s="565"/>
    </row>
    <row r="3665" spans="2:2">
      <c r="B3665" s="565"/>
    </row>
    <row r="3666" spans="2:2">
      <c r="B3666" s="565"/>
    </row>
    <row r="3667" spans="2:2">
      <c r="B3667" s="565"/>
    </row>
    <row r="3668" spans="2:2">
      <c r="B3668" s="565"/>
    </row>
    <row r="3669" spans="2:2">
      <c r="B3669" s="565"/>
    </row>
    <row r="3670" spans="2:2">
      <c r="B3670" s="565"/>
    </row>
    <row r="3671" spans="2:2">
      <c r="B3671" s="565"/>
    </row>
    <row r="3672" spans="2:2">
      <c r="B3672" s="565"/>
    </row>
    <row r="3673" spans="2:2">
      <c r="B3673" s="565"/>
    </row>
    <row r="3674" spans="2:2">
      <c r="B3674" s="565"/>
    </row>
    <row r="3675" spans="2:2">
      <c r="B3675" s="565"/>
    </row>
    <row r="3676" spans="2:2">
      <c r="B3676" s="565"/>
    </row>
    <row r="3677" spans="2:2">
      <c r="B3677" s="565"/>
    </row>
    <row r="3678" spans="2:2">
      <c r="B3678" s="565"/>
    </row>
    <row r="3679" spans="2:2">
      <c r="B3679" s="565"/>
    </row>
    <row r="3680" spans="2:2">
      <c r="B3680" s="565"/>
    </row>
    <row r="3681" spans="2:2">
      <c r="B3681" s="565"/>
    </row>
    <row r="3682" spans="2:2">
      <c r="B3682" s="565"/>
    </row>
    <row r="3683" spans="2:2">
      <c r="B3683" s="565"/>
    </row>
    <row r="3684" spans="2:2">
      <c r="B3684" s="565"/>
    </row>
    <row r="3685" spans="2:2">
      <c r="B3685" s="565"/>
    </row>
    <row r="3686" spans="2:2">
      <c r="B3686" s="565"/>
    </row>
    <row r="3687" spans="2:2">
      <c r="B3687" s="565"/>
    </row>
    <row r="3688" spans="2:2">
      <c r="B3688" s="565"/>
    </row>
    <row r="3689" spans="2:2">
      <c r="B3689" s="565"/>
    </row>
    <row r="3690" spans="2:2">
      <c r="B3690" s="565"/>
    </row>
    <row r="3691" spans="2:2">
      <c r="B3691" s="565"/>
    </row>
    <row r="3692" spans="2:2">
      <c r="B3692" s="565"/>
    </row>
    <row r="3693" spans="2:2">
      <c r="B3693" s="565"/>
    </row>
    <row r="3694" spans="2:2">
      <c r="B3694" s="565"/>
    </row>
    <row r="3695" spans="2:2">
      <c r="B3695" s="565"/>
    </row>
    <row r="3696" spans="2:2">
      <c r="B3696" s="565"/>
    </row>
    <row r="3697" spans="2:2">
      <c r="B3697" s="565"/>
    </row>
    <row r="3698" spans="2:2">
      <c r="B3698" s="565"/>
    </row>
    <row r="3699" spans="2:2">
      <c r="B3699" s="565"/>
    </row>
    <row r="3700" spans="2:2">
      <c r="B3700" s="565"/>
    </row>
    <row r="3701" spans="2:2">
      <c r="B3701" s="565"/>
    </row>
    <row r="3702" spans="2:2">
      <c r="B3702" s="565"/>
    </row>
    <row r="3703" spans="2:2">
      <c r="B3703" s="565"/>
    </row>
    <row r="3704" spans="2:2">
      <c r="B3704" s="565"/>
    </row>
    <row r="3705" spans="2:2">
      <c r="B3705" s="565"/>
    </row>
    <row r="3706" spans="2:2">
      <c r="B3706" s="565"/>
    </row>
    <row r="3707" spans="2:2">
      <c r="B3707" s="565"/>
    </row>
    <row r="3708" spans="2:2">
      <c r="B3708" s="565"/>
    </row>
    <row r="3709" spans="2:2">
      <c r="B3709" s="565"/>
    </row>
    <row r="3710" spans="2:2">
      <c r="B3710" s="565"/>
    </row>
    <row r="3711" spans="2:2">
      <c r="B3711" s="565"/>
    </row>
    <row r="3712" spans="2:2">
      <c r="B3712" s="565"/>
    </row>
    <row r="3713" spans="2:2">
      <c r="B3713" s="565"/>
    </row>
    <row r="3714" spans="2:2">
      <c r="B3714" s="565"/>
    </row>
    <row r="3715" spans="2:2">
      <c r="B3715" s="565"/>
    </row>
    <row r="3716" spans="2:2">
      <c r="B3716" s="565"/>
    </row>
    <row r="3717" spans="2:2">
      <c r="B3717" s="565"/>
    </row>
    <row r="3718" spans="2:2">
      <c r="B3718" s="565"/>
    </row>
    <row r="3719" spans="2:2">
      <c r="B3719" s="565"/>
    </row>
    <row r="3720" spans="2:2">
      <c r="B3720" s="565"/>
    </row>
    <row r="3721" spans="2:2">
      <c r="B3721" s="565"/>
    </row>
    <row r="3722" spans="2:2">
      <c r="B3722" s="565"/>
    </row>
    <row r="3723" spans="2:2">
      <c r="B3723" s="565"/>
    </row>
    <row r="3724" spans="2:2">
      <c r="B3724" s="565"/>
    </row>
    <row r="3725" spans="2:2">
      <c r="B3725" s="565"/>
    </row>
    <row r="3726" spans="2:2">
      <c r="B3726" s="565"/>
    </row>
    <row r="3727" spans="2:2">
      <c r="B3727" s="565"/>
    </row>
    <row r="3728" spans="2:2">
      <c r="B3728" s="565"/>
    </row>
    <row r="3729" spans="2:2">
      <c r="B3729" s="565"/>
    </row>
    <row r="3730" spans="2:2">
      <c r="B3730" s="565"/>
    </row>
    <row r="3731" spans="2:2">
      <c r="B3731" s="565"/>
    </row>
    <row r="3732" spans="2:2">
      <c r="B3732" s="565"/>
    </row>
    <row r="3733" spans="2:2">
      <c r="B3733" s="565"/>
    </row>
    <row r="3734" spans="2:2">
      <c r="B3734" s="565"/>
    </row>
    <row r="3735" spans="2:2">
      <c r="B3735" s="565"/>
    </row>
    <row r="3736" spans="2:2">
      <c r="B3736" s="565"/>
    </row>
    <row r="3737" spans="2:2">
      <c r="B3737" s="565"/>
    </row>
    <row r="3738" spans="2:2">
      <c r="B3738" s="565"/>
    </row>
    <row r="3739" spans="2:2">
      <c r="B3739" s="565"/>
    </row>
    <row r="3740" spans="2:2">
      <c r="B3740" s="565"/>
    </row>
    <row r="3741" spans="2:2">
      <c r="B3741" s="565"/>
    </row>
    <row r="3742" spans="2:2">
      <c r="B3742" s="565"/>
    </row>
    <row r="3743" spans="2:2">
      <c r="B3743" s="565"/>
    </row>
    <row r="3744" spans="2:2">
      <c r="B3744" s="565"/>
    </row>
    <row r="3745" spans="2:2">
      <c r="B3745" s="565"/>
    </row>
    <row r="3746" spans="2:2">
      <c r="B3746" s="565"/>
    </row>
    <row r="3747" spans="2:2">
      <c r="B3747" s="565"/>
    </row>
    <row r="3748" spans="2:2">
      <c r="B3748" s="565"/>
    </row>
    <row r="3749" spans="2:2">
      <c r="B3749" s="565"/>
    </row>
    <row r="3750" spans="2:2">
      <c r="B3750" s="565"/>
    </row>
    <row r="3751" spans="2:2">
      <c r="B3751" s="565"/>
    </row>
    <row r="3752" spans="2:2">
      <c r="B3752" s="565"/>
    </row>
    <row r="3753" spans="2:2">
      <c r="B3753" s="565"/>
    </row>
    <row r="3754" spans="2:2">
      <c r="B3754" s="565"/>
    </row>
    <row r="3755" spans="2:2">
      <c r="B3755" s="565"/>
    </row>
    <row r="3756" spans="2:2">
      <c r="B3756" s="565"/>
    </row>
    <row r="3757" spans="2:2">
      <c r="B3757" s="565"/>
    </row>
    <row r="3758" spans="2:2">
      <c r="B3758" s="565"/>
    </row>
    <row r="3759" spans="2:2">
      <c r="B3759" s="565"/>
    </row>
    <row r="3760" spans="2:2">
      <c r="B3760" s="565"/>
    </row>
    <row r="3761" spans="2:2">
      <c r="B3761" s="565"/>
    </row>
    <row r="3762" spans="2:2">
      <c r="B3762" s="565"/>
    </row>
    <row r="3763" spans="2:2">
      <c r="B3763" s="565"/>
    </row>
    <row r="3764" spans="2:2">
      <c r="B3764" s="565"/>
    </row>
    <row r="3765" spans="2:2">
      <c r="B3765" s="565"/>
    </row>
    <row r="3766" spans="2:2">
      <c r="B3766" s="565"/>
    </row>
    <row r="3767" spans="2:2">
      <c r="B3767" s="565"/>
    </row>
    <row r="3768" spans="2:2">
      <c r="B3768" s="565"/>
    </row>
    <row r="3769" spans="2:2">
      <c r="B3769" s="565"/>
    </row>
    <row r="3770" spans="2:2">
      <c r="B3770" s="565"/>
    </row>
    <row r="3771" spans="2:2">
      <c r="B3771" s="565"/>
    </row>
    <row r="3772" spans="2:2">
      <c r="B3772" s="565"/>
    </row>
    <row r="3773" spans="2:2">
      <c r="B3773" s="565"/>
    </row>
    <row r="3774" spans="2:2">
      <c r="B3774" s="565"/>
    </row>
    <row r="3775" spans="2:2">
      <c r="B3775" s="565"/>
    </row>
    <row r="3776" spans="2:2">
      <c r="B3776" s="565"/>
    </row>
    <row r="3777" spans="2:2">
      <c r="B3777" s="565"/>
    </row>
    <row r="3778" spans="2:2">
      <c r="B3778" s="565"/>
    </row>
    <row r="3779" spans="2:2">
      <c r="B3779" s="565"/>
    </row>
    <row r="3780" spans="2:2">
      <c r="B3780" s="565"/>
    </row>
    <row r="3781" spans="2:2">
      <c r="B3781" s="565"/>
    </row>
    <row r="3782" spans="2:2">
      <c r="B3782" s="565"/>
    </row>
    <row r="3783" spans="2:2">
      <c r="B3783" s="565"/>
    </row>
    <row r="3784" spans="2:2">
      <c r="B3784" s="565"/>
    </row>
    <row r="3785" spans="2:2">
      <c r="B3785" s="565"/>
    </row>
    <row r="3786" spans="2:2">
      <c r="B3786" s="565"/>
    </row>
    <row r="3787" spans="2:2">
      <c r="B3787" s="565"/>
    </row>
    <row r="3788" spans="2:2">
      <c r="B3788" s="565"/>
    </row>
    <row r="3789" spans="2:2">
      <c r="B3789" s="565"/>
    </row>
    <row r="3790" spans="2:2">
      <c r="B3790" s="565"/>
    </row>
    <row r="3791" spans="2:2">
      <c r="B3791" s="565"/>
    </row>
    <row r="3792" spans="2:2">
      <c r="B3792" s="565"/>
    </row>
    <row r="3793" spans="2:2">
      <c r="B3793" s="565"/>
    </row>
    <row r="3794" spans="2:2">
      <c r="B3794" s="565"/>
    </row>
    <row r="3795" spans="2:2">
      <c r="B3795" s="565"/>
    </row>
    <row r="3796" spans="2:2">
      <c r="B3796" s="565"/>
    </row>
    <row r="3797" spans="2:2">
      <c r="B3797" s="565"/>
    </row>
    <row r="3798" spans="2:2">
      <c r="B3798" s="565"/>
    </row>
    <row r="3799" spans="2:2">
      <c r="B3799" s="565"/>
    </row>
    <row r="3800" spans="2:2">
      <c r="B3800" s="565"/>
    </row>
    <row r="3801" spans="2:2">
      <c r="B3801" s="565"/>
    </row>
    <row r="3802" spans="2:2">
      <c r="B3802" s="565"/>
    </row>
    <row r="3803" spans="2:2">
      <c r="B3803" s="565"/>
    </row>
    <row r="3804" spans="2:2">
      <c r="B3804" s="565"/>
    </row>
    <row r="3805" spans="2:2">
      <c r="B3805" s="565"/>
    </row>
    <row r="3806" spans="2:2">
      <c r="B3806" s="565"/>
    </row>
    <row r="3807" spans="2:2">
      <c r="B3807" s="565"/>
    </row>
    <row r="3808" spans="2:2">
      <c r="B3808" s="565"/>
    </row>
    <row r="3809" spans="2:2">
      <c r="B3809" s="565"/>
    </row>
    <row r="3810" spans="2:2">
      <c r="B3810" s="565"/>
    </row>
    <row r="3811" spans="2:2">
      <c r="B3811" s="565"/>
    </row>
    <row r="3812" spans="2:2">
      <c r="B3812" s="565"/>
    </row>
    <row r="3813" spans="2:2">
      <c r="B3813" s="565"/>
    </row>
    <row r="3814" spans="2:2">
      <c r="B3814" s="565"/>
    </row>
    <row r="3815" spans="2:2">
      <c r="B3815" s="565"/>
    </row>
    <row r="3816" spans="2:2">
      <c r="B3816" s="565"/>
    </row>
    <row r="3817" spans="2:2">
      <c r="B3817" s="565"/>
    </row>
    <row r="3818" spans="2:2">
      <c r="B3818" s="565"/>
    </row>
    <row r="3819" spans="2:2">
      <c r="B3819" s="565"/>
    </row>
    <row r="3820" spans="2:2">
      <c r="B3820" s="565"/>
    </row>
    <row r="3821" spans="2:2">
      <c r="B3821" s="565"/>
    </row>
    <row r="3822" spans="2:2">
      <c r="B3822" s="565"/>
    </row>
    <row r="3823" spans="2:2">
      <c r="B3823" s="565"/>
    </row>
    <row r="3824" spans="2:2">
      <c r="B3824" s="565"/>
    </row>
    <row r="3825" spans="2:2">
      <c r="B3825" s="565"/>
    </row>
    <row r="3826" spans="2:2">
      <c r="B3826" s="565"/>
    </row>
    <row r="3827" spans="2:2">
      <c r="B3827" s="565"/>
    </row>
    <row r="3828" spans="2:2">
      <c r="B3828" s="565"/>
    </row>
    <row r="3829" spans="2:2">
      <c r="B3829" s="565"/>
    </row>
    <row r="3830" spans="2:2">
      <c r="B3830" s="565"/>
    </row>
    <row r="3831" spans="2:2">
      <c r="B3831" s="565"/>
    </row>
    <row r="3832" spans="2:2">
      <c r="B3832" s="565"/>
    </row>
    <row r="3833" spans="2:2">
      <c r="B3833" s="565"/>
    </row>
    <row r="3834" spans="2:2">
      <c r="B3834" s="565"/>
    </row>
    <row r="3835" spans="2:2">
      <c r="B3835" s="565"/>
    </row>
    <row r="3836" spans="2:2">
      <c r="B3836" s="565"/>
    </row>
    <row r="3837" spans="2:2">
      <c r="B3837" s="565"/>
    </row>
    <row r="3838" spans="2:2">
      <c r="B3838" s="565"/>
    </row>
    <row r="3839" spans="2:2">
      <c r="B3839" s="565"/>
    </row>
    <row r="3840" spans="2:2">
      <c r="B3840" s="565"/>
    </row>
    <row r="3841" spans="2:2">
      <c r="B3841" s="565"/>
    </row>
    <row r="3842" spans="2:2">
      <c r="B3842" s="565"/>
    </row>
    <row r="3843" spans="2:2">
      <c r="B3843" s="565"/>
    </row>
    <row r="3844" spans="2:2">
      <c r="B3844" s="565"/>
    </row>
    <row r="3845" spans="2:2">
      <c r="B3845" s="565"/>
    </row>
    <row r="3846" spans="2:2">
      <c r="B3846" s="565"/>
    </row>
    <row r="3847" spans="2:2">
      <c r="B3847" s="565"/>
    </row>
    <row r="3848" spans="2:2">
      <c r="B3848" s="565"/>
    </row>
    <row r="3849" spans="2:2">
      <c r="B3849" s="565"/>
    </row>
    <row r="3850" spans="2:2">
      <c r="B3850" s="565"/>
    </row>
    <row r="3851" spans="2:2">
      <c r="B3851" s="565"/>
    </row>
    <row r="3852" spans="2:2">
      <c r="B3852" s="565"/>
    </row>
    <row r="3853" spans="2:2">
      <c r="B3853" s="565"/>
    </row>
    <row r="3854" spans="2:2">
      <c r="B3854" s="565"/>
    </row>
    <row r="3855" spans="2:2">
      <c r="B3855" s="565"/>
    </row>
    <row r="3856" spans="2:2">
      <c r="B3856" s="565"/>
    </row>
    <row r="3857" spans="2:2">
      <c r="B3857" s="565"/>
    </row>
    <row r="3858" spans="2:2">
      <c r="B3858" s="565"/>
    </row>
    <row r="3859" spans="2:2">
      <c r="B3859" s="565"/>
    </row>
    <row r="3860" spans="2:2">
      <c r="B3860" s="565"/>
    </row>
    <row r="3861" spans="2:2">
      <c r="B3861" s="565"/>
    </row>
    <row r="3862" spans="2:2">
      <c r="B3862" s="565"/>
    </row>
    <row r="3863" spans="2:2">
      <c r="B3863" s="565"/>
    </row>
    <row r="3864" spans="2:2">
      <c r="B3864" s="565"/>
    </row>
    <row r="3865" spans="2:2">
      <c r="B3865" s="565"/>
    </row>
    <row r="3866" spans="2:2">
      <c r="B3866" s="565"/>
    </row>
    <row r="3867" spans="2:2">
      <c r="B3867" s="565"/>
    </row>
    <row r="3868" spans="2:2">
      <c r="B3868" s="565"/>
    </row>
    <row r="3869" spans="2:2">
      <c r="B3869" s="565"/>
    </row>
    <row r="3870" spans="2:2">
      <c r="B3870" s="565"/>
    </row>
    <row r="3871" spans="2:2">
      <c r="B3871" s="565"/>
    </row>
    <row r="3872" spans="2:2">
      <c r="B3872" s="565"/>
    </row>
    <row r="3873" spans="2:2">
      <c r="B3873" s="565"/>
    </row>
    <row r="3874" spans="2:2">
      <c r="B3874" s="565"/>
    </row>
    <row r="3875" spans="2:2">
      <c r="B3875" s="565"/>
    </row>
    <row r="3876" spans="2:2">
      <c r="B3876" s="565"/>
    </row>
    <row r="3877" spans="2:2">
      <c r="B3877" s="565"/>
    </row>
    <row r="3878" spans="2:2">
      <c r="B3878" s="565"/>
    </row>
    <row r="3879" spans="2:2">
      <c r="B3879" s="565"/>
    </row>
    <row r="3880" spans="2:2">
      <c r="B3880" s="565"/>
    </row>
    <row r="3881" spans="2:2">
      <c r="B3881" s="565"/>
    </row>
    <row r="3882" spans="2:2">
      <c r="B3882" s="565"/>
    </row>
    <row r="3883" spans="2:2">
      <c r="B3883" s="565"/>
    </row>
    <row r="3884" spans="2:2">
      <c r="B3884" s="565"/>
    </row>
    <row r="3885" spans="2:2">
      <c r="B3885" s="565"/>
    </row>
    <row r="3886" spans="2:2">
      <c r="B3886" s="565"/>
    </row>
    <row r="3887" spans="2:2">
      <c r="B3887" s="565"/>
    </row>
    <row r="3888" spans="2:2">
      <c r="B3888" s="565"/>
    </row>
    <row r="3889" spans="2:2">
      <c r="B3889" s="565"/>
    </row>
    <row r="3890" spans="2:2">
      <c r="B3890" s="565"/>
    </row>
    <row r="3891" spans="2:2">
      <c r="B3891" s="565"/>
    </row>
    <row r="3892" spans="2:2">
      <c r="B3892" s="565"/>
    </row>
    <row r="3893" spans="2:2">
      <c r="B3893" s="565"/>
    </row>
    <row r="3894" spans="2:2">
      <c r="B3894" s="565"/>
    </row>
    <row r="3895" spans="2:2">
      <c r="B3895" s="565"/>
    </row>
    <row r="3896" spans="2:2">
      <c r="B3896" s="565"/>
    </row>
    <row r="3897" spans="2:2">
      <c r="B3897" s="565"/>
    </row>
    <row r="3898" spans="2:2">
      <c r="B3898" s="565"/>
    </row>
    <row r="3899" spans="2:2">
      <c r="B3899" s="565"/>
    </row>
    <row r="3900" spans="2:2">
      <c r="B3900" s="565"/>
    </row>
    <row r="3901" spans="2:2">
      <c r="B3901" s="565"/>
    </row>
    <row r="3902" spans="2:2">
      <c r="B3902" s="565"/>
    </row>
    <row r="3903" spans="2:2">
      <c r="B3903" s="565"/>
    </row>
    <row r="3904" spans="2:2">
      <c r="B3904" s="565"/>
    </row>
    <row r="3905" spans="2:2">
      <c r="B3905" s="565"/>
    </row>
    <row r="3906" spans="2:2">
      <c r="B3906" s="565"/>
    </row>
    <row r="3907" spans="2:2">
      <c r="B3907" s="565"/>
    </row>
    <row r="3908" spans="2:2">
      <c r="B3908" s="565"/>
    </row>
    <row r="3909" spans="2:2">
      <c r="B3909" s="565"/>
    </row>
    <row r="3910" spans="2:2">
      <c r="B3910" s="565"/>
    </row>
    <row r="3911" spans="2:2">
      <c r="B3911" s="565"/>
    </row>
    <row r="3912" spans="2:2">
      <c r="B3912" s="565"/>
    </row>
    <row r="3913" spans="2:2">
      <c r="B3913" s="565"/>
    </row>
    <row r="3914" spans="2:2">
      <c r="B3914" s="565"/>
    </row>
    <row r="3915" spans="2:2">
      <c r="B3915" s="565"/>
    </row>
    <row r="3916" spans="2:2">
      <c r="B3916" s="565"/>
    </row>
    <row r="3917" spans="2:2">
      <c r="B3917" s="565"/>
    </row>
    <row r="3918" spans="2:2">
      <c r="B3918" s="565"/>
    </row>
    <row r="3919" spans="2:2">
      <c r="B3919" s="565"/>
    </row>
    <row r="3920" spans="2:2">
      <c r="B3920" s="565"/>
    </row>
    <row r="3921" spans="2:2">
      <c r="B3921" s="565"/>
    </row>
    <row r="3922" spans="2:2">
      <c r="B3922" s="565"/>
    </row>
    <row r="3923" spans="2:2">
      <c r="B3923" s="565"/>
    </row>
    <row r="3924" spans="2:2">
      <c r="B3924" s="565"/>
    </row>
    <row r="3925" spans="2:2">
      <c r="B3925" s="565"/>
    </row>
    <row r="3926" spans="2:2">
      <c r="B3926" s="565"/>
    </row>
    <row r="3927" spans="2:2">
      <c r="B3927" s="565"/>
    </row>
    <row r="3928" spans="2:2">
      <c r="B3928" s="565"/>
    </row>
    <row r="3929" spans="2:2">
      <c r="B3929" s="565"/>
    </row>
    <row r="3930" spans="2:2">
      <c r="B3930" s="565"/>
    </row>
    <row r="3931" spans="2:2">
      <c r="B3931" s="565"/>
    </row>
    <row r="3932" spans="2:2">
      <c r="B3932" s="565"/>
    </row>
    <row r="3933" spans="2:2">
      <c r="B3933" s="565"/>
    </row>
    <row r="3934" spans="2:2">
      <c r="B3934" s="565"/>
    </row>
    <row r="3935" spans="2:2">
      <c r="B3935" s="565"/>
    </row>
    <row r="3936" spans="2:2">
      <c r="B3936" s="565"/>
    </row>
    <row r="3937" spans="2:2">
      <c r="B3937" s="565"/>
    </row>
    <row r="3938" spans="2:2">
      <c r="B3938" s="565"/>
    </row>
    <row r="3939" spans="2:2">
      <c r="B3939" s="565"/>
    </row>
    <row r="3940" spans="2:2">
      <c r="B3940" s="565"/>
    </row>
    <row r="3941" spans="2:2">
      <c r="B3941" s="565"/>
    </row>
    <row r="3942" spans="2:2">
      <c r="B3942" s="565"/>
    </row>
    <row r="3943" spans="2:2">
      <c r="B3943" s="565"/>
    </row>
    <row r="3944" spans="2:2">
      <c r="B3944" s="565"/>
    </row>
    <row r="3945" spans="2:2">
      <c r="B3945" s="565"/>
    </row>
    <row r="3946" spans="2:2">
      <c r="B3946" s="565"/>
    </row>
    <row r="3947" spans="2:2">
      <c r="B3947" s="565"/>
    </row>
    <row r="3948" spans="2:2">
      <c r="B3948" s="565"/>
    </row>
    <row r="3949" spans="2:2">
      <c r="B3949" s="565"/>
    </row>
    <row r="3950" spans="2:2">
      <c r="B3950" s="565"/>
    </row>
    <row r="3951" spans="2:2">
      <c r="B3951" s="565"/>
    </row>
    <row r="3952" spans="2:2">
      <c r="B3952" s="565"/>
    </row>
    <row r="3953" spans="2:2">
      <c r="B3953" s="565"/>
    </row>
    <row r="3954" spans="2:2">
      <c r="B3954" s="565"/>
    </row>
    <row r="3955" spans="2:2">
      <c r="B3955" s="565"/>
    </row>
    <row r="3956" spans="2:2">
      <c r="B3956" s="565"/>
    </row>
    <row r="3957" spans="2:2">
      <c r="B3957" s="565"/>
    </row>
    <row r="3958" spans="2:2">
      <c r="B3958" s="565"/>
    </row>
    <row r="3959" spans="2:2">
      <c r="B3959" s="565"/>
    </row>
    <row r="3960" spans="2:2">
      <c r="B3960" s="565"/>
    </row>
    <row r="3961" spans="2:2">
      <c r="B3961" s="565"/>
    </row>
    <row r="3962" spans="2:2">
      <c r="B3962" s="565"/>
    </row>
    <row r="3963" spans="2:2">
      <c r="B3963" s="565"/>
    </row>
    <row r="3964" spans="2:2">
      <c r="B3964" s="565"/>
    </row>
    <row r="3965" spans="2:2">
      <c r="B3965" s="565"/>
    </row>
    <row r="3966" spans="2:2">
      <c r="B3966" s="565"/>
    </row>
    <row r="3967" spans="2:2">
      <c r="B3967" s="565"/>
    </row>
    <row r="3968" spans="2:2">
      <c r="B3968" s="565"/>
    </row>
    <row r="3969" spans="2:2">
      <c r="B3969" s="565"/>
    </row>
    <row r="3970" spans="2:2">
      <c r="B3970" s="565"/>
    </row>
    <row r="3971" spans="2:2">
      <c r="B3971" s="565"/>
    </row>
    <row r="3972" spans="2:2">
      <c r="B3972" s="565"/>
    </row>
    <row r="3973" spans="2:2">
      <c r="B3973" s="565"/>
    </row>
    <row r="3974" spans="2:2">
      <c r="B3974" s="565"/>
    </row>
    <row r="3975" spans="2:2">
      <c r="B3975" s="565"/>
    </row>
    <row r="3976" spans="2:2">
      <c r="B3976" s="565"/>
    </row>
    <row r="3977" spans="2:2">
      <c r="B3977" s="565"/>
    </row>
    <row r="3978" spans="2:2">
      <c r="B3978" s="565"/>
    </row>
    <row r="3979" spans="2:2">
      <c r="B3979" s="565"/>
    </row>
    <row r="3980" spans="2:2">
      <c r="B3980" s="565"/>
    </row>
    <row r="3981" spans="2:2">
      <c r="B3981" s="565"/>
    </row>
    <row r="3982" spans="2:2">
      <c r="B3982" s="565"/>
    </row>
    <row r="3983" spans="2:2">
      <c r="B3983" s="565"/>
    </row>
    <row r="3984" spans="2:2">
      <c r="B3984" s="565"/>
    </row>
    <row r="3985" spans="2:2">
      <c r="B3985" s="565"/>
    </row>
    <row r="3986" spans="2:2">
      <c r="B3986" s="565"/>
    </row>
    <row r="3987" spans="2:2">
      <c r="B3987" s="565"/>
    </row>
    <row r="3988" spans="2:2">
      <c r="B3988" s="565"/>
    </row>
    <row r="3989" spans="2:2">
      <c r="B3989" s="565"/>
    </row>
    <row r="3990" spans="2:2">
      <c r="B3990" s="565"/>
    </row>
    <row r="3991" spans="2:2">
      <c r="B3991" s="565"/>
    </row>
    <row r="3992" spans="2:2">
      <c r="B3992" s="565"/>
    </row>
    <row r="3993" spans="2:2">
      <c r="B3993" s="565"/>
    </row>
    <row r="3994" spans="2:2">
      <c r="B3994" s="565"/>
    </row>
    <row r="3995" spans="2:2">
      <c r="B3995" s="565"/>
    </row>
    <row r="3996" spans="2:2">
      <c r="B3996" s="565"/>
    </row>
    <row r="3997" spans="2:2">
      <c r="B3997" s="565"/>
    </row>
    <row r="3998" spans="2:2">
      <c r="B3998" s="565"/>
    </row>
    <row r="3999" spans="2:2">
      <c r="B3999" s="565"/>
    </row>
    <row r="4000" spans="2:2">
      <c r="B4000" s="565"/>
    </row>
    <row r="4001" spans="2:2">
      <c r="B4001" s="565"/>
    </row>
    <row r="4002" spans="2:2">
      <c r="B4002" s="565"/>
    </row>
    <row r="4003" spans="2:2">
      <c r="B4003" s="565"/>
    </row>
    <row r="4004" spans="2:2">
      <c r="B4004" s="565"/>
    </row>
    <row r="4005" spans="2:2">
      <c r="B4005" s="565"/>
    </row>
    <row r="4006" spans="2:2">
      <c r="B4006" s="565"/>
    </row>
    <row r="4007" spans="2:2">
      <c r="B4007" s="565"/>
    </row>
    <row r="4008" spans="2:2">
      <c r="B4008" s="565"/>
    </row>
    <row r="4009" spans="2:2">
      <c r="B4009" s="565"/>
    </row>
    <row r="4010" spans="2:2">
      <c r="B4010" s="565"/>
    </row>
    <row r="4011" spans="2:2">
      <c r="B4011" s="565"/>
    </row>
    <row r="4012" spans="2:2">
      <c r="B4012" s="565"/>
    </row>
    <row r="4013" spans="2:2">
      <c r="B4013" s="565"/>
    </row>
    <row r="4014" spans="2:2">
      <c r="B4014" s="565"/>
    </row>
    <row r="4015" spans="2:2">
      <c r="B4015" s="565"/>
    </row>
    <row r="4016" spans="2:2">
      <c r="B4016" s="565"/>
    </row>
    <row r="4017" spans="2:2">
      <c r="B4017" s="565"/>
    </row>
    <row r="4018" spans="2:2">
      <c r="B4018" s="565"/>
    </row>
    <row r="4019" spans="2:2">
      <c r="B4019" s="565"/>
    </row>
    <row r="4020" spans="2:2">
      <c r="B4020" s="565"/>
    </row>
    <row r="4021" spans="2:2">
      <c r="B4021" s="565"/>
    </row>
    <row r="4022" spans="2:2">
      <c r="B4022" s="565"/>
    </row>
    <row r="4023" spans="2:2">
      <c r="B4023" s="565"/>
    </row>
    <row r="4024" spans="2:2">
      <c r="B4024" s="565"/>
    </row>
    <row r="4025" spans="2:2">
      <c r="B4025" s="565"/>
    </row>
    <row r="4026" spans="2:2">
      <c r="B4026" s="565"/>
    </row>
    <row r="4027" spans="2:2">
      <c r="B4027" s="565"/>
    </row>
    <row r="4028" spans="2:2">
      <c r="B4028" s="565"/>
    </row>
    <row r="4029" spans="2:2">
      <c r="B4029" s="565"/>
    </row>
    <row r="4030" spans="2:2">
      <c r="B4030" s="565"/>
    </row>
    <row r="4031" spans="2:2">
      <c r="B4031" s="565"/>
    </row>
    <row r="4032" spans="2:2">
      <c r="B4032" s="565"/>
    </row>
    <row r="4033" spans="2:2">
      <c r="B4033" s="565"/>
    </row>
    <row r="4034" spans="2:2">
      <c r="B4034" s="565"/>
    </row>
    <row r="4035" spans="2:2">
      <c r="B4035" s="565"/>
    </row>
    <row r="4036" spans="2:2">
      <c r="B4036" s="565"/>
    </row>
    <row r="4037" spans="2:2">
      <c r="B4037" s="565"/>
    </row>
    <row r="4038" spans="2:2">
      <c r="B4038" s="565"/>
    </row>
    <row r="4039" spans="2:2">
      <c r="B4039" s="565"/>
    </row>
    <row r="4040" spans="2:2">
      <c r="B4040" s="565"/>
    </row>
    <row r="4041" spans="2:2">
      <c r="B4041" s="565"/>
    </row>
    <row r="4042" spans="2:2">
      <c r="B4042" s="565"/>
    </row>
    <row r="4043" spans="2:2">
      <c r="B4043" s="565"/>
    </row>
    <row r="4044" spans="2:2">
      <c r="B4044" s="565"/>
    </row>
    <row r="4045" spans="2:2">
      <c r="B4045" s="565"/>
    </row>
    <row r="4046" spans="2:2">
      <c r="B4046" s="565"/>
    </row>
    <row r="4047" spans="2:2">
      <c r="B4047" s="565"/>
    </row>
    <row r="4048" spans="2:2">
      <c r="B4048" s="565"/>
    </row>
    <row r="4049" spans="2:2">
      <c r="B4049" s="565"/>
    </row>
    <row r="4050" spans="2:2">
      <c r="B4050" s="565"/>
    </row>
    <row r="4051" spans="2:2">
      <c r="B4051" s="565"/>
    </row>
    <row r="4052" spans="2:2">
      <c r="B4052" s="565"/>
    </row>
    <row r="4053" spans="2:2">
      <c r="B4053" s="565"/>
    </row>
    <row r="4054" spans="2:2">
      <c r="B4054" s="565"/>
    </row>
    <row r="4055" spans="2:2">
      <c r="B4055" s="565"/>
    </row>
    <row r="4056" spans="2:2">
      <c r="B4056" s="565"/>
    </row>
    <row r="4057" spans="2:2">
      <c r="B4057" s="565"/>
    </row>
    <row r="4058" spans="2:2">
      <c r="B4058" s="565"/>
    </row>
    <row r="4059" spans="2:2">
      <c r="B4059" s="565"/>
    </row>
    <row r="4060" spans="2:2">
      <c r="B4060" s="565"/>
    </row>
    <row r="4061" spans="2:2">
      <c r="B4061" s="565"/>
    </row>
    <row r="4062" spans="2:2">
      <c r="B4062" s="565"/>
    </row>
    <row r="4063" spans="2:2">
      <c r="B4063" s="565"/>
    </row>
    <row r="4064" spans="2:2">
      <c r="B4064" s="565"/>
    </row>
    <row r="4065" spans="2:2">
      <c r="B4065" s="565"/>
    </row>
    <row r="4066" spans="2:2">
      <c r="B4066" s="565"/>
    </row>
    <row r="4067" spans="2:2">
      <c r="B4067" s="565"/>
    </row>
    <row r="4068" spans="2:2">
      <c r="B4068" s="565"/>
    </row>
    <row r="4069" spans="2:2">
      <c r="B4069" s="565"/>
    </row>
    <row r="4070" spans="2:2">
      <c r="B4070" s="565"/>
    </row>
    <row r="4071" spans="2:2">
      <c r="B4071" s="565"/>
    </row>
    <row r="4072" spans="2:2">
      <c r="B4072" s="565"/>
    </row>
    <row r="4073" spans="2:2">
      <c r="B4073" s="565"/>
    </row>
    <row r="4074" spans="2:2">
      <c r="B4074" s="565"/>
    </row>
    <row r="4075" spans="2:2">
      <c r="B4075" s="565"/>
    </row>
    <row r="4076" spans="2:2">
      <c r="B4076" s="565"/>
    </row>
    <row r="4077" spans="2:2">
      <c r="B4077" s="565"/>
    </row>
    <row r="4078" spans="2:2">
      <c r="B4078" s="565"/>
    </row>
    <row r="4079" spans="2:2">
      <c r="B4079" s="565"/>
    </row>
    <row r="4080" spans="2:2">
      <c r="B4080" s="565"/>
    </row>
    <row r="4081" spans="2:2">
      <c r="B4081" s="565"/>
    </row>
    <row r="4082" spans="2:2">
      <c r="B4082" s="565"/>
    </row>
    <row r="4083" spans="2:2">
      <c r="B4083" s="565"/>
    </row>
    <row r="4084" spans="2:2">
      <c r="B4084" s="565"/>
    </row>
    <row r="4085" spans="2:2">
      <c r="B4085" s="565"/>
    </row>
    <row r="4086" spans="2:2">
      <c r="B4086" s="565"/>
    </row>
    <row r="4087" spans="2:2">
      <c r="B4087" s="565"/>
    </row>
    <row r="4088" spans="2:2">
      <c r="B4088" s="565"/>
    </row>
    <row r="4089" spans="2:2">
      <c r="B4089" s="565"/>
    </row>
    <row r="4090" spans="2:2">
      <c r="B4090" s="565"/>
    </row>
    <row r="4091" spans="2:2">
      <c r="B4091" s="565"/>
    </row>
    <row r="4092" spans="2:2">
      <c r="B4092" s="565"/>
    </row>
    <row r="4093" spans="2:2">
      <c r="B4093" s="565"/>
    </row>
    <row r="4094" spans="2:2">
      <c r="B4094" s="565"/>
    </row>
    <row r="4095" spans="2:2">
      <c r="B4095" s="565"/>
    </row>
    <row r="4096" spans="2:2">
      <c r="B4096" s="565"/>
    </row>
    <row r="4097" spans="2:2">
      <c r="B4097" s="565"/>
    </row>
    <row r="4098" spans="2:2">
      <c r="B4098" s="565"/>
    </row>
    <row r="4099" spans="2:2">
      <c r="B4099" s="565"/>
    </row>
    <row r="4100" spans="2:2">
      <c r="B4100" s="565"/>
    </row>
    <row r="4101" spans="2:2">
      <c r="B4101" s="565"/>
    </row>
    <row r="4102" spans="2:2">
      <c r="B4102" s="565"/>
    </row>
    <row r="4103" spans="2:2">
      <c r="B4103" s="565"/>
    </row>
    <row r="4104" spans="2:2">
      <c r="B4104" s="565"/>
    </row>
    <row r="4105" spans="2:2">
      <c r="B4105" s="565"/>
    </row>
    <row r="4106" spans="2:2">
      <c r="B4106" s="565"/>
    </row>
    <row r="4107" spans="2:2">
      <c r="B4107" s="565"/>
    </row>
    <row r="4108" spans="2:2">
      <c r="B4108" s="565"/>
    </row>
    <row r="4109" spans="2:2">
      <c r="B4109" s="565"/>
    </row>
    <row r="4110" spans="2:2">
      <c r="B4110" s="565"/>
    </row>
    <row r="4111" spans="2:2">
      <c r="B4111" s="565"/>
    </row>
    <row r="4112" spans="2:2">
      <c r="B4112" s="565"/>
    </row>
    <row r="4113" spans="2:2">
      <c r="B4113" s="565"/>
    </row>
    <row r="4114" spans="2:2">
      <c r="B4114" s="565"/>
    </row>
    <row r="4115" spans="2:2">
      <c r="B4115" s="565"/>
    </row>
    <row r="4116" spans="2:2">
      <c r="B4116" s="565"/>
    </row>
    <row r="4117" spans="2:2">
      <c r="B4117" s="565"/>
    </row>
    <row r="4118" spans="2:2">
      <c r="B4118" s="565"/>
    </row>
    <row r="4119" spans="2:2">
      <c r="B4119" s="565"/>
    </row>
    <row r="4120" spans="2:2">
      <c r="B4120" s="565"/>
    </row>
    <row r="4121" spans="2:2">
      <c r="B4121" s="565"/>
    </row>
    <row r="4122" spans="2:2">
      <c r="B4122" s="565"/>
    </row>
    <row r="4123" spans="2:2">
      <c r="B4123" s="565"/>
    </row>
    <row r="4124" spans="2:2">
      <c r="B4124" s="565"/>
    </row>
    <row r="4125" spans="2:2">
      <c r="B4125" s="565"/>
    </row>
    <row r="4126" spans="2:2">
      <c r="B4126" s="565"/>
    </row>
    <row r="4127" spans="2:2">
      <c r="B4127" s="565"/>
    </row>
    <row r="4128" spans="2:2">
      <c r="B4128" s="565"/>
    </row>
    <row r="4129" spans="2:2">
      <c r="B4129" s="565"/>
    </row>
    <row r="4130" spans="2:2">
      <c r="B4130" s="565"/>
    </row>
    <row r="4131" spans="2:2">
      <c r="B4131" s="565"/>
    </row>
    <row r="4132" spans="2:2">
      <c r="B4132" s="565"/>
    </row>
    <row r="4133" spans="2:2">
      <c r="B4133" s="565"/>
    </row>
    <row r="4134" spans="2:2">
      <c r="B4134" s="565"/>
    </row>
    <row r="4135" spans="2:2">
      <c r="B4135" s="565"/>
    </row>
    <row r="4136" spans="2:2">
      <c r="B4136" s="565"/>
    </row>
    <row r="4137" spans="2:2">
      <c r="B4137" s="565"/>
    </row>
    <row r="4138" spans="2:2">
      <c r="B4138" s="565"/>
    </row>
    <row r="4139" spans="2:2">
      <c r="B4139" s="565"/>
    </row>
    <row r="4140" spans="2:2">
      <c r="B4140" s="565"/>
    </row>
    <row r="4141" spans="2:2">
      <c r="B4141" s="565"/>
    </row>
    <row r="4142" spans="2:2">
      <c r="B4142" s="565"/>
    </row>
    <row r="4143" spans="2:2">
      <c r="B4143" s="565"/>
    </row>
    <row r="4144" spans="2:2">
      <c r="B4144" s="565"/>
    </row>
    <row r="4145" spans="2:2">
      <c r="B4145" s="565"/>
    </row>
    <row r="4146" spans="2:2">
      <c r="B4146" s="565"/>
    </row>
    <row r="4147" spans="2:2">
      <c r="B4147" s="565"/>
    </row>
    <row r="4148" spans="2:2">
      <c r="B4148" s="565"/>
    </row>
    <row r="4149" spans="2:2">
      <c r="B4149" s="565"/>
    </row>
    <row r="4150" spans="2:2">
      <c r="B4150" s="565"/>
    </row>
    <row r="4151" spans="2:2">
      <c r="B4151" s="565"/>
    </row>
    <row r="4152" spans="2:2">
      <c r="B4152" s="565"/>
    </row>
    <row r="4153" spans="2:2">
      <c r="B4153" s="565"/>
    </row>
    <row r="4154" spans="2:2">
      <c r="B4154" s="565"/>
    </row>
    <row r="4155" spans="2:2">
      <c r="B4155" s="565"/>
    </row>
    <row r="4156" spans="2:2">
      <c r="B4156" s="565"/>
    </row>
    <row r="4157" spans="2:2">
      <c r="B4157" s="565"/>
    </row>
    <row r="4158" spans="2:2">
      <c r="B4158" s="565"/>
    </row>
    <row r="4159" spans="2:2">
      <c r="B4159" s="565"/>
    </row>
    <row r="4160" spans="2:2">
      <c r="B4160" s="565"/>
    </row>
    <row r="4161" spans="2:2">
      <c r="B4161" s="565"/>
    </row>
    <row r="4162" spans="2:2">
      <c r="B4162" s="565"/>
    </row>
    <row r="4163" spans="2:2">
      <c r="B4163" s="565"/>
    </row>
    <row r="4164" spans="2:2">
      <c r="B4164" s="565"/>
    </row>
    <row r="4165" spans="2:2">
      <c r="B4165" s="565"/>
    </row>
    <row r="4166" spans="2:2">
      <c r="B4166" s="565"/>
    </row>
    <row r="4167" spans="2:2">
      <c r="B4167" s="565"/>
    </row>
    <row r="4168" spans="2:2">
      <c r="B4168" s="565"/>
    </row>
    <row r="4169" spans="2:2">
      <c r="B4169" s="565"/>
    </row>
    <row r="4170" spans="2:2">
      <c r="B4170" s="565"/>
    </row>
    <row r="4171" spans="2:2">
      <c r="B4171" s="565"/>
    </row>
    <row r="4172" spans="2:2">
      <c r="B4172" s="565"/>
    </row>
    <row r="4173" spans="2:2">
      <c r="B4173" s="565"/>
    </row>
    <row r="4174" spans="2:2">
      <c r="B4174" s="565"/>
    </row>
    <row r="4175" spans="2:2">
      <c r="B4175" s="565"/>
    </row>
    <row r="4176" spans="2:2">
      <c r="B4176" s="565"/>
    </row>
    <row r="4177" spans="2:2">
      <c r="B4177" s="565"/>
    </row>
    <row r="4178" spans="2:2">
      <c r="B4178" s="565"/>
    </row>
    <row r="4179" spans="2:2">
      <c r="B4179" s="565"/>
    </row>
    <row r="4180" spans="2:2">
      <c r="B4180" s="565"/>
    </row>
    <row r="4181" spans="2:2">
      <c r="B4181" s="565"/>
    </row>
    <row r="4182" spans="2:2">
      <c r="B4182" s="565"/>
    </row>
    <row r="4183" spans="2:2">
      <c r="B4183" s="565"/>
    </row>
    <row r="4184" spans="2:2">
      <c r="B4184" s="565"/>
    </row>
    <row r="4185" spans="2:2">
      <c r="B4185" s="565"/>
    </row>
    <row r="4186" spans="2:2">
      <c r="B4186" s="565"/>
    </row>
    <row r="4187" spans="2:2">
      <c r="B4187" s="565"/>
    </row>
    <row r="4188" spans="2:2">
      <c r="B4188" s="565"/>
    </row>
    <row r="4189" spans="2:2">
      <c r="B4189" s="565"/>
    </row>
    <row r="4190" spans="2:2">
      <c r="B4190" s="565"/>
    </row>
    <row r="4191" spans="2:2">
      <c r="B4191" s="565"/>
    </row>
    <row r="4192" spans="2:2">
      <c r="B4192" s="565"/>
    </row>
    <row r="4193" spans="2:2">
      <c r="B4193" s="565"/>
    </row>
    <row r="4194" spans="2:2">
      <c r="B4194" s="565"/>
    </row>
    <row r="4195" spans="2:2">
      <c r="B4195" s="565"/>
    </row>
    <row r="4196" spans="2:2">
      <c r="B4196" s="565"/>
    </row>
    <row r="4197" spans="2:2">
      <c r="B4197" s="565"/>
    </row>
    <row r="4198" spans="2:2">
      <c r="B4198" s="565"/>
    </row>
    <row r="4199" spans="2:2">
      <c r="B4199" s="565"/>
    </row>
    <row r="4200" spans="2:2">
      <c r="B4200" s="565"/>
    </row>
    <row r="4201" spans="2:2">
      <c r="B4201" s="565"/>
    </row>
    <row r="4202" spans="2:2">
      <c r="B4202" s="565"/>
    </row>
    <row r="4203" spans="2:2">
      <c r="B4203" s="565"/>
    </row>
    <row r="4204" spans="2:2">
      <c r="B4204" s="565"/>
    </row>
    <row r="4205" spans="2:2">
      <c r="B4205" s="565"/>
    </row>
    <row r="4206" spans="2:2">
      <c r="B4206" s="565"/>
    </row>
    <row r="4207" spans="2:2">
      <c r="B4207" s="565"/>
    </row>
    <row r="4208" spans="2:2">
      <c r="B4208" s="565"/>
    </row>
    <row r="4209" spans="2:2">
      <c r="B4209" s="565"/>
    </row>
    <row r="4210" spans="2:2">
      <c r="B4210" s="565"/>
    </row>
    <row r="4211" spans="2:2">
      <c r="B4211" s="565"/>
    </row>
    <row r="4212" spans="2:2">
      <c r="B4212" s="565"/>
    </row>
    <row r="4213" spans="2:2">
      <c r="B4213" s="565"/>
    </row>
    <row r="4214" spans="2:2">
      <c r="B4214" s="565"/>
    </row>
    <row r="4215" spans="2:2">
      <c r="B4215" s="565"/>
    </row>
    <row r="4216" spans="2:2">
      <c r="B4216" s="565"/>
    </row>
    <row r="4217" spans="2:2">
      <c r="B4217" s="565"/>
    </row>
    <row r="4218" spans="2:2">
      <c r="B4218" s="565"/>
    </row>
    <row r="4219" spans="2:2">
      <c r="B4219" s="565"/>
    </row>
    <row r="4220" spans="2:2">
      <c r="B4220" s="565"/>
    </row>
    <row r="4221" spans="2:2">
      <c r="B4221" s="565"/>
    </row>
    <row r="4222" spans="2:2">
      <c r="B4222" s="565"/>
    </row>
    <row r="4223" spans="2:2">
      <c r="B4223" s="565"/>
    </row>
    <row r="4224" spans="2:2">
      <c r="B4224" s="565"/>
    </row>
    <row r="4225" spans="2:2">
      <c r="B4225" s="565"/>
    </row>
    <row r="4226" spans="2:2">
      <c r="B4226" s="565"/>
    </row>
    <row r="4227" spans="2:2">
      <c r="B4227" s="565"/>
    </row>
    <row r="4228" spans="2:2">
      <c r="B4228" s="565"/>
    </row>
    <row r="4229" spans="2:2">
      <c r="B4229" s="565"/>
    </row>
    <row r="4230" spans="2:2">
      <c r="B4230" s="565"/>
    </row>
    <row r="4231" spans="2:2">
      <c r="B4231" s="565"/>
    </row>
    <row r="4232" spans="2:2">
      <c r="B4232" s="565"/>
    </row>
    <row r="4233" spans="2:2">
      <c r="B4233" s="565"/>
    </row>
    <row r="4234" spans="2:2">
      <c r="B4234" s="565"/>
    </row>
    <row r="4235" spans="2:2">
      <c r="B4235" s="565"/>
    </row>
    <row r="4236" spans="2:2">
      <c r="B4236" s="565"/>
    </row>
    <row r="4237" spans="2:2">
      <c r="B4237" s="565"/>
    </row>
    <row r="4238" spans="2:2">
      <c r="B4238" s="565"/>
    </row>
    <row r="4239" spans="2:2">
      <c r="B4239" s="565"/>
    </row>
    <row r="4240" spans="2:2">
      <c r="B4240" s="565"/>
    </row>
    <row r="4241" spans="2:2">
      <c r="B4241" s="565"/>
    </row>
    <row r="4242" spans="2:2">
      <c r="B4242" s="565"/>
    </row>
    <row r="4243" spans="2:2">
      <c r="B4243" s="565"/>
    </row>
    <row r="4244" spans="2:2">
      <c r="B4244" s="565"/>
    </row>
    <row r="4245" spans="2:2">
      <c r="B4245" s="565"/>
    </row>
    <row r="4246" spans="2:2">
      <c r="B4246" s="565"/>
    </row>
    <row r="4247" spans="2:2">
      <c r="B4247" s="565"/>
    </row>
    <row r="4248" spans="2:2">
      <c r="B4248" s="565"/>
    </row>
    <row r="4249" spans="2:2">
      <c r="B4249" s="565"/>
    </row>
    <row r="4250" spans="2:2">
      <c r="B4250" s="565"/>
    </row>
    <row r="4251" spans="2:2">
      <c r="B4251" s="565"/>
    </row>
    <row r="4252" spans="2:2">
      <c r="B4252" s="565"/>
    </row>
    <row r="4253" spans="2:2">
      <c r="B4253" s="565"/>
    </row>
    <row r="4254" spans="2:2">
      <c r="B4254" s="565"/>
    </row>
    <row r="4255" spans="2:2">
      <c r="B4255" s="565"/>
    </row>
    <row r="4256" spans="2:2">
      <c r="B4256" s="565"/>
    </row>
    <row r="4257" spans="2:2">
      <c r="B4257" s="565"/>
    </row>
    <row r="4258" spans="2:2">
      <c r="B4258" s="565"/>
    </row>
    <row r="4259" spans="2:2">
      <c r="B4259" s="565"/>
    </row>
    <row r="4260" spans="2:2">
      <c r="B4260" s="565"/>
    </row>
    <row r="4261" spans="2:2">
      <c r="B4261" s="565"/>
    </row>
    <row r="4262" spans="2:2">
      <c r="B4262" s="565"/>
    </row>
    <row r="4263" spans="2:2">
      <c r="B4263" s="565"/>
    </row>
    <row r="4264" spans="2:2">
      <c r="B4264" s="565"/>
    </row>
    <row r="4265" spans="2:2">
      <c r="B4265" s="565"/>
    </row>
    <row r="4266" spans="2:2">
      <c r="B4266" s="565"/>
    </row>
    <row r="4267" spans="2:2">
      <c r="B4267" s="565"/>
    </row>
    <row r="4268" spans="2:2">
      <c r="B4268" s="565"/>
    </row>
    <row r="4269" spans="2:2">
      <c r="B4269" s="565"/>
    </row>
    <row r="4270" spans="2:2">
      <c r="B4270" s="565"/>
    </row>
    <row r="4271" spans="2:2">
      <c r="B4271" s="565"/>
    </row>
    <row r="4272" spans="2:2">
      <c r="B4272" s="565"/>
    </row>
    <row r="4273" spans="2:2">
      <c r="B4273" s="565"/>
    </row>
    <row r="4274" spans="2:2">
      <c r="B4274" s="565"/>
    </row>
    <row r="4275" spans="2:2">
      <c r="B4275" s="565"/>
    </row>
    <row r="4276" spans="2:2">
      <c r="B4276" s="565"/>
    </row>
    <row r="4277" spans="2:2">
      <c r="B4277" s="565"/>
    </row>
    <row r="4278" spans="2:2">
      <c r="B4278" s="565"/>
    </row>
    <row r="4279" spans="2:2">
      <c r="B4279" s="565"/>
    </row>
    <row r="4280" spans="2:2">
      <c r="B4280" s="565"/>
    </row>
    <row r="4281" spans="2:2">
      <c r="B4281" s="565"/>
    </row>
    <row r="4282" spans="2:2">
      <c r="B4282" s="565"/>
    </row>
    <row r="4283" spans="2:2">
      <c r="B4283" s="565"/>
    </row>
    <row r="4284" spans="2:2">
      <c r="B4284" s="565"/>
    </row>
    <row r="4285" spans="2:2">
      <c r="B4285" s="565"/>
    </row>
    <row r="4286" spans="2:2">
      <c r="B4286" s="565"/>
    </row>
    <row r="4287" spans="2:2">
      <c r="B4287" s="565"/>
    </row>
    <row r="4288" spans="2:2">
      <c r="B4288" s="565"/>
    </row>
    <row r="4289" spans="2:2">
      <c r="B4289" s="565"/>
    </row>
    <row r="4290" spans="2:2">
      <c r="B4290" s="565"/>
    </row>
    <row r="4291" spans="2:2">
      <c r="B4291" s="565"/>
    </row>
    <row r="4292" spans="2:2">
      <c r="B4292" s="565"/>
    </row>
    <row r="4293" spans="2:2">
      <c r="B4293" s="565"/>
    </row>
    <row r="4294" spans="2:2">
      <c r="B4294" s="565"/>
    </row>
    <row r="4295" spans="2:2">
      <c r="B4295" s="565"/>
    </row>
    <row r="4296" spans="2:2">
      <c r="B4296" s="565"/>
    </row>
    <row r="4297" spans="2:2">
      <c r="B4297" s="565"/>
    </row>
    <row r="4298" spans="2:2">
      <c r="B4298" s="565"/>
    </row>
    <row r="4299" spans="2:2">
      <c r="B4299" s="565"/>
    </row>
    <row r="4300" spans="2:2">
      <c r="B4300" s="565"/>
    </row>
    <row r="4301" spans="2:2">
      <c r="B4301" s="565"/>
    </row>
    <row r="4302" spans="2:2">
      <c r="B4302" s="565"/>
    </row>
    <row r="4303" spans="2:2">
      <c r="B4303" s="565"/>
    </row>
    <row r="4304" spans="2:2">
      <c r="B4304" s="565"/>
    </row>
    <row r="4305" spans="2:2">
      <c r="B4305" s="565"/>
    </row>
    <row r="4306" spans="2:2">
      <c r="B4306" s="565"/>
    </row>
    <row r="4307" spans="2:2">
      <c r="B4307" s="565"/>
    </row>
    <row r="4308" spans="2:2">
      <c r="B4308" s="565"/>
    </row>
    <row r="4309" spans="2:2">
      <c r="B4309" s="565"/>
    </row>
    <row r="4310" spans="2:2">
      <c r="B4310" s="565"/>
    </row>
    <row r="4311" spans="2:2">
      <c r="B4311" s="565"/>
    </row>
    <row r="4312" spans="2:2">
      <c r="B4312" s="565"/>
    </row>
    <row r="4313" spans="2:2">
      <c r="B4313" s="565"/>
    </row>
    <row r="4314" spans="2:2">
      <c r="B4314" s="565"/>
    </row>
    <row r="4315" spans="2:2">
      <c r="B4315" s="565"/>
    </row>
    <row r="4316" spans="2:2">
      <c r="B4316" s="565"/>
    </row>
    <row r="4317" spans="2:2">
      <c r="B4317" s="565"/>
    </row>
    <row r="4318" spans="2:2">
      <c r="B4318" s="565"/>
    </row>
    <row r="4319" spans="2:2">
      <c r="B4319" s="565"/>
    </row>
    <row r="4320" spans="2:2">
      <c r="B4320" s="565"/>
    </row>
    <row r="4321" spans="2:2">
      <c r="B4321" s="565"/>
    </row>
    <row r="4322" spans="2:2">
      <c r="B4322" s="565"/>
    </row>
    <row r="4323" spans="2:2">
      <c r="B4323" s="565"/>
    </row>
    <row r="4324" spans="2:2">
      <c r="B4324" s="565"/>
    </row>
    <row r="4325" spans="2:2">
      <c r="B4325" s="565"/>
    </row>
    <row r="4326" spans="2:2">
      <c r="B4326" s="565"/>
    </row>
    <row r="4327" spans="2:2">
      <c r="B4327" s="565"/>
    </row>
    <row r="4328" spans="2:2">
      <c r="B4328" s="565"/>
    </row>
    <row r="4329" spans="2:2">
      <c r="B4329" s="565"/>
    </row>
    <row r="4330" spans="2:2">
      <c r="B4330" s="565"/>
    </row>
    <row r="4331" spans="2:2">
      <c r="B4331" s="565"/>
    </row>
    <row r="4332" spans="2:2">
      <c r="B4332" s="565"/>
    </row>
    <row r="4333" spans="2:2">
      <c r="B4333" s="565"/>
    </row>
    <row r="4334" spans="2:2">
      <c r="B4334" s="565"/>
    </row>
    <row r="4335" spans="2:2">
      <c r="B4335" s="565"/>
    </row>
    <row r="4336" spans="2:2">
      <c r="B4336" s="565"/>
    </row>
    <row r="4337" spans="2:2">
      <c r="B4337" s="565"/>
    </row>
    <row r="4338" spans="2:2">
      <c r="B4338" s="565"/>
    </row>
    <row r="4339" spans="2:2">
      <c r="B4339" s="565"/>
    </row>
    <row r="4340" spans="2:2">
      <c r="B4340" s="565"/>
    </row>
    <row r="4341" spans="2:2">
      <c r="B4341" s="565"/>
    </row>
    <row r="4342" spans="2:2">
      <c r="B4342" s="565"/>
    </row>
    <row r="4343" spans="2:2">
      <c r="B4343" s="565"/>
    </row>
    <row r="4344" spans="2:2">
      <c r="B4344" s="565"/>
    </row>
    <row r="4345" spans="2:2">
      <c r="B4345" s="565"/>
    </row>
    <row r="4346" spans="2:2">
      <c r="B4346" s="565"/>
    </row>
    <row r="4347" spans="2:2">
      <c r="B4347" s="565"/>
    </row>
    <row r="4348" spans="2:2">
      <c r="B4348" s="565"/>
    </row>
    <row r="4349" spans="2:2">
      <c r="B4349" s="565"/>
    </row>
    <row r="4350" spans="2:2">
      <c r="B4350" s="565"/>
    </row>
    <row r="4351" spans="2:2">
      <c r="B4351" s="565"/>
    </row>
    <row r="4352" spans="2:2">
      <c r="B4352" s="565"/>
    </row>
    <row r="4353" spans="2:2">
      <c r="B4353" s="565"/>
    </row>
    <row r="4354" spans="2:2">
      <c r="B4354" s="565"/>
    </row>
    <row r="4355" spans="2:2">
      <c r="B4355" s="565"/>
    </row>
    <row r="4356" spans="2:2">
      <c r="B4356" s="565"/>
    </row>
    <row r="4357" spans="2:2">
      <c r="B4357" s="565"/>
    </row>
    <row r="4358" spans="2:2">
      <c r="B4358" s="565"/>
    </row>
    <row r="4359" spans="2:2">
      <c r="B4359" s="565"/>
    </row>
    <row r="4360" spans="2:2">
      <c r="B4360" s="565"/>
    </row>
    <row r="4361" spans="2:2">
      <c r="B4361" s="565"/>
    </row>
    <row r="4362" spans="2:2">
      <c r="B4362" s="565"/>
    </row>
    <row r="4363" spans="2:2">
      <c r="B4363" s="565"/>
    </row>
    <row r="4364" spans="2:2">
      <c r="B4364" s="565"/>
    </row>
    <row r="4365" spans="2:2">
      <c r="B4365" s="565"/>
    </row>
    <row r="4366" spans="2:2">
      <c r="B4366" s="565"/>
    </row>
    <row r="4367" spans="2:2">
      <c r="B4367" s="565"/>
    </row>
    <row r="4368" spans="2:2">
      <c r="B4368" s="565"/>
    </row>
    <row r="4369" spans="2:2">
      <c r="B4369" s="565"/>
    </row>
    <row r="4370" spans="2:2">
      <c r="B4370" s="565"/>
    </row>
    <row r="4371" spans="2:2">
      <c r="B4371" s="565"/>
    </row>
    <row r="4372" spans="2:2">
      <c r="B4372" s="565"/>
    </row>
    <row r="4373" spans="2:2">
      <c r="B4373" s="565"/>
    </row>
    <row r="4374" spans="2:2">
      <c r="B4374" s="565"/>
    </row>
    <row r="4375" spans="2:2">
      <c r="B4375" s="565"/>
    </row>
    <row r="4376" spans="2:2">
      <c r="B4376" s="565"/>
    </row>
    <row r="4377" spans="2:2">
      <c r="B4377" s="565"/>
    </row>
    <row r="4378" spans="2:2">
      <c r="B4378" s="565"/>
    </row>
    <row r="4379" spans="2:2">
      <c r="B4379" s="565"/>
    </row>
    <row r="4380" spans="2:2">
      <c r="B4380" s="565"/>
    </row>
    <row r="4381" spans="2:2">
      <c r="B4381" s="565"/>
    </row>
    <row r="4382" spans="2:2">
      <c r="B4382" s="565"/>
    </row>
    <row r="4383" spans="2:2">
      <c r="B4383" s="565"/>
    </row>
    <row r="4384" spans="2:2">
      <c r="B4384" s="565"/>
    </row>
    <row r="4385" spans="2:2">
      <c r="B4385" s="565"/>
    </row>
    <row r="4386" spans="2:2">
      <c r="B4386" s="565"/>
    </row>
    <row r="4387" spans="2:2">
      <c r="B4387" s="565"/>
    </row>
    <row r="4388" spans="2:2">
      <c r="B4388" s="565"/>
    </row>
    <row r="4389" spans="2:2">
      <c r="B4389" s="565"/>
    </row>
    <row r="4390" spans="2:2">
      <c r="B4390" s="565"/>
    </row>
    <row r="4391" spans="2:2">
      <c r="B4391" s="565"/>
    </row>
    <row r="4392" spans="2:2">
      <c r="B4392" s="565"/>
    </row>
    <row r="4393" spans="2:2">
      <c r="B4393" s="565"/>
    </row>
    <row r="4394" spans="2:2">
      <c r="B4394" s="565"/>
    </row>
    <row r="4395" spans="2:2">
      <c r="B4395" s="565"/>
    </row>
    <row r="4396" spans="2:2">
      <c r="B4396" s="565"/>
    </row>
    <row r="4397" spans="2:2">
      <c r="B4397" s="565"/>
    </row>
    <row r="4398" spans="2:2">
      <c r="B4398" s="565"/>
    </row>
    <row r="4399" spans="2:2">
      <c r="B4399" s="565"/>
    </row>
    <row r="4400" spans="2:2">
      <c r="B4400" s="565"/>
    </row>
    <row r="4401" spans="2:2">
      <c r="B4401" s="565"/>
    </row>
    <row r="4402" spans="2:2">
      <c r="B4402" s="565"/>
    </row>
    <row r="4403" spans="2:2">
      <c r="B4403" s="565"/>
    </row>
    <row r="4404" spans="2:2">
      <c r="B4404" s="565"/>
    </row>
    <row r="4405" spans="2:2">
      <c r="B4405" s="565"/>
    </row>
    <row r="4406" spans="2:2">
      <c r="B4406" s="565"/>
    </row>
    <row r="4407" spans="2:2">
      <c r="B4407" s="565"/>
    </row>
    <row r="4408" spans="2:2">
      <c r="B4408" s="565"/>
    </row>
    <row r="4409" spans="2:2">
      <c r="B4409" s="565"/>
    </row>
    <row r="4410" spans="2:2">
      <c r="B4410" s="565"/>
    </row>
    <row r="4411" spans="2:2">
      <c r="B4411" s="565"/>
    </row>
    <row r="4412" spans="2:2">
      <c r="B4412" s="565"/>
    </row>
    <row r="4413" spans="2:2">
      <c r="B4413" s="565"/>
    </row>
    <row r="4414" spans="2:2">
      <c r="B4414" s="565"/>
    </row>
    <row r="4415" spans="2:2">
      <c r="B4415" s="565"/>
    </row>
    <row r="4416" spans="2:2">
      <c r="B4416" s="565"/>
    </row>
    <row r="4417" spans="2:2">
      <c r="B4417" s="565"/>
    </row>
    <row r="4418" spans="2:2">
      <c r="B4418" s="565"/>
    </row>
    <row r="4419" spans="2:2">
      <c r="B4419" s="565"/>
    </row>
    <row r="4420" spans="2:2">
      <c r="B4420" s="565"/>
    </row>
    <row r="4421" spans="2:2">
      <c r="B4421" s="565"/>
    </row>
    <row r="4422" spans="2:2">
      <c r="B4422" s="565"/>
    </row>
    <row r="4423" spans="2:2">
      <c r="B4423" s="565"/>
    </row>
    <row r="4424" spans="2:2">
      <c r="B4424" s="565"/>
    </row>
    <row r="4425" spans="2:2">
      <c r="B4425" s="565"/>
    </row>
    <row r="4426" spans="2:2">
      <c r="B4426" s="565"/>
    </row>
    <row r="4427" spans="2:2">
      <c r="B4427" s="565"/>
    </row>
    <row r="4428" spans="2:2">
      <c r="B4428" s="565"/>
    </row>
    <row r="4429" spans="2:2">
      <c r="B4429" s="565"/>
    </row>
    <row r="4430" spans="2:2">
      <c r="B4430" s="565"/>
    </row>
    <row r="4431" spans="2:2">
      <c r="B4431" s="565"/>
    </row>
    <row r="4432" spans="2:2">
      <c r="B4432" s="565"/>
    </row>
    <row r="4433" spans="2:2">
      <c r="B4433" s="565"/>
    </row>
    <row r="4434" spans="2:2">
      <c r="B4434" s="565"/>
    </row>
    <row r="4435" spans="2:2">
      <c r="B4435" s="565"/>
    </row>
    <row r="4436" spans="2:2">
      <c r="B4436" s="565"/>
    </row>
    <row r="4437" spans="2:2">
      <c r="B4437" s="565"/>
    </row>
    <row r="4438" spans="2:2">
      <c r="B4438" s="565"/>
    </row>
    <row r="4439" spans="2:2">
      <c r="B4439" s="565"/>
    </row>
    <row r="4440" spans="2:2">
      <c r="B4440" s="565"/>
    </row>
    <row r="4441" spans="2:2">
      <c r="B4441" s="565"/>
    </row>
    <row r="4442" spans="2:2">
      <c r="B4442" s="565"/>
    </row>
    <row r="4443" spans="2:2">
      <c r="B4443" s="565"/>
    </row>
    <row r="4444" spans="2:2">
      <c r="B4444" s="565"/>
    </row>
    <row r="4445" spans="2:2">
      <c r="B4445" s="565"/>
    </row>
    <row r="4446" spans="2:2">
      <c r="B4446" s="565"/>
    </row>
    <row r="4447" spans="2:2">
      <c r="B4447" s="565"/>
    </row>
    <row r="4448" spans="2:2">
      <c r="B4448" s="565"/>
    </row>
    <row r="4449" spans="2:2">
      <c r="B4449" s="565"/>
    </row>
    <row r="4450" spans="2:2">
      <c r="B4450" s="565"/>
    </row>
    <row r="4451" spans="2:2">
      <c r="B4451" s="565"/>
    </row>
    <row r="4452" spans="2:2">
      <c r="B4452" s="565"/>
    </row>
    <row r="4453" spans="2:2">
      <c r="B4453" s="565"/>
    </row>
    <row r="4454" spans="2:2">
      <c r="B4454" s="565"/>
    </row>
    <row r="4455" spans="2:2">
      <c r="B4455" s="565"/>
    </row>
    <row r="4456" spans="2:2">
      <c r="B4456" s="565"/>
    </row>
    <row r="4457" spans="2:2">
      <c r="B4457" s="565"/>
    </row>
    <row r="4458" spans="2:2">
      <c r="B4458" s="565"/>
    </row>
    <row r="4459" spans="2:2">
      <c r="B4459" s="565"/>
    </row>
    <row r="4460" spans="2:2">
      <c r="B4460" s="565"/>
    </row>
    <row r="4461" spans="2:2">
      <c r="B4461" s="565"/>
    </row>
    <row r="4462" spans="2:2">
      <c r="B4462" s="565"/>
    </row>
    <row r="4463" spans="2:2">
      <c r="B4463" s="565"/>
    </row>
    <row r="4464" spans="2:2">
      <c r="B4464" s="565"/>
    </row>
    <row r="4465" spans="2:2">
      <c r="B4465" s="565"/>
    </row>
    <row r="4466" spans="2:2">
      <c r="B4466" s="565"/>
    </row>
    <row r="4467" spans="2:2">
      <c r="B4467" s="565"/>
    </row>
    <row r="4468" spans="2:2">
      <c r="B4468" s="565"/>
    </row>
    <row r="4469" spans="2:2">
      <c r="B4469" s="565"/>
    </row>
    <row r="4470" spans="2:2">
      <c r="B4470" s="565"/>
    </row>
    <row r="4471" spans="2:2">
      <c r="B4471" s="565"/>
    </row>
    <row r="4472" spans="2:2">
      <c r="B4472" s="565"/>
    </row>
    <row r="4473" spans="2:2">
      <c r="B4473" s="565"/>
    </row>
    <row r="4474" spans="2:2">
      <c r="B4474" s="565"/>
    </row>
    <row r="4475" spans="2:2">
      <c r="B4475" s="565"/>
    </row>
    <row r="4476" spans="2:2">
      <c r="B4476" s="565"/>
    </row>
    <row r="4477" spans="2:2">
      <c r="B4477" s="565"/>
    </row>
    <row r="4478" spans="2:2">
      <c r="B4478" s="565"/>
    </row>
    <row r="4479" spans="2:2">
      <c r="B4479" s="565"/>
    </row>
    <row r="4480" spans="2:2">
      <c r="B4480" s="565"/>
    </row>
    <row r="4481" spans="2:2">
      <c r="B4481" s="565"/>
    </row>
    <row r="4482" spans="2:2">
      <c r="B4482" s="565"/>
    </row>
    <row r="4483" spans="2:2">
      <c r="B4483" s="565"/>
    </row>
    <row r="4484" spans="2:2">
      <c r="B4484" s="565"/>
    </row>
    <row r="4485" spans="2:2">
      <c r="B4485" s="565"/>
    </row>
    <row r="4486" spans="2:2">
      <c r="B4486" s="565"/>
    </row>
    <row r="4487" spans="2:2">
      <c r="B4487" s="565"/>
    </row>
    <row r="4488" spans="2:2">
      <c r="B4488" s="565"/>
    </row>
    <row r="4489" spans="2:2">
      <c r="B4489" s="565"/>
    </row>
    <row r="4490" spans="2:2">
      <c r="B4490" s="565"/>
    </row>
    <row r="4491" spans="2:2">
      <c r="B4491" s="565"/>
    </row>
    <row r="4492" spans="2:2">
      <c r="B4492" s="565"/>
    </row>
    <row r="4493" spans="2:2">
      <c r="B4493" s="565"/>
    </row>
    <row r="4494" spans="2:2">
      <c r="B4494" s="565"/>
    </row>
    <row r="4495" spans="2:2">
      <c r="B4495" s="565"/>
    </row>
    <row r="4496" spans="2:2">
      <c r="B4496" s="565"/>
    </row>
    <row r="4497" spans="2:2">
      <c r="B4497" s="565"/>
    </row>
    <row r="4498" spans="2:2">
      <c r="B4498" s="565"/>
    </row>
    <row r="4499" spans="2:2">
      <c r="B4499" s="565"/>
    </row>
    <row r="4500" spans="2:2">
      <c r="B4500" s="565"/>
    </row>
    <row r="4501" spans="2:2">
      <c r="B4501" s="565"/>
    </row>
    <row r="4502" spans="2:2">
      <c r="B4502" s="565"/>
    </row>
    <row r="4503" spans="2:2">
      <c r="B4503" s="565"/>
    </row>
    <row r="4504" spans="2:2">
      <c r="B4504" s="565"/>
    </row>
    <row r="4505" spans="2:2">
      <c r="B4505" s="565"/>
    </row>
    <row r="4506" spans="2:2">
      <c r="B4506" s="565"/>
    </row>
    <row r="4507" spans="2:2">
      <c r="B4507" s="565"/>
    </row>
    <row r="4508" spans="2:2">
      <c r="B4508" s="565"/>
    </row>
    <row r="4509" spans="2:2">
      <c r="B4509" s="565"/>
    </row>
    <row r="4510" spans="2:2">
      <c r="B4510" s="565"/>
    </row>
    <row r="4511" spans="2:2">
      <c r="B4511" s="565"/>
    </row>
    <row r="4512" spans="2:2">
      <c r="B4512" s="565"/>
    </row>
    <row r="4513" spans="2:2">
      <c r="B4513" s="565"/>
    </row>
    <row r="4514" spans="2:2">
      <c r="B4514" s="565"/>
    </row>
    <row r="4515" spans="2:2">
      <c r="B4515" s="565"/>
    </row>
    <row r="4516" spans="2:2">
      <c r="B4516" s="565"/>
    </row>
    <row r="4517" spans="2:2">
      <c r="B4517" s="565"/>
    </row>
    <row r="4518" spans="2:2">
      <c r="B4518" s="565"/>
    </row>
    <row r="4519" spans="2:2">
      <c r="B4519" s="565"/>
    </row>
    <row r="4520" spans="2:2">
      <c r="B4520" s="565"/>
    </row>
    <row r="4521" spans="2:2">
      <c r="B4521" s="565"/>
    </row>
    <row r="4522" spans="2:2">
      <c r="B4522" s="565"/>
    </row>
    <row r="4523" spans="2:2">
      <c r="B4523" s="565"/>
    </row>
    <row r="4524" spans="2:2">
      <c r="B4524" s="565"/>
    </row>
    <row r="4525" spans="2:2">
      <c r="B4525" s="565"/>
    </row>
    <row r="4526" spans="2:2">
      <c r="B4526" s="565"/>
    </row>
    <row r="4527" spans="2:2">
      <c r="B4527" s="565"/>
    </row>
    <row r="4528" spans="2:2">
      <c r="B4528" s="565"/>
    </row>
    <row r="4529" spans="2:2">
      <c r="B4529" s="565"/>
    </row>
    <row r="4530" spans="2:2">
      <c r="B4530" s="565"/>
    </row>
    <row r="4531" spans="2:2">
      <c r="B4531" s="565"/>
    </row>
    <row r="4532" spans="2:2">
      <c r="B4532" s="565"/>
    </row>
    <row r="4533" spans="2:2">
      <c r="B4533" s="565"/>
    </row>
    <row r="4534" spans="2:2">
      <c r="B4534" s="565"/>
    </row>
    <row r="4535" spans="2:2">
      <c r="B4535" s="565"/>
    </row>
    <row r="4536" spans="2:2">
      <c r="B4536" s="565"/>
    </row>
    <row r="4537" spans="2:2">
      <c r="B4537" s="565"/>
    </row>
    <row r="4538" spans="2:2">
      <c r="B4538" s="565"/>
    </row>
    <row r="4539" spans="2:2">
      <c r="B4539" s="565"/>
    </row>
    <row r="4540" spans="2:2">
      <c r="B4540" s="565"/>
    </row>
    <row r="4541" spans="2:2">
      <c r="B4541" s="565"/>
    </row>
    <row r="4542" spans="2:2">
      <c r="B4542" s="565"/>
    </row>
    <row r="4543" spans="2:2">
      <c r="B4543" s="565"/>
    </row>
    <row r="4544" spans="2:2">
      <c r="B4544" s="565"/>
    </row>
    <row r="4545" spans="2:2">
      <c r="B4545" s="565"/>
    </row>
    <row r="4546" spans="2:2">
      <c r="B4546" s="565"/>
    </row>
    <row r="4547" spans="2:2">
      <c r="B4547" s="565"/>
    </row>
    <row r="4548" spans="2:2">
      <c r="B4548" s="565"/>
    </row>
    <row r="4549" spans="2:2">
      <c r="B4549" s="565"/>
    </row>
    <row r="4550" spans="2:2">
      <c r="B4550" s="565"/>
    </row>
    <row r="4551" spans="2:2">
      <c r="B4551" s="565"/>
    </row>
    <row r="4552" spans="2:2">
      <c r="B4552" s="565"/>
    </row>
    <row r="4553" spans="2:2">
      <c r="B4553" s="565"/>
    </row>
    <row r="4554" spans="2:2">
      <c r="B4554" s="565"/>
    </row>
    <row r="4555" spans="2:2">
      <c r="B4555" s="565"/>
    </row>
    <row r="4556" spans="2:2">
      <c r="B4556" s="565"/>
    </row>
    <row r="4557" spans="2:2">
      <c r="B4557" s="565"/>
    </row>
    <row r="4558" spans="2:2">
      <c r="B4558" s="565"/>
    </row>
    <row r="4559" spans="2:2">
      <c r="B4559" s="565"/>
    </row>
    <row r="4560" spans="2:2">
      <c r="B4560" s="565"/>
    </row>
    <row r="4561" spans="2:2">
      <c r="B4561" s="565"/>
    </row>
    <row r="4562" spans="2:2">
      <c r="B4562" s="565"/>
    </row>
    <row r="4563" spans="2:2">
      <c r="B4563" s="565"/>
    </row>
    <row r="4564" spans="2:2">
      <c r="B4564" s="565"/>
    </row>
    <row r="4565" spans="2:2">
      <c r="B4565" s="565"/>
    </row>
    <row r="4566" spans="2:2">
      <c r="B4566" s="565"/>
    </row>
    <row r="4567" spans="2:2">
      <c r="B4567" s="565"/>
    </row>
    <row r="4568" spans="2:2">
      <c r="B4568" s="565"/>
    </row>
    <row r="4569" spans="2:2">
      <c r="B4569" s="565"/>
    </row>
    <row r="4570" spans="2:2">
      <c r="B4570" s="565"/>
    </row>
    <row r="4571" spans="2:2">
      <c r="B4571" s="565"/>
    </row>
    <row r="4572" spans="2:2">
      <c r="B4572" s="565"/>
    </row>
    <row r="4573" spans="2:2">
      <c r="B4573" s="565"/>
    </row>
    <row r="4574" spans="2:2">
      <c r="B4574" s="565"/>
    </row>
    <row r="4575" spans="2:2">
      <c r="B4575" s="565"/>
    </row>
    <row r="4576" spans="2:2">
      <c r="B4576" s="565"/>
    </row>
    <row r="4577" spans="2:2">
      <c r="B4577" s="565"/>
    </row>
    <row r="4578" spans="2:2">
      <c r="B4578" s="565"/>
    </row>
    <row r="4579" spans="2:2">
      <c r="B4579" s="565"/>
    </row>
    <row r="4580" spans="2:2">
      <c r="B4580" s="565"/>
    </row>
    <row r="4581" spans="2:2">
      <c r="B4581" s="565"/>
    </row>
    <row r="4582" spans="2:2">
      <c r="B4582" s="565"/>
    </row>
    <row r="4583" spans="2:2">
      <c r="B4583" s="565"/>
    </row>
    <row r="4584" spans="2:2">
      <c r="B4584" s="565"/>
    </row>
    <row r="4585" spans="2:2">
      <c r="B4585" s="565"/>
    </row>
    <row r="4586" spans="2:2">
      <c r="B4586" s="565"/>
    </row>
    <row r="4587" spans="2:2">
      <c r="B4587" s="565"/>
    </row>
    <row r="4588" spans="2:2">
      <c r="B4588" s="565"/>
    </row>
    <row r="4589" spans="2:2">
      <c r="B4589" s="565"/>
    </row>
    <row r="4590" spans="2:2">
      <c r="B4590" s="565"/>
    </row>
    <row r="4591" spans="2:2">
      <c r="B4591" s="565"/>
    </row>
    <row r="4592" spans="2:2">
      <c r="B4592" s="565"/>
    </row>
    <row r="4593" spans="2:2">
      <c r="B4593" s="565"/>
    </row>
    <row r="4594" spans="2:2">
      <c r="B4594" s="565"/>
    </row>
    <row r="4595" spans="2:2">
      <c r="B4595" s="565"/>
    </row>
    <row r="4596" spans="2:2">
      <c r="B4596" s="565"/>
    </row>
    <row r="4597" spans="2:2">
      <c r="B4597" s="565"/>
    </row>
    <row r="4598" spans="2:2">
      <c r="B4598" s="565"/>
    </row>
    <row r="4599" spans="2:2">
      <c r="B4599" s="565"/>
    </row>
    <row r="4600" spans="2:2">
      <c r="B4600" s="565"/>
    </row>
    <row r="4601" spans="2:2">
      <c r="B4601" s="565"/>
    </row>
    <row r="4602" spans="2:2">
      <c r="B4602" s="565"/>
    </row>
    <row r="4603" spans="2:2">
      <c r="B4603" s="565"/>
    </row>
    <row r="4604" spans="2:2">
      <c r="B4604" s="565"/>
    </row>
    <row r="4605" spans="2:2">
      <c r="B4605" s="565"/>
    </row>
    <row r="4606" spans="2:2">
      <c r="B4606" s="565"/>
    </row>
    <row r="4607" spans="2:2">
      <c r="B4607" s="565"/>
    </row>
    <row r="4608" spans="2:2">
      <c r="B4608" s="565"/>
    </row>
    <row r="4609" spans="2:2">
      <c r="B4609" s="565"/>
    </row>
    <row r="4610" spans="2:2">
      <c r="B4610" s="565"/>
    </row>
    <row r="4611" spans="2:2">
      <c r="B4611" s="565"/>
    </row>
    <row r="4612" spans="2:2">
      <c r="B4612" s="565"/>
    </row>
    <row r="4613" spans="2:2">
      <c r="B4613" s="565"/>
    </row>
    <row r="4614" spans="2:2">
      <c r="B4614" s="565"/>
    </row>
    <row r="4615" spans="2:2">
      <c r="B4615" s="565"/>
    </row>
    <row r="4616" spans="2:2">
      <c r="B4616" s="565"/>
    </row>
    <row r="4617" spans="2:2">
      <c r="B4617" s="565"/>
    </row>
    <row r="4618" spans="2:2">
      <c r="B4618" s="565"/>
    </row>
    <row r="4619" spans="2:2">
      <c r="B4619" s="565"/>
    </row>
    <row r="4620" spans="2:2">
      <c r="B4620" s="565"/>
    </row>
    <row r="4621" spans="2:2">
      <c r="B4621" s="565"/>
    </row>
    <row r="4622" spans="2:2">
      <c r="B4622" s="565"/>
    </row>
    <row r="4623" spans="2:2">
      <c r="B4623" s="565"/>
    </row>
    <row r="4624" spans="2:2">
      <c r="B4624" s="565"/>
    </row>
    <row r="4625" spans="2:2">
      <c r="B4625" s="565"/>
    </row>
    <row r="4626" spans="2:2">
      <c r="B4626" s="565"/>
    </row>
    <row r="4627" spans="2:2">
      <c r="B4627" s="565"/>
    </row>
    <row r="4628" spans="2:2">
      <c r="B4628" s="565"/>
    </row>
    <row r="4629" spans="2:2">
      <c r="B4629" s="565"/>
    </row>
    <row r="4630" spans="2:2">
      <c r="B4630" s="565"/>
    </row>
    <row r="4631" spans="2:2">
      <c r="B4631" s="565"/>
    </row>
    <row r="4632" spans="2:2">
      <c r="B4632" s="565"/>
    </row>
    <row r="4633" spans="2:2">
      <c r="B4633" s="565"/>
    </row>
    <row r="4634" spans="2:2">
      <c r="B4634" s="565"/>
    </row>
    <row r="4635" spans="2:2">
      <c r="B4635" s="565"/>
    </row>
    <row r="4636" spans="2:2">
      <c r="B4636" s="565"/>
    </row>
    <row r="4637" spans="2:2">
      <c r="B4637" s="565"/>
    </row>
    <row r="4638" spans="2:2">
      <c r="B4638" s="565"/>
    </row>
    <row r="4639" spans="2:2">
      <c r="B4639" s="565"/>
    </row>
    <row r="4640" spans="2:2">
      <c r="B4640" s="565"/>
    </row>
    <row r="4641" spans="2:2">
      <c r="B4641" s="565"/>
    </row>
    <row r="4642" spans="2:2">
      <c r="B4642" s="565"/>
    </row>
    <row r="4643" spans="2:2">
      <c r="B4643" s="565"/>
    </row>
    <row r="4644" spans="2:2">
      <c r="B4644" s="565"/>
    </row>
    <row r="4645" spans="2:2">
      <c r="B4645" s="565"/>
    </row>
    <row r="4646" spans="2:2">
      <c r="B4646" s="565"/>
    </row>
    <row r="4647" spans="2:2">
      <c r="B4647" s="565"/>
    </row>
    <row r="4648" spans="2:2">
      <c r="B4648" s="565"/>
    </row>
    <row r="4649" spans="2:2">
      <c r="B4649" s="565"/>
    </row>
    <row r="4650" spans="2:2">
      <c r="B4650" s="565"/>
    </row>
    <row r="4651" spans="2:2">
      <c r="B4651" s="565"/>
    </row>
    <row r="4652" spans="2:2">
      <c r="B4652" s="565"/>
    </row>
    <row r="4653" spans="2:2">
      <c r="B4653" s="565"/>
    </row>
    <row r="4654" spans="2:2">
      <c r="B4654" s="565"/>
    </row>
    <row r="4655" spans="2:2">
      <c r="B4655" s="565"/>
    </row>
    <row r="4656" spans="2:2">
      <c r="B4656" s="565"/>
    </row>
    <row r="4657" spans="2:2">
      <c r="B4657" s="565"/>
    </row>
    <row r="4658" spans="2:2">
      <c r="B4658" s="565"/>
    </row>
    <row r="4659" spans="2:2">
      <c r="B4659" s="565"/>
    </row>
    <row r="4660" spans="2:2">
      <c r="B4660" s="565"/>
    </row>
    <row r="4661" spans="2:2">
      <c r="B4661" s="565"/>
    </row>
    <row r="4662" spans="2:2">
      <c r="B4662" s="565"/>
    </row>
    <row r="4663" spans="2:2">
      <c r="B4663" s="565"/>
    </row>
    <row r="4664" spans="2:2">
      <c r="B4664" s="565"/>
    </row>
    <row r="4665" spans="2:2">
      <c r="B4665" s="565"/>
    </row>
    <row r="4666" spans="2:2">
      <c r="B4666" s="565"/>
    </row>
    <row r="4667" spans="2:2">
      <c r="B4667" s="565"/>
    </row>
    <row r="4668" spans="2:2">
      <c r="B4668" s="565"/>
    </row>
    <row r="4669" spans="2:2">
      <c r="B4669" s="565"/>
    </row>
    <row r="4670" spans="2:2">
      <c r="B4670" s="565"/>
    </row>
    <row r="4671" spans="2:2">
      <c r="B4671" s="565"/>
    </row>
    <row r="4672" spans="2:2">
      <c r="B4672" s="565"/>
    </row>
    <row r="4673" spans="2:2">
      <c r="B4673" s="565"/>
    </row>
    <row r="4674" spans="2:2">
      <c r="B4674" s="565"/>
    </row>
    <row r="4675" spans="2:2">
      <c r="B4675" s="565"/>
    </row>
    <row r="4676" spans="2:2">
      <c r="B4676" s="565"/>
    </row>
    <row r="4677" spans="2:2">
      <c r="B4677" s="565"/>
    </row>
    <row r="4678" spans="2:2">
      <c r="B4678" s="565"/>
    </row>
    <row r="4679" spans="2:2">
      <c r="B4679" s="565"/>
    </row>
    <row r="4680" spans="2:2">
      <c r="B4680" s="565"/>
    </row>
    <row r="4681" spans="2:2">
      <c r="B4681" s="565"/>
    </row>
    <row r="4682" spans="2:2">
      <c r="B4682" s="565"/>
    </row>
    <row r="4683" spans="2:2">
      <c r="B4683" s="565"/>
    </row>
    <row r="4684" spans="2:2">
      <c r="B4684" s="565"/>
    </row>
    <row r="4685" spans="2:2">
      <c r="B4685" s="565"/>
    </row>
    <row r="4686" spans="2:2">
      <c r="B4686" s="565"/>
    </row>
    <row r="4687" spans="2:2">
      <c r="B4687" s="565"/>
    </row>
    <row r="4688" spans="2:2">
      <c r="B4688" s="565"/>
    </row>
    <row r="4689" spans="2:2">
      <c r="B4689" s="565"/>
    </row>
    <row r="4690" spans="2:2">
      <c r="B4690" s="565"/>
    </row>
    <row r="4691" spans="2:2">
      <c r="B4691" s="565"/>
    </row>
    <row r="4692" spans="2:2">
      <c r="B4692" s="565"/>
    </row>
    <row r="4693" spans="2:2">
      <c r="B4693" s="565"/>
    </row>
    <row r="4694" spans="2:2">
      <c r="B4694" s="565"/>
    </row>
    <row r="4695" spans="2:2">
      <c r="B4695" s="565"/>
    </row>
    <row r="4696" spans="2:2">
      <c r="B4696" s="565"/>
    </row>
    <row r="4697" spans="2:2">
      <c r="B4697" s="565"/>
    </row>
    <row r="4698" spans="2:2">
      <c r="B4698" s="565"/>
    </row>
    <row r="4699" spans="2:2">
      <c r="B4699" s="565"/>
    </row>
    <row r="4700" spans="2:2">
      <c r="B4700" s="565"/>
    </row>
    <row r="4701" spans="2:2">
      <c r="B4701" s="565"/>
    </row>
    <row r="4702" spans="2:2">
      <c r="B4702" s="565"/>
    </row>
    <row r="4703" spans="2:2">
      <c r="B4703" s="565"/>
    </row>
    <row r="4704" spans="2:2">
      <c r="B4704" s="565"/>
    </row>
    <row r="4705" spans="2:2">
      <c r="B4705" s="565"/>
    </row>
    <row r="4706" spans="2:2">
      <c r="B4706" s="565"/>
    </row>
    <row r="4707" spans="2:2">
      <c r="B4707" s="565"/>
    </row>
    <row r="4708" spans="2:2">
      <c r="B4708" s="565"/>
    </row>
    <row r="4709" spans="2:2">
      <c r="B4709" s="565"/>
    </row>
    <row r="4710" spans="2:2">
      <c r="B4710" s="565"/>
    </row>
    <row r="4711" spans="2:2">
      <c r="B4711" s="565"/>
    </row>
    <row r="4712" spans="2:2">
      <c r="B4712" s="565"/>
    </row>
    <row r="4713" spans="2:2">
      <c r="B4713" s="565"/>
    </row>
    <row r="4714" spans="2:2">
      <c r="B4714" s="565"/>
    </row>
    <row r="4715" spans="2:2">
      <c r="B4715" s="565"/>
    </row>
    <row r="4716" spans="2:2">
      <c r="B4716" s="565"/>
    </row>
    <row r="4717" spans="2:2">
      <c r="B4717" s="565"/>
    </row>
    <row r="4718" spans="2:2">
      <c r="B4718" s="565"/>
    </row>
    <row r="4719" spans="2:2">
      <c r="B4719" s="565"/>
    </row>
    <row r="4720" spans="2:2">
      <c r="B4720" s="565"/>
    </row>
    <row r="4721" spans="2:2">
      <c r="B4721" s="565"/>
    </row>
    <row r="4722" spans="2:2">
      <c r="B4722" s="565"/>
    </row>
    <row r="4723" spans="2:2">
      <c r="B4723" s="565"/>
    </row>
    <row r="4724" spans="2:2">
      <c r="B4724" s="565"/>
    </row>
    <row r="4725" spans="2:2">
      <c r="B4725" s="565"/>
    </row>
    <row r="4726" spans="2:2">
      <c r="B4726" s="565"/>
    </row>
    <row r="4727" spans="2:2">
      <c r="B4727" s="565"/>
    </row>
    <row r="4728" spans="2:2">
      <c r="B4728" s="565"/>
    </row>
    <row r="4729" spans="2:2">
      <c r="B4729" s="565"/>
    </row>
    <row r="4730" spans="2:2">
      <c r="B4730" s="565"/>
    </row>
    <row r="4731" spans="2:2">
      <c r="B4731" s="565"/>
    </row>
    <row r="4732" spans="2:2">
      <c r="B4732" s="565"/>
    </row>
    <row r="4733" spans="2:2">
      <c r="B4733" s="565"/>
    </row>
    <row r="4734" spans="2:2">
      <c r="B4734" s="565"/>
    </row>
    <row r="4735" spans="2:2">
      <c r="B4735" s="565"/>
    </row>
    <row r="4736" spans="2:2">
      <c r="B4736" s="565"/>
    </row>
    <row r="4737" spans="2:2">
      <c r="B4737" s="565"/>
    </row>
    <row r="4738" spans="2:2">
      <c r="B4738" s="565"/>
    </row>
    <row r="4739" spans="2:2">
      <c r="B4739" s="565"/>
    </row>
    <row r="4740" spans="2:2">
      <c r="B4740" s="565"/>
    </row>
    <row r="4741" spans="2:2">
      <c r="B4741" s="565"/>
    </row>
    <row r="4742" spans="2:2">
      <c r="B4742" s="565"/>
    </row>
    <row r="4743" spans="2:2">
      <c r="B4743" s="565"/>
    </row>
    <row r="4744" spans="2:2">
      <c r="B4744" s="565"/>
    </row>
    <row r="4745" spans="2:2">
      <c r="B4745" s="565"/>
    </row>
    <row r="4746" spans="2:2">
      <c r="B4746" s="565"/>
    </row>
    <row r="4747" spans="2:2">
      <c r="B4747" s="565"/>
    </row>
    <row r="4748" spans="2:2">
      <c r="B4748" s="565"/>
    </row>
    <row r="4749" spans="2:2">
      <c r="B4749" s="565"/>
    </row>
    <row r="4750" spans="2:2">
      <c r="B4750" s="565"/>
    </row>
    <row r="4751" spans="2:2">
      <c r="B4751" s="565"/>
    </row>
    <row r="4752" spans="2:2">
      <c r="B4752" s="565"/>
    </row>
    <row r="4753" spans="2:2">
      <c r="B4753" s="565"/>
    </row>
    <row r="4754" spans="2:2">
      <c r="B4754" s="565"/>
    </row>
    <row r="4755" spans="2:2">
      <c r="B4755" s="565"/>
    </row>
    <row r="4756" spans="2:2">
      <c r="B4756" s="565"/>
    </row>
    <row r="4757" spans="2:2">
      <c r="B4757" s="565"/>
    </row>
    <row r="4758" spans="2:2">
      <c r="B4758" s="565"/>
    </row>
    <row r="4759" spans="2:2">
      <c r="B4759" s="565"/>
    </row>
    <row r="4760" spans="2:2">
      <c r="B4760" s="565"/>
    </row>
    <row r="4761" spans="2:2">
      <c r="B4761" s="565"/>
    </row>
    <row r="4762" spans="2:2">
      <c r="B4762" s="565"/>
    </row>
    <row r="4763" spans="2:2">
      <c r="B4763" s="565"/>
    </row>
    <row r="4764" spans="2:2">
      <c r="B4764" s="565"/>
    </row>
    <row r="4765" spans="2:2">
      <c r="B4765" s="565"/>
    </row>
    <row r="4766" spans="2:2">
      <c r="B4766" s="565"/>
    </row>
    <row r="4767" spans="2:2">
      <c r="B4767" s="565"/>
    </row>
    <row r="4768" spans="2:2">
      <c r="B4768" s="565"/>
    </row>
    <row r="4769" spans="2:2">
      <c r="B4769" s="565"/>
    </row>
    <row r="4770" spans="2:2">
      <c r="B4770" s="565"/>
    </row>
    <row r="4771" spans="2:2">
      <c r="B4771" s="565"/>
    </row>
    <row r="4772" spans="2:2">
      <c r="B4772" s="565"/>
    </row>
    <row r="4773" spans="2:2">
      <c r="B4773" s="565"/>
    </row>
    <row r="4774" spans="2:2">
      <c r="B4774" s="565"/>
    </row>
    <row r="4775" spans="2:2">
      <c r="B4775" s="565"/>
    </row>
    <row r="4776" spans="2:2">
      <c r="B4776" s="565"/>
    </row>
    <row r="4777" spans="2:2">
      <c r="B4777" s="565"/>
    </row>
    <row r="4778" spans="2:2">
      <c r="B4778" s="565"/>
    </row>
    <row r="4779" spans="2:2">
      <c r="B4779" s="565"/>
    </row>
    <row r="4780" spans="2:2">
      <c r="B4780" s="565"/>
    </row>
    <row r="4781" spans="2:2">
      <c r="B4781" s="565"/>
    </row>
    <row r="4782" spans="2:2">
      <c r="B4782" s="565"/>
    </row>
    <row r="4783" spans="2:2">
      <c r="B4783" s="565"/>
    </row>
    <row r="4784" spans="2:2">
      <c r="B4784" s="565"/>
    </row>
    <row r="4785" spans="2:2">
      <c r="B4785" s="565"/>
    </row>
    <row r="4786" spans="2:2">
      <c r="B4786" s="565"/>
    </row>
    <row r="4787" spans="2:2">
      <c r="B4787" s="565"/>
    </row>
    <row r="4788" spans="2:2">
      <c r="B4788" s="565"/>
    </row>
    <row r="4789" spans="2:2">
      <c r="B4789" s="565"/>
    </row>
    <row r="4790" spans="2:2">
      <c r="B4790" s="565"/>
    </row>
    <row r="4791" spans="2:2">
      <c r="B4791" s="565"/>
    </row>
    <row r="4792" spans="2:2">
      <c r="B4792" s="565"/>
    </row>
    <row r="4793" spans="2:2">
      <c r="B4793" s="565"/>
    </row>
    <row r="4794" spans="2:2">
      <c r="B4794" s="565"/>
    </row>
    <row r="4795" spans="2:2">
      <c r="B4795" s="565"/>
    </row>
    <row r="4796" spans="2:2">
      <c r="B4796" s="565"/>
    </row>
    <row r="4797" spans="2:2">
      <c r="B4797" s="565"/>
    </row>
    <row r="4798" spans="2:2">
      <c r="B4798" s="565"/>
    </row>
    <row r="4799" spans="2:2">
      <c r="B4799" s="565"/>
    </row>
    <row r="4800" spans="2:2">
      <c r="B4800" s="565"/>
    </row>
    <row r="4801" spans="2:2">
      <c r="B4801" s="565"/>
    </row>
    <row r="4802" spans="2:2">
      <c r="B4802" s="565"/>
    </row>
    <row r="4803" spans="2:2">
      <c r="B4803" s="565"/>
    </row>
    <row r="4804" spans="2:2">
      <c r="B4804" s="565"/>
    </row>
    <row r="4805" spans="2:2">
      <c r="B4805" s="565"/>
    </row>
    <row r="4806" spans="2:2">
      <c r="B4806" s="565"/>
    </row>
    <row r="4807" spans="2:2">
      <c r="B4807" s="565"/>
    </row>
    <row r="4808" spans="2:2">
      <c r="B4808" s="565"/>
    </row>
    <row r="4809" spans="2:2">
      <c r="B4809" s="565"/>
    </row>
    <row r="4810" spans="2:2">
      <c r="B4810" s="565"/>
    </row>
    <row r="4811" spans="2:2">
      <c r="B4811" s="565"/>
    </row>
    <row r="4812" spans="2:2">
      <c r="B4812" s="565"/>
    </row>
    <row r="4813" spans="2:2">
      <c r="B4813" s="565"/>
    </row>
    <row r="4814" spans="2:2">
      <c r="B4814" s="565"/>
    </row>
    <row r="4815" spans="2:2">
      <c r="B4815" s="565"/>
    </row>
    <row r="4816" spans="2:2">
      <c r="B4816" s="565"/>
    </row>
    <row r="4817" spans="2:2">
      <c r="B4817" s="565"/>
    </row>
    <row r="4818" spans="2:2">
      <c r="B4818" s="565"/>
    </row>
    <row r="4819" spans="2:2">
      <c r="B4819" s="565"/>
    </row>
    <row r="4820" spans="2:2">
      <c r="B4820" s="565"/>
    </row>
    <row r="4821" spans="2:2">
      <c r="B4821" s="565"/>
    </row>
    <row r="4822" spans="2:2">
      <c r="B4822" s="565"/>
    </row>
    <row r="4823" spans="2:2">
      <c r="B4823" s="565"/>
    </row>
    <row r="4824" spans="2:2">
      <c r="B4824" s="565"/>
    </row>
    <row r="4825" spans="2:2">
      <c r="B4825" s="565"/>
    </row>
    <row r="4826" spans="2:2">
      <c r="B4826" s="565"/>
    </row>
    <row r="4827" spans="2:2">
      <c r="B4827" s="565"/>
    </row>
    <row r="4828" spans="2:2">
      <c r="B4828" s="565"/>
    </row>
    <row r="4829" spans="2:2">
      <c r="B4829" s="565"/>
    </row>
    <row r="4830" spans="2:2">
      <c r="B4830" s="565"/>
    </row>
    <row r="4831" spans="2:2">
      <c r="B4831" s="565"/>
    </row>
    <row r="4832" spans="2:2">
      <c r="B4832" s="565"/>
    </row>
    <row r="4833" spans="2:2">
      <c r="B4833" s="565"/>
    </row>
    <row r="4834" spans="2:2">
      <c r="B4834" s="565"/>
    </row>
    <row r="4835" spans="2:2">
      <c r="B4835" s="565"/>
    </row>
    <row r="4836" spans="2:2">
      <c r="B4836" s="565"/>
    </row>
    <row r="4837" spans="2:2">
      <c r="B4837" s="565"/>
    </row>
    <row r="4838" spans="2:2">
      <c r="B4838" s="565"/>
    </row>
    <row r="4839" spans="2:2">
      <c r="B4839" s="565"/>
    </row>
    <row r="4840" spans="2:2">
      <c r="B4840" s="565"/>
    </row>
    <row r="4841" spans="2:2">
      <c r="B4841" s="565"/>
    </row>
    <row r="4842" spans="2:2">
      <c r="B4842" s="565"/>
    </row>
    <row r="4843" spans="2:2">
      <c r="B4843" s="565"/>
    </row>
    <row r="4844" spans="2:2">
      <c r="B4844" s="565"/>
    </row>
    <row r="4845" spans="2:2">
      <c r="B4845" s="565"/>
    </row>
    <row r="4846" spans="2:2">
      <c r="B4846" s="565"/>
    </row>
    <row r="4847" spans="2:2">
      <c r="B4847" s="565"/>
    </row>
    <row r="4848" spans="2:2">
      <c r="B4848" s="565"/>
    </row>
    <row r="4849" spans="2:2">
      <c r="B4849" s="565"/>
    </row>
    <row r="4850" spans="2:2">
      <c r="B4850" s="565"/>
    </row>
    <row r="4851" spans="2:2">
      <c r="B4851" s="565"/>
    </row>
    <row r="4852" spans="2:2">
      <c r="B4852" s="565"/>
    </row>
    <row r="4853" spans="2:2">
      <c r="B4853" s="565"/>
    </row>
    <row r="4854" spans="2:2">
      <c r="B4854" s="565"/>
    </row>
    <row r="4855" spans="2:2">
      <c r="B4855" s="565"/>
    </row>
    <row r="4856" spans="2:2">
      <c r="B4856" s="565"/>
    </row>
    <row r="4857" spans="2:2">
      <c r="B4857" s="565"/>
    </row>
    <row r="4858" spans="2:2">
      <c r="B4858" s="565"/>
    </row>
    <row r="4859" spans="2:2">
      <c r="B4859" s="565"/>
    </row>
    <row r="4860" spans="2:2">
      <c r="B4860" s="565"/>
    </row>
    <row r="4861" spans="2:2">
      <c r="B4861" s="565"/>
    </row>
    <row r="4862" spans="2:2">
      <c r="B4862" s="565"/>
    </row>
    <row r="4863" spans="2:2">
      <c r="B4863" s="565"/>
    </row>
    <row r="4864" spans="2:2">
      <c r="B4864" s="565"/>
    </row>
    <row r="4865" spans="2:2">
      <c r="B4865" s="565"/>
    </row>
    <row r="4866" spans="2:2">
      <c r="B4866" s="565"/>
    </row>
    <row r="4867" spans="2:2">
      <c r="B4867" s="565"/>
    </row>
    <row r="4868" spans="2:2">
      <c r="B4868" s="565"/>
    </row>
    <row r="4869" spans="2:2">
      <c r="B4869" s="565"/>
    </row>
    <row r="4870" spans="2:2">
      <c r="B4870" s="565"/>
    </row>
    <row r="4871" spans="2:2">
      <c r="B4871" s="565"/>
    </row>
    <row r="4872" spans="2:2">
      <c r="B4872" s="565"/>
    </row>
    <row r="4873" spans="2:2">
      <c r="B4873" s="565"/>
    </row>
    <row r="4874" spans="2:2">
      <c r="B4874" s="565"/>
    </row>
    <row r="4875" spans="2:2">
      <c r="B4875" s="565"/>
    </row>
    <row r="4876" spans="2:2">
      <c r="B4876" s="565"/>
    </row>
    <row r="4877" spans="2:2">
      <c r="B4877" s="565"/>
    </row>
    <row r="4878" spans="2:2">
      <c r="B4878" s="565"/>
    </row>
    <row r="4879" spans="2:2">
      <c r="B4879" s="565"/>
    </row>
    <row r="4880" spans="2:2">
      <c r="B4880" s="565"/>
    </row>
    <row r="4881" spans="2:2">
      <c r="B4881" s="565"/>
    </row>
    <row r="4882" spans="2:2">
      <c r="B4882" s="565"/>
    </row>
    <row r="4883" spans="2:2">
      <c r="B4883" s="565"/>
    </row>
    <row r="4884" spans="2:2">
      <c r="B4884" s="565"/>
    </row>
    <row r="4885" spans="2:2">
      <c r="B4885" s="565"/>
    </row>
    <row r="4886" spans="2:2">
      <c r="B4886" s="565"/>
    </row>
    <row r="4887" spans="2:2">
      <c r="B4887" s="565"/>
    </row>
    <row r="4888" spans="2:2">
      <c r="B4888" s="565"/>
    </row>
    <row r="4889" spans="2:2">
      <c r="B4889" s="565"/>
    </row>
    <row r="4890" spans="2:2">
      <c r="B4890" s="565"/>
    </row>
    <row r="4891" spans="2:2">
      <c r="B4891" s="565"/>
    </row>
    <row r="4892" spans="2:2">
      <c r="B4892" s="565"/>
    </row>
    <row r="4893" spans="2:2">
      <c r="B4893" s="565"/>
    </row>
    <row r="4894" spans="2:2">
      <c r="B4894" s="565"/>
    </row>
    <row r="4895" spans="2:2">
      <c r="B4895" s="565"/>
    </row>
    <row r="4896" spans="2:2">
      <c r="B4896" s="565"/>
    </row>
    <row r="4897" spans="2:2">
      <c r="B4897" s="565"/>
    </row>
    <row r="4898" spans="2:2">
      <c r="B4898" s="565"/>
    </row>
    <row r="4899" spans="2:2">
      <c r="B4899" s="565"/>
    </row>
    <row r="4900" spans="2:2">
      <c r="B4900" s="565"/>
    </row>
    <row r="4901" spans="2:2">
      <c r="B4901" s="565"/>
    </row>
    <row r="4902" spans="2:2">
      <c r="B4902" s="565"/>
    </row>
    <row r="4903" spans="2:2">
      <c r="B4903" s="565"/>
    </row>
    <row r="4904" spans="2:2">
      <c r="B4904" s="565"/>
    </row>
    <row r="4905" spans="2:2">
      <c r="B4905" s="565"/>
    </row>
    <row r="4906" spans="2:2">
      <c r="B4906" s="565"/>
    </row>
    <row r="4907" spans="2:2">
      <c r="B4907" s="565"/>
    </row>
    <row r="4908" spans="2:2">
      <c r="B4908" s="565"/>
    </row>
    <row r="4909" spans="2:2">
      <c r="B4909" s="565"/>
    </row>
    <row r="4910" spans="2:2">
      <c r="B4910" s="565"/>
    </row>
    <row r="4911" spans="2:2">
      <c r="B4911" s="565"/>
    </row>
    <row r="4912" spans="2:2">
      <c r="B4912" s="565"/>
    </row>
    <row r="4913" spans="2:2">
      <c r="B4913" s="565"/>
    </row>
    <row r="4914" spans="2:2">
      <c r="B4914" s="565"/>
    </row>
    <row r="4915" spans="2:2">
      <c r="B4915" s="565"/>
    </row>
    <row r="4916" spans="2:2">
      <c r="B4916" s="565"/>
    </row>
    <row r="4917" spans="2:2">
      <c r="B4917" s="565"/>
    </row>
    <row r="4918" spans="2:2">
      <c r="B4918" s="565"/>
    </row>
    <row r="4919" spans="2:2">
      <c r="B4919" s="565"/>
    </row>
    <row r="4920" spans="2:2">
      <c r="B4920" s="565"/>
    </row>
    <row r="4921" spans="2:2">
      <c r="B4921" s="565"/>
    </row>
    <row r="4922" spans="2:2">
      <c r="B4922" s="565"/>
    </row>
    <row r="4923" spans="2:2">
      <c r="B4923" s="565"/>
    </row>
    <row r="4924" spans="2:2">
      <c r="B4924" s="565"/>
    </row>
    <row r="4925" spans="2:2">
      <c r="B4925" s="565"/>
    </row>
    <row r="4926" spans="2:2">
      <c r="B4926" s="565"/>
    </row>
    <row r="4927" spans="2:2">
      <c r="B4927" s="565"/>
    </row>
    <row r="4928" spans="2:2">
      <c r="B4928" s="565"/>
    </row>
    <row r="4929" spans="2:2">
      <c r="B4929" s="565"/>
    </row>
    <row r="4930" spans="2:2">
      <c r="B4930" s="565"/>
    </row>
    <row r="4931" spans="2:2">
      <c r="B4931" s="565"/>
    </row>
    <row r="4932" spans="2:2">
      <c r="B4932" s="565"/>
    </row>
    <row r="4933" spans="2:2">
      <c r="B4933" s="565"/>
    </row>
    <row r="4934" spans="2:2">
      <c r="B4934" s="565"/>
    </row>
    <row r="4935" spans="2:2">
      <c r="B4935" s="565"/>
    </row>
    <row r="4936" spans="2:2">
      <c r="B4936" s="565"/>
    </row>
    <row r="4937" spans="2:2">
      <c r="B4937" s="565"/>
    </row>
    <row r="4938" spans="2:2">
      <c r="B4938" s="565"/>
    </row>
    <row r="4939" spans="2:2">
      <c r="B4939" s="565"/>
    </row>
    <row r="4940" spans="2:2">
      <c r="B4940" s="565"/>
    </row>
    <row r="4941" spans="2:2">
      <c r="B4941" s="565"/>
    </row>
    <row r="4942" spans="2:2">
      <c r="B4942" s="565"/>
    </row>
    <row r="4943" spans="2:2">
      <c r="B4943" s="565"/>
    </row>
    <row r="4944" spans="2:2">
      <c r="B4944" s="565"/>
    </row>
    <row r="4945" spans="2:2">
      <c r="B4945" s="565"/>
    </row>
    <row r="4946" spans="2:2">
      <c r="B4946" s="565"/>
    </row>
    <row r="4947" spans="2:2">
      <c r="B4947" s="565"/>
    </row>
    <row r="4948" spans="2:2">
      <c r="B4948" s="565"/>
    </row>
    <row r="4949" spans="2:2">
      <c r="B4949" s="565"/>
    </row>
    <row r="4950" spans="2:2">
      <c r="B4950" s="565"/>
    </row>
    <row r="4951" spans="2:2">
      <c r="B4951" s="565"/>
    </row>
    <row r="4952" spans="2:2">
      <c r="B4952" s="565"/>
    </row>
    <row r="4953" spans="2:2">
      <c r="B4953" s="565"/>
    </row>
    <row r="4954" spans="2:2">
      <c r="B4954" s="565"/>
    </row>
    <row r="4955" spans="2:2">
      <c r="B4955" s="565"/>
    </row>
    <row r="4956" spans="2:2">
      <c r="B4956" s="565"/>
    </row>
    <row r="4957" spans="2:2">
      <c r="B4957" s="565"/>
    </row>
    <row r="4958" spans="2:2">
      <c r="B4958" s="565"/>
    </row>
    <row r="4959" spans="2:2">
      <c r="B4959" s="565"/>
    </row>
    <row r="4960" spans="2:2">
      <c r="B4960" s="565"/>
    </row>
    <row r="4961" spans="2:2">
      <c r="B4961" s="565"/>
    </row>
    <row r="4962" spans="2:2">
      <c r="B4962" s="565"/>
    </row>
    <row r="4963" spans="2:2">
      <c r="B4963" s="565"/>
    </row>
    <row r="4964" spans="2:2">
      <c r="B4964" s="565"/>
    </row>
    <row r="4965" spans="2:2">
      <c r="B4965" s="565"/>
    </row>
    <row r="4966" spans="2:2">
      <c r="B4966" s="565"/>
    </row>
    <row r="4967" spans="2:2">
      <c r="B4967" s="565"/>
    </row>
    <row r="4968" spans="2:2">
      <c r="B4968" s="565"/>
    </row>
    <row r="4969" spans="2:2">
      <c r="B4969" s="565"/>
    </row>
    <row r="4970" spans="2:2">
      <c r="B4970" s="565"/>
    </row>
    <row r="4971" spans="2:2">
      <c r="B4971" s="565"/>
    </row>
    <row r="4972" spans="2:2">
      <c r="B4972" s="565"/>
    </row>
    <row r="4973" spans="2:2">
      <c r="B4973" s="565"/>
    </row>
    <row r="4974" spans="2:2">
      <c r="B4974" s="565"/>
    </row>
    <row r="4975" spans="2:2">
      <c r="B4975" s="565"/>
    </row>
    <row r="4976" spans="2:2">
      <c r="B4976" s="565"/>
    </row>
    <row r="4977" spans="2:2">
      <c r="B4977" s="565"/>
    </row>
    <row r="4978" spans="2:2">
      <c r="B4978" s="565"/>
    </row>
    <row r="4979" spans="2:2">
      <c r="B4979" s="565"/>
    </row>
    <row r="4980" spans="2:2">
      <c r="B4980" s="565"/>
    </row>
    <row r="4981" spans="2:2">
      <c r="B4981" s="565"/>
    </row>
    <row r="4982" spans="2:2">
      <c r="B4982" s="565"/>
    </row>
    <row r="4983" spans="2:2">
      <c r="B4983" s="565"/>
    </row>
    <row r="4984" spans="2:2">
      <c r="B4984" s="565"/>
    </row>
    <row r="4985" spans="2:2">
      <c r="B4985" s="565"/>
    </row>
    <row r="4986" spans="2:2">
      <c r="B4986" s="565"/>
    </row>
    <row r="4987" spans="2:2">
      <c r="B4987" s="565"/>
    </row>
    <row r="4988" spans="2:2">
      <c r="B4988" s="565"/>
    </row>
    <row r="4989" spans="2:2">
      <c r="B4989" s="565"/>
    </row>
    <row r="4990" spans="2:2">
      <c r="B4990" s="565"/>
    </row>
    <row r="4991" spans="2:2">
      <c r="B4991" s="565"/>
    </row>
    <row r="4992" spans="2:2">
      <c r="B4992" s="565"/>
    </row>
    <row r="4993" spans="2:2">
      <c r="B4993" s="565"/>
    </row>
    <row r="4994" spans="2:2">
      <c r="B4994" s="565"/>
    </row>
    <row r="4995" spans="2:2">
      <c r="B4995" s="565"/>
    </row>
    <row r="4996" spans="2:2">
      <c r="B4996" s="565"/>
    </row>
    <row r="4997" spans="2:2">
      <c r="B4997" s="565"/>
    </row>
    <row r="4998" spans="2:2">
      <c r="B4998" s="565"/>
    </row>
    <row r="4999" spans="2:2">
      <c r="B4999" s="565"/>
    </row>
    <row r="5000" spans="2:2">
      <c r="B5000" s="565"/>
    </row>
  </sheetData>
  <mergeCells count="15">
    <mergeCell ref="A45:C45"/>
    <mergeCell ref="E45:G45"/>
    <mergeCell ref="D38:F38"/>
    <mergeCell ref="D39:F39"/>
    <mergeCell ref="D40:F40"/>
    <mergeCell ref="D41:G41"/>
    <mergeCell ref="A43:G43"/>
    <mergeCell ref="A44:C44"/>
    <mergeCell ref="E44:G44"/>
    <mergeCell ref="D37:F37"/>
    <mergeCell ref="A1:H1"/>
    <mergeCell ref="A34:H34"/>
    <mergeCell ref="I34:M34"/>
    <mergeCell ref="E35:F35"/>
    <mergeCell ref="D36:F36"/>
  </mergeCells>
  <conditionalFormatting sqref="O3:O5000">
    <cfRule type="cellIs" dxfId="26" priority="1" stopIfTrue="1" operator="equal">
      <formula>"Realizar"</formula>
    </cfRule>
    <cfRule type="cellIs" dxfId="25" priority="2" stopIfTrue="1" operator="equal">
      <formula>"Realizada"</formula>
    </cfRule>
    <cfRule type="cellIs" dxfId="24" priority="3" stopIfTrue="1" operator="equal">
      <formula>"Não Realizada"</formula>
    </cfRule>
  </conditionalFormatting>
  <dataValidations count="2">
    <dataValidation type="list" allowBlank="1" showInputMessage="1" showErrorMessage="1" sqref="O3:O5000" xr:uid="{AD54335F-7AFC-4079-A529-55B8C280FCBA}">
      <formula1>"Realizar,Realizada,Não Realizada"</formula1>
    </dataValidation>
    <dataValidation type="list" allowBlank="1" showInputMessage="1" showErrorMessage="1" sqref="N3:N5000" xr:uid="{5542FE2E-CD17-443A-A787-1C728F924ADA}">
      <formula1>"1º Visita,2º Visita,3º Visita"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otaoLimparConteudo">
                <anchor moveWithCells="1" sizeWithCells="1">
                  <from>
                    <xdr:col>0</xdr:col>
                    <xdr:colOff>200025</xdr:colOff>
                    <xdr:row>46</xdr:row>
                    <xdr:rowOff>76200</xdr:rowOff>
                  </from>
                  <to>
                    <xdr:col>1</xdr:col>
                    <xdr:colOff>1000125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8C69D3-BAB4-4AEE-B3C2-FCF22A944FF4}">
          <x14:formula1>
            <xm:f>'Dados Gerais'!$P$2:$P$1047934</xm:f>
          </x14:formula1>
          <xm:sqref>J3:J5000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BA8C-65A0-48CA-9963-E7C11E169AB9}">
  <sheetPr codeName="Planilha22"/>
  <dimension ref="A1:P5000"/>
  <sheetViews>
    <sheetView zoomScale="85" zoomScaleNormal="85" workbookViewId="0">
      <selection sqref="A1:H1"/>
    </sheetView>
  </sheetViews>
  <sheetFormatPr defaultRowHeight="15"/>
  <cols>
    <col min="1" max="1" width="28.28515625" bestFit="1" customWidth="1"/>
    <col min="2" max="2" width="15.28515625" bestFit="1" customWidth="1"/>
    <col min="3" max="3" width="10.28515625" bestFit="1" customWidth="1"/>
    <col min="4" max="4" width="4.7109375" bestFit="1" customWidth="1"/>
    <col min="5" max="5" width="34.5703125" bestFit="1" customWidth="1"/>
    <col min="6" max="6" width="79.5703125" bestFit="1" customWidth="1"/>
    <col min="7" max="7" width="31.85546875" bestFit="1" customWidth="1"/>
    <col min="8" max="8" width="43.7109375" bestFit="1" customWidth="1"/>
    <col min="9" max="9" width="12.42578125" bestFit="1" customWidth="1"/>
    <col min="10" max="10" width="15.5703125" bestFit="1" customWidth="1"/>
    <col min="11" max="11" width="31.85546875" bestFit="1" customWidth="1"/>
    <col min="12" max="12" width="14.28515625" bestFit="1" customWidth="1"/>
    <col min="13" max="13" width="32.140625" bestFit="1" customWidth="1"/>
    <col min="14" max="14" width="21" bestFit="1" customWidth="1"/>
    <col min="15" max="15" width="10" bestFit="1" customWidth="1"/>
    <col min="16" max="16" width="60.7109375" customWidth="1"/>
  </cols>
  <sheetData>
    <row r="1" spans="1:16" ht="21">
      <c r="A1" s="744" t="s">
        <v>6998</v>
      </c>
      <c r="B1" s="745"/>
      <c r="C1" s="745"/>
      <c r="D1" s="745"/>
      <c r="E1" s="745"/>
      <c r="F1" s="745"/>
      <c r="G1" s="745"/>
      <c r="H1" s="745"/>
      <c r="I1" s="522"/>
      <c r="J1" s="522"/>
      <c r="K1" s="522"/>
      <c r="L1" s="522"/>
      <c r="M1" s="522"/>
      <c r="N1" s="522"/>
      <c r="O1" s="522"/>
      <c r="P1" s="523"/>
    </row>
    <row r="2" spans="1:16" ht="18.75">
      <c r="A2" s="524" t="s">
        <v>514</v>
      </c>
      <c r="B2" s="525" t="s">
        <v>608</v>
      </c>
      <c r="C2" s="526" t="s">
        <v>0</v>
      </c>
      <c r="D2" s="527" t="s">
        <v>3110</v>
      </c>
      <c r="E2" s="527" t="s">
        <v>516</v>
      </c>
      <c r="F2" s="528" t="s">
        <v>517</v>
      </c>
      <c r="G2" s="528" t="s">
        <v>518</v>
      </c>
      <c r="H2" s="528" t="s">
        <v>6999</v>
      </c>
      <c r="I2" s="529" t="s">
        <v>603</v>
      </c>
      <c r="J2" s="528" t="s">
        <v>521</v>
      </c>
      <c r="K2" s="530" t="s">
        <v>606</v>
      </c>
      <c r="L2" s="528" t="s">
        <v>523</v>
      </c>
      <c r="M2" s="528" t="s">
        <v>524</v>
      </c>
      <c r="N2" s="527" t="s">
        <v>7000</v>
      </c>
      <c r="O2" s="527" t="s">
        <v>7001</v>
      </c>
      <c r="P2" s="531" t="s">
        <v>525</v>
      </c>
    </row>
    <row r="3" spans="1:16">
      <c r="A3" s="532"/>
      <c r="B3" s="545"/>
      <c r="C3" s="546"/>
      <c r="D3" s="546"/>
      <c r="E3" s="546"/>
      <c r="F3" s="546"/>
      <c r="G3" s="546"/>
      <c r="H3" s="547"/>
      <c r="I3" s="548"/>
      <c r="J3" s="533"/>
      <c r="K3" s="533"/>
      <c r="L3" s="546"/>
      <c r="M3" s="546"/>
      <c r="N3" s="546"/>
      <c r="O3" s="549"/>
      <c r="P3" s="549"/>
    </row>
    <row r="4" spans="1:16">
      <c r="A4" s="532"/>
      <c r="B4" s="550"/>
      <c r="C4" s="549"/>
      <c r="D4" s="546"/>
      <c r="E4" s="549"/>
      <c r="F4" s="549"/>
      <c r="G4" s="549"/>
      <c r="H4" s="551"/>
      <c r="I4" s="549"/>
      <c r="J4" s="532"/>
      <c r="K4" s="522"/>
      <c r="L4" s="549"/>
      <c r="M4" s="549"/>
      <c r="N4" s="549"/>
      <c r="O4" s="549"/>
      <c r="P4" s="549"/>
    </row>
    <row r="5" spans="1:16">
      <c r="A5" s="532"/>
      <c r="B5" s="545"/>
      <c r="C5" s="546"/>
      <c r="D5" s="549"/>
      <c r="E5" s="546"/>
      <c r="F5" s="546"/>
      <c r="G5" s="546"/>
      <c r="H5" s="547"/>
      <c r="I5" s="546"/>
      <c r="J5" s="532"/>
      <c r="K5" s="533"/>
      <c r="L5" s="546"/>
      <c r="M5" s="546"/>
      <c r="N5" s="546"/>
      <c r="O5" s="549"/>
      <c r="P5" s="549"/>
    </row>
    <row r="6" spans="1:16">
      <c r="A6" s="532"/>
      <c r="B6" s="545"/>
      <c r="C6" s="549"/>
      <c r="D6" s="549"/>
      <c r="E6" s="549"/>
      <c r="F6" s="549"/>
      <c r="G6" s="549"/>
      <c r="H6" s="551"/>
      <c r="I6" s="549"/>
      <c r="J6" s="533"/>
      <c r="K6" s="532"/>
      <c r="L6" s="549"/>
      <c r="M6" s="549"/>
      <c r="N6" s="549"/>
      <c r="O6" s="546"/>
      <c r="P6" s="549"/>
    </row>
    <row r="7" spans="1:16">
      <c r="A7" s="532"/>
      <c r="B7" s="550"/>
      <c r="C7" s="546"/>
      <c r="D7" s="546"/>
      <c r="E7" s="546"/>
      <c r="F7" s="546"/>
      <c r="G7" s="546"/>
      <c r="H7" s="547"/>
      <c r="I7" s="546"/>
      <c r="J7" s="532"/>
      <c r="K7" s="533"/>
      <c r="L7" s="546"/>
      <c r="M7" s="546"/>
      <c r="N7" s="546"/>
      <c r="O7" s="546"/>
      <c r="P7" s="522"/>
    </row>
    <row r="8" spans="1:16">
      <c r="A8" s="532"/>
      <c r="B8" s="545"/>
      <c r="C8" s="549"/>
      <c r="D8" s="546"/>
      <c r="E8" s="549"/>
      <c r="F8" s="549"/>
      <c r="G8" s="549"/>
      <c r="H8" s="551"/>
      <c r="I8" s="549"/>
      <c r="J8" s="533"/>
      <c r="K8" s="532"/>
      <c r="L8" s="549"/>
      <c r="M8" s="549"/>
      <c r="N8" s="549"/>
      <c r="O8" s="549"/>
      <c r="P8" s="549"/>
    </row>
    <row r="9" spans="1:16">
      <c r="A9" s="532"/>
      <c r="B9" s="550"/>
      <c r="C9" s="546"/>
      <c r="D9" s="546"/>
      <c r="E9" s="546"/>
      <c r="F9" s="546"/>
      <c r="G9" s="546"/>
      <c r="H9" s="547"/>
      <c r="I9" s="546"/>
      <c r="J9" s="532"/>
      <c r="K9" s="533"/>
      <c r="L9" s="546"/>
      <c r="M9" s="546"/>
      <c r="N9" s="546"/>
      <c r="O9" s="546"/>
      <c r="P9" s="549"/>
    </row>
    <row r="10" spans="1:16">
      <c r="A10" s="532"/>
      <c r="B10" s="545"/>
      <c r="C10" s="549"/>
      <c r="D10" s="546"/>
      <c r="E10" s="549"/>
      <c r="F10" s="549"/>
      <c r="G10" s="549"/>
      <c r="H10" s="551"/>
      <c r="I10" s="549"/>
      <c r="J10" s="534"/>
      <c r="K10" s="532"/>
      <c r="L10" s="549"/>
      <c r="M10" s="549"/>
      <c r="N10" s="549"/>
      <c r="O10" s="549"/>
      <c r="P10" s="549"/>
    </row>
    <row r="11" spans="1:16">
      <c r="A11" s="532"/>
      <c r="B11" s="552"/>
      <c r="C11" s="546"/>
      <c r="D11" s="549"/>
      <c r="E11" s="546"/>
      <c r="F11" s="546"/>
      <c r="G11" s="546"/>
      <c r="H11" s="546"/>
      <c r="I11" s="546"/>
      <c r="J11" s="533"/>
      <c r="K11" s="533"/>
      <c r="L11" s="546"/>
      <c r="M11" s="546"/>
      <c r="N11" s="546"/>
      <c r="O11" s="546"/>
      <c r="P11" s="549"/>
    </row>
    <row r="12" spans="1:16">
      <c r="A12" s="532"/>
      <c r="B12" s="545"/>
      <c r="C12" s="549"/>
      <c r="D12" s="549"/>
      <c r="E12" s="549"/>
      <c r="F12" s="549"/>
      <c r="G12" s="549"/>
      <c r="H12" s="551"/>
      <c r="I12" s="549"/>
      <c r="J12" s="532"/>
      <c r="K12" s="532"/>
      <c r="L12" s="549"/>
      <c r="M12" s="549"/>
      <c r="N12" s="549"/>
      <c r="O12" s="549"/>
      <c r="P12" s="549"/>
    </row>
    <row r="13" spans="1:16">
      <c r="A13" s="532"/>
      <c r="B13" s="550"/>
      <c r="C13" s="546"/>
      <c r="D13" s="549"/>
      <c r="E13" s="546"/>
      <c r="F13" s="546"/>
      <c r="G13" s="546"/>
      <c r="H13" s="547"/>
      <c r="I13" s="546"/>
      <c r="J13" s="533"/>
      <c r="K13" s="533"/>
      <c r="L13" s="546"/>
      <c r="M13" s="546"/>
      <c r="N13" s="546"/>
      <c r="O13" s="546"/>
      <c r="P13" s="549"/>
    </row>
    <row r="14" spans="1:16">
      <c r="A14" s="532"/>
      <c r="B14" s="545"/>
      <c r="C14" s="549"/>
      <c r="D14" s="549"/>
      <c r="E14" s="549"/>
      <c r="F14" s="549"/>
      <c r="G14" s="549"/>
      <c r="H14" s="551"/>
      <c r="I14" s="549"/>
      <c r="J14" s="532"/>
      <c r="K14" s="532"/>
      <c r="L14" s="549"/>
      <c r="M14" s="549"/>
      <c r="N14" s="549"/>
      <c r="O14" s="549"/>
      <c r="P14" s="549"/>
    </row>
    <row r="15" spans="1:16">
      <c r="A15" s="532"/>
      <c r="B15" s="550"/>
      <c r="C15" s="546"/>
      <c r="D15" s="549"/>
      <c r="E15" s="546"/>
      <c r="F15" s="546"/>
      <c r="G15" s="546"/>
      <c r="H15" s="547"/>
      <c r="I15" s="548"/>
      <c r="J15" s="533"/>
      <c r="K15" s="533"/>
      <c r="L15" s="546"/>
      <c r="M15" s="549"/>
      <c r="N15" s="546"/>
      <c r="O15" s="546"/>
      <c r="P15" s="549"/>
    </row>
    <row r="16" spans="1:16">
      <c r="A16" s="532"/>
      <c r="B16" s="550"/>
      <c r="C16" s="546"/>
      <c r="D16" s="549"/>
      <c r="E16" s="546"/>
      <c r="F16" s="546"/>
      <c r="G16" s="546"/>
      <c r="H16" s="547"/>
      <c r="I16" s="548"/>
      <c r="J16" s="533"/>
      <c r="K16" s="533"/>
      <c r="L16" s="546"/>
      <c r="M16" s="549"/>
      <c r="N16" s="546"/>
      <c r="O16" s="546"/>
      <c r="P16" s="549"/>
    </row>
    <row r="17" spans="1:16">
      <c r="A17" s="532"/>
      <c r="B17" s="545"/>
      <c r="C17" s="549"/>
      <c r="D17" s="549"/>
      <c r="E17" s="549"/>
      <c r="F17" s="549"/>
      <c r="G17" s="549"/>
      <c r="H17" s="551"/>
      <c r="I17" s="549"/>
      <c r="J17" s="532"/>
      <c r="K17" s="532"/>
      <c r="L17" s="549"/>
      <c r="M17" s="549"/>
      <c r="N17" s="549"/>
      <c r="O17" s="549"/>
      <c r="P17" s="549"/>
    </row>
    <row r="18" spans="1:16">
      <c r="A18" s="532"/>
      <c r="B18" s="545"/>
      <c r="C18" s="549"/>
      <c r="D18" s="549"/>
      <c r="E18" s="549"/>
      <c r="F18" s="549"/>
      <c r="G18" s="549"/>
      <c r="H18" s="551"/>
      <c r="I18" s="553"/>
      <c r="J18" s="532"/>
      <c r="K18" s="532"/>
      <c r="L18" s="549"/>
      <c r="M18" s="549"/>
      <c r="N18" s="549"/>
      <c r="O18" s="549"/>
      <c r="P18" s="549"/>
    </row>
    <row r="19" spans="1:16">
      <c r="A19" s="532"/>
      <c r="B19" s="545"/>
      <c r="C19" s="549"/>
      <c r="D19" s="549"/>
      <c r="E19" s="549"/>
      <c r="F19" s="549"/>
      <c r="G19" s="549"/>
      <c r="H19" s="551"/>
      <c r="I19" s="553"/>
      <c r="J19" s="532"/>
      <c r="K19" s="532"/>
      <c r="L19" s="549"/>
      <c r="M19" s="549"/>
      <c r="N19" s="549"/>
      <c r="O19" s="549"/>
      <c r="P19" s="549"/>
    </row>
    <row r="20" spans="1:16">
      <c r="A20" s="532"/>
      <c r="B20" s="550"/>
      <c r="C20" s="546"/>
      <c r="D20" s="549"/>
      <c r="E20" s="546"/>
      <c r="F20" s="546"/>
      <c r="G20" s="546"/>
      <c r="H20" s="547"/>
      <c r="I20" s="548"/>
      <c r="J20" s="533"/>
      <c r="K20" s="533"/>
      <c r="L20" s="546"/>
      <c r="M20" s="549"/>
      <c r="N20" s="546"/>
      <c r="O20" s="546"/>
      <c r="P20" s="549"/>
    </row>
    <row r="21" spans="1:16">
      <c r="A21" s="532"/>
      <c r="B21" s="545"/>
      <c r="C21" s="549"/>
      <c r="D21" s="549"/>
      <c r="E21" s="549"/>
      <c r="F21" s="549"/>
      <c r="G21" s="549"/>
      <c r="H21" s="551"/>
      <c r="I21" s="553"/>
      <c r="J21" s="532"/>
      <c r="K21" s="532"/>
      <c r="L21" s="549"/>
      <c r="M21" s="549"/>
      <c r="N21" s="549"/>
      <c r="O21" s="549"/>
      <c r="P21" s="549"/>
    </row>
    <row r="22" spans="1:16">
      <c r="A22" s="532"/>
      <c r="B22" s="545"/>
      <c r="C22" s="549"/>
      <c r="D22" s="549"/>
      <c r="E22" s="549"/>
      <c r="F22" s="549"/>
      <c r="G22" s="549"/>
      <c r="H22" s="551"/>
      <c r="I22" s="549"/>
      <c r="J22" s="532"/>
      <c r="K22" s="532"/>
      <c r="L22" s="549"/>
      <c r="M22" s="549"/>
      <c r="N22" s="549"/>
      <c r="O22" s="549"/>
      <c r="P22" s="549"/>
    </row>
    <row r="23" spans="1:16">
      <c r="A23" s="532"/>
      <c r="B23" s="545"/>
      <c r="C23" s="549"/>
      <c r="D23" s="549"/>
      <c r="E23" s="549"/>
      <c r="F23" s="549"/>
      <c r="G23" s="549"/>
      <c r="H23" s="551"/>
      <c r="I23" s="553"/>
      <c r="J23" s="532"/>
      <c r="K23" s="532"/>
      <c r="L23" s="549"/>
      <c r="M23" s="549"/>
      <c r="N23" s="549"/>
      <c r="O23" s="549"/>
      <c r="P23" s="549"/>
    </row>
    <row r="24" spans="1:16">
      <c r="A24" s="532"/>
      <c r="B24" s="545"/>
      <c r="C24" s="549"/>
      <c r="D24" s="549"/>
      <c r="E24" s="549"/>
      <c r="F24" s="549"/>
      <c r="G24" s="549"/>
      <c r="H24" s="551"/>
      <c r="I24" s="553"/>
      <c r="J24" s="532"/>
      <c r="K24" s="532"/>
      <c r="L24" s="549"/>
      <c r="M24" s="549"/>
      <c r="N24" s="549"/>
      <c r="O24" s="549"/>
      <c r="P24" s="549"/>
    </row>
    <row r="25" spans="1:16">
      <c r="A25" s="532"/>
      <c r="B25" s="550"/>
      <c r="C25" s="546"/>
      <c r="D25" s="549"/>
      <c r="E25" s="546"/>
      <c r="F25" s="546"/>
      <c r="G25" s="546"/>
      <c r="H25" s="547"/>
      <c r="I25" s="548"/>
      <c r="J25" s="533"/>
      <c r="K25" s="533"/>
      <c r="L25" s="546"/>
      <c r="M25" s="549"/>
      <c r="N25" s="546"/>
      <c r="O25" s="546"/>
      <c r="P25" s="549"/>
    </row>
    <row r="26" spans="1:16">
      <c r="A26" s="532"/>
      <c r="B26" s="545"/>
      <c r="C26" s="549"/>
      <c r="D26" s="549"/>
      <c r="E26" s="549"/>
      <c r="F26" s="549"/>
      <c r="G26" s="549"/>
      <c r="H26" s="551"/>
      <c r="I26" s="553"/>
      <c r="J26" s="532"/>
      <c r="K26" s="532"/>
      <c r="L26" s="549"/>
      <c r="M26" s="549"/>
      <c r="N26" s="549"/>
      <c r="O26" s="549"/>
      <c r="P26" s="549"/>
    </row>
    <row r="27" spans="1:16">
      <c r="A27" s="532"/>
      <c r="B27" s="545"/>
      <c r="C27" s="549"/>
      <c r="D27" s="549"/>
      <c r="E27" s="549"/>
      <c r="F27" s="549"/>
      <c r="G27" s="549"/>
      <c r="H27" s="551"/>
      <c r="I27" s="549"/>
      <c r="J27" s="532"/>
      <c r="K27" s="532"/>
      <c r="L27" s="549"/>
      <c r="M27" s="549"/>
      <c r="N27" s="549"/>
      <c r="O27" s="549"/>
      <c r="P27" s="549"/>
    </row>
    <row r="28" spans="1:16">
      <c r="A28" s="532"/>
      <c r="B28" s="545"/>
      <c r="C28" s="549"/>
      <c r="D28" s="549"/>
      <c r="E28" s="549"/>
      <c r="F28" s="549"/>
      <c r="G28" s="549"/>
      <c r="H28" s="551"/>
      <c r="I28" s="553"/>
      <c r="J28" s="532"/>
      <c r="K28" s="532"/>
      <c r="L28" s="549"/>
      <c r="M28" s="549"/>
      <c r="N28" s="549"/>
      <c r="O28" s="549"/>
      <c r="P28" s="549"/>
    </row>
    <row r="29" spans="1:16">
      <c r="A29" s="532"/>
      <c r="B29" s="545"/>
      <c r="C29" s="549"/>
      <c r="D29" s="549"/>
      <c r="E29" s="549"/>
      <c r="F29" s="549"/>
      <c r="G29" s="549"/>
      <c r="H29" s="551"/>
      <c r="I29" s="553"/>
      <c r="J29" s="532"/>
      <c r="K29" s="532"/>
      <c r="L29" s="549"/>
      <c r="M29" s="549"/>
      <c r="N29" s="549"/>
      <c r="O29" s="549"/>
      <c r="P29" s="549"/>
    </row>
    <row r="30" spans="1:16">
      <c r="A30" s="532"/>
      <c r="B30" s="550"/>
      <c r="C30" s="546"/>
      <c r="D30" s="549"/>
      <c r="E30" s="546"/>
      <c r="F30" s="546"/>
      <c r="G30" s="546"/>
      <c r="H30" s="547"/>
      <c r="I30" s="548"/>
      <c r="J30" s="533"/>
      <c r="K30" s="533"/>
      <c r="L30" s="546"/>
      <c r="M30" s="549"/>
      <c r="N30" s="546"/>
      <c r="O30" s="546"/>
      <c r="P30" s="549"/>
    </row>
    <row r="31" spans="1:16">
      <c r="A31" s="532"/>
      <c r="B31" s="545"/>
      <c r="C31" s="549"/>
      <c r="D31" s="549"/>
      <c r="E31" s="549"/>
      <c r="F31" s="549"/>
      <c r="G31" s="549"/>
      <c r="H31" s="551"/>
      <c r="I31" s="553"/>
      <c r="J31" s="532"/>
      <c r="K31" s="532"/>
      <c r="L31" s="549"/>
      <c r="M31" s="549"/>
      <c r="N31" s="549"/>
      <c r="O31" s="549"/>
      <c r="P31" s="549"/>
    </row>
    <row r="32" spans="1:16">
      <c r="A32" s="554"/>
      <c r="B32" s="555"/>
      <c r="C32" s="554"/>
      <c r="D32" s="554"/>
      <c r="E32" s="554"/>
      <c r="F32" s="554"/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>
      <c r="A33" s="522"/>
      <c r="B33" s="556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</row>
    <row r="34" spans="1:16">
      <c r="A34" s="735" t="s">
        <v>542</v>
      </c>
      <c r="B34" s="736"/>
      <c r="C34" s="737"/>
      <c r="D34" s="737"/>
      <c r="E34" s="737"/>
      <c r="F34" s="737"/>
      <c r="G34" s="737"/>
      <c r="H34" s="737"/>
      <c r="I34" s="809"/>
      <c r="J34" s="809"/>
      <c r="K34" s="809"/>
      <c r="L34" s="809"/>
      <c r="M34" s="809"/>
      <c r="N34" s="522"/>
      <c r="O34" s="522"/>
      <c r="P34" s="522"/>
    </row>
    <row r="35" spans="1:16">
      <c r="A35" s="557" t="s">
        <v>543</v>
      </c>
      <c r="B35" s="558" t="s">
        <v>544</v>
      </c>
      <c r="C35" s="559" t="s">
        <v>545</v>
      </c>
      <c r="D35" s="560"/>
      <c r="E35" s="810" t="s">
        <v>546</v>
      </c>
      <c r="F35" s="810"/>
      <c r="G35" s="559" t="s">
        <v>545</v>
      </c>
      <c r="H35" s="560" t="s">
        <v>547</v>
      </c>
      <c r="I35" s="535" t="s">
        <v>548</v>
      </c>
      <c r="J35" s="536"/>
      <c r="K35" s="536"/>
      <c r="L35" s="536"/>
      <c r="M35" s="536"/>
      <c r="N35" s="536"/>
      <c r="O35" s="536"/>
      <c r="P35" s="536"/>
    </row>
    <row r="36" spans="1:16">
      <c r="A36" s="537"/>
      <c r="B36" s="543"/>
      <c r="C36" s="537"/>
      <c r="D36" s="730"/>
      <c r="E36" s="731"/>
      <c r="F36" s="732"/>
      <c r="G36" s="537"/>
      <c r="H36" s="538"/>
      <c r="I36" s="561"/>
      <c r="J36" s="522"/>
      <c r="K36" s="522"/>
      <c r="L36" s="522"/>
      <c r="M36" s="522"/>
      <c r="N36" s="522"/>
      <c r="O36" s="522"/>
      <c r="P36" s="522"/>
    </row>
    <row r="37" spans="1:16">
      <c r="A37" s="537"/>
      <c r="B37" s="543"/>
      <c r="C37" s="537"/>
      <c r="D37" s="730"/>
      <c r="E37" s="731"/>
      <c r="F37" s="732"/>
      <c r="G37" s="537"/>
      <c r="H37" s="538"/>
      <c r="I37" s="562"/>
      <c r="J37" s="522"/>
      <c r="K37" s="522"/>
      <c r="L37" s="522"/>
      <c r="M37" s="522"/>
      <c r="N37" s="522"/>
      <c r="O37" s="522"/>
      <c r="P37" s="522"/>
    </row>
    <row r="38" spans="1:16">
      <c r="A38" s="537"/>
      <c r="B38" s="563"/>
      <c r="C38" s="6"/>
      <c r="D38" s="811"/>
      <c r="E38" s="812"/>
      <c r="F38" s="813"/>
      <c r="G38" s="6"/>
      <c r="H38" s="538"/>
      <c r="I38" s="522"/>
      <c r="J38" s="522"/>
      <c r="K38" s="522"/>
      <c r="L38" s="522"/>
      <c r="M38" s="522"/>
      <c r="N38" s="522"/>
      <c r="O38" s="522"/>
      <c r="P38" s="522"/>
    </row>
    <row r="39" spans="1:16">
      <c r="A39" s="537"/>
      <c r="B39" s="543"/>
      <c r="C39" s="537"/>
      <c r="D39" s="730"/>
      <c r="E39" s="731"/>
      <c r="F39" s="732"/>
      <c r="G39" s="537"/>
      <c r="H39" s="538"/>
      <c r="I39" s="522"/>
      <c r="J39" s="522"/>
      <c r="K39" s="522"/>
      <c r="L39" s="522"/>
      <c r="M39" s="522"/>
      <c r="N39" s="522"/>
      <c r="O39" s="522"/>
      <c r="P39" s="522"/>
    </row>
    <row r="40" spans="1:16">
      <c r="A40" s="537"/>
      <c r="B40" s="543"/>
      <c r="C40" s="537"/>
      <c r="D40" s="730"/>
      <c r="E40" s="731"/>
      <c r="F40" s="732"/>
      <c r="G40" s="537"/>
      <c r="H40" s="539"/>
      <c r="I40" s="522"/>
      <c r="J40" s="522"/>
      <c r="K40" s="522"/>
      <c r="L40" s="522"/>
      <c r="M40" s="522"/>
      <c r="N40" s="522"/>
      <c r="O40" s="522"/>
      <c r="P40" s="522"/>
    </row>
    <row r="41" spans="1:16">
      <c r="A41" s="537"/>
      <c r="B41" s="544"/>
      <c r="C41" s="540"/>
      <c r="D41" s="738" t="s">
        <v>551</v>
      </c>
      <c r="E41" s="739"/>
      <c r="F41" s="739"/>
      <c r="G41" s="740"/>
      <c r="H41" s="541"/>
      <c r="I41" s="522"/>
      <c r="J41" s="522"/>
      <c r="K41" s="522"/>
      <c r="L41" s="522"/>
      <c r="M41" s="522"/>
      <c r="N41" s="522"/>
      <c r="O41" s="522"/>
      <c r="P41" s="522"/>
    </row>
    <row r="42" spans="1:16">
      <c r="A42" s="522"/>
      <c r="B42" s="556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</row>
    <row r="43" spans="1:16">
      <c r="A43" s="735" t="s">
        <v>552</v>
      </c>
      <c r="B43" s="736"/>
      <c r="C43" s="737"/>
      <c r="D43" s="737"/>
      <c r="E43" s="737"/>
      <c r="F43" s="737"/>
      <c r="G43" s="737"/>
      <c r="H43" s="522"/>
      <c r="I43" s="522"/>
      <c r="J43" s="522"/>
      <c r="K43" s="522"/>
      <c r="L43" s="522"/>
      <c r="M43" s="522"/>
      <c r="N43" s="522"/>
      <c r="O43" s="522"/>
      <c r="P43" s="522"/>
    </row>
    <row r="44" spans="1:16">
      <c r="A44" s="741" t="s">
        <v>553</v>
      </c>
      <c r="B44" s="742"/>
      <c r="C44" s="743"/>
      <c r="D44" s="542"/>
      <c r="E44" s="743" t="s">
        <v>554</v>
      </c>
      <c r="F44" s="743"/>
      <c r="G44" s="743"/>
      <c r="H44" s="522"/>
      <c r="I44" s="522"/>
      <c r="J44" s="522"/>
      <c r="K44" s="522"/>
      <c r="L44" s="522"/>
      <c r="M44" s="522"/>
      <c r="N44" s="522"/>
      <c r="O44" s="522"/>
      <c r="P44" s="522"/>
    </row>
    <row r="45" spans="1:16">
      <c r="A45" s="814"/>
      <c r="B45" s="815"/>
      <c r="C45" s="816"/>
      <c r="D45" s="564"/>
      <c r="E45" s="816"/>
      <c r="F45" s="816"/>
      <c r="G45" s="816"/>
      <c r="H45" s="522"/>
      <c r="I45" s="522"/>
      <c r="J45" s="522"/>
      <c r="K45" s="522"/>
      <c r="L45" s="522"/>
      <c r="M45" s="522"/>
      <c r="N45" s="522"/>
      <c r="O45" s="522"/>
      <c r="P45" s="522"/>
    </row>
    <row r="46" spans="1:16">
      <c r="A46" s="522"/>
      <c r="B46" s="556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</row>
    <row r="47" spans="1:16">
      <c r="A47" s="522"/>
      <c r="B47" s="556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</row>
    <row r="48" spans="1:16">
      <c r="A48" s="522"/>
      <c r="B48" s="556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</row>
    <row r="49" spans="1:16">
      <c r="A49" s="522"/>
      <c r="B49" s="556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</row>
    <row r="50" spans="1:16">
      <c r="A50" s="522"/>
      <c r="B50" s="556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</row>
    <row r="51" spans="1:16">
      <c r="A51" s="522"/>
      <c r="B51" s="556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</row>
    <row r="52" spans="1:16">
      <c r="A52" s="522"/>
      <c r="B52" s="556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</row>
    <row r="53" spans="1:16">
      <c r="A53" s="522"/>
      <c r="B53" s="556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</row>
    <row r="54" spans="1:16">
      <c r="A54" s="522"/>
      <c r="B54" s="556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</row>
    <row r="55" spans="1:16">
      <c r="B55" s="565"/>
    </row>
    <row r="56" spans="1:16">
      <c r="B56" s="565"/>
    </row>
    <row r="57" spans="1:16">
      <c r="B57" s="565"/>
    </row>
    <row r="58" spans="1:16">
      <c r="B58" s="565"/>
    </row>
    <row r="59" spans="1:16">
      <c r="B59" s="565"/>
    </row>
    <row r="60" spans="1:16">
      <c r="B60" s="565"/>
    </row>
    <row r="61" spans="1:16">
      <c r="B61" s="565"/>
    </row>
    <row r="62" spans="1:16">
      <c r="B62" s="565"/>
    </row>
    <row r="63" spans="1:16">
      <c r="B63" s="565"/>
    </row>
    <row r="64" spans="1:16">
      <c r="B64" s="565"/>
    </row>
    <row r="65" spans="2:2">
      <c r="B65" s="565"/>
    </row>
    <row r="66" spans="2:2">
      <c r="B66" s="565"/>
    </row>
    <row r="67" spans="2:2">
      <c r="B67" s="565"/>
    </row>
    <row r="68" spans="2:2">
      <c r="B68" s="565"/>
    </row>
    <row r="69" spans="2:2">
      <c r="B69" s="565"/>
    </row>
    <row r="70" spans="2:2">
      <c r="B70" s="565"/>
    </row>
    <row r="71" spans="2:2">
      <c r="B71" s="565"/>
    </row>
    <row r="72" spans="2:2">
      <c r="B72" s="565"/>
    </row>
    <row r="73" spans="2:2">
      <c r="B73" s="565"/>
    </row>
    <row r="74" spans="2:2">
      <c r="B74" s="565"/>
    </row>
    <row r="75" spans="2:2">
      <c r="B75" s="565"/>
    </row>
    <row r="76" spans="2:2">
      <c r="B76" s="565"/>
    </row>
    <row r="77" spans="2:2">
      <c r="B77" s="565"/>
    </row>
    <row r="78" spans="2:2">
      <c r="B78" s="565"/>
    </row>
    <row r="79" spans="2:2">
      <c r="B79" s="565"/>
    </row>
    <row r="80" spans="2:2">
      <c r="B80" s="565"/>
    </row>
    <row r="81" spans="2:2">
      <c r="B81" s="565"/>
    </row>
    <row r="82" spans="2:2">
      <c r="B82" s="565"/>
    </row>
    <row r="83" spans="2:2">
      <c r="B83" s="565"/>
    </row>
    <row r="84" spans="2:2">
      <c r="B84" s="565"/>
    </row>
    <row r="85" spans="2:2">
      <c r="B85" s="565"/>
    </row>
    <row r="86" spans="2:2">
      <c r="B86" s="565"/>
    </row>
    <row r="87" spans="2:2">
      <c r="B87" s="565"/>
    </row>
    <row r="88" spans="2:2">
      <c r="B88" s="565"/>
    </row>
    <row r="89" spans="2:2">
      <c r="B89" s="565"/>
    </row>
    <row r="90" spans="2:2">
      <c r="B90" s="565"/>
    </row>
    <row r="91" spans="2:2">
      <c r="B91" s="565"/>
    </row>
    <row r="92" spans="2:2">
      <c r="B92" s="565"/>
    </row>
    <row r="93" spans="2:2">
      <c r="B93" s="565"/>
    </row>
    <row r="94" spans="2:2">
      <c r="B94" s="565"/>
    </row>
    <row r="95" spans="2:2">
      <c r="B95" s="565"/>
    </row>
    <row r="96" spans="2:2">
      <c r="B96" s="565"/>
    </row>
    <row r="97" spans="2:2">
      <c r="B97" s="565"/>
    </row>
    <row r="98" spans="2:2">
      <c r="B98" s="565"/>
    </row>
    <row r="99" spans="2:2">
      <c r="B99" s="565"/>
    </row>
    <row r="100" spans="2:2">
      <c r="B100" s="565"/>
    </row>
    <row r="101" spans="2:2">
      <c r="B101" s="565"/>
    </row>
    <row r="102" spans="2:2">
      <c r="B102" s="565"/>
    </row>
    <row r="103" spans="2:2">
      <c r="B103" s="565"/>
    </row>
    <row r="104" spans="2:2">
      <c r="B104" s="565"/>
    </row>
    <row r="105" spans="2:2">
      <c r="B105" s="565"/>
    </row>
    <row r="106" spans="2:2">
      <c r="B106" s="565"/>
    </row>
    <row r="107" spans="2:2">
      <c r="B107" s="565"/>
    </row>
    <row r="108" spans="2:2">
      <c r="B108" s="565"/>
    </row>
    <row r="109" spans="2:2">
      <c r="B109" s="565"/>
    </row>
    <row r="110" spans="2:2">
      <c r="B110" s="565"/>
    </row>
    <row r="111" spans="2:2">
      <c r="B111" s="565"/>
    </row>
    <row r="112" spans="2:2">
      <c r="B112" s="565"/>
    </row>
    <row r="113" spans="2:2">
      <c r="B113" s="565"/>
    </row>
    <row r="114" spans="2:2">
      <c r="B114" s="565"/>
    </row>
    <row r="115" spans="2:2">
      <c r="B115" s="565"/>
    </row>
    <row r="116" spans="2:2">
      <c r="B116" s="565"/>
    </row>
    <row r="117" spans="2:2">
      <c r="B117" s="565"/>
    </row>
    <row r="118" spans="2:2">
      <c r="B118" s="565"/>
    </row>
    <row r="119" spans="2:2">
      <c r="B119" s="565"/>
    </row>
    <row r="120" spans="2:2">
      <c r="B120" s="565"/>
    </row>
    <row r="121" spans="2:2">
      <c r="B121" s="565"/>
    </row>
    <row r="122" spans="2:2">
      <c r="B122" s="565"/>
    </row>
    <row r="123" spans="2:2">
      <c r="B123" s="565"/>
    </row>
    <row r="124" spans="2:2">
      <c r="B124" s="565"/>
    </row>
    <row r="125" spans="2:2">
      <c r="B125" s="565"/>
    </row>
    <row r="126" spans="2:2">
      <c r="B126" s="565"/>
    </row>
    <row r="127" spans="2:2">
      <c r="B127" s="565"/>
    </row>
    <row r="128" spans="2:2">
      <c r="B128" s="565"/>
    </row>
    <row r="129" spans="2:2">
      <c r="B129" s="565"/>
    </row>
    <row r="130" spans="2:2">
      <c r="B130" s="565"/>
    </row>
    <row r="131" spans="2:2">
      <c r="B131" s="565"/>
    </row>
    <row r="132" spans="2:2">
      <c r="B132" s="565"/>
    </row>
    <row r="133" spans="2:2">
      <c r="B133" s="565"/>
    </row>
    <row r="134" spans="2:2">
      <c r="B134" s="565"/>
    </row>
    <row r="135" spans="2:2">
      <c r="B135" s="565"/>
    </row>
    <row r="136" spans="2:2">
      <c r="B136" s="565"/>
    </row>
    <row r="137" spans="2:2">
      <c r="B137" s="565"/>
    </row>
    <row r="138" spans="2:2">
      <c r="B138" s="565"/>
    </row>
    <row r="139" spans="2:2">
      <c r="B139" s="565"/>
    </row>
    <row r="140" spans="2:2">
      <c r="B140" s="565"/>
    </row>
    <row r="141" spans="2:2">
      <c r="B141" s="565"/>
    </row>
    <row r="142" spans="2:2">
      <c r="B142" s="565"/>
    </row>
    <row r="143" spans="2:2">
      <c r="B143" s="565"/>
    </row>
    <row r="144" spans="2:2">
      <c r="B144" s="565"/>
    </row>
    <row r="145" spans="2:2">
      <c r="B145" s="565"/>
    </row>
    <row r="146" spans="2:2">
      <c r="B146" s="565"/>
    </row>
    <row r="147" spans="2:2">
      <c r="B147" s="565"/>
    </row>
    <row r="148" spans="2:2">
      <c r="B148" s="565"/>
    </row>
    <row r="149" spans="2:2">
      <c r="B149" s="565"/>
    </row>
    <row r="150" spans="2:2">
      <c r="B150" s="565"/>
    </row>
    <row r="151" spans="2:2">
      <c r="B151" s="565"/>
    </row>
    <row r="152" spans="2:2">
      <c r="B152" s="565"/>
    </row>
    <row r="153" spans="2:2">
      <c r="B153" s="565"/>
    </row>
    <row r="154" spans="2:2">
      <c r="B154" s="565"/>
    </row>
    <row r="155" spans="2:2">
      <c r="B155" s="565"/>
    </row>
    <row r="156" spans="2:2">
      <c r="B156" s="565"/>
    </row>
    <row r="157" spans="2:2">
      <c r="B157" s="565"/>
    </row>
    <row r="158" spans="2:2">
      <c r="B158" s="565"/>
    </row>
    <row r="159" spans="2:2">
      <c r="B159" s="565"/>
    </row>
    <row r="160" spans="2:2">
      <c r="B160" s="565"/>
    </row>
    <row r="161" spans="2:2">
      <c r="B161" s="565"/>
    </row>
    <row r="162" spans="2:2">
      <c r="B162" s="565"/>
    </row>
    <row r="163" spans="2:2">
      <c r="B163" s="565"/>
    </row>
    <row r="164" spans="2:2">
      <c r="B164" s="565"/>
    </row>
    <row r="165" spans="2:2">
      <c r="B165" s="565"/>
    </row>
    <row r="166" spans="2:2">
      <c r="B166" s="565"/>
    </row>
    <row r="167" spans="2:2">
      <c r="B167" s="565"/>
    </row>
    <row r="168" spans="2:2">
      <c r="B168" s="565"/>
    </row>
    <row r="169" spans="2:2">
      <c r="B169" s="565"/>
    </row>
    <row r="170" spans="2:2">
      <c r="B170" s="565"/>
    </row>
    <row r="171" spans="2:2">
      <c r="B171" s="565"/>
    </row>
    <row r="172" spans="2:2">
      <c r="B172" s="565"/>
    </row>
    <row r="173" spans="2:2">
      <c r="B173" s="565"/>
    </row>
    <row r="174" spans="2:2">
      <c r="B174" s="565"/>
    </row>
    <row r="175" spans="2:2">
      <c r="B175" s="565"/>
    </row>
    <row r="176" spans="2:2">
      <c r="B176" s="565"/>
    </row>
    <row r="177" spans="2:2">
      <c r="B177" s="565"/>
    </row>
    <row r="178" spans="2:2">
      <c r="B178" s="565"/>
    </row>
    <row r="179" spans="2:2">
      <c r="B179" s="565"/>
    </row>
    <row r="180" spans="2:2">
      <c r="B180" s="565"/>
    </row>
    <row r="181" spans="2:2">
      <c r="B181" s="565"/>
    </row>
    <row r="182" spans="2:2">
      <c r="B182" s="565"/>
    </row>
    <row r="183" spans="2:2">
      <c r="B183" s="565"/>
    </row>
    <row r="184" spans="2:2">
      <c r="B184" s="565"/>
    </row>
    <row r="185" spans="2:2">
      <c r="B185" s="565"/>
    </row>
    <row r="186" spans="2:2">
      <c r="B186" s="565"/>
    </row>
    <row r="187" spans="2:2">
      <c r="B187" s="565"/>
    </row>
    <row r="188" spans="2:2">
      <c r="B188" s="565"/>
    </row>
    <row r="189" spans="2:2">
      <c r="B189" s="565"/>
    </row>
    <row r="190" spans="2:2">
      <c r="B190" s="565"/>
    </row>
    <row r="191" spans="2:2">
      <c r="B191" s="565"/>
    </row>
    <row r="192" spans="2:2">
      <c r="B192" s="565"/>
    </row>
    <row r="193" spans="2:2">
      <c r="B193" s="565"/>
    </row>
    <row r="194" spans="2:2">
      <c r="B194" s="565"/>
    </row>
    <row r="195" spans="2:2">
      <c r="B195" s="565"/>
    </row>
    <row r="196" spans="2:2">
      <c r="B196" s="565"/>
    </row>
    <row r="197" spans="2:2">
      <c r="B197" s="565"/>
    </row>
    <row r="198" spans="2:2">
      <c r="B198" s="565"/>
    </row>
    <row r="199" spans="2:2">
      <c r="B199" s="565"/>
    </row>
    <row r="200" spans="2:2">
      <c r="B200" s="565"/>
    </row>
    <row r="201" spans="2:2">
      <c r="B201" s="565"/>
    </row>
    <row r="202" spans="2:2">
      <c r="B202" s="565"/>
    </row>
    <row r="203" spans="2:2">
      <c r="B203" s="565"/>
    </row>
    <row r="204" spans="2:2">
      <c r="B204" s="565"/>
    </row>
    <row r="205" spans="2:2">
      <c r="B205" s="565"/>
    </row>
    <row r="206" spans="2:2">
      <c r="B206" s="565"/>
    </row>
    <row r="207" spans="2:2">
      <c r="B207" s="565"/>
    </row>
    <row r="208" spans="2:2">
      <c r="B208" s="565"/>
    </row>
    <row r="209" spans="2:2">
      <c r="B209" s="565"/>
    </row>
    <row r="210" spans="2:2">
      <c r="B210" s="565"/>
    </row>
    <row r="211" spans="2:2">
      <c r="B211" s="565"/>
    </row>
    <row r="212" spans="2:2">
      <c r="B212" s="565"/>
    </row>
    <row r="213" spans="2:2">
      <c r="B213" s="565"/>
    </row>
    <row r="214" spans="2:2">
      <c r="B214" s="565"/>
    </row>
    <row r="215" spans="2:2">
      <c r="B215" s="565"/>
    </row>
    <row r="216" spans="2:2">
      <c r="B216" s="565"/>
    </row>
    <row r="217" spans="2:2">
      <c r="B217" s="565"/>
    </row>
    <row r="218" spans="2:2">
      <c r="B218" s="565"/>
    </row>
    <row r="219" spans="2:2">
      <c r="B219" s="565"/>
    </row>
    <row r="220" spans="2:2">
      <c r="B220" s="565"/>
    </row>
    <row r="221" spans="2:2">
      <c r="B221" s="565"/>
    </row>
    <row r="222" spans="2:2">
      <c r="B222" s="565"/>
    </row>
    <row r="223" spans="2:2">
      <c r="B223" s="565"/>
    </row>
    <row r="224" spans="2:2">
      <c r="B224" s="565"/>
    </row>
    <row r="225" spans="2:2">
      <c r="B225" s="565"/>
    </row>
    <row r="226" spans="2:2">
      <c r="B226" s="565"/>
    </row>
    <row r="227" spans="2:2">
      <c r="B227" s="565"/>
    </row>
    <row r="228" spans="2:2">
      <c r="B228" s="565"/>
    </row>
    <row r="229" spans="2:2">
      <c r="B229" s="565"/>
    </row>
    <row r="230" spans="2:2">
      <c r="B230" s="565"/>
    </row>
    <row r="231" spans="2:2">
      <c r="B231" s="565"/>
    </row>
    <row r="232" spans="2:2">
      <c r="B232" s="565"/>
    </row>
    <row r="233" spans="2:2">
      <c r="B233" s="565"/>
    </row>
    <row r="234" spans="2:2">
      <c r="B234" s="565"/>
    </row>
    <row r="235" spans="2:2">
      <c r="B235" s="565"/>
    </row>
    <row r="236" spans="2:2">
      <c r="B236" s="565"/>
    </row>
    <row r="237" spans="2:2">
      <c r="B237" s="565"/>
    </row>
    <row r="238" spans="2:2">
      <c r="B238" s="565"/>
    </row>
    <row r="239" spans="2:2">
      <c r="B239" s="565"/>
    </row>
    <row r="240" spans="2:2">
      <c r="B240" s="565"/>
    </row>
    <row r="241" spans="2:2">
      <c r="B241" s="565"/>
    </row>
    <row r="242" spans="2:2">
      <c r="B242" s="565"/>
    </row>
    <row r="243" spans="2:2">
      <c r="B243" s="565"/>
    </row>
    <row r="244" spans="2:2">
      <c r="B244" s="565"/>
    </row>
    <row r="245" spans="2:2">
      <c r="B245" s="565"/>
    </row>
    <row r="246" spans="2:2">
      <c r="B246" s="565"/>
    </row>
    <row r="247" spans="2:2">
      <c r="B247" s="565"/>
    </row>
    <row r="248" spans="2:2">
      <c r="B248" s="565"/>
    </row>
    <row r="249" spans="2:2">
      <c r="B249" s="565"/>
    </row>
    <row r="250" spans="2:2">
      <c r="B250" s="565"/>
    </row>
    <row r="251" spans="2:2">
      <c r="B251" s="565"/>
    </row>
    <row r="252" spans="2:2">
      <c r="B252" s="565"/>
    </row>
    <row r="253" spans="2:2">
      <c r="B253" s="565"/>
    </row>
    <row r="254" spans="2:2">
      <c r="B254" s="565"/>
    </row>
    <row r="255" spans="2:2">
      <c r="B255" s="565"/>
    </row>
    <row r="256" spans="2:2">
      <c r="B256" s="565"/>
    </row>
    <row r="257" spans="2:2">
      <c r="B257" s="565"/>
    </row>
    <row r="258" spans="2:2">
      <c r="B258" s="565"/>
    </row>
    <row r="259" spans="2:2">
      <c r="B259" s="565"/>
    </row>
    <row r="260" spans="2:2">
      <c r="B260" s="565"/>
    </row>
    <row r="261" spans="2:2">
      <c r="B261" s="565"/>
    </row>
    <row r="262" spans="2:2">
      <c r="B262" s="565"/>
    </row>
    <row r="263" spans="2:2">
      <c r="B263" s="565"/>
    </row>
    <row r="264" spans="2:2">
      <c r="B264" s="565"/>
    </row>
    <row r="265" spans="2:2">
      <c r="B265" s="565"/>
    </row>
    <row r="266" spans="2:2">
      <c r="B266" s="565"/>
    </row>
    <row r="267" spans="2:2">
      <c r="B267" s="565"/>
    </row>
    <row r="268" spans="2:2">
      <c r="B268" s="565"/>
    </row>
    <row r="269" spans="2:2">
      <c r="B269" s="565"/>
    </row>
    <row r="270" spans="2:2">
      <c r="B270" s="565"/>
    </row>
    <row r="271" spans="2:2">
      <c r="B271" s="565"/>
    </row>
    <row r="272" spans="2:2">
      <c r="B272" s="565"/>
    </row>
    <row r="273" spans="2:2">
      <c r="B273" s="565"/>
    </row>
    <row r="274" spans="2:2">
      <c r="B274" s="565"/>
    </row>
    <row r="275" spans="2:2">
      <c r="B275" s="565"/>
    </row>
    <row r="276" spans="2:2">
      <c r="B276" s="565"/>
    </row>
    <row r="277" spans="2:2">
      <c r="B277" s="565"/>
    </row>
    <row r="278" spans="2:2">
      <c r="B278" s="565"/>
    </row>
    <row r="279" spans="2:2">
      <c r="B279" s="565"/>
    </row>
    <row r="280" spans="2:2">
      <c r="B280" s="565"/>
    </row>
    <row r="281" spans="2:2">
      <c r="B281" s="565"/>
    </row>
    <row r="282" spans="2:2">
      <c r="B282" s="565"/>
    </row>
    <row r="283" spans="2:2">
      <c r="B283" s="565"/>
    </row>
    <row r="284" spans="2:2">
      <c r="B284" s="565"/>
    </row>
    <row r="285" spans="2:2">
      <c r="B285" s="565"/>
    </row>
    <row r="286" spans="2:2">
      <c r="B286" s="565"/>
    </row>
    <row r="287" spans="2:2">
      <c r="B287" s="565"/>
    </row>
    <row r="288" spans="2:2">
      <c r="B288" s="565"/>
    </row>
    <row r="289" spans="2:2">
      <c r="B289" s="565"/>
    </row>
    <row r="290" spans="2:2">
      <c r="B290" s="565"/>
    </row>
    <row r="291" spans="2:2">
      <c r="B291" s="565"/>
    </row>
    <row r="292" spans="2:2">
      <c r="B292" s="565"/>
    </row>
    <row r="293" spans="2:2">
      <c r="B293" s="565"/>
    </row>
    <row r="294" spans="2:2">
      <c r="B294" s="565"/>
    </row>
    <row r="295" spans="2:2">
      <c r="B295" s="565"/>
    </row>
    <row r="296" spans="2:2">
      <c r="B296" s="565"/>
    </row>
    <row r="297" spans="2:2">
      <c r="B297" s="565"/>
    </row>
    <row r="298" spans="2:2">
      <c r="B298" s="565"/>
    </row>
    <row r="299" spans="2:2">
      <c r="B299" s="565"/>
    </row>
    <row r="300" spans="2:2">
      <c r="B300" s="565"/>
    </row>
    <row r="301" spans="2:2">
      <c r="B301" s="565"/>
    </row>
    <row r="302" spans="2:2">
      <c r="B302" s="565"/>
    </row>
    <row r="303" spans="2:2">
      <c r="B303" s="565"/>
    </row>
    <row r="304" spans="2:2">
      <c r="B304" s="565"/>
    </row>
    <row r="305" spans="2:2">
      <c r="B305" s="565"/>
    </row>
    <row r="306" spans="2:2">
      <c r="B306" s="565"/>
    </row>
    <row r="307" spans="2:2">
      <c r="B307" s="565"/>
    </row>
    <row r="308" spans="2:2">
      <c r="B308" s="565"/>
    </row>
    <row r="309" spans="2:2">
      <c r="B309" s="565"/>
    </row>
    <row r="310" spans="2:2">
      <c r="B310" s="565"/>
    </row>
    <row r="311" spans="2:2">
      <c r="B311" s="565"/>
    </row>
    <row r="312" spans="2:2">
      <c r="B312" s="565"/>
    </row>
    <row r="313" spans="2:2">
      <c r="B313" s="565"/>
    </row>
    <row r="314" spans="2:2">
      <c r="B314" s="565"/>
    </row>
    <row r="315" spans="2:2">
      <c r="B315" s="565"/>
    </row>
    <row r="316" spans="2:2">
      <c r="B316" s="565"/>
    </row>
    <row r="317" spans="2:2">
      <c r="B317" s="565"/>
    </row>
    <row r="318" spans="2:2">
      <c r="B318" s="565"/>
    </row>
    <row r="319" spans="2:2">
      <c r="B319" s="565"/>
    </row>
    <row r="320" spans="2:2">
      <c r="B320" s="565"/>
    </row>
    <row r="321" spans="2:2">
      <c r="B321" s="565"/>
    </row>
    <row r="322" spans="2:2">
      <c r="B322" s="565"/>
    </row>
    <row r="323" spans="2:2">
      <c r="B323" s="565"/>
    </row>
    <row r="324" spans="2:2">
      <c r="B324" s="565"/>
    </row>
    <row r="325" spans="2:2">
      <c r="B325" s="565"/>
    </row>
    <row r="326" spans="2:2">
      <c r="B326" s="565"/>
    </row>
    <row r="327" spans="2:2">
      <c r="B327" s="565"/>
    </row>
    <row r="328" spans="2:2">
      <c r="B328" s="565"/>
    </row>
    <row r="329" spans="2:2">
      <c r="B329" s="565"/>
    </row>
    <row r="330" spans="2:2">
      <c r="B330" s="565"/>
    </row>
    <row r="331" spans="2:2">
      <c r="B331" s="565"/>
    </row>
    <row r="332" spans="2:2">
      <c r="B332" s="565"/>
    </row>
    <row r="333" spans="2:2">
      <c r="B333" s="565"/>
    </row>
    <row r="334" spans="2:2">
      <c r="B334" s="565"/>
    </row>
    <row r="335" spans="2:2">
      <c r="B335" s="565"/>
    </row>
    <row r="336" spans="2:2">
      <c r="B336" s="565"/>
    </row>
    <row r="337" spans="2:2">
      <c r="B337" s="565"/>
    </row>
    <row r="338" spans="2:2">
      <c r="B338" s="565"/>
    </row>
    <row r="339" spans="2:2">
      <c r="B339" s="565"/>
    </row>
    <row r="340" spans="2:2">
      <c r="B340" s="565"/>
    </row>
    <row r="341" spans="2:2">
      <c r="B341" s="565"/>
    </row>
    <row r="342" spans="2:2">
      <c r="B342" s="565"/>
    </row>
    <row r="343" spans="2:2">
      <c r="B343" s="565"/>
    </row>
    <row r="344" spans="2:2">
      <c r="B344" s="565"/>
    </row>
    <row r="345" spans="2:2">
      <c r="B345" s="565"/>
    </row>
    <row r="346" spans="2:2">
      <c r="B346" s="565"/>
    </row>
    <row r="347" spans="2:2">
      <c r="B347" s="565"/>
    </row>
    <row r="348" spans="2:2">
      <c r="B348" s="565"/>
    </row>
    <row r="349" spans="2:2">
      <c r="B349" s="565"/>
    </row>
    <row r="350" spans="2:2">
      <c r="B350" s="565"/>
    </row>
    <row r="351" spans="2:2">
      <c r="B351" s="565"/>
    </row>
    <row r="352" spans="2:2">
      <c r="B352" s="565"/>
    </row>
    <row r="353" spans="2:2">
      <c r="B353" s="565"/>
    </row>
    <row r="354" spans="2:2">
      <c r="B354" s="565"/>
    </row>
    <row r="355" spans="2:2">
      <c r="B355" s="565"/>
    </row>
    <row r="356" spans="2:2">
      <c r="B356" s="565"/>
    </row>
    <row r="357" spans="2:2">
      <c r="B357" s="565"/>
    </row>
    <row r="358" spans="2:2">
      <c r="B358" s="565"/>
    </row>
    <row r="359" spans="2:2">
      <c r="B359" s="565"/>
    </row>
    <row r="360" spans="2:2">
      <c r="B360" s="565"/>
    </row>
    <row r="361" spans="2:2">
      <c r="B361" s="565"/>
    </row>
    <row r="362" spans="2:2">
      <c r="B362" s="565"/>
    </row>
    <row r="363" spans="2:2">
      <c r="B363" s="565"/>
    </row>
    <row r="364" spans="2:2">
      <c r="B364" s="565"/>
    </row>
    <row r="365" spans="2:2">
      <c r="B365" s="565"/>
    </row>
    <row r="366" spans="2:2">
      <c r="B366" s="565"/>
    </row>
    <row r="367" spans="2:2">
      <c r="B367" s="565"/>
    </row>
    <row r="368" spans="2:2">
      <c r="B368" s="565"/>
    </row>
    <row r="369" spans="2:2">
      <c r="B369" s="565"/>
    </row>
    <row r="370" spans="2:2">
      <c r="B370" s="565"/>
    </row>
    <row r="371" spans="2:2">
      <c r="B371" s="565"/>
    </row>
    <row r="372" spans="2:2">
      <c r="B372" s="565"/>
    </row>
    <row r="373" spans="2:2">
      <c r="B373" s="565"/>
    </row>
    <row r="374" spans="2:2">
      <c r="B374" s="565"/>
    </row>
    <row r="375" spans="2:2">
      <c r="B375" s="565"/>
    </row>
    <row r="376" spans="2:2">
      <c r="B376" s="565"/>
    </row>
    <row r="377" spans="2:2">
      <c r="B377" s="565"/>
    </row>
    <row r="378" spans="2:2">
      <c r="B378" s="565"/>
    </row>
    <row r="379" spans="2:2">
      <c r="B379" s="565"/>
    </row>
    <row r="380" spans="2:2">
      <c r="B380" s="565"/>
    </row>
    <row r="381" spans="2:2">
      <c r="B381" s="565"/>
    </row>
    <row r="382" spans="2:2">
      <c r="B382" s="565"/>
    </row>
    <row r="383" spans="2:2">
      <c r="B383" s="565"/>
    </row>
    <row r="384" spans="2:2">
      <c r="B384" s="565"/>
    </row>
    <row r="385" spans="2:2">
      <c r="B385" s="565"/>
    </row>
    <row r="386" spans="2:2">
      <c r="B386" s="565"/>
    </row>
    <row r="387" spans="2:2">
      <c r="B387" s="565"/>
    </row>
    <row r="388" spans="2:2">
      <c r="B388" s="565"/>
    </row>
    <row r="389" spans="2:2">
      <c r="B389" s="565"/>
    </row>
    <row r="390" spans="2:2">
      <c r="B390" s="565"/>
    </row>
    <row r="391" spans="2:2">
      <c r="B391" s="565"/>
    </row>
    <row r="392" spans="2:2">
      <c r="B392" s="565"/>
    </row>
    <row r="393" spans="2:2">
      <c r="B393" s="565"/>
    </row>
    <row r="394" spans="2:2">
      <c r="B394" s="565"/>
    </row>
    <row r="395" spans="2:2">
      <c r="B395" s="565"/>
    </row>
    <row r="396" spans="2:2">
      <c r="B396" s="565"/>
    </row>
    <row r="397" spans="2:2">
      <c r="B397" s="565"/>
    </row>
    <row r="398" spans="2:2">
      <c r="B398" s="565"/>
    </row>
    <row r="399" spans="2:2">
      <c r="B399" s="565"/>
    </row>
    <row r="400" spans="2:2">
      <c r="B400" s="565"/>
    </row>
    <row r="401" spans="2:2">
      <c r="B401" s="565"/>
    </row>
    <row r="402" spans="2:2">
      <c r="B402" s="565"/>
    </row>
    <row r="403" spans="2:2">
      <c r="B403" s="565"/>
    </row>
    <row r="404" spans="2:2">
      <c r="B404" s="565"/>
    </row>
    <row r="405" spans="2:2">
      <c r="B405" s="565"/>
    </row>
    <row r="406" spans="2:2">
      <c r="B406" s="565"/>
    </row>
    <row r="407" spans="2:2">
      <c r="B407" s="565"/>
    </row>
    <row r="408" spans="2:2">
      <c r="B408" s="565"/>
    </row>
    <row r="409" spans="2:2">
      <c r="B409" s="565"/>
    </row>
    <row r="410" spans="2:2">
      <c r="B410" s="565"/>
    </row>
    <row r="411" spans="2:2">
      <c r="B411" s="565"/>
    </row>
    <row r="412" spans="2:2">
      <c r="B412" s="565"/>
    </row>
    <row r="413" spans="2:2">
      <c r="B413" s="565"/>
    </row>
    <row r="414" spans="2:2">
      <c r="B414" s="565"/>
    </row>
    <row r="415" spans="2:2">
      <c r="B415" s="565"/>
    </row>
    <row r="416" spans="2:2">
      <c r="B416" s="565"/>
    </row>
    <row r="417" spans="2:2">
      <c r="B417" s="565"/>
    </row>
    <row r="418" spans="2:2">
      <c r="B418" s="565"/>
    </row>
    <row r="419" spans="2:2">
      <c r="B419" s="565"/>
    </row>
    <row r="420" spans="2:2">
      <c r="B420" s="565"/>
    </row>
    <row r="421" spans="2:2">
      <c r="B421" s="565"/>
    </row>
    <row r="422" spans="2:2">
      <c r="B422" s="565"/>
    </row>
    <row r="423" spans="2:2">
      <c r="B423" s="565"/>
    </row>
    <row r="424" spans="2:2">
      <c r="B424" s="565"/>
    </row>
    <row r="425" spans="2:2">
      <c r="B425" s="565"/>
    </row>
    <row r="426" spans="2:2">
      <c r="B426" s="565"/>
    </row>
    <row r="427" spans="2:2">
      <c r="B427" s="565"/>
    </row>
    <row r="428" spans="2:2">
      <c r="B428" s="565"/>
    </row>
    <row r="429" spans="2:2">
      <c r="B429" s="565"/>
    </row>
    <row r="430" spans="2:2">
      <c r="B430" s="565"/>
    </row>
    <row r="431" spans="2:2">
      <c r="B431" s="565"/>
    </row>
    <row r="432" spans="2:2">
      <c r="B432" s="565"/>
    </row>
    <row r="433" spans="2:2">
      <c r="B433" s="565"/>
    </row>
    <row r="434" spans="2:2">
      <c r="B434" s="565"/>
    </row>
    <row r="435" spans="2:2">
      <c r="B435" s="565"/>
    </row>
    <row r="436" spans="2:2">
      <c r="B436" s="565"/>
    </row>
    <row r="437" spans="2:2">
      <c r="B437" s="565"/>
    </row>
    <row r="438" spans="2:2">
      <c r="B438" s="565"/>
    </row>
    <row r="439" spans="2:2">
      <c r="B439" s="565"/>
    </row>
    <row r="440" spans="2:2">
      <c r="B440" s="565"/>
    </row>
    <row r="441" spans="2:2">
      <c r="B441" s="565"/>
    </row>
    <row r="442" spans="2:2">
      <c r="B442" s="565"/>
    </row>
    <row r="443" spans="2:2">
      <c r="B443" s="565"/>
    </row>
    <row r="444" spans="2:2">
      <c r="B444" s="565"/>
    </row>
    <row r="445" spans="2:2">
      <c r="B445" s="565"/>
    </row>
    <row r="446" spans="2:2">
      <c r="B446" s="565"/>
    </row>
    <row r="447" spans="2:2">
      <c r="B447" s="565"/>
    </row>
    <row r="448" spans="2:2">
      <c r="B448" s="565"/>
    </row>
    <row r="449" spans="2:2">
      <c r="B449" s="565"/>
    </row>
    <row r="450" spans="2:2">
      <c r="B450" s="565"/>
    </row>
    <row r="451" spans="2:2">
      <c r="B451" s="565"/>
    </row>
    <row r="452" spans="2:2">
      <c r="B452" s="565"/>
    </row>
    <row r="453" spans="2:2">
      <c r="B453" s="565"/>
    </row>
    <row r="454" spans="2:2">
      <c r="B454" s="565"/>
    </row>
    <row r="455" spans="2:2">
      <c r="B455" s="565"/>
    </row>
    <row r="456" spans="2:2">
      <c r="B456" s="565"/>
    </row>
    <row r="457" spans="2:2">
      <c r="B457" s="565"/>
    </row>
    <row r="458" spans="2:2">
      <c r="B458" s="565"/>
    </row>
    <row r="459" spans="2:2">
      <c r="B459" s="565"/>
    </row>
    <row r="460" spans="2:2">
      <c r="B460" s="565"/>
    </row>
    <row r="461" spans="2:2">
      <c r="B461" s="565"/>
    </row>
    <row r="462" spans="2:2">
      <c r="B462" s="565"/>
    </row>
    <row r="463" spans="2:2">
      <c r="B463" s="565"/>
    </row>
    <row r="464" spans="2:2">
      <c r="B464" s="565"/>
    </row>
    <row r="465" spans="2:2">
      <c r="B465" s="565"/>
    </row>
    <row r="466" spans="2:2">
      <c r="B466" s="565"/>
    </row>
    <row r="467" spans="2:2">
      <c r="B467" s="565"/>
    </row>
    <row r="468" spans="2:2">
      <c r="B468" s="565"/>
    </row>
    <row r="469" spans="2:2">
      <c r="B469" s="565"/>
    </row>
    <row r="470" spans="2:2">
      <c r="B470" s="565"/>
    </row>
    <row r="471" spans="2:2">
      <c r="B471" s="565"/>
    </row>
    <row r="472" spans="2:2">
      <c r="B472" s="565"/>
    </row>
    <row r="473" spans="2:2">
      <c r="B473" s="565"/>
    </row>
    <row r="474" spans="2:2">
      <c r="B474" s="565"/>
    </row>
    <row r="475" spans="2:2">
      <c r="B475" s="565"/>
    </row>
    <row r="476" spans="2:2">
      <c r="B476" s="565"/>
    </row>
    <row r="477" spans="2:2">
      <c r="B477" s="565"/>
    </row>
    <row r="478" spans="2:2">
      <c r="B478" s="565"/>
    </row>
    <row r="479" spans="2:2">
      <c r="B479" s="565"/>
    </row>
    <row r="480" spans="2:2">
      <c r="B480" s="565"/>
    </row>
    <row r="481" spans="2:2">
      <c r="B481" s="565"/>
    </row>
    <row r="482" spans="2:2">
      <c r="B482" s="565"/>
    </row>
    <row r="483" spans="2:2">
      <c r="B483" s="565"/>
    </row>
    <row r="484" spans="2:2">
      <c r="B484" s="565"/>
    </row>
    <row r="485" spans="2:2">
      <c r="B485" s="565"/>
    </row>
    <row r="486" spans="2:2">
      <c r="B486" s="565"/>
    </row>
    <row r="487" spans="2:2">
      <c r="B487" s="565"/>
    </row>
    <row r="488" spans="2:2">
      <c r="B488" s="565"/>
    </row>
    <row r="489" spans="2:2">
      <c r="B489" s="565"/>
    </row>
    <row r="490" spans="2:2">
      <c r="B490" s="565"/>
    </row>
    <row r="491" spans="2:2">
      <c r="B491" s="565"/>
    </row>
    <row r="492" spans="2:2">
      <c r="B492" s="565"/>
    </row>
    <row r="493" spans="2:2">
      <c r="B493" s="565"/>
    </row>
    <row r="494" spans="2:2">
      <c r="B494" s="565"/>
    </row>
    <row r="495" spans="2:2">
      <c r="B495" s="565"/>
    </row>
    <row r="496" spans="2:2">
      <c r="B496" s="565"/>
    </row>
    <row r="497" spans="2:2">
      <c r="B497" s="565"/>
    </row>
    <row r="498" spans="2:2">
      <c r="B498" s="565"/>
    </row>
    <row r="499" spans="2:2">
      <c r="B499" s="565"/>
    </row>
    <row r="500" spans="2:2">
      <c r="B500" s="565"/>
    </row>
    <row r="501" spans="2:2">
      <c r="B501" s="565"/>
    </row>
    <row r="502" spans="2:2">
      <c r="B502" s="565"/>
    </row>
    <row r="503" spans="2:2">
      <c r="B503" s="565"/>
    </row>
    <row r="504" spans="2:2">
      <c r="B504" s="565"/>
    </row>
    <row r="505" spans="2:2">
      <c r="B505" s="565"/>
    </row>
    <row r="506" spans="2:2">
      <c r="B506" s="565"/>
    </row>
    <row r="507" spans="2:2">
      <c r="B507" s="565"/>
    </row>
    <row r="508" spans="2:2">
      <c r="B508" s="565"/>
    </row>
    <row r="509" spans="2:2">
      <c r="B509" s="565"/>
    </row>
    <row r="510" spans="2:2">
      <c r="B510" s="565"/>
    </row>
    <row r="511" spans="2:2">
      <c r="B511" s="565"/>
    </row>
    <row r="512" spans="2:2">
      <c r="B512" s="565"/>
    </row>
    <row r="513" spans="2:2">
      <c r="B513" s="565"/>
    </row>
    <row r="514" spans="2:2">
      <c r="B514" s="565"/>
    </row>
    <row r="515" spans="2:2">
      <c r="B515" s="565"/>
    </row>
    <row r="516" spans="2:2">
      <c r="B516" s="565"/>
    </row>
    <row r="517" spans="2:2">
      <c r="B517" s="565"/>
    </row>
    <row r="518" spans="2:2">
      <c r="B518" s="565"/>
    </row>
    <row r="519" spans="2:2">
      <c r="B519" s="565"/>
    </row>
    <row r="520" spans="2:2">
      <c r="B520" s="565"/>
    </row>
    <row r="521" spans="2:2">
      <c r="B521" s="565"/>
    </row>
    <row r="522" spans="2:2">
      <c r="B522" s="565"/>
    </row>
    <row r="523" spans="2:2">
      <c r="B523" s="565"/>
    </row>
    <row r="524" spans="2:2">
      <c r="B524" s="565"/>
    </row>
    <row r="525" spans="2:2">
      <c r="B525" s="565"/>
    </row>
    <row r="526" spans="2:2">
      <c r="B526" s="565"/>
    </row>
    <row r="527" spans="2:2">
      <c r="B527" s="565"/>
    </row>
    <row r="528" spans="2:2">
      <c r="B528" s="565"/>
    </row>
    <row r="529" spans="2:2">
      <c r="B529" s="565"/>
    </row>
    <row r="530" spans="2:2">
      <c r="B530" s="565"/>
    </row>
    <row r="531" spans="2:2">
      <c r="B531" s="565"/>
    </row>
    <row r="532" spans="2:2">
      <c r="B532" s="565"/>
    </row>
    <row r="533" spans="2:2">
      <c r="B533" s="565"/>
    </row>
    <row r="534" spans="2:2">
      <c r="B534" s="565"/>
    </row>
    <row r="535" spans="2:2">
      <c r="B535" s="565"/>
    </row>
    <row r="536" spans="2:2">
      <c r="B536" s="565"/>
    </row>
    <row r="537" spans="2:2">
      <c r="B537" s="565"/>
    </row>
    <row r="538" spans="2:2">
      <c r="B538" s="565"/>
    </row>
    <row r="539" spans="2:2">
      <c r="B539" s="565"/>
    </row>
    <row r="540" spans="2:2">
      <c r="B540" s="565"/>
    </row>
    <row r="541" spans="2:2">
      <c r="B541" s="565"/>
    </row>
    <row r="542" spans="2:2">
      <c r="B542" s="565"/>
    </row>
    <row r="543" spans="2:2">
      <c r="B543" s="565"/>
    </row>
    <row r="544" spans="2:2">
      <c r="B544" s="565"/>
    </row>
    <row r="545" spans="2:2">
      <c r="B545" s="565"/>
    </row>
    <row r="546" spans="2:2">
      <c r="B546" s="565"/>
    </row>
    <row r="547" spans="2:2">
      <c r="B547" s="565"/>
    </row>
    <row r="548" spans="2:2">
      <c r="B548" s="565"/>
    </row>
    <row r="549" spans="2:2">
      <c r="B549" s="565"/>
    </row>
    <row r="550" spans="2:2">
      <c r="B550" s="565"/>
    </row>
    <row r="551" spans="2:2">
      <c r="B551" s="565"/>
    </row>
    <row r="552" spans="2:2">
      <c r="B552" s="565"/>
    </row>
    <row r="553" spans="2:2">
      <c r="B553" s="565"/>
    </row>
    <row r="554" spans="2:2">
      <c r="B554" s="565"/>
    </row>
    <row r="555" spans="2:2">
      <c r="B555" s="565"/>
    </row>
    <row r="556" spans="2:2">
      <c r="B556" s="565"/>
    </row>
    <row r="557" spans="2:2">
      <c r="B557" s="565"/>
    </row>
    <row r="558" spans="2:2">
      <c r="B558" s="565"/>
    </row>
    <row r="559" spans="2:2">
      <c r="B559" s="565"/>
    </row>
    <row r="560" spans="2:2">
      <c r="B560" s="565"/>
    </row>
    <row r="561" spans="2:2">
      <c r="B561" s="565"/>
    </row>
    <row r="562" spans="2:2">
      <c r="B562" s="565"/>
    </row>
    <row r="563" spans="2:2">
      <c r="B563" s="565"/>
    </row>
    <row r="564" spans="2:2">
      <c r="B564" s="565"/>
    </row>
    <row r="565" spans="2:2">
      <c r="B565" s="565"/>
    </row>
    <row r="566" spans="2:2">
      <c r="B566" s="565"/>
    </row>
    <row r="567" spans="2:2">
      <c r="B567" s="565"/>
    </row>
    <row r="568" spans="2:2">
      <c r="B568" s="565"/>
    </row>
    <row r="569" spans="2:2">
      <c r="B569" s="565"/>
    </row>
    <row r="570" spans="2:2">
      <c r="B570" s="565"/>
    </row>
    <row r="571" spans="2:2">
      <c r="B571" s="565"/>
    </row>
    <row r="572" spans="2:2">
      <c r="B572" s="565"/>
    </row>
    <row r="573" spans="2:2">
      <c r="B573" s="565"/>
    </row>
    <row r="574" spans="2:2">
      <c r="B574" s="565"/>
    </row>
    <row r="575" spans="2:2">
      <c r="B575" s="565"/>
    </row>
    <row r="576" spans="2:2">
      <c r="B576" s="565"/>
    </row>
    <row r="577" spans="2:2">
      <c r="B577" s="565"/>
    </row>
    <row r="578" spans="2:2">
      <c r="B578" s="565"/>
    </row>
    <row r="579" spans="2:2">
      <c r="B579" s="565"/>
    </row>
    <row r="580" spans="2:2">
      <c r="B580" s="565"/>
    </row>
    <row r="581" spans="2:2">
      <c r="B581" s="565"/>
    </row>
    <row r="582" spans="2:2">
      <c r="B582" s="565"/>
    </row>
    <row r="583" spans="2:2">
      <c r="B583" s="565"/>
    </row>
    <row r="584" spans="2:2">
      <c r="B584" s="565"/>
    </row>
    <row r="585" spans="2:2">
      <c r="B585" s="565"/>
    </row>
    <row r="586" spans="2:2">
      <c r="B586" s="565"/>
    </row>
    <row r="587" spans="2:2">
      <c r="B587" s="565"/>
    </row>
    <row r="588" spans="2:2">
      <c r="B588" s="565"/>
    </row>
    <row r="589" spans="2:2">
      <c r="B589" s="565"/>
    </row>
    <row r="590" spans="2:2">
      <c r="B590" s="565"/>
    </row>
    <row r="591" spans="2:2">
      <c r="B591" s="565"/>
    </row>
    <row r="592" spans="2:2">
      <c r="B592" s="565"/>
    </row>
    <row r="593" spans="2:2">
      <c r="B593" s="565"/>
    </row>
    <row r="594" spans="2:2">
      <c r="B594" s="565"/>
    </row>
    <row r="595" spans="2:2">
      <c r="B595" s="565"/>
    </row>
    <row r="596" spans="2:2">
      <c r="B596" s="565"/>
    </row>
    <row r="597" spans="2:2">
      <c r="B597" s="565"/>
    </row>
    <row r="598" spans="2:2">
      <c r="B598" s="565"/>
    </row>
    <row r="599" spans="2:2">
      <c r="B599" s="565"/>
    </row>
    <row r="600" spans="2:2">
      <c r="B600" s="565"/>
    </row>
    <row r="601" spans="2:2">
      <c r="B601" s="565"/>
    </row>
    <row r="602" spans="2:2">
      <c r="B602" s="565"/>
    </row>
    <row r="603" spans="2:2">
      <c r="B603" s="565"/>
    </row>
    <row r="604" spans="2:2">
      <c r="B604" s="565"/>
    </row>
    <row r="605" spans="2:2">
      <c r="B605" s="565"/>
    </row>
    <row r="606" spans="2:2">
      <c r="B606" s="565"/>
    </row>
    <row r="607" spans="2:2">
      <c r="B607" s="565"/>
    </row>
    <row r="608" spans="2:2">
      <c r="B608" s="565"/>
    </row>
    <row r="609" spans="2:2">
      <c r="B609" s="565"/>
    </row>
    <row r="610" spans="2:2">
      <c r="B610" s="565"/>
    </row>
    <row r="611" spans="2:2">
      <c r="B611" s="565"/>
    </row>
    <row r="612" spans="2:2">
      <c r="B612" s="565"/>
    </row>
    <row r="613" spans="2:2">
      <c r="B613" s="565"/>
    </row>
    <row r="614" spans="2:2">
      <c r="B614" s="565"/>
    </row>
    <row r="615" spans="2:2">
      <c r="B615" s="565"/>
    </row>
    <row r="616" spans="2:2">
      <c r="B616" s="565"/>
    </row>
    <row r="617" spans="2:2">
      <c r="B617" s="565"/>
    </row>
    <row r="618" spans="2:2">
      <c r="B618" s="565"/>
    </row>
    <row r="619" spans="2:2">
      <c r="B619" s="565"/>
    </row>
    <row r="620" spans="2:2">
      <c r="B620" s="565"/>
    </row>
    <row r="621" spans="2:2">
      <c r="B621" s="565"/>
    </row>
    <row r="622" spans="2:2">
      <c r="B622" s="565"/>
    </row>
    <row r="623" spans="2:2">
      <c r="B623" s="565"/>
    </row>
    <row r="624" spans="2:2">
      <c r="B624" s="565"/>
    </row>
    <row r="625" spans="2:2">
      <c r="B625" s="565"/>
    </row>
    <row r="626" spans="2:2">
      <c r="B626" s="565"/>
    </row>
    <row r="627" spans="2:2">
      <c r="B627" s="565"/>
    </row>
    <row r="628" spans="2:2">
      <c r="B628" s="565"/>
    </row>
    <row r="629" spans="2:2">
      <c r="B629" s="565"/>
    </row>
    <row r="630" spans="2:2">
      <c r="B630" s="565"/>
    </row>
    <row r="631" spans="2:2">
      <c r="B631" s="565"/>
    </row>
    <row r="632" spans="2:2">
      <c r="B632" s="565"/>
    </row>
    <row r="633" spans="2:2">
      <c r="B633" s="565"/>
    </row>
    <row r="634" spans="2:2">
      <c r="B634" s="565"/>
    </row>
    <row r="635" spans="2:2">
      <c r="B635" s="565"/>
    </row>
    <row r="636" spans="2:2">
      <c r="B636" s="565"/>
    </row>
    <row r="637" spans="2:2">
      <c r="B637" s="565"/>
    </row>
    <row r="638" spans="2:2">
      <c r="B638" s="565"/>
    </row>
    <row r="639" spans="2:2">
      <c r="B639" s="565"/>
    </row>
    <row r="640" spans="2:2">
      <c r="B640" s="565"/>
    </row>
    <row r="641" spans="2:2">
      <c r="B641" s="565"/>
    </row>
    <row r="642" spans="2:2">
      <c r="B642" s="565"/>
    </row>
    <row r="643" spans="2:2">
      <c r="B643" s="565"/>
    </row>
    <row r="644" spans="2:2">
      <c r="B644" s="565"/>
    </row>
    <row r="645" spans="2:2">
      <c r="B645" s="565"/>
    </row>
    <row r="646" spans="2:2">
      <c r="B646" s="565"/>
    </row>
    <row r="647" spans="2:2">
      <c r="B647" s="565"/>
    </row>
    <row r="648" spans="2:2">
      <c r="B648" s="565"/>
    </row>
    <row r="649" spans="2:2">
      <c r="B649" s="565"/>
    </row>
    <row r="650" spans="2:2">
      <c r="B650" s="565"/>
    </row>
    <row r="651" spans="2:2">
      <c r="B651" s="565"/>
    </row>
    <row r="652" spans="2:2">
      <c r="B652" s="565"/>
    </row>
    <row r="653" spans="2:2">
      <c r="B653" s="565"/>
    </row>
    <row r="654" spans="2:2">
      <c r="B654" s="565"/>
    </row>
    <row r="655" spans="2:2">
      <c r="B655" s="565"/>
    </row>
    <row r="656" spans="2:2">
      <c r="B656" s="565"/>
    </row>
    <row r="657" spans="2:2">
      <c r="B657" s="565"/>
    </row>
    <row r="658" spans="2:2">
      <c r="B658" s="565"/>
    </row>
    <row r="659" spans="2:2">
      <c r="B659" s="565"/>
    </row>
    <row r="660" spans="2:2">
      <c r="B660" s="565"/>
    </row>
    <row r="661" spans="2:2">
      <c r="B661" s="565"/>
    </row>
    <row r="662" spans="2:2">
      <c r="B662" s="565"/>
    </row>
    <row r="663" spans="2:2">
      <c r="B663" s="565"/>
    </row>
    <row r="664" spans="2:2">
      <c r="B664" s="565"/>
    </row>
    <row r="665" spans="2:2">
      <c r="B665" s="565"/>
    </row>
    <row r="666" spans="2:2">
      <c r="B666" s="565"/>
    </row>
    <row r="667" spans="2:2">
      <c r="B667" s="565"/>
    </row>
    <row r="668" spans="2:2">
      <c r="B668" s="565"/>
    </row>
    <row r="669" spans="2:2">
      <c r="B669" s="565"/>
    </row>
    <row r="670" spans="2:2">
      <c r="B670" s="565"/>
    </row>
    <row r="671" spans="2:2">
      <c r="B671" s="565"/>
    </row>
    <row r="672" spans="2:2">
      <c r="B672" s="565"/>
    </row>
    <row r="673" spans="2:2">
      <c r="B673" s="565"/>
    </row>
    <row r="674" spans="2:2">
      <c r="B674" s="565"/>
    </row>
    <row r="675" spans="2:2">
      <c r="B675" s="565"/>
    </row>
    <row r="676" spans="2:2">
      <c r="B676" s="565"/>
    </row>
    <row r="677" spans="2:2">
      <c r="B677" s="565"/>
    </row>
    <row r="678" spans="2:2">
      <c r="B678" s="565"/>
    </row>
    <row r="679" spans="2:2">
      <c r="B679" s="565"/>
    </row>
    <row r="680" spans="2:2">
      <c r="B680" s="565"/>
    </row>
    <row r="681" spans="2:2">
      <c r="B681" s="565"/>
    </row>
    <row r="682" spans="2:2">
      <c r="B682" s="565"/>
    </row>
    <row r="683" spans="2:2">
      <c r="B683" s="565"/>
    </row>
    <row r="684" spans="2:2">
      <c r="B684" s="565"/>
    </row>
    <row r="685" spans="2:2">
      <c r="B685" s="565"/>
    </row>
    <row r="686" spans="2:2">
      <c r="B686" s="565"/>
    </row>
    <row r="687" spans="2:2">
      <c r="B687" s="565"/>
    </row>
    <row r="688" spans="2:2">
      <c r="B688" s="565"/>
    </row>
    <row r="689" spans="2:2">
      <c r="B689" s="565"/>
    </row>
    <row r="690" spans="2:2">
      <c r="B690" s="565"/>
    </row>
    <row r="691" spans="2:2">
      <c r="B691" s="565"/>
    </row>
    <row r="692" spans="2:2">
      <c r="B692" s="565"/>
    </row>
    <row r="693" spans="2:2">
      <c r="B693" s="565"/>
    </row>
    <row r="694" spans="2:2">
      <c r="B694" s="565"/>
    </row>
    <row r="695" spans="2:2">
      <c r="B695" s="565"/>
    </row>
    <row r="696" spans="2:2">
      <c r="B696" s="565"/>
    </row>
    <row r="697" spans="2:2">
      <c r="B697" s="565"/>
    </row>
    <row r="698" spans="2:2">
      <c r="B698" s="565"/>
    </row>
    <row r="699" spans="2:2">
      <c r="B699" s="565"/>
    </row>
    <row r="700" spans="2:2">
      <c r="B700" s="565"/>
    </row>
    <row r="701" spans="2:2">
      <c r="B701" s="565"/>
    </row>
    <row r="702" spans="2:2">
      <c r="B702" s="565"/>
    </row>
    <row r="703" spans="2:2">
      <c r="B703" s="565"/>
    </row>
    <row r="704" spans="2:2">
      <c r="B704" s="565"/>
    </row>
    <row r="705" spans="2:2">
      <c r="B705" s="565"/>
    </row>
    <row r="706" spans="2:2">
      <c r="B706" s="565"/>
    </row>
    <row r="707" spans="2:2">
      <c r="B707" s="565"/>
    </row>
    <row r="708" spans="2:2">
      <c r="B708" s="565"/>
    </row>
    <row r="709" spans="2:2">
      <c r="B709" s="565"/>
    </row>
    <row r="710" spans="2:2">
      <c r="B710" s="565"/>
    </row>
    <row r="711" spans="2:2">
      <c r="B711" s="565"/>
    </row>
    <row r="712" spans="2:2">
      <c r="B712" s="565"/>
    </row>
    <row r="713" spans="2:2">
      <c r="B713" s="565"/>
    </row>
    <row r="714" spans="2:2">
      <c r="B714" s="565"/>
    </row>
    <row r="715" spans="2:2">
      <c r="B715" s="565"/>
    </row>
    <row r="716" spans="2:2">
      <c r="B716" s="565"/>
    </row>
    <row r="717" spans="2:2">
      <c r="B717" s="565"/>
    </row>
    <row r="718" spans="2:2">
      <c r="B718" s="565"/>
    </row>
    <row r="719" spans="2:2">
      <c r="B719" s="565"/>
    </row>
    <row r="720" spans="2:2">
      <c r="B720" s="565"/>
    </row>
    <row r="721" spans="2:2">
      <c r="B721" s="565"/>
    </row>
    <row r="722" spans="2:2">
      <c r="B722" s="565"/>
    </row>
    <row r="723" spans="2:2">
      <c r="B723" s="565"/>
    </row>
    <row r="724" spans="2:2">
      <c r="B724" s="565"/>
    </row>
    <row r="725" spans="2:2">
      <c r="B725" s="565"/>
    </row>
    <row r="726" spans="2:2">
      <c r="B726" s="565"/>
    </row>
    <row r="727" spans="2:2">
      <c r="B727" s="565"/>
    </row>
    <row r="728" spans="2:2">
      <c r="B728" s="565"/>
    </row>
    <row r="729" spans="2:2">
      <c r="B729" s="565"/>
    </row>
    <row r="730" spans="2:2">
      <c r="B730" s="565"/>
    </row>
    <row r="731" spans="2:2">
      <c r="B731" s="565"/>
    </row>
    <row r="732" spans="2:2">
      <c r="B732" s="565"/>
    </row>
    <row r="733" spans="2:2">
      <c r="B733" s="565"/>
    </row>
    <row r="734" spans="2:2">
      <c r="B734" s="565"/>
    </row>
    <row r="735" spans="2:2">
      <c r="B735" s="565"/>
    </row>
    <row r="736" spans="2:2">
      <c r="B736" s="565"/>
    </row>
    <row r="737" spans="2:2">
      <c r="B737" s="565"/>
    </row>
    <row r="738" spans="2:2">
      <c r="B738" s="565"/>
    </row>
    <row r="739" spans="2:2">
      <c r="B739" s="565"/>
    </row>
    <row r="740" spans="2:2">
      <c r="B740" s="565"/>
    </row>
    <row r="741" spans="2:2">
      <c r="B741" s="565"/>
    </row>
    <row r="742" spans="2:2">
      <c r="B742" s="565"/>
    </row>
    <row r="743" spans="2:2">
      <c r="B743" s="565"/>
    </row>
    <row r="744" spans="2:2">
      <c r="B744" s="565"/>
    </row>
    <row r="745" spans="2:2">
      <c r="B745" s="565"/>
    </row>
    <row r="746" spans="2:2">
      <c r="B746" s="565"/>
    </row>
    <row r="747" spans="2:2">
      <c r="B747" s="565"/>
    </row>
    <row r="748" spans="2:2">
      <c r="B748" s="565"/>
    </row>
    <row r="749" spans="2:2">
      <c r="B749" s="565"/>
    </row>
    <row r="750" spans="2:2">
      <c r="B750" s="565"/>
    </row>
    <row r="751" spans="2:2">
      <c r="B751" s="565"/>
    </row>
    <row r="752" spans="2:2">
      <c r="B752" s="565"/>
    </row>
    <row r="753" spans="2:2">
      <c r="B753" s="565"/>
    </row>
    <row r="754" spans="2:2">
      <c r="B754" s="565"/>
    </row>
    <row r="755" spans="2:2">
      <c r="B755" s="565"/>
    </row>
    <row r="756" spans="2:2">
      <c r="B756" s="565"/>
    </row>
    <row r="757" spans="2:2">
      <c r="B757" s="565"/>
    </row>
    <row r="758" spans="2:2">
      <c r="B758" s="565"/>
    </row>
    <row r="759" spans="2:2">
      <c r="B759" s="565"/>
    </row>
    <row r="760" spans="2:2">
      <c r="B760" s="565"/>
    </row>
    <row r="761" spans="2:2">
      <c r="B761" s="565"/>
    </row>
    <row r="762" spans="2:2">
      <c r="B762" s="565"/>
    </row>
    <row r="763" spans="2:2">
      <c r="B763" s="565"/>
    </row>
    <row r="764" spans="2:2">
      <c r="B764" s="565"/>
    </row>
    <row r="765" spans="2:2">
      <c r="B765" s="565"/>
    </row>
    <row r="766" spans="2:2">
      <c r="B766" s="565"/>
    </row>
    <row r="767" spans="2:2">
      <c r="B767" s="565"/>
    </row>
    <row r="768" spans="2:2">
      <c r="B768" s="565"/>
    </row>
    <row r="769" spans="2:2">
      <c r="B769" s="565"/>
    </row>
    <row r="770" spans="2:2">
      <c r="B770" s="565"/>
    </row>
    <row r="771" spans="2:2">
      <c r="B771" s="565"/>
    </row>
    <row r="772" spans="2:2">
      <c r="B772" s="565"/>
    </row>
    <row r="773" spans="2:2">
      <c r="B773" s="565"/>
    </row>
    <row r="774" spans="2:2">
      <c r="B774" s="565"/>
    </row>
    <row r="775" spans="2:2">
      <c r="B775" s="565"/>
    </row>
    <row r="776" spans="2:2">
      <c r="B776" s="565"/>
    </row>
    <row r="777" spans="2:2">
      <c r="B777" s="565"/>
    </row>
    <row r="778" spans="2:2">
      <c r="B778" s="565"/>
    </row>
    <row r="779" spans="2:2">
      <c r="B779" s="565"/>
    </row>
    <row r="780" spans="2:2">
      <c r="B780" s="565"/>
    </row>
    <row r="781" spans="2:2">
      <c r="B781" s="565"/>
    </row>
    <row r="782" spans="2:2">
      <c r="B782" s="565"/>
    </row>
    <row r="783" spans="2:2">
      <c r="B783" s="565"/>
    </row>
    <row r="784" spans="2:2">
      <c r="B784" s="565"/>
    </row>
    <row r="785" spans="2:2">
      <c r="B785" s="565"/>
    </row>
    <row r="786" spans="2:2">
      <c r="B786" s="565"/>
    </row>
    <row r="787" spans="2:2">
      <c r="B787" s="565"/>
    </row>
    <row r="788" spans="2:2">
      <c r="B788" s="565"/>
    </row>
    <row r="789" spans="2:2">
      <c r="B789" s="565"/>
    </row>
    <row r="790" spans="2:2">
      <c r="B790" s="565"/>
    </row>
    <row r="791" spans="2:2">
      <c r="B791" s="565"/>
    </row>
    <row r="792" spans="2:2">
      <c r="B792" s="565"/>
    </row>
    <row r="793" spans="2:2">
      <c r="B793" s="565"/>
    </row>
    <row r="794" spans="2:2">
      <c r="B794" s="565"/>
    </row>
    <row r="795" spans="2:2">
      <c r="B795" s="565"/>
    </row>
    <row r="796" spans="2:2">
      <c r="B796" s="565"/>
    </row>
    <row r="797" spans="2:2">
      <c r="B797" s="565"/>
    </row>
    <row r="798" spans="2:2">
      <c r="B798" s="565"/>
    </row>
    <row r="799" spans="2:2">
      <c r="B799" s="565"/>
    </row>
    <row r="800" spans="2:2">
      <c r="B800" s="565"/>
    </row>
    <row r="801" spans="2:2">
      <c r="B801" s="565"/>
    </row>
    <row r="802" spans="2:2">
      <c r="B802" s="565"/>
    </row>
    <row r="803" spans="2:2">
      <c r="B803" s="565"/>
    </row>
    <row r="804" spans="2:2">
      <c r="B804" s="565"/>
    </row>
    <row r="805" spans="2:2">
      <c r="B805" s="565"/>
    </row>
    <row r="806" spans="2:2">
      <c r="B806" s="565"/>
    </row>
    <row r="807" spans="2:2">
      <c r="B807" s="565"/>
    </row>
    <row r="808" spans="2:2">
      <c r="B808" s="565"/>
    </row>
    <row r="809" spans="2:2">
      <c r="B809" s="565"/>
    </row>
    <row r="810" spans="2:2">
      <c r="B810" s="565"/>
    </row>
    <row r="811" spans="2:2">
      <c r="B811" s="565"/>
    </row>
    <row r="812" spans="2:2">
      <c r="B812" s="565"/>
    </row>
    <row r="813" spans="2:2">
      <c r="B813" s="565"/>
    </row>
    <row r="814" spans="2:2">
      <c r="B814" s="565"/>
    </row>
    <row r="815" spans="2:2">
      <c r="B815" s="565"/>
    </row>
    <row r="816" spans="2:2">
      <c r="B816" s="565"/>
    </row>
    <row r="817" spans="2:2">
      <c r="B817" s="565"/>
    </row>
    <row r="818" spans="2:2">
      <c r="B818" s="565"/>
    </row>
    <row r="819" spans="2:2">
      <c r="B819" s="565"/>
    </row>
    <row r="820" spans="2:2">
      <c r="B820" s="565"/>
    </row>
    <row r="821" spans="2:2">
      <c r="B821" s="565"/>
    </row>
    <row r="822" spans="2:2">
      <c r="B822" s="565"/>
    </row>
    <row r="823" spans="2:2">
      <c r="B823" s="565"/>
    </row>
    <row r="824" spans="2:2">
      <c r="B824" s="565"/>
    </row>
    <row r="825" spans="2:2">
      <c r="B825" s="565"/>
    </row>
    <row r="826" spans="2:2">
      <c r="B826" s="565"/>
    </row>
    <row r="827" spans="2:2">
      <c r="B827" s="565"/>
    </row>
    <row r="828" spans="2:2">
      <c r="B828" s="565"/>
    </row>
    <row r="829" spans="2:2">
      <c r="B829" s="565"/>
    </row>
    <row r="830" spans="2:2">
      <c r="B830" s="565"/>
    </row>
    <row r="831" spans="2:2">
      <c r="B831" s="565"/>
    </row>
    <row r="832" spans="2:2">
      <c r="B832" s="565"/>
    </row>
    <row r="833" spans="2:2">
      <c r="B833" s="565"/>
    </row>
    <row r="834" spans="2:2">
      <c r="B834" s="565"/>
    </row>
    <row r="835" spans="2:2">
      <c r="B835" s="565"/>
    </row>
    <row r="836" spans="2:2">
      <c r="B836" s="565"/>
    </row>
    <row r="837" spans="2:2">
      <c r="B837" s="565"/>
    </row>
    <row r="838" spans="2:2">
      <c r="B838" s="565"/>
    </row>
    <row r="839" spans="2:2">
      <c r="B839" s="565"/>
    </row>
    <row r="840" spans="2:2">
      <c r="B840" s="565"/>
    </row>
    <row r="841" spans="2:2">
      <c r="B841" s="565"/>
    </row>
    <row r="842" spans="2:2">
      <c r="B842" s="565"/>
    </row>
    <row r="843" spans="2:2">
      <c r="B843" s="565"/>
    </row>
    <row r="844" spans="2:2">
      <c r="B844" s="565"/>
    </row>
    <row r="845" spans="2:2">
      <c r="B845" s="565"/>
    </row>
    <row r="846" spans="2:2">
      <c r="B846" s="565"/>
    </row>
    <row r="847" spans="2:2">
      <c r="B847" s="565"/>
    </row>
    <row r="848" spans="2:2">
      <c r="B848" s="565"/>
    </row>
    <row r="849" spans="2:2">
      <c r="B849" s="565"/>
    </row>
    <row r="850" spans="2:2">
      <c r="B850" s="565"/>
    </row>
    <row r="851" spans="2:2">
      <c r="B851" s="565"/>
    </row>
    <row r="852" spans="2:2">
      <c r="B852" s="565"/>
    </row>
    <row r="853" spans="2:2">
      <c r="B853" s="565"/>
    </row>
    <row r="854" spans="2:2">
      <c r="B854" s="565"/>
    </row>
    <row r="855" spans="2:2">
      <c r="B855" s="565"/>
    </row>
    <row r="856" spans="2:2">
      <c r="B856" s="565"/>
    </row>
    <row r="857" spans="2:2">
      <c r="B857" s="565"/>
    </row>
    <row r="858" spans="2:2">
      <c r="B858" s="565"/>
    </row>
    <row r="859" spans="2:2">
      <c r="B859" s="565"/>
    </row>
    <row r="860" spans="2:2">
      <c r="B860" s="565"/>
    </row>
    <row r="861" spans="2:2">
      <c r="B861" s="565"/>
    </row>
    <row r="862" spans="2:2">
      <c r="B862" s="565"/>
    </row>
    <row r="863" spans="2:2">
      <c r="B863" s="565"/>
    </row>
    <row r="864" spans="2:2">
      <c r="B864" s="565"/>
    </row>
    <row r="865" spans="2:2">
      <c r="B865" s="565"/>
    </row>
    <row r="866" spans="2:2">
      <c r="B866" s="565"/>
    </row>
    <row r="867" spans="2:2">
      <c r="B867" s="565"/>
    </row>
    <row r="868" spans="2:2">
      <c r="B868" s="565"/>
    </row>
    <row r="869" spans="2:2">
      <c r="B869" s="565"/>
    </row>
    <row r="870" spans="2:2">
      <c r="B870" s="565"/>
    </row>
    <row r="871" spans="2:2">
      <c r="B871" s="565"/>
    </row>
    <row r="872" spans="2:2">
      <c r="B872" s="565"/>
    </row>
    <row r="873" spans="2:2">
      <c r="B873" s="565"/>
    </row>
    <row r="874" spans="2:2">
      <c r="B874" s="565"/>
    </row>
    <row r="875" spans="2:2">
      <c r="B875" s="565"/>
    </row>
    <row r="876" spans="2:2">
      <c r="B876" s="565"/>
    </row>
    <row r="877" spans="2:2">
      <c r="B877" s="565"/>
    </row>
    <row r="878" spans="2:2">
      <c r="B878" s="565"/>
    </row>
    <row r="879" spans="2:2">
      <c r="B879" s="565"/>
    </row>
    <row r="880" spans="2:2">
      <c r="B880" s="565"/>
    </row>
    <row r="881" spans="2:2">
      <c r="B881" s="565"/>
    </row>
    <row r="882" spans="2:2">
      <c r="B882" s="565"/>
    </row>
    <row r="883" spans="2:2">
      <c r="B883" s="565"/>
    </row>
    <row r="884" spans="2:2">
      <c r="B884" s="565"/>
    </row>
    <row r="885" spans="2:2">
      <c r="B885" s="565"/>
    </row>
    <row r="886" spans="2:2">
      <c r="B886" s="565"/>
    </row>
    <row r="887" spans="2:2">
      <c r="B887" s="565"/>
    </row>
    <row r="888" spans="2:2">
      <c r="B888" s="565"/>
    </row>
    <row r="889" spans="2:2">
      <c r="B889" s="565"/>
    </row>
    <row r="890" spans="2:2">
      <c r="B890" s="565"/>
    </row>
    <row r="891" spans="2:2">
      <c r="B891" s="565"/>
    </row>
    <row r="892" spans="2:2">
      <c r="B892" s="565"/>
    </row>
    <row r="893" spans="2:2">
      <c r="B893" s="565"/>
    </row>
    <row r="894" spans="2:2">
      <c r="B894" s="565"/>
    </row>
    <row r="895" spans="2:2">
      <c r="B895" s="565"/>
    </row>
    <row r="896" spans="2:2">
      <c r="B896" s="565"/>
    </row>
    <row r="897" spans="2:2">
      <c r="B897" s="565"/>
    </row>
    <row r="898" spans="2:2">
      <c r="B898" s="565"/>
    </row>
    <row r="899" spans="2:2">
      <c r="B899" s="565"/>
    </row>
    <row r="900" spans="2:2">
      <c r="B900" s="565"/>
    </row>
    <row r="901" spans="2:2">
      <c r="B901" s="565"/>
    </row>
    <row r="902" spans="2:2">
      <c r="B902" s="565"/>
    </row>
    <row r="903" spans="2:2">
      <c r="B903" s="565"/>
    </row>
    <row r="904" spans="2:2">
      <c r="B904" s="565"/>
    </row>
    <row r="905" spans="2:2">
      <c r="B905" s="565"/>
    </row>
    <row r="906" spans="2:2">
      <c r="B906" s="565"/>
    </row>
    <row r="907" spans="2:2">
      <c r="B907" s="565"/>
    </row>
    <row r="908" spans="2:2">
      <c r="B908" s="565"/>
    </row>
    <row r="909" spans="2:2">
      <c r="B909" s="565"/>
    </row>
    <row r="910" spans="2:2">
      <c r="B910" s="565"/>
    </row>
    <row r="911" spans="2:2">
      <c r="B911" s="565"/>
    </row>
    <row r="912" spans="2:2">
      <c r="B912" s="565"/>
    </row>
    <row r="913" spans="2:2">
      <c r="B913" s="565"/>
    </row>
    <row r="914" spans="2:2">
      <c r="B914" s="565"/>
    </row>
    <row r="915" spans="2:2">
      <c r="B915" s="565"/>
    </row>
    <row r="916" spans="2:2">
      <c r="B916" s="565"/>
    </row>
    <row r="917" spans="2:2">
      <c r="B917" s="565"/>
    </row>
    <row r="918" spans="2:2">
      <c r="B918" s="565"/>
    </row>
    <row r="919" spans="2:2">
      <c r="B919" s="565"/>
    </row>
    <row r="920" spans="2:2">
      <c r="B920" s="565"/>
    </row>
    <row r="921" spans="2:2">
      <c r="B921" s="565"/>
    </row>
    <row r="922" spans="2:2">
      <c r="B922" s="565"/>
    </row>
    <row r="923" spans="2:2">
      <c r="B923" s="565"/>
    </row>
    <row r="924" spans="2:2">
      <c r="B924" s="565"/>
    </row>
    <row r="925" spans="2:2">
      <c r="B925" s="565"/>
    </row>
    <row r="926" spans="2:2">
      <c r="B926" s="565"/>
    </row>
    <row r="927" spans="2:2">
      <c r="B927" s="565"/>
    </row>
    <row r="928" spans="2:2">
      <c r="B928" s="565"/>
    </row>
    <row r="929" spans="2:2">
      <c r="B929" s="565"/>
    </row>
    <row r="930" spans="2:2">
      <c r="B930" s="565"/>
    </row>
    <row r="931" spans="2:2">
      <c r="B931" s="565"/>
    </row>
    <row r="932" spans="2:2">
      <c r="B932" s="565"/>
    </row>
    <row r="933" spans="2:2">
      <c r="B933" s="565"/>
    </row>
    <row r="934" spans="2:2">
      <c r="B934" s="565"/>
    </row>
    <row r="935" spans="2:2">
      <c r="B935" s="565"/>
    </row>
    <row r="936" spans="2:2">
      <c r="B936" s="565"/>
    </row>
    <row r="937" spans="2:2">
      <c r="B937" s="565"/>
    </row>
    <row r="938" spans="2:2">
      <c r="B938" s="565"/>
    </row>
    <row r="939" spans="2:2">
      <c r="B939" s="565"/>
    </row>
    <row r="940" spans="2:2">
      <c r="B940" s="565"/>
    </row>
    <row r="941" spans="2:2">
      <c r="B941" s="565"/>
    </row>
    <row r="942" spans="2:2">
      <c r="B942" s="565"/>
    </row>
    <row r="943" spans="2:2">
      <c r="B943" s="565"/>
    </row>
    <row r="944" spans="2:2">
      <c r="B944" s="565"/>
    </row>
    <row r="945" spans="2:2">
      <c r="B945" s="565"/>
    </row>
    <row r="946" spans="2:2">
      <c r="B946" s="565"/>
    </row>
    <row r="947" spans="2:2">
      <c r="B947" s="565"/>
    </row>
    <row r="948" spans="2:2">
      <c r="B948" s="565"/>
    </row>
    <row r="949" spans="2:2">
      <c r="B949" s="565"/>
    </row>
    <row r="950" spans="2:2">
      <c r="B950" s="565"/>
    </row>
    <row r="951" spans="2:2">
      <c r="B951" s="565"/>
    </row>
    <row r="952" spans="2:2">
      <c r="B952" s="565"/>
    </row>
    <row r="953" spans="2:2">
      <c r="B953" s="565"/>
    </row>
    <row r="954" spans="2:2">
      <c r="B954" s="565"/>
    </row>
    <row r="955" spans="2:2">
      <c r="B955" s="565"/>
    </row>
    <row r="956" spans="2:2">
      <c r="B956" s="565"/>
    </row>
    <row r="957" spans="2:2">
      <c r="B957" s="565"/>
    </row>
    <row r="958" spans="2:2">
      <c r="B958" s="565"/>
    </row>
    <row r="959" spans="2:2">
      <c r="B959" s="565"/>
    </row>
    <row r="960" spans="2:2">
      <c r="B960" s="565"/>
    </row>
    <row r="961" spans="2:2">
      <c r="B961" s="565"/>
    </row>
    <row r="962" spans="2:2">
      <c r="B962" s="565"/>
    </row>
    <row r="963" spans="2:2">
      <c r="B963" s="565"/>
    </row>
    <row r="964" spans="2:2">
      <c r="B964" s="565"/>
    </row>
    <row r="965" spans="2:2">
      <c r="B965" s="565"/>
    </row>
    <row r="966" spans="2:2">
      <c r="B966" s="565"/>
    </row>
    <row r="967" spans="2:2">
      <c r="B967" s="565"/>
    </row>
    <row r="968" spans="2:2">
      <c r="B968" s="565"/>
    </row>
    <row r="969" spans="2:2">
      <c r="B969" s="565"/>
    </row>
    <row r="970" spans="2:2">
      <c r="B970" s="565"/>
    </row>
    <row r="971" spans="2:2">
      <c r="B971" s="565"/>
    </row>
    <row r="972" spans="2:2">
      <c r="B972" s="565"/>
    </row>
    <row r="973" spans="2:2">
      <c r="B973" s="565"/>
    </row>
    <row r="974" spans="2:2">
      <c r="B974" s="565"/>
    </row>
    <row r="975" spans="2:2">
      <c r="B975" s="565"/>
    </row>
    <row r="976" spans="2:2">
      <c r="B976" s="565"/>
    </row>
    <row r="977" spans="2:2">
      <c r="B977" s="565"/>
    </row>
    <row r="978" spans="2:2">
      <c r="B978" s="565"/>
    </row>
    <row r="979" spans="2:2">
      <c r="B979" s="565"/>
    </row>
    <row r="980" spans="2:2">
      <c r="B980" s="565"/>
    </row>
    <row r="981" spans="2:2">
      <c r="B981" s="565"/>
    </row>
    <row r="982" spans="2:2">
      <c r="B982" s="565"/>
    </row>
    <row r="983" spans="2:2">
      <c r="B983" s="565"/>
    </row>
    <row r="984" spans="2:2">
      <c r="B984" s="565"/>
    </row>
    <row r="985" spans="2:2">
      <c r="B985" s="565"/>
    </row>
    <row r="986" spans="2:2">
      <c r="B986" s="565"/>
    </row>
    <row r="987" spans="2:2">
      <c r="B987" s="565"/>
    </row>
    <row r="988" spans="2:2">
      <c r="B988" s="565"/>
    </row>
    <row r="989" spans="2:2">
      <c r="B989" s="565"/>
    </row>
    <row r="990" spans="2:2">
      <c r="B990" s="565"/>
    </row>
    <row r="991" spans="2:2">
      <c r="B991" s="565"/>
    </row>
    <row r="992" spans="2:2">
      <c r="B992" s="565"/>
    </row>
    <row r="993" spans="2:2">
      <c r="B993" s="565"/>
    </row>
    <row r="994" spans="2:2">
      <c r="B994" s="565"/>
    </row>
    <row r="995" spans="2:2">
      <c r="B995" s="565"/>
    </row>
    <row r="996" spans="2:2">
      <c r="B996" s="565"/>
    </row>
    <row r="997" spans="2:2">
      <c r="B997" s="565"/>
    </row>
    <row r="998" spans="2:2">
      <c r="B998" s="565"/>
    </row>
    <row r="999" spans="2:2">
      <c r="B999" s="565"/>
    </row>
    <row r="1000" spans="2:2">
      <c r="B1000" s="565"/>
    </row>
    <row r="1001" spans="2:2">
      <c r="B1001" s="565"/>
    </row>
    <row r="1002" spans="2:2">
      <c r="B1002" s="565"/>
    </row>
    <row r="1003" spans="2:2">
      <c r="B1003" s="565"/>
    </row>
    <row r="1004" spans="2:2">
      <c r="B1004" s="565"/>
    </row>
    <row r="1005" spans="2:2">
      <c r="B1005" s="565"/>
    </row>
    <row r="1006" spans="2:2">
      <c r="B1006" s="565"/>
    </row>
    <row r="1007" spans="2:2">
      <c r="B1007" s="565"/>
    </row>
    <row r="1008" spans="2:2">
      <c r="B1008" s="565"/>
    </row>
    <row r="1009" spans="2:2">
      <c r="B1009" s="565"/>
    </row>
    <row r="1010" spans="2:2">
      <c r="B1010" s="565"/>
    </row>
    <row r="1011" spans="2:2">
      <c r="B1011" s="565"/>
    </row>
    <row r="1012" spans="2:2">
      <c r="B1012" s="565"/>
    </row>
    <row r="1013" spans="2:2">
      <c r="B1013" s="565"/>
    </row>
    <row r="1014" spans="2:2">
      <c r="B1014" s="565"/>
    </row>
    <row r="1015" spans="2:2">
      <c r="B1015" s="565"/>
    </row>
    <row r="1016" spans="2:2">
      <c r="B1016" s="565"/>
    </row>
    <row r="1017" spans="2:2">
      <c r="B1017" s="565"/>
    </row>
    <row r="1018" spans="2:2">
      <c r="B1018" s="565"/>
    </row>
    <row r="1019" spans="2:2">
      <c r="B1019" s="565"/>
    </row>
    <row r="1020" spans="2:2">
      <c r="B1020" s="565"/>
    </row>
    <row r="1021" spans="2:2">
      <c r="B1021" s="565"/>
    </row>
    <row r="1022" spans="2:2">
      <c r="B1022" s="565"/>
    </row>
    <row r="1023" spans="2:2">
      <c r="B1023" s="565"/>
    </row>
    <row r="1024" spans="2:2">
      <c r="B1024" s="565"/>
    </row>
    <row r="1025" spans="2:2">
      <c r="B1025" s="565"/>
    </row>
    <row r="1026" spans="2:2">
      <c r="B1026" s="565"/>
    </row>
    <row r="1027" spans="2:2">
      <c r="B1027" s="565"/>
    </row>
    <row r="1028" spans="2:2">
      <c r="B1028" s="565"/>
    </row>
    <row r="1029" spans="2:2">
      <c r="B1029" s="565"/>
    </row>
    <row r="1030" spans="2:2">
      <c r="B1030" s="565"/>
    </row>
    <row r="1031" spans="2:2">
      <c r="B1031" s="565"/>
    </row>
    <row r="1032" spans="2:2">
      <c r="B1032" s="565"/>
    </row>
    <row r="1033" spans="2:2">
      <c r="B1033" s="565"/>
    </row>
    <row r="1034" spans="2:2">
      <c r="B1034" s="565"/>
    </row>
    <row r="1035" spans="2:2">
      <c r="B1035" s="565"/>
    </row>
    <row r="1036" spans="2:2">
      <c r="B1036" s="565"/>
    </row>
    <row r="1037" spans="2:2">
      <c r="B1037" s="565"/>
    </row>
    <row r="1038" spans="2:2">
      <c r="B1038" s="565"/>
    </row>
    <row r="1039" spans="2:2">
      <c r="B1039" s="565"/>
    </row>
    <row r="1040" spans="2:2">
      <c r="B1040" s="565"/>
    </row>
    <row r="1041" spans="2:2">
      <c r="B1041" s="565"/>
    </row>
    <row r="1042" spans="2:2">
      <c r="B1042" s="565"/>
    </row>
    <row r="1043" spans="2:2">
      <c r="B1043" s="565"/>
    </row>
    <row r="1044" spans="2:2">
      <c r="B1044" s="565"/>
    </row>
    <row r="1045" spans="2:2">
      <c r="B1045" s="565"/>
    </row>
    <row r="1046" spans="2:2">
      <c r="B1046" s="565"/>
    </row>
    <row r="1047" spans="2:2">
      <c r="B1047" s="565"/>
    </row>
    <row r="1048" spans="2:2">
      <c r="B1048" s="565"/>
    </row>
    <row r="1049" spans="2:2">
      <c r="B1049" s="565"/>
    </row>
    <row r="1050" spans="2:2">
      <c r="B1050" s="565"/>
    </row>
    <row r="1051" spans="2:2">
      <c r="B1051" s="565"/>
    </row>
    <row r="1052" spans="2:2">
      <c r="B1052" s="565"/>
    </row>
    <row r="1053" spans="2:2">
      <c r="B1053" s="565"/>
    </row>
    <row r="1054" spans="2:2">
      <c r="B1054" s="565"/>
    </row>
    <row r="1055" spans="2:2">
      <c r="B1055" s="565"/>
    </row>
    <row r="1056" spans="2:2">
      <c r="B1056" s="565"/>
    </row>
    <row r="1057" spans="2:2">
      <c r="B1057" s="565"/>
    </row>
    <row r="1058" spans="2:2">
      <c r="B1058" s="565"/>
    </row>
    <row r="1059" spans="2:2">
      <c r="B1059" s="565"/>
    </row>
    <row r="1060" spans="2:2">
      <c r="B1060" s="565"/>
    </row>
    <row r="1061" spans="2:2">
      <c r="B1061" s="565"/>
    </row>
    <row r="1062" spans="2:2">
      <c r="B1062" s="565"/>
    </row>
    <row r="1063" spans="2:2">
      <c r="B1063" s="565"/>
    </row>
    <row r="1064" spans="2:2">
      <c r="B1064" s="565"/>
    </row>
    <row r="1065" spans="2:2">
      <c r="B1065" s="565"/>
    </row>
    <row r="1066" spans="2:2">
      <c r="B1066" s="565"/>
    </row>
    <row r="1067" spans="2:2">
      <c r="B1067" s="565"/>
    </row>
    <row r="1068" spans="2:2">
      <c r="B1068" s="565"/>
    </row>
    <row r="1069" spans="2:2">
      <c r="B1069" s="565"/>
    </row>
    <row r="1070" spans="2:2">
      <c r="B1070" s="565"/>
    </row>
    <row r="1071" spans="2:2">
      <c r="B1071" s="565"/>
    </row>
    <row r="1072" spans="2:2">
      <c r="B1072" s="565"/>
    </row>
    <row r="1073" spans="2:2">
      <c r="B1073" s="565"/>
    </row>
    <row r="1074" spans="2:2">
      <c r="B1074" s="565"/>
    </row>
    <row r="1075" spans="2:2">
      <c r="B1075" s="565"/>
    </row>
    <row r="1076" spans="2:2">
      <c r="B1076" s="565"/>
    </row>
    <row r="1077" spans="2:2">
      <c r="B1077" s="565"/>
    </row>
    <row r="1078" spans="2:2">
      <c r="B1078" s="565"/>
    </row>
    <row r="1079" spans="2:2">
      <c r="B1079" s="565"/>
    </row>
    <row r="1080" spans="2:2">
      <c r="B1080" s="565"/>
    </row>
    <row r="1081" spans="2:2">
      <c r="B1081" s="565"/>
    </row>
    <row r="1082" spans="2:2">
      <c r="B1082" s="565"/>
    </row>
    <row r="1083" spans="2:2">
      <c r="B1083" s="565"/>
    </row>
    <row r="1084" spans="2:2">
      <c r="B1084" s="565"/>
    </row>
    <row r="1085" spans="2:2">
      <c r="B1085" s="565"/>
    </row>
    <row r="1086" spans="2:2">
      <c r="B1086" s="565"/>
    </row>
    <row r="1087" spans="2:2">
      <c r="B1087" s="565"/>
    </row>
    <row r="1088" spans="2:2">
      <c r="B1088" s="565"/>
    </row>
    <row r="1089" spans="2:2">
      <c r="B1089" s="565"/>
    </row>
    <row r="1090" spans="2:2">
      <c r="B1090" s="565"/>
    </row>
    <row r="1091" spans="2:2">
      <c r="B1091" s="565"/>
    </row>
    <row r="1092" spans="2:2">
      <c r="B1092" s="565"/>
    </row>
    <row r="1093" spans="2:2">
      <c r="B1093" s="565"/>
    </row>
    <row r="1094" spans="2:2">
      <c r="B1094" s="565"/>
    </row>
    <row r="1095" spans="2:2">
      <c r="B1095" s="565"/>
    </row>
    <row r="1096" spans="2:2">
      <c r="B1096" s="565"/>
    </row>
    <row r="1097" spans="2:2">
      <c r="B1097" s="565"/>
    </row>
    <row r="1098" spans="2:2">
      <c r="B1098" s="565"/>
    </row>
    <row r="1099" spans="2:2">
      <c r="B1099" s="565"/>
    </row>
    <row r="1100" spans="2:2">
      <c r="B1100" s="565"/>
    </row>
    <row r="1101" spans="2:2">
      <c r="B1101" s="565"/>
    </row>
    <row r="1102" spans="2:2">
      <c r="B1102" s="565"/>
    </row>
    <row r="1103" spans="2:2">
      <c r="B1103" s="565"/>
    </row>
    <row r="1104" spans="2:2">
      <c r="B1104" s="565"/>
    </row>
    <row r="1105" spans="2:2">
      <c r="B1105" s="565"/>
    </row>
    <row r="1106" spans="2:2">
      <c r="B1106" s="565"/>
    </row>
    <row r="1107" spans="2:2">
      <c r="B1107" s="565"/>
    </row>
    <row r="1108" spans="2:2">
      <c r="B1108" s="565"/>
    </row>
    <row r="1109" spans="2:2">
      <c r="B1109" s="565"/>
    </row>
    <row r="1110" spans="2:2">
      <c r="B1110" s="565"/>
    </row>
    <row r="1111" spans="2:2">
      <c r="B1111" s="565"/>
    </row>
    <row r="1112" spans="2:2">
      <c r="B1112" s="565"/>
    </row>
    <row r="1113" spans="2:2">
      <c r="B1113" s="565"/>
    </row>
    <row r="1114" spans="2:2">
      <c r="B1114" s="565"/>
    </row>
    <row r="1115" spans="2:2">
      <c r="B1115" s="565"/>
    </row>
    <row r="1116" spans="2:2">
      <c r="B1116" s="565"/>
    </row>
    <row r="1117" spans="2:2">
      <c r="B1117" s="565"/>
    </row>
    <row r="1118" spans="2:2">
      <c r="B1118" s="565"/>
    </row>
    <row r="1119" spans="2:2">
      <c r="B1119" s="565"/>
    </row>
    <row r="1120" spans="2:2">
      <c r="B1120" s="565"/>
    </row>
    <row r="1121" spans="2:2">
      <c r="B1121" s="565"/>
    </row>
    <row r="1122" spans="2:2">
      <c r="B1122" s="565"/>
    </row>
    <row r="1123" spans="2:2">
      <c r="B1123" s="565"/>
    </row>
    <row r="1124" spans="2:2">
      <c r="B1124" s="565"/>
    </row>
    <row r="1125" spans="2:2">
      <c r="B1125" s="565"/>
    </row>
    <row r="1126" spans="2:2">
      <c r="B1126" s="565"/>
    </row>
    <row r="1127" spans="2:2">
      <c r="B1127" s="565"/>
    </row>
    <row r="1128" spans="2:2">
      <c r="B1128" s="565"/>
    </row>
    <row r="1129" spans="2:2">
      <c r="B1129" s="565"/>
    </row>
    <row r="1130" spans="2:2">
      <c r="B1130" s="565"/>
    </row>
    <row r="1131" spans="2:2">
      <c r="B1131" s="565"/>
    </row>
    <row r="1132" spans="2:2">
      <c r="B1132" s="565"/>
    </row>
    <row r="1133" spans="2:2">
      <c r="B1133" s="565"/>
    </row>
    <row r="1134" spans="2:2">
      <c r="B1134" s="565"/>
    </row>
    <row r="1135" spans="2:2">
      <c r="B1135" s="565"/>
    </row>
    <row r="1136" spans="2:2">
      <c r="B1136" s="565"/>
    </row>
    <row r="1137" spans="2:2">
      <c r="B1137" s="565"/>
    </row>
    <row r="1138" spans="2:2">
      <c r="B1138" s="565"/>
    </row>
    <row r="1139" spans="2:2">
      <c r="B1139" s="565"/>
    </row>
    <row r="1140" spans="2:2">
      <c r="B1140" s="565"/>
    </row>
    <row r="1141" spans="2:2">
      <c r="B1141" s="565"/>
    </row>
    <row r="1142" spans="2:2">
      <c r="B1142" s="565"/>
    </row>
    <row r="1143" spans="2:2">
      <c r="B1143" s="565"/>
    </row>
    <row r="1144" spans="2:2">
      <c r="B1144" s="565"/>
    </row>
    <row r="1145" spans="2:2">
      <c r="B1145" s="565"/>
    </row>
    <row r="1146" spans="2:2">
      <c r="B1146" s="565"/>
    </row>
    <row r="1147" spans="2:2">
      <c r="B1147" s="565"/>
    </row>
    <row r="1148" spans="2:2">
      <c r="B1148" s="565"/>
    </row>
    <row r="1149" spans="2:2">
      <c r="B1149" s="565"/>
    </row>
    <row r="1150" spans="2:2">
      <c r="B1150" s="565"/>
    </row>
    <row r="1151" spans="2:2">
      <c r="B1151" s="565"/>
    </row>
    <row r="1152" spans="2:2">
      <c r="B1152" s="565"/>
    </row>
    <row r="1153" spans="2:2">
      <c r="B1153" s="565"/>
    </row>
    <row r="1154" spans="2:2">
      <c r="B1154" s="565"/>
    </row>
    <row r="1155" spans="2:2">
      <c r="B1155" s="565"/>
    </row>
    <row r="1156" spans="2:2">
      <c r="B1156" s="565"/>
    </row>
    <row r="1157" spans="2:2">
      <c r="B1157" s="565"/>
    </row>
    <row r="1158" spans="2:2">
      <c r="B1158" s="565"/>
    </row>
    <row r="1159" spans="2:2">
      <c r="B1159" s="565"/>
    </row>
    <row r="1160" spans="2:2">
      <c r="B1160" s="565"/>
    </row>
    <row r="1161" spans="2:2">
      <c r="B1161" s="565"/>
    </row>
    <row r="1162" spans="2:2">
      <c r="B1162" s="565"/>
    </row>
    <row r="1163" spans="2:2">
      <c r="B1163" s="565"/>
    </row>
    <row r="1164" spans="2:2">
      <c r="B1164" s="565"/>
    </row>
    <row r="1165" spans="2:2">
      <c r="B1165" s="565"/>
    </row>
    <row r="1166" spans="2:2">
      <c r="B1166" s="565"/>
    </row>
    <row r="1167" spans="2:2">
      <c r="B1167" s="565"/>
    </row>
    <row r="1168" spans="2:2">
      <c r="B1168" s="565"/>
    </row>
    <row r="1169" spans="2:2">
      <c r="B1169" s="565"/>
    </row>
    <row r="1170" spans="2:2">
      <c r="B1170" s="565"/>
    </row>
    <row r="1171" spans="2:2">
      <c r="B1171" s="565"/>
    </row>
    <row r="1172" spans="2:2">
      <c r="B1172" s="565"/>
    </row>
    <row r="1173" spans="2:2">
      <c r="B1173" s="565"/>
    </row>
    <row r="1174" spans="2:2">
      <c r="B1174" s="565"/>
    </row>
    <row r="1175" spans="2:2">
      <c r="B1175" s="565"/>
    </row>
    <row r="1176" spans="2:2">
      <c r="B1176" s="565"/>
    </row>
    <row r="1177" spans="2:2">
      <c r="B1177" s="565"/>
    </row>
    <row r="1178" spans="2:2">
      <c r="B1178" s="565"/>
    </row>
    <row r="1179" spans="2:2">
      <c r="B1179" s="565"/>
    </row>
    <row r="1180" spans="2:2">
      <c r="B1180" s="565"/>
    </row>
    <row r="1181" spans="2:2">
      <c r="B1181" s="565"/>
    </row>
    <row r="1182" spans="2:2">
      <c r="B1182" s="565"/>
    </row>
    <row r="1183" spans="2:2">
      <c r="B1183" s="565"/>
    </row>
    <row r="1184" spans="2:2">
      <c r="B1184" s="565"/>
    </row>
    <row r="1185" spans="2:2">
      <c r="B1185" s="565"/>
    </row>
    <row r="1186" spans="2:2">
      <c r="B1186" s="565"/>
    </row>
    <row r="1187" spans="2:2">
      <c r="B1187" s="565"/>
    </row>
    <row r="1188" spans="2:2">
      <c r="B1188" s="565"/>
    </row>
    <row r="1189" spans="2:2">
      <c r="B1189" s="565"/>
    </row>
    <row r="1190" spans="2:2">
      <c r="B1190" s="565"/>
    </row>
    <row r="1191" spans="2:2">
      <c r="B1191" s="565"/>
    </row>
    <row r="1192" spans="2:2">
      <c r="B1192" s="565"/>
    </row>
    <row r="1193" spans="2:2">
      <c r="B1193" s="565"/>
    </row>
    <row r="1194" spans="2:2">
      <c r="B1194" s="565"/>
    </row>
    <row r="1195" spans="2:2">
      <c r="B1195" s="565"/>
    </row>
    <row r="1196" spans="2:2">
      <c r="B1196" s="565"/>
    </row>
    <row r="1197" spans="2:2">
      <c r="B1197" s="565"/>
    </row>
    <row r="1198" spans="2:2">
      <c r="B1198" s="565"/>
    </row>
    <row r="1199" spans="2:2">
      <c r="B1199" s="565"/>
    </row>
    <row r="1200" spans="2:2">
      <c r="B1200" s="565"/>
    </row>
    <row r="1201" spans="2:2">
      <c r="B1201" s="565"/>
    </row>
    <row r="1202" spans="2:2">
      <c r="B1202" s="565"/>
    </row>
    <row r="1203" spans="2:2">
      <c r="B1203" s="565"/>
    </row>
    <row r="1204" spans="2:2">
      <c r="B1204" s="565"/>
    </row>
    <row r="1205" spans="2:2">
      <c r="B1205" s="565"/>
    </row>
    <row r="1206" spans="2:2">
      <c r="B1206" s="565"/>
    </row>
    <row r="1207" spans="2:2">
      <c r="B1207" s="565"/>
    </row>
    <row r="1208" spans="2:2">
      <c r="B1208" s="565"/>
    </row>
    <row r="1209" spans="2:2">
      <c r="B1209" s="565"/>
    </row>
    <row r="1210" spans="2:2">
      <c r="B1210" s="565"/>
    </row>
    <row r="1211" spans="2:2">
      <c r="B1211" s="565"/>
    </row>
    <row r="1212" spans="2:2">
      <c r="B1212" s="565"/>
    </row>
    <row r="1213" spans="2:2">
      <c r="B1213" s="565"/>
    </row>
    <row r="1214" spans="2:2">
      <c r="B1214" s="565"/>
    </row>
    <row r="1215" spans="2:2">
      <c r="B1215" s="565"/>
    </row>
    <row r="1216" spans="2:2">
      <c r="B1216" s="565"/>
    </row>
    <row r="1217" spans="2:2">
      <c r="B1217" s="565"/>
    </row>
    <row r="1218" spans="2:2">
      <c r="B1218" s="565"/>
    </row>
    <row r="1219" spans="2:2">
      <c r="B1219" s="565"/>
    </row>
    <row r="1220" spans="2:2">
      <c r="B1220" s="565"/>
    </row>
    <row r="1221" spans="2:2">
      <c r="B1221" s="565"/>
    </row>
    <row r="1222" spans="2:2">
      <c r="B1222" s="565"/>
    </row>
    <row r="1223" spans="2:2">
      <c r="B1223" s="565"/>
    </row>
    <row r="1224" spans="2:2">
      <c r="B1224" s="565"/>
    </row>
    <row r="1225" spans="2:2">
      <c r="B1225" s="565"/>
    </row>
    <row r="1226" spans="2:2">
      <c r="B1226" s="565"/>
    </row>
    <row r="1227" spans="2:2">
      <c r="B1227" s="565"/>
    </row>
    <row r="1228" spans="2:2">
      <c r="B1228" s="565"/>
    </row>
    <row r="1229" spans="2:2">
      <c r="B1229" s="565"/>
    </row>
    <row r="1230" spans="2:2">
      <c r="B1230" s="565"/>
    </row>
    <row r="1231" spans="2:2">
      <c r="B1231" s="565"/>
    </row>
    <row r="1232" spans="2:2">
      <c r="B1232" s="565"/>
    </row>
    <row r="1233" spans="2:2">
      <c r="B1233" s="565"/>
    </row>
    <row r="1234" spans="2:2">
      <c r="B1234" s="565"/>
    </row>
    <row r="1235" spans="2:2">
      <c r="B1235" s="565"/>
    </row>
    <row r="1236" spans="2:2">
      <c r="B1236" s="565"/>
    </row>
    <row r="1237" spans="2:2">
      <c r="B1237" s="565"/>
    </row>
    <row r="1238" spans="2:2">
      <c r="B1238" s="565"/>
    </row>
    <row r="1239" spans="2:2">
      <c r="B1239" s="565"/>
    </row>
    <row r="1240" spans="2:2">
      <c r="B1240" s="565"/>
    </row>
    <row r="1241" spans="2:2">
      <c r="B1241" s="565"/>
    </row>
    <row r="1242" spans="2:2">
      <c r="B1242" s="565"/>
    </row>
    <row r="1243" spans="2:2">
      <c r="B1243" s="565"/>
    </row>
    <row r="1244" spans="2:2">
      <c r="B1244" s="565"/>
    </row>
    <row r="1245" spans="2:2">
      <c r="B1245" s="565"/>
    </row>
    <row r="1246" spans="2:2">
      <c r="B1246" s="565"/>
    </row>
    <row r="1247" spans="2:2">
      <c r="B1247" s="565"/>
    </row>
    <row r="1248" spans="2:2">
      <c r="B1248" s="565"/>
    </row>
    <row r="1249" spans="2:2">
      <c r="B1249" s="565"/>
    </row>
    <row r="1250" spans="2:2">
      <c r="B1250" s="565"/>
    </row>
    <row r="1251" spans="2:2">
      <c r="B1251" s="565"/>
    </row>
    <row r="1252" spans="2:2">
      <c r="B1252" s="565"/>
    </row>
    <row r="1253" spans="2:2">
      <c r="B1253" s="565"/>
    </row>
    <row r="1254" spans="2:2">
      <c r="B1254" s="565"/>
    </row>
    <row r="1255" spans="2:2">
      <c r="B1255" s="565"/>
    </row>
    <row r="1256" spans="2:2">
      <c r="B1256" s="565"/>
    </row>
    <row r="1257" spans="2:2">
      <c r="B1257" s="565"/>
    </row>
    <row r="1258" spans="2:2">
      <c r="B1258" s="565"/>
    </row>
    <row r="1259" spans="2:2">
      <c r="B1259" s="565"/>
    </row>
    <row r="1260" spans="2:2">
      <c r="B1260" s="565"/>
    </row>
    <row r="1261" spans="2:2">
      <c r="B1261" s="565"/>
    </row>
    <row r="1262" spans="2:2">
      <c r="B1262" s="565"/>
    </row>
    <row r="1263" spans="2:2">
      <c r="B1263" s="565"/>
    </row>
    <row r="1264" spans="2:2">
      <c r="B1264" s="565"/>
    </row>
    <row r="1265" spans="2:2">
      <c r="B1265" s="565"/>
    </row>
    <row r="1266" spans="2:2">
      <c r="B1266" s="565"/>
    </row>
    <row r="1267" spans="2:2">
      <c r="B1267" s="565"/>
    </row>
    <row r="1268" spans="2:2">
      <c r="B1268" s="565"/>
    </row>
    <row r="1269" spans="2:2">
      <c r="B1269" s="565"/>
    </row>
    <row r="1270" spans="2:2">
      <c r="B1270" s="565"/>
    </row>
    <row r="1271" spans="2:2">
      <c r="B1271" s="565"/>
    </row>
    <row r="1272" spans="2:2">
      <c r="B1272" s="565"/>
    </row>
    <row r="1273" spans="2:2">
      <c r="B1273" s="565"/>
    </row>
    <row r="1274" spans="2:2">
      <c r="B1274" s="565"/>
    </row>
    <row r="1275" spans="2:2">
      <c r="B1275" s="565"/>
    </row>
    <row r="1276" spans="2:2">
      <c r="B1276" s="565"/>
    </row>
    <row r="1277" spans="2:2">
      <c r="B1277" s="565"/>
    </row>
    <row r="1278" spans="2:2">
      <c r="B1278" s="565"/>
    </row>
    <row r="1279" spans="2:2">
      <c r="B1279" s="565"/>
    </row>
    <row r="1280" spans="2:2">
      <c r="B1280" s="565"/>
    </row>
    <row r="1281" spans="2:2">
      <c r="B1281" s="565"/>
    </row>
    <row r="1282" spans="2:2">
      <c r="B1282" s="565"/>
    </row>
    <row r="1283" spans="2:2">
      <c r="B1283" s="565"/>
    </row>
    <row r="1284" spans="2:2">
      <c r="B1284" s="565"/>
    </row>
    <row r="1285" spans="2:2">
      <c r="B1285" s="565"/>
    </row>
    <row r="1286" spans="2:2">
      <c r="B1286" s="565"/>
    </row>
    <row r="1287" spans="2:2">
      <c r="B1287" s="565"/>
    </row>
    <row r="1288" spans="2:2">
      <c r="B1288" s="565"/>
    </row>
    <row r="1289" spans="2:2">
      <c r="B1289" s="565"/>
    </row>
    <row r="1290" spans="2:2">
      <c r="B1290" s="565"/>
    </row>
    <row r="1291" spans="2:2">
      <c r="B1291" s="565"/>
    </row>
    <row r="1292" spans="2:2">
      <c r="B1292" s="565"/>
    </row>
    <row r="1293" spans="2:2">
      <c r="B1293" s="565"/>
    </row>
    <row r="1294" spans="2:2">
      <c r="B1294" s="565"/>
    </row>
    <row r="1295" spans="2:2">
      <c r="B1295" s="565"/>
    </row>
    <row r="1296" spans="2:2">
      <c r="B1296" s="565"/>
    </row>
    <row r="1297" spans="2:2">
      <c r="B1297" s="565"/>
    </row>
    <row r="1298" spans="2:2">
      <c r="B1298" s="565"/>
    </row>
    <row r="1299" spans="2:2">
      <c r="B1299" s="565"/>
    </row>
    <row r="1300" spans="2:2">
      <c r="B1300" s="565"/>
    </row>
    <row r="1301" spans="2:2">
      <c r="B1301" s="565"/>
    </row>
    <row r="1302" spans="2:2">
      <c r="B1302" s="565"/>
    </row>
    <row r="1303" spans="2:2">
      <c r="B1303" s="565"/>
    </row>
    <row r="1304" spans="2:2">
      <c r="B1304" s="565"/>
    </row>
    <row r="1305" spans="2:2">
      <c r="B1305" s="565"/>
    </row>
    <row r="1306" spans="2:2">
      <c r="B1306" s="565"/>
    </row>
    <row r="1307" spans="2:2">
      <c r="B1307" s="565"/>
    </row>
    <row r="1308" spans="2:2">
      <c r="B1308" s="565"/>
    </row>
    <row r="1309" spans="2:2">
      <c r="B1309" s="565"/>
    </row>
    <row r="1310" spans="2:2">
      <c r="B1310" s="565"/>
    </row>
    <row r="1311" spans="2:2">
      <c r="B1311" s="565"/>
    </row>
    <row r="1312" spans="2:2">
      <c r="B1312" s="565"/>
    </row>
    <row r="1313" spans="2:2">
      <c r="B1313" s="565"/>
    </row>
    <row r="1314" spans="2:2">
      <c r="B1314" s="565"/>
    </row>
    <row r="1315" spans="2:2">
      <c r="B1315" s="565"/>
    </row>
    <row r="1316" spans="2:2">
      <c r="B1316" s="565"/>
    </row>
    <row r="1317" spans="2:2">
      <c r="B1317" s="565"/>
    </row>
    <row r="1318" spans="2:2">
      <c r="B1318" s="565"/>
    </row>
    <row r="1319" spans="2:2">
      <c r="B1319" s="565"/>
    </row>
    <row r="1320" spans="2:2">
      <c r="B1320" s="565"/>
    </row>
    <row r="1321" spans="2:2">
      <c r="B1321" s="565"/>
    </row>
    <row r="1322" spans="2:2">
      <c r="B1322" s="565"/>
    </row>
    <row r="1323" spans="2:2">
      <c r="B1323" s="565"/>
    </row>
    <row r="1324" spans="2:2">
      <c r="B1324" s="565"/>
    </row>
    <row r="1325" spans="2:2">
      <c r="B1325" s="565"/>
    </row>
    <row r="1326" spans="2:2">
      <c r="B1326" s="565"/>
    </row>
    <row r="1327" spans="2:2">
      <c r="B1327" s="565"/>
    </row>
    <row r="1328" spans="2:2">
      <c r="B1328" s="565"/>
    </row>
    <row r="1329" spans="2:2">
      <c r="B1329" s="565"/>
    </row>
    <row r="1330" spans="2:2">
      <c r="B1330" s="565"/>
    </row>
    <row r="1331" spans="2:2">
      <c r="B1331" s="565"/>
    </row>
    <row r="1332" spans="2:2">
      <c r="B1332" s="565"/>
    </row>
    <row r="1333" spans="2:2">
      <c r="B1333" s="565"/>
    </row>
    <row r="1334" spans="2:2">
      <c r="B1334" s="565"/>
    </row>
    <row r="1335" spans="2:2">
      <c r="B1335" s="565"/>
    </row>
    <row r="1336" spans="2:2">
      <c r="B1336" s="565"/>
    </row>
    <row r="1337" spans="2:2">
      <c r="B1337" s="565"/>
    </row>
    <row r="1338" spans="2:2">
      <c r="B1338" s="565"/>
    </row>
    <row r="1339" spans="2:2">
      <c r="B1339" s="565"/>
    </row>
    <row r="1340" spans="2:2">
      <c r="B1340" s="565"/>
    </row>
    <row r="1341" spans="2:2">
      <c r="B1341" s="565"/>
    </row>
    <row r="1342" spans="2:2">
      <c r="B1342" s="565"/>
    </row>
    <row r="1343" spans="2:2">
      <c r="B1343" s="565"/>
    </row>
    <row r="1344" spans="2:2">
      <c r="B1344" s="565"/>
    </row>
    <row r="1345" spans="2:2">
      <c r="B1345" s="565"/>
    </row>
    <row r="1346" spans="2:2">
      <c r="B1346" s="565"/>
    </row>
    <row r="1347" spans="2:2">
      <c r="B1347" s="565"/>
    </row>
    <row r="1348" spans="2:2">
      <c r="B1348" s="565"/>
    </row>
    <row r="1349" spans="2:2">
      <c r="B1349" s="565"/>
    </row>
    <row r="1350" spans="2:2">
      <c r="B1350" s="565"/>
    </row>
    <row r="1351" spans="2:2">
      <c r="B1351" s="565"/>
    </row>
    <row r="1352" spans="2:2">
      <c r="B1352" s="565"/>
    </row>
    <row r="1353" spans="2:2">
      <c r="B1353" s="565"/>
    </row>
    <row r="1354" spans="2:2">
      <c r="B1354" s="565"/>
    </row>
    <row r="1355" spans="2:2">
      <c r="B1355" s="565"/>
    </row>
    <row r="1356" spans="2:2">
      <c r="B1356" s="565"/>
    </row>
    <row r="1357" spans="2:2">
      <c r="B1357" s="565"/>
    </row>
    <row r="1358" spans="2:2">
      <c r="B1358" s="565"/>
    </row>
    <row r="1359" spans="2:2">
      <c r="B1359" s="565"/>
    </row>
    <row r="1360" spans="2:2">
      <c r="B1360" s="565"/>
    </row>
    <row r="1361" spans="2:2">
      <c r="B1361" s="565"/>
    </row>
    <row r="1362" spans="2:2">
      <c r="B1362" s="565"/>
    </row>
    <row r="1363" spans="2:2">
      <c r="B1363" s="565"/>
    </row>
    <row r="1364" spans="2:2">
      <c r="B1364" s="565"/>
    </row>
    <row r="1365" spans="2:2">
      <c r="B1365" s="565"/>
    </row>
    <row r="1366" spans="2:2">
      <c r="B1366" s="565"/>
    </row>
    <row r="1367" spans="2:2">
      <c r="B1367" s="565"/>
    </row>
    <row r="1368" spans="2:2">
      <c r="B1368" s="565"/>
    </row>
    <row r="1369" spans="2:2">
      <c r="B1369" s="565"/>
    </row>
    <row r="1370" spans="2:2">
      <c r="B1370" s="565"/>
    </row>
    <row r="1371" spans="2:2">
      <c r="B1371" s="565"/>
    </row>
    <row r="1372" spans="2:2">
      <c r="B1372" s="565"/>
    </row>
    <row r="1373" spans="2:2">
      <c r="B1373" s="565"/>
    </row>
    <row r="1374" spans="2:2">
      <c r="B1374" s="565"/>
    </row>
    <row r="1375" spans="2:2">
      <c r="B1375" s="565"/>
    </row>
    <row r="1376" spans="2:2">
      <c r="B1376" s="565"/>
    </row>
    <row r="1377" spans="2:2">
      <c r="B1377" s="565"/>
    </row>
    <row r="1378" spans="2:2">
      <c r="B1378" s="565"/>
    </row>
    <row r="1379" spans="2:2">
      <c r="B1379" s="565"/>
    </row>
    <row r="1380" spans="2:2">
      <c r="B1380" s="565"/>
    </row>
    <row r="1381" spans="2:2">
      <c r="B1381" s="565"/>
    </row>
    <row r="1382" spans="2:2">
      <c r="B1382" s="565"/>
    </row>
    <row r="1383" spans="2:2">
      <c r="B1383" s="565"/>
    </row>
    <row r="1384" spans="2:2">
      <c r="B1384" s="565"/>
    </row>
    <row r="1385" spans="2:2">
      <c r="B1385" s="565"/>
    </row>
    <row r="1386" spans="2:2">
      <c r="B1386" s="565"/>
    </row>
    <row r="1387" spans="2:2">
      <c r="B1387" s="565"/>
    </row>
    <row r="1388" spans="2:2">
      <c r="B1388" s="565"/>
    </row>
    <row r="1389" spans="2:2">
      <c r="B1389" s="565"/>
    </row>
    <row r="1390" spans="2:2">
      <c r="B1390" s="565"/>
    </row>
    <row r="1391" spans="2:2">
      <c r="B1391" s="565"/>
    </row>
    <row r="1392" spans="2:2">
      <c r="B1392" s="565"/>
    </row>
    <row r="1393" spans="2:2">
      <c r="B1393" s="565"/>
    </row>
    <row r="1394" spans="2:2">
      <c r="B1394" s="565"/>
    </row>
    <row r="1395" spans="2:2">
      <c r="B1395" s="565"/>
    </row>
    <row r="1396" spans="2:2">
      <c r="B1396" s="565"/>
    </row>
    <row r="1397" spans="2:2">
      <c r="B1397" s="565"/>
    </row>
    <row r="1398" spans="2:2">
      <c r="B1398" s="565"/>
    </row>
    <row r="1399" spans="2:2">
      <c r="B1399" s="565"/>
    </row>
    <row r="1400" spans="2:2">
      <c r="B1400" s="565"/>
    </row>
    <row r="1401" spans="2:2">
      <c r="B1401" s="565"/>
    </row>
    <row r="1402" spans="2:2">
      <c r="B1402" s="565"/>
    </row>
    <row r="1403" spans="2:2">
      <c r="B1403" s="565"/>
    </row>
    <row r="1404" spans="2:2">
      <c r="B1404" s="565"/>
    </row>
    <row r="1405" spans="2:2">
      <c r="B1405" s="565"/>
    </row>
    <row r="1406" spans="2:2">
      <c r="B1406" s="565"/>
    </row>
    <row r="1407" spans="2:2">
      <c r="B1407" s="565"/>
    </row>
    <row r="1408" spans="2:2">
      <c r="B1408" s="565"/>
    </row>
    <row r="1409" spans="2:2">
      <c r="B1409" s="565"/>
    </row>
    <row r="1410" spans="2:2">
      <c r="B1410" s="565"/>
    </row>
    <row r="1411" spans="2:2">
      <c r="B1411" s="565"/>
    </row>
    <row r="1412" spans="2:2">
      <c r="B1412" s="565"/>
    </row>
    <row r="1413" spans="2:2">
      <c r="B1413" s="565"/>
    </row>
    <row r="1414" spans="2:2">
      <c r="B1414" s="565"/>
    </row>
    <row r="1415" spans="2:2">
      <c r="B1415" s="565"/>
    </row>
    <row r="1416" spans="2:2">
      <c r="B1416" s="565"/>
    </row>
    <row r="1417" spans="2:2">
      <c r="B1417" s="565"/>
    </row>
    <row r="1418" spans="2:2">
      <c r="B1418" s="565"/>
    </row>
    <row r="1419" spans="2:2">
      <c r="B1419" s="565"/>
    </row>
    <row r="1420" spans="2:2">
      <c r="B1420" s="565"/>
    </row>
    <row r="1421" spans="2:2">
      <c r="B1421" s="565"/>
    </row>
    <row r="1422" spans="2:2">
      <c r="B1422" s="565"/>
    </row>
    <row r="1423" spans="2:2">
      <c r="B1423" s="565"/>
    </row>
    <row r="1424" spans="2:2">
      <c r="B1424" s="565"/>
    </row>
    <row r="1425" spans="2:2">
      <c r="B1425" s="565"/>
    </row>
    <row r="1426" spans="2:2">
      <c r="B1426" s="565"/>
    </row>
    <row r="1427" spans="2:2">
      <c r="B1427" s="565"/>
    </row>
    <row r="1428" spans="2:2">
      <c r="B1428" s="565"/>
    </row>
    <row r="1429" spans="2:2">
      <c r="B1429" s="565"/>
    </row>
    <row r="1430" spans="2:2">
      <c r="B1430" s="565"/>
    </row>
    <row r="1431" spans="2:2">
      <c r="B1431" s="565"/>
    </row>
    <row r="1432" spans="2:2">
      <c r="B1432" s="565"/>
    </row>
    <row r="1433" spans="2:2">
      <c r="B1433" s="565"/>
    </row>
    <row r="1434" spans="2:2">
      <c r="B1434" s="565"/>
    </row>
    <row r="1435" spans="2:2">
      <c r="B1435" s="565"/>
    </row>
    <row r="1436" spans="2:2">
      <c r="B1436" s="565"/>
    </row>
    <row r="1437" spans="2:2">
      <c r="B1437" s="565"/>
    </row>
    <row r="1438" spans="2:2">
      <c r="B1438" s="565"/>
    </row>
    <row r="1439" spans="2:2">
      <c r="B1439" s="565"/>
    </row>
    <row r="1440" spans="2:2">
      <c r="B1440" s="565"/>
    </row>
    <row r="1441" spans="2:2">
      <c r="B1441" s="565"/>
    </row>
    <row r="1442" spans="2:2">
      <c r="B1442" s="565"/>
    </row>
    <row r="1443" spans="2:2">
      <c r="B1443" s="565"/>
    </row>
    <row r="1444" spans="2:2">
      <c r="B1444" s="565"/>
    </row>
    <row r="1445" spans="2:2">
      <c r="B1445" s="565"/>
    </row>
    <row r="1446" spans="2:2">
      <c r="B1446" s="565"/>
    </row>
    <row r="1447" spans="2:2">
      <c r="B1447" s="565"/>
    </row>
    <row r="1448" spans="2:2">
      <c r="B1448" s="565"/>
    </row>
    <row r="1449" spans="2:2">
      <c r="B1449" s="565"/>
    </row>
    <row r="1450" spans="2:2">
      <c r="B1450" s="565"/>
    </row>
    <row r="1451" spans="2:2">
      <c r="B1451" s="565"/>
    </row>
    <row r="1452" spans="2:2">
      <c r="B1452" s="565"/>
    </row>
    <row r="1453" spans="2:2">
      <c r="B1453" s="565"/>
    </row>
    <row r="1454" spans="2:2">
      <c r="B1454" s="565"/>
    </row>
    <row r="1455" spans="2:2">
      <c r="B1455" s="565"/>
    </row>
    <row r="1456" spans="2:2">
      <c r="B1456" s="565"/>
    </row>
    <row r="1457" spans="2:2">
      <c r="B1457" s="565"/>
    </row>
    <row r="1458" spans="2:2">
      <c r="B1458" s="565"/>
    </row>
    <row r="1459" spans="2:2">
      <c r="B1459" s="565"/>
    </row>
    <row r="1460" spans="2:2">
      <c r="B1460" s="565"/>
    </row>
    <row r="1461" spans="2:2">
      <c r="B1461" s="565"/>
    </row>
    <row r="1462" spans="2:2">
      <c r="B1462" s="565"/>
    </row>
    <row r="1463" spans="2:2">
      <c r="B1463" s="565"/>
    </row>
    <row r="1464" spans="2:2">
      <c r="B1464" s="565"/>
    </row>
    <row r="1465" spans="2:2">
      <c r="B1465" s="565"/>
    </row>
    <row r="1466" spans="2:2">
      <c r="B1466" s="565"/>
    </row>
    <row r="1467" spans="2:2">
      <c r="B1467" s="565"/>
    </row>
    <row r="1468" spans="2:2">
      <c r="B1468" s="565"/>
    </row>
    <row r="1469" spans="2:2">
      <c r="B1469" s="565"/>
    </row>
    <row r="1470" spans="2:2">
      <c r="B1470" s="565"/>
    </row>
    <row r="1471" spans="2:2">
      <c r="B1471" s="565"/>
    </row>
    <row r="1472" spans="2:2">
      <c r="B1472" s="565"/>
    </row>
    <row r="1473" spans="2:2">
      <c r="B1473" s="565"/>
    </row>
    <row r="1474" spans="2:2">
      <c r="B1474" s="565"/>
    </row>
    <row r="1475" spans="2:2">
      <c r="B1475" s="565"/>
    </row>
    <row r="1476" spans="2:2">
      <c r="B1476" s="565"/>
    </row>
    <row r="1477" spans="2:2">
      <c r="B1477" s="565"/>
    </row>
    <row r="1478" spans="2:2">
      <c r="B1478" s="565"/>
    </row>
    <row r="1479" spans="2:2">
      <c r="B1479" s="565"/>
    </row>
    <row r="1480" spans="2:2">
      <c r="B1480" s="565"/>
    </row>
    <row r="1481" spans="2:2">
      <c r="B1481" s="565"/>
    </row>
    <row r="1482" spans="2:2">
      <c r="B1482" s="565"/>
    </row>
    <row r="1483" spans="2:2">
      <c r="B1483" s="565"/>
    </row>
    <row r="1484" spans="2:2">
      <c r="B1484" s="565"/>
    </row>
    <row r="1485" spans="2:2">
      <c r="B1485" s="565"/>
    </row>
    <row r="1486" spans="2:2">
      <c r="B1486" s="565"/>
    </row>
    <row r="1487" spans="2:2">
      <c r="B1487" s="565"/>
    </row>
    <row r="1488" spans="2:2">
      <c r="B1488" s="565"/>
    </row>
    <row r="1489" spans="2:2">
      <c r="B1489" s="565"/>
    </row>
    <row r="1490" spans="2:2">
      <c r="B1490" s="565"/>
    </row>
    <row r="1491" spans="2:2">
      <c r="B1491" s="565"/>
    </row>
    <row r="1492" spans="2:2">
      <c r="B1492" s="565"/>
    </row>
    <row r="1493" spans="2:2">
      <c r="B1493" s="565"/>
    </row>
    <row r="1494" spans="2:2">
      <c r="B1494" s="565"/>
    </row>
    <row r="1495" spans="2:2">
      <c r="B1495" s="565"/>
    </row>
    <row r="1496" spans="2:2">
      <c r="B1496" s="565"/>
    </row>
    <row r="1497" spans="2:2">
      <c r="B1497" s="565"/>
    </row>
    <row r="1498" spans="2:2">
      <c r="B1498" s="565"/>
    </row>
    <row r="1499" spans="2:2">
      <c r="B1499" s="565"/>
    </row>
    <row r="1500" spans="2:2">
      <c r="B1500" s="565"/>
    </row>
    <row r="1501" spans="2:2">
      <c r="B1501" s="565"/>
    </row>
    <row r="1502" spans="2:2">
      <c r="B1502" s="565"/>
    </row>
    <row r="1503" spans="2:2">
      <c r="B1503" s="565"/>
    </row>
    <row r="1504" spans="2:2">
      <c r="B1504" s="565"/>
    </row>
    <row r="1505" spans="2:2">
      <c r="B1505" s="565"/>
    </row>
    <row r="1506" spans="2:2">
      <c r="B1506" s="565"/>
    </row>
    <row r="1507" spans="2:2">
      <c r="B1507" s="565"/>
    </row>
    <row r="1508" spans="2:2">
      <c r="B1508" s="565"/>
    </row>
    <row r="1509" spans="2:2">
      <c r="B1509" s="565"/>
    </row>
    <row r="1510" spans="2:2">
      <c r="B1510" s="565"/>
    </row>
    <row r="1511" spans="2:2">
      <c r="B1511" s="565"/>
    </row>
    <row r="1512" spans="2:2">
      <c r="B1512" s="565"/>
    </row>
    <row r="1513" spans="2:2">
      <c r="B1513" s="565"/>
    </row>
    <row r="1514" spans="2:2">
      <c r="B1514" s="565"/>
    </row>
    <row r="1515" spans="2:2">
      <c r="B1515" s="565"/>
    </row>
    <row r="1516" spans="2:2">
      <c r="B1516" s="565"/>
    </row>
    <row r="1517" spans="2:2">
      <c r="B1517" s="565"/>
    </row>
    <row r="1518" spans="2:2">
      <c r="B1518" s="565"/>
    </row>
    <row r="1519" spans="2:2">
      <c r="B1519" s="565"/>
    </row>
    <row r="1520" spans="2:2">
      <c r="B1520" s="565"/>
    </row>
    <row r="1521" spans="2:2">
      <c r="B1521" s="565"/>
    </row>
    <row r="1522" spans="2:2">
      <c r="B1522" s="565"/>
    </row>
    <row r="1523" spans="2:2">
      <c r="B1523" s="565"/>
    </row>
    <row r="1524" spans="2:2">
      <c r="B1524" s="565"/>
    </row>
    <row r="1525" spans="2:2">
      <c r="B1525" s="565"/>
    </row>
    <row r="1526" spans="2:2">
      <c r="B1526" s="565"/>
    </row>
    <row r="1527" spans="2:2">
      <c r="B1527" s="565"/>
    </row>
    <row r="1528" spans="2:2">
      <c r="B1528" s="565"/>
    </row>
    <row r="1529" spans="2:2">
      <c r="B1529" s="565"/>
    </row>
    <row r="1530" spans="2:2">
      <c r="B1530" s="565"/>
    </row>
    <row r="1531" spans="2:2">
      <c r="B1531" s="565"/>
    </row>
    <row r="1532" spans="2:2">
      <c r="B1532" s="565"/>
    </row>
    <row r="1533" spans="2:2">
      <c r="B1533" s="565"/>
    </row>
    <row r="1534" spans="2:2">
      <c r="B1534" s="565"/>
    </row>
    <row r="1535" spans="2:2">
      <c r="B1535" s="565"/>
    </row>
    <row r="1536" spans="2:2">
      <c r="B1536" s="565"/>
    </row>
    <row r="1537" spans="2:2">
      <c r="B1537" s="565"/>
    </row>
    <row r="1538" spans="2:2">
      <c r="B1538" s="565"/>
    </row>
    <row r="1539" spans="2:2">
      <c r="B1539" s="565"/>
    </row>
    <row r="1540" spans="2:2">
      <c r="B1540" s="565"/>
    </row>
    <row r="1541" spans="2:2">
      <c r="B1541" s="565"/>
    </row>
    <row r="1542" spans="2:2">
      <c r="B1542" s="565"/>
    </row>
    <row r="1543" spans="2:2">
      <c r="B1543" s="565"/>
    </row>
    <row r="1544" spans="2:2">
      <c r="B1544" s="565"/>
    </row>
    <row r="1545" spans="2:2">
      <c r="B1545" s="565"/>
    </row>
    <row r="1546" spans="2:2">
      <c r="B1546" s="565"/>
    </row>
    <row r="1547" spans="2:2">
      <c r="B1547" s="565"/>
    </row>
    <row r="1548" spans="2:2">
      <c r="B1548" s="565"/>
    </row>
    <row r="1549" spans="2:2">
      <c r="B1549" s="565"/>
    </row>
    <row r="1550" spans="2:2">
      <c r="B1550" s="565"/>
    </row>
    <row r="1551" spans="2:2">
      <c r="B1551" s="565"/>
    </row>
    <row r="1552" spans="2:2">
      <c r="B1552" s="565"/>
    </row>
    <row r="1553" spans="2:2">
      <c r="B1553" s="565"/>
    </row>
    <row r="1554" spans="2:2">
      <c r="B1554" s="565"/>
    </row>
    <row r="1555" spans="2:2">
      <c r="B1555" s="565"/>
    </row>
    <row r="1556" spans="2:2">
      <c r="B1556" s="565"/>
    </row>
    <row r="1557" spans="2:2">
      <c r="B1557" s="565"/>
    </row>
    <row r="1558" spans="2:2">
      <c r="B1558" s="565"/>
    </row>
    <row r="1559" spans="2:2">
      <c r="B1559" s="565"/>
    </row>
    <row r="1560" spans="2:2">
      <c r="B1560" s="565"/>
    </row>
    <row r="1561" spans="2:2">
      <c r="B1561" s="565"/>
    </row>
    <row r="1562" spans="2:2">
      <c r="B1562" s="565"/>
    </row>
    <row r="1563" spans="2:2">
      <c r="B1563" s="565"/>
    </row>
    <row r="1564" spans="2:2">
      <c r="B1564" s="565"/>
    </row>
    <row r="1565" spans="2:2">
      <c r="B1565" s="565"/>
    </row>
    <row r="1566" spans="2:2">
      <c r="B1566" s="565"/>
    </row>
    <row r="1567" spans="2:2">
      <c r="B1567" s="565"/>
    </row>
    <row r="1568" spans="2:2">
      <c r="B1568" s="565"/>
    </row>
    <row r="1569" spans="2:2">
      <c r="B1569" s="565"/>
    </row>
    <row r="1570" spans="2:2">
      <c r="B1570" s="565"/>
    </row>
    <row r="1571" spans="2:2">
      <c r="B1571" s="565"/>
    </row>
    <row r="1572" spans="2:2">
      <c r="B1572" s="565"/>
    </row>
    <row r="1573" spans="2:2">
      <c r="B1573" s="565"/>
    </row>
    <row r="1574" spans="2:2">
      <c r="B1574" s="565"/>
    </row>
    <row r="1575" spans="2:2">
      <c r="B1575" s="565"/>
    </row>
    <row r="1576" spans="2:2">
      <c r="B1576" s="565"/>
    </row>
    <row r="1577" spans="2:2">
      <c r="B1577" s="565"/>
    </row>
    <row r="1578" spans="2:2">
      <c r="B1578" s="565"/>
    </row>
    <row r="1579" spans="2:2">
      <c r="B1579" s="565"/>
    </row>
    <row r="1580" spans="2:2">
      <c r="B1580" s="565"/>
    </row>
    <row r="1581" spans="2:2">
      <c r="B1581" s="565"/>
    </row>
    <row r="1582" spans="2:2">
      <c r="B1582" s="565"/>
    </row>
    <row r="1583" spans="2:2">
      <c r="B1583" s="565"/>
    </row>
    <row r="1584" spans="2:2">
      <c r="B1584" s="565"/>
    </row>
    <row r="1585" spans="2:2">
      <c r="B1585" s="565"/>
    </row>
    <row r="1586" spans="2:2">
      <c r="B1586" s="565"/>
    </row>
    <row r="1587" spans="2:2">
      <c r="B1587" s="565"/>
    </row>
    <row r="1588" spans="2:2">
      <c r="B1588" s="565"/>
    </row>
    <row r="1589" spans="2:2">
      <c r="B1589" s="565"/>
    </row>
    <row r="1590" spans="2:2">
      <c r="B1590" s="565"/>
    </row>
    <row r="1591" spans="2:2">
      <c r="B1591" s="565"/>
    </row>
    <row r="1592" spans="2:2">
      <c r="B1592" s="565"/>
    </row>
    <row r="1593" spans="2:2">
      <c r="B1593" s="565"/>
    </row>
    <row r="1594" spans="2:2">
      <c r="B1594" s="565"/>
    </row>
    <row r="1595" spans="2:2">
      <c r="B1595" s="565"/>
    </row>
    <row r="1596" spans="2:2">
      <c r="B1596" s="565"/>
    </row>
    <row r="1597" spans="2:2">
      <c r="B1597" s="565"/>
    </row>
    <row r="1598" spans="2:2">
      <c r="B1598" s="565"/>
    </row>
    <row r="1599" spans="2:2">
      <c r="B1599" s="565"/>
    </row>
    <row r="1600" spans="2:2">
      <c r="B1600" s="565"/>
    </row>
    <row r="1601" spans="2:2">
      <c r="B1601" s="565"/>
    </row>
    <row r="1602" spans="2:2">
      <c r="B1602" s="565"/>
    </row>
    <row r="1603" spans="2:2">
      <c r="B1603" s="565"/>
    </row>
    <row r="1604" spans="2:2">
      <c r="B1604" s="565"/>
    </row>
    <row r="1605" spans="2:2">
      <c r="B1605" s="565"/>
    </row>
    <row r="1606" spans="2:2">
      <c r="B1606" s="565"/>
    </row>
    <row r="1607" spans="2:2">
      <c r="B1607" s="565"/>
    </row>
    <row r="1608" spans="2:2">
      <c r="B1608" s="565"/>
    </row>
    <row r="1609" spans="2:2">
      <c r="B1609" s="565"/>
    </row>
    <row r="1610" spans="2:2">
      <c r="B1610" s="565"/>
    </row>
    <row r="1611" spans="2:2">
      <c r="B1611" s="565"/>
    </row>
    <row r="1612" spans="2:2">
      <c r="B1612" s="565"/>
    </row>
    <row r="1613" spans="2:2">
      <c r="B1613" s="565"/>
    </row>
    <row r="1614" spans="2:2">
      <c r="B1614" s="565"/>
    </row>
    <row r="1615" spans="2:2">
      <c r="B1615" s="565"/>
    </row>
    <row r="1616" spans="2:2">
      <c r="B1616" s="565"/>
    </row>
    <row r="1617" spans="2:2">
      <c r="B1617" s="565"/>
    </row>
    <row r="1618" spans="2:2">
      <c r="B1618" s="565"/>
    </row>
    <row r="1619" spans="2:2">
      <c r="B1619" s="565"/>
    </row>
    <row r="1620" spans="2:2">
      <c r="B1620" s="565"/>
    </row>
    <row r="1621" spans="2:2">
      <c r="B1621" s="565"/>
    </row>
    <row r="1622" spans="2:2">
      <c r="B1622" s="565"/>
    </row>
    <row r="1623" spans="2:2">
      <c r="B1623" s="565"/>
    </row>
    <row r="1624" spans="2:2">
      <c r="B1624" s="565"/>
    </row>
    <row r="1625" spans="2:2">
      <c r="B1625" s="565"/>
    </row>
    <row r="1626" spans="2:2">
      <c r="B1626" s="565"/>
    </row>
    <row r="1627" spans="2:2">
      <c r="B1627" s="565"/>
    </row>
    <row r="1628" spans="2:2">
      <c r="B1628" s="565"/>
    </row>
    <row r="1629" spans="2:2">
      <c r="B1629" s="565"/>
    </row>
    <row r="1630" spans="2:2">
      <c r="B1630" s="565"/>
    </row>
    <row r="1631" spans="2:2">
      <c r="B1631" s="565"/>
    </row>
    <row r="1632" spans="2:2">
      <c r="B1632" s="565"/>
    </row>
    <row r="1633" spans="2:2">
      <c r="B1633" s="565"/>
    </row>
    <row r="1634" spans="2:2">
      <c r="B1634" s="565"/>
    </row>
    <row r="1635" spans="2:2">
      <c r="B1635" s="565"/>
    </row>
    <row r="1636" spans="2:2">
      <c r="B1636" s="565"/>
    </row>
    <row r="1637" spans="2:2">
      <c r="B1637" s="565"/>
    </row>
    <row r="1638" spans="2:2">
      <c r="B1638" s="565"/>
    </row>
    <row r="1639" spans="2:2">
      <c r="B1639" s="565"/>
    </row>
    <row r="1640" spans="2:2">
      <c r="B1640" s="565"/>
    </row>
    <row r="1641" spans="2:2">
      <c r="B1641" s="565"/>
    </row>
    <row r="1642" spans="2:2">
      <c r="B1642" s="565"/>
    </row>
    <row r="1643" spans="2:2">
      <c r="B1643" s="565"/>
    </row>
    <row r="1644" spans="2:2">
      <c r="B1644" s="565"/>
    </row>
    <row r="1645" spans="2:2">
      <c r="B1645" s="565"/>
    </row>
    <row r="1646" spans="2:2">
      <c r="B1646" s="565"/>
    </row>
    <row r="1647" spans="2:2">
      <c r="B1647" s="565"/>
    </row>
    <row r="1648" spans="2:2">
      <c r="B1648" s="565"/>
    </row>
    <row r="1649" spans="2:2">
      <c r="B1649" s="565"/>
    </row>
    <row r="1650" spans="2:2">
      <c r="B1650" s="565"/>
    </row>
    <row r="1651" spans="2:2">
      <c r="B1651" s="565"/>
    </row>
    <row r="1652" spans="2:2">
      <c r="B1652" s="565"/>
    </row>
    <row r="1653" spans="2:2">
      <c r="B1653" s="565"/>
    </row>
    <row r="1654" spans="2:2">
      <c r="B1654" s="565"/>
    </row>
    <row r="1655" spans="2:2">
      <c r="B1655" s="565"/>
    </row>
    <row r="1656" spans="2:2">
      <c r="B1656" s="565"/>
    </row>
    <row r="1657" spans="2:2">
      <c r="B1657" s="565"/>
    </row>
    <row r="1658" spans="2:2">
      <c r="B1658" s="565"/>
    </row>
    <row r="1659" spans="2:2">
      <c r="B1659" s="565"/>
    </row>
    <row r="1660" spans="2:2">
      <c r="B1660" s="565"/>
    </row>
    <row r="1661" spans="2:2">
      <c r="B1661" s="565"/>
    </row>
    <row r="1662" spans="2:2">
      <c r="B1662" s="565"/>
    </row>
    <row r="1663" spans="2:2">
      <c r="B1663" s="565"/>
    </row>
    <row r="1664" spans="2:2">
      <c r="B1664" s="565"/>
    </row>
    <row r="1665" spans="2:2">
      <c r="B1665" s="565"/>
    </row>
    <row r="1666" spans="2:2">
      <c r="B1666" s="565"/>
    </row>
    <row r="1667" spans="2:2">
      <c r="B1667" s="565"/>
    </row>
    <row r="1668" spans="2:2">
      <c r="B1668" s="565"/>
    </row>
    <row r="1669" spans="2:2">
      <c r="B1669" s="565"/>
    </row>
    <row r="1670" spans="2:2">
      <c r="B1670" s="565"/>
    </row>
    <row r="1671" spans="2:2">
      <c r="B1671" s="565"/>
    </row>
    <row r="1672" spans="2:2">
      <c r="B1672" s="565"/>
    </row>
    <row r="1673" spans="2:2">
      <c r="B1673" s="565"/>
    </row>
    <row r="1674" spans="2:2">
      <c r="B1674" s="565"/>
    </row>
    <row r="1675" spans="2:2">
      <c r="B1675" s="565"/>
    </row>
    <row r="1676" spans="2:2">
      <c r="B1676" s="565"/>
    </row>
    <row r="1677" spans="2:2">
      <c r="B1677" s="565"/>
    </row>
    <row r="1678" spans="2:2">
      <c r="B1678" s="565"/>
    </row>
    <row r="1679" spans="2:2">
      <c r="B1679" s="565"/>
    </row>
    <row r="1680" spans="2:2">
      <c r="B1680" s="565"/>
    </row>
    <row r="1681" spans="2:2">
      <c r="B1681" s="565"/>
    </row>
    <row r="1682" spans="2:2">
      <c r="B1682" s="565"/>
    </row>
    <row r="1683" spans="2:2">
      <c r="B1683" s="565"/>
    </row>
    <row r="1684" spans="2:2">
      <c r="B1684" s="565"/>
    </row>
    <row r="1685" spans="2:2">
      <c r="B1685" s="565"/>
    </row>
    <row r="1686" spans="2:2">
      <c r="B1686" s="565"/>
    </row>
    <row r="1687" spans="2:2">
      <c r="B1687" s="565"/>
    </row>
    <row r="1688" spans="2:2">
      <c r="B1688" s="565"/>
    </row>
    <row r="1689" spans="2:2">
      <c r="B1689" s="565"/>
    </row>
    <row r="1690" spans="2:2">
      <c r="B1690" s="565"/>
    </row>
    <row r="1691" spans="2:2">
      <c r="B1691" s="565"/>
    </row>
    <row r="1692" spans="2:2">
      <c r="B1692" s="565"/>
    </row>
    <row r="1693" spans="2:2">
      <c r="B1693" s="565"/>
    </row>
    <row r="1694" spans="2:2">
      <c r="B1694" s="565"/>
    </row>
    <row r="1695" spans="2:2">
      <c r="B1695" s="565"/>
    </row>
    <row r="1696" spans="2:2">
      <c r="B1696" s="565"/>
    </row>
    <row r="1697" spans="2:2">
      <c r="B1697" s="565"/>
    </row>
    <row r="1698" spans="2:2">
      <c r="B1698" s="565"/>
    </row>
    <row r="1699" spans="2:2">
      <c r="B1699" s="565"/>
    </row>
    <row r="1700" spans="2:2">
      <c r="B1700" s="565"/>
    </row>
    <row r="1701" spans="2:2">
      <c r="B1701" s="565"/>
    </row>
    <row r="1702" spans="2:2">
      <c r="B1702" s="565"/>
    </row>
    <row r="1703" spans="2:2">
      <c r="B1703" s="565"/>
    </row>
    <row r="1704" spans="2:2">
      <c r="B1704" s="565"/>
    </row>
    <row r="1705" spans="2:2">
      <c r="B1705" s="565"/>
    </row>
    <row r="1706" spans="2:2">
      <c r="B1706" s="565"/>
    </row>
    <row r="1707" spans="2:2">
      <c r="B1707" s="565"/>
    </row>
    <row r="1708" spans="2:2">
      <c r="B1708" s="565"/>
    </row>
    <row r="1709" spans="2:2">
      <c r="B1709" s="565"/>
    </row>
    <row r="1710" spans="2:2">
      <c r="B1710" s="565"/>
    </row>
    <row r="1711" spans="2:2">
      <c r="B1711" s="565"/>
    </row>
    <row r="1712" spans="2:2">
      <c r="B1712" s="565"/>
    </row>
    <row r="1713" spans="2:2">
      <c r="B1713" s="565"/>
    </row>
    <row r="1714" spans="2:2">
      <c r="B1714" s="565"/>
    </row>
    <row r="1715" spans="2:2">
      <c r="B1715" s="565"/>
    </row>
    <row r="1716" spans="2:2">
      <c r="B1716" s="565"/>
    </row>
    <row r="1717" spans="2:2">
      <c r="B1717" s="565"/>
    </row>
    <row r="1718" spans="2:2">
      <c r="B1718" s="565"/>
    </row>
    <row r="1719" spans="2:2">
      <c r="B1719" s="565"/>
    </row>
    <row r="1720" spans="2:2">
      <c r="B1720" s="565"/>
    </row>
    <row r="1721" spans="2:2">
      <c r="B1721" s="565"/>
    </row>
    <row r="1722" spans="2:2">
      <c r="B1722" s="565"/>
    </row>
    <row r="1723" spans="2:2">
      <c r="B1723" s="565"/>
    </row>
    <row r="1724" spans="2:2">
      <c r="B1724" s="565"/>
    </row>
    <row r="1725" spans="2:2">
      <c r="B1725" s="565"/>
    </row>
    <row r="1726" spans="2:2">
      <c r="B1726" s="565"/>
    </row>
    <row r="1727" spans="2:2">
      <c r="B1727" s="565"/>
    </row>
    <row r="1728" spans="2:2">
      <c r="B1728" s="565"/>
    </row>
    <row r="1729" spans="2:2">
      <c r="B1729" s="565"/>
    </row>
    <row r="1730" spans="2:2">
      <c r="B1730" s="565"/>
    </row>
    <row r="1731" spans="2:2">
      <c r="B1731" s="565"/>
    </row>
    <row r="1732" spans="2:2">
      <c r="B1732" s="565"/>
    </row>
    <row r="1733" spans="2:2">
      <c r="B1733" s="565"/>
    </row>
    <row r="1734" spans="2:2">
      <c r="B1734" s="565"/>
    </row>
    <row r="1735" spans="2:2">
      <c r="B1735" s="565"/>
    </row>
    <row r="1736" spans="2:2">
      <c r="B1736" s="565"/>
    </row>
    <row r="1737" spans="2:2">
      <c r="B1737" s="565"/>
    </row>
    <row r="1738" spans="2:2">
      <c r="B1738" s="565"/>
    </row>
    <row r="1739" spans="2:2">
      <c r="B1739" s="565"/>
    </row>
    <row r="1740" spans="2:2">
      <c r="B1740" s="565"/>
    </row>
    <row r="1741" spans="2:2">
      <c r="B1741" s="565"/>
    </row>
    <row r="1742" spans="2:2">
      <c r="B1742" s="565"/>
    </row>
    <row r="1743" spans="2:2">
      <c r="B1743" s="565"/>
    </row>
    <row r="1744" spans="2:2">
      <c r="B1744" s="565"/>
    </row>
    <row r="1745" spans="2:2">
      <c r="B1745" s="565"/>
    </row>
    <row r="1746" spans="2:2">
      <c r="B1746" s="565"/>
    </row>
    <row r="1747" spans="2:2">
      <c r="B1747" s="565"/>
    </row>
    <row r="1748" spans="2:2">
      <c r="B1748" s="565"/>
    </row>
    <row r="1749" spans="2:2">
      <c r="B1749" s="565"/>
    </row>
    <row r="1750" spans="2:2">
      <c r="B1750" s="565"/>
    </row>
    <row r="1751" spans="2:2">
      <c r="B1751" s="565"/>
    </row>
    <row r="1752" spans="2:2">
      <c r="B1752" s="565"/>
    </row>
    <row r="1753" spans="2:2">
      <c r="B1753" s="565"/>
    </row>
    <row r="1754" spans="2:2">
      <c r="B1754" s="565"/>
    </row>
    <row r="1755" spans="2:2">
      <c r="B1755" s="565"/>
    </row>
    <row r="1756" spans="2:2">
      <c r="B1756" s="565"/>
    </row>
    <row r="1757" spans="2:2">
      <c r="B1757" s="565"/>
    </row>
    <row r="1758" spans="2:2">
      <c r="B1758" s="565"/>
    </row>
    <row r="1759" spans="2:2">
      <c r="B1759" s="565"/>
    </row>
    <row r="1760" spans="2:2">
      <c r="B1760" s="565"/>
    </row>
    <row r="1761" spans="2:2">
      <c r="B1761" s="565"/>
    </row>
    <row r="1762" spans="2:2">
      <c r="B1762" s="565"/>
    </row>
    <row r="1763" spans="2:2">
      <c r="B1763" s="565"/>
    </row>
    <row r="1764" spans="2:2">
      <c r="B1764" s="565"/>
    </row>
    <row r="1765" spans="2:2">
      <c r="B1765" s="565"/>
    </row>
    <row r="1766" spans="2:2">
      <c r="B1766" s="565"/>
    </row>
    <row r="1767" spans="2:2">
      <c r="B1767" s="565"/>
    </row>
    <row r="1768" spans="2:2">
      <c r="B1768" s="565"/>
    </row>
    <row r="1769" spans="2:2">
      <c r="B1769" s="565"/>
    </row>
    <row r="1770" spans="2:2">
      <c r="B1770" s="565"/>
    </row>
    <row r="1771" spans="2:2">
      <c r="B1771" s="565"/>
    </row>
    <row r="1772" spans="2:2">
      <c r="B1772" s="565"/>
    </row>
    <row r="1773" spans="2:2">
      <c r="B1773" s="565"/>
    </row>
    <row r="1774" spans="2:2">
      <c r="B1774" s="565"/>
    </row>
    <row r="1775" spans="2:2">
      <c r="B1775" s="565"/>
    </row>
    <row r="1776" spans="2:2">
      <c r="B1776" s="565"/>
    </row>
    <row r="1777" spans="2:2">
      <c r="B1777" s="565"/>
    </row>
    <row r="1778" spans="2:2">
      <c r="B1778" s="565"/>
    </row>
    <row r="1779" spans="2:2">
      <c r="B1779" s="565"/>
    </row>
    <row r="1780" spans="2:2">
      <c r="B1780" s="565"/>
    </row>
    <row r="1781" spans="2:2">
      <c r="B1781" s="565"/>
    </row>
    <row r="1782" spans="2:2">
      <c r="B1782" s="565"/>
    </row>
    <row r="1783" spans="2:2">
      <c r="B1783" s="565"/>
    </row>
    <row r="1784" spans="2:2">
      <c r="B1784" s="565"/>
    </row>
    <row r="1785" spans="2:2">
      <c r="B1785" s="565"/>
    </row>
    <row r="1786" spans="2:2">
      <c r="B1786" s="565"/>
    </row>
    <row r="1787" spans="2:2">
      <c r="B1787" s="565"/>
    </row>
    <row r="1788" spans="2:2">
      <c r="B1788" s="565"/>
    </row>
    <row r="1789" spans="2:2">
      <c r="B1789" s="565"/>
    </row>
    <row r="1790" spans="2:2">
      <c r="B1790" s="565"/>
    </row>
    <row r="1791" spans="2:2">
      <c r="B1791" s="565"/>
    </row>
    <row r="1792" spans="2:2">
      <c r="B1792" s="565"/>
    </row>
    <row r="1793" spans="2:2">
      <c r="B1793" s="565"/>
    </row>
    <row r="1794" spans="2:2">
      <c r="B1794" s="565"/>
    </row>
    <row r="1795" spans="2:2">
      <c r="B1795" s="565"/>
    </row>
    <row r="1796" spans="2:2">
      <c r="B1796" s="565"/>
    </row>
    <row r="1797" spans="2:2">
      <c r="B1797" s="565"/>
    </row>
    <row r="1798" spans="2:2">
      <c r="B1798" s="565"/>
    </row>
    <row r="1799" spans="2:2">
      <c r="B1799" s="565"/>
    </row>
    <row r="1800" spans="2:2">
      <c r="B1800" s="565"/>
    </row>
    <row r="1801" spans="2:2">
      <c r="B1801" s="565"/>
    </row>
    <row r="1802" spans="2:2">
      <c r="B1802" s="565"/>
    </row>
    <row r="1803" spans="2:2">
      <c r="B1803" s="565"/>
    </row>
    <row r="1804" spans="2:2">
      <c r="B1804" s="565"/>
    </row>
    <row r="1805" spans="2:2">
      <c r="B1805" s="565"/>
    </row>
    <row r="1806" spans="2:2">
      <c r="B1806" s="565"/>
    </row>
    <row r="1807" spans="2:2">
      <c r="B1807" s="565"/>
    </row>
    <row r="1808" spans="2:2">
      <c r="B1808" s="565"/>
    </row>
    <row r="1809" spans="2:2">
      <c r="B1809" s="565"/>
    </row>
    <row r="1810" spans="2:2">
      <c r="B1810" s="565"/>
    </row>
    <row r="1811" spans="2:2">
      <c r="B1811" s="565"/>
    </row>
    <row r="1812" spans="2:2">
      <c r="B1812" s="565"/>
    </row>
    <row r="1813" spans="2:2">
      <c r="B1813" s="565"/>
    </row>
    <row r="1814" spans="2:2">
      <c r="B1814" s="565"/>
    </row>
    <row r="1815" spans="2:2">
      <c r="B1815" s="565"/>
    </row>
    <row r="1816" spans="2:2">
      <c r="B1816" s="565"/>
    </row>
    <row r="1817" spans="2:2">
      <c r="B1817" s="565"/>
    </row>
    <row r="1818" spans="2:2">
      <c r="B1818" s="565"/>
    </row>
    <row r="1819" spans="2:2">
      <c r="B1819" s="565"/>
    </row>
    <row r="1820" spans="2:2">
      <c r="B1820" s="565"/>
    </row>
    <row r="1821" spans="2:2">
      <c r="B1821" s="565"/>
    </row>
    <row r="1822" spans="2:2">
      <c r="B1822" s="565"/>
    </row>
    <row r="1823" spans="2:2">
      <c r="B1823" s="565"/>
    </row>
    <row r="1824" spans="2:2">
      <c r="B1824" s="565"/>
    </row>
    <row r="1825" spans="2:2">
      <c r="B1825" s="565"/>
    </row>
    <row r="1826" spans="2:2">
      <c r="B1826" s="565"/>
    </row>
    <row r="1827" spans="2:2">
      <c r="B1827" s="565"/>
    </row>
    <row r="1828" spans="2:2">
      <c r="B1828" s="565"/>
    </row>
    <row r="1829" spans="2:2">
      <c r="B1829" s="565"/>
    </row>
    <row r="1830" spans="2:2">
      <c r="B1830" s="565"/>
    </row>
    <row r="1831" spans="2:2">
      <c r="B1831" s="565"/>
    </row>
    <row r="1832" spans="2:2">
      <c r="B1832" s="565"/>
    </row>
    <row r="1833" spans="2:2">
      <c r="B1833" s="565"/>
    </row>
    <row r="1834" spans="2:2">
      <c r="B1834" s="565"/>
    </row>
    <row r="1835" spans="2:2">
      <c r="B1835" s="565"/>
    </row>
    <row r="1836" spans="2:2">
      <c r="B1836" s="565"/>
    </row>
    <row r="1837" spans="2:2">
      <c r="B1837" s="565"/>
    </row>
    <row r="1838" spans="2:2">
      <c r="B1838" s="565"/>
    </row>
    <row r="1839" spans="2:2">
      <c r="B1839" s="565"/>
    </row>
    <row r="1840" spans="2:2">
      <c r="B1840" s="565"/>
    </row>
    <row r="1841" spans="2:2">
      <c r="B1841" s="565"/>
    </row>
    <row r="1842" spans="2:2">
      <c r="B1842" s="565"/>
    </row>
    <row r="1843" spans="2:2">
      <c r="B1843" s="565"/>
    </row>
    <row r="1844" spans="2:2">
      <c r="B1844" s="565"/>
    </row>
    <row r="1845" spans="2:2">
      <c r="B1845" s="565"/>
    </row>
    <row r="1846" spans="2:2">
      <c r="B1846" s="565"/>
    </row>
    <row r="1847" spans="2:2">
      <c r="B1847" s="565"/>
    </row>
    <row r="1848" spans="2:2">
      <c r="B1848" s="565"/>
    </row>
    <row r="1849" spans="2:2">
      <c r="B1849" s="565"/>
    </row>
    <row r="1850" spans="2:2">
      <c r="B1850" s="565"/>
    </row>
    <row r="1851" spans="2:2">
      <c r="B1851" s="565"/>
    </row>
    <row r="1852" spans="2:2">
      <c r="B1852" s="565"/>
    </row>
    <row r="1853" spans="2:2">
      <c r="B1853" s="565"/>
    </row>
    <row r="1854" spans="2:2">
      <c r="B1854" s="565"/>
    </row>
    <row r="1855" spans="2:2">
      <c r="B1855" s="565"/>
    </row>
    <row r="1856" spans="2:2">
      <c r="B1856" s="565"/>
    </row>
    <row r="1857" spans="2:2">
      <c r="B1857" s="565"/>
    </row>
    <row r="1858" spans="2:2">
      <c r="B1858" s="565"/>
    </row>
    <row r="1859" spans="2:2">
      <c r="B1859" s="565"/>
    </row>
    <row r="1860" spans="2:2">
      <c r="B1860" s="565"/>
    </row>
    <row r="1861" spans="2:2">
      <c r="B1861" s="565"/>
    </row>
    <row r="1862" spans="2:2">
      <c r="B1862" s="565"/>
    </row>
    <row r="1863" spans="2:2">
      <c r="B1863" s="565"/>
    </row>
    <row r="1864" spans="2:2">
      <c r="B1864" s="565"/>
    </row>
    <row r="1865" spans="2:2">
      <c r="B1865" s="565"/>
    </row>
    <row r="1866" spans="2:2">
      <c r="B1866" s="565"/>
    </row>
    <row r="1867" spans="2:2">
      <c r="B1867" s="565"/>
    </row>
    <row r="1868" spans="2:2">
      <c r="B1868" s="565"/>
    </row>
    <row r="1869" spans="2:2">
      <c r="B1869" s="565"/>
    </row>
    <row r="1870" spans="2:2">
      <c r="B1870" s="565"/>
    </row>
    <row r="1871" spans="2:2">
      <c r="B1871" s="565"/>
    </row>
    <row r="1872" spans="2:2">
      <c r="B1872" s="565"/>
    </row>
    <row r="1873" spans="2:2">
      <c r="B1873" s="565"/>
    </row>
    <row r="1874" spans="2:2">
      <c r="B1874" s="565"/>
    </row>
    <row r="1875" spans="2:2">
      <c r="B1875" s="565"/>
    </row>
    <row r="1876" spans="2:2">
      <c r="B1876" s="565"/>
    </row>
    <row r="1877" spans="2:2">
      <c r="B1877" s="565"/>
    </row>
    <row r="1878" spans="2:2">
      <c r="B1878" s="565"/>
    </row>
    <row r="1879" spans="2:2">
      <c r="B1879" s="565"/>
    </row>
    <row r="1880" spans="2:2">
      <c r="B1880" s="565"/>
    </row>
    <row r="1881" spans="2:2">
      <c r="B1881" s="565"/>
    </row>
    <row r="1882" spans="2:2">
      <c r="B1882" s="565"/>
    </row>
    <row r="1883" spans="2:2">
      <c r="B1883" s="565"/>
    </row>
    <row r="1884" spans="2:2">
      <c r="B1884" s="565"/>
    </row>
    <row r="1885" spans="2:2">
      <c r="B1885" s="565"/>
    </row>
    <row r="1886" spans="2:2">
      <c r="B1886" s="565"/>
    </row>
    <row r="1887" spans="2:2">
      <c r="B1887" s="565"/>
    </row>
    <row r="1888" spans="2:2">
      <c r="B1888" s="565"/>
    </row>
    <row r="1889" spans="2:2">
      <c r="B1889" s="565"/>
    </row>
    <row r="1890" spans="2:2">
      <c r="B1890" s="565"/>
    </row>
    <row r="1891" spans="2:2">
      <c r="B1891" s="565"/>
    </row>
    <row r="1892" spans="2:2">
      <c r="B1892" s="565"/>
    </row>
    <row r="1893" spans="2:2">
      <c r="B1893" s="565"/>
    </row>
    <row r="1894" spans="2:2">
      <c r="B1894" s="565"/>
    </row>
    <row r="1895" spans="2:2">
      <c r="B1895" s="565"/>
    </row>
    <row r="1896" spans="2:2">
      <c r="B1896" s="565"/>
    </row>
    <row r="1897" spans="2:2">
      <c r="B1897" s="565"/>
    </row>
    <row r="1898" spans="2:2">
      <c r="B1898" s="565"/>
    </row>
    <row r="1899" spans="2:2">
      <c r="B1899" s="565"/>
    </row>
    <row r="1900" spans="2:2">
      <c r="B1900" s="565"/>
    </row>
    <row r="1901" spans="2:2">
      <c r="B1901" s="565"/>
    </row>
    <row r="1902" spans="2:2">
      <c r="B1902" s="565"/>
    </row>
    <row r="1903" spans="2:2">
      <c r="B1903" s="565"/>
    </row>
    <row r="1904" spans="2:2">
      <c r="B1904" s="565"/>
    </row>
    <row r="1905" spans="2:2">
      <c r="B1905" s="565"/>
    </row>
    <row r="1906" spans="2:2">
      <c r="B1906" s="565"/>
    </row>
    <row r="1907" spans="2:2">
      <c r="B1907" s="565"/>
    </row>
    <row r="1908" spans="2:2">
      <c r="B1908" s="565"/>
    </row>
    <row r="1909" spans="2:2">
      <c r="B1909" s="565"/>
    </row>
    <row r="1910" spans="2:2">
      <c r="B1910" s="565"/>
    </row>
    <row r="1911" spans="2:2">
      <c r="B1911" s="565"/>
    </row>
    <row r="1912" spans="2:2">
      <c r="B1912" s="565"/>
    </row>
    <row r="1913" spans="2:2">
      <c r="B1913" s="565"/>
    </row>
    <row r="1914" spans="2:2">
      <c r="B1914" s="565"/>
    </row>
    <row r="1915" spans="2:2">
      <c r="B1915" s="565"/>
    </row>
    <row r="1916" spans="2:2">
      <c r="B1916" s="565"/>
    </row>
    <row r="1917" spans="2:2">
      <c r="B1917" s="565"/>
    </row>
    <row r="1918" spans="2:2">
      <c r="B1918" s="565"/>
    </row>
    <row r="1919" spans="2:2">
      <c r="B1919" s="565"/>
    </row>
    <row r="1920" spans="2:2">
      <c r="B1920" s="565"/>
    </row>
    <row r="1921" spans="2:2">
      <c r="B1921" s="565"/>
    </row>
    <row r="1922" spans="2:2">
      <c r="B1922" s="565"/>
    </row>
    <row r="1923" spans="2:2">
      <c r="B1923" s="565"/>
    </row>
    <row r="1924" spans="2:2">
      <c r="B1924" s="565"/>
    </row>
    <row r="1925" spans="2:2">
      <c r="B1925" s="565"/>
    </row>
    <row r="1926" spans="2:2">
      <c r="B1926" s="565"/>
    </row>
    <row r="1927" spans="2:2">
      <c r="B1927" s="565"/>
    </row>
    <row r="1928" spans="2:2">
      <c r="B1928" s="565"/>
    </row>
    <row r="1929" spans="2:2">
      <c r="B1929" s="565"/>
    </row>
    <row r="1930" spans="2:2">
      <c r="B1930" s="565"/>
    </row>
    <row r="1931" spans="2:2">
      <c r="B1931" s="565"/>
    </row>
    <row r="1932" spans="2:2">
      <c r="B1932" s="565"/>
    </row>
    <row r="1933" spans="2:2">
      <c r="B1933" s="565"/>
    </row>
    <row r="1934" spans="2:2">
      <c r="B1934" s="565"/>
    </row>
    <row r="1935" spans="2:2">
      <c r="B1935" s="565"/>
    </row>
    <row r="1936" spans="2:2">
      <c r="B1936" s="565"/>
    </row>
    <row r="1937" spans="2:2">
      <c r="B1937" s="565"/>
    </row>
    <row r="1938" spans="2:2">
      <c r="B1938" s="565"/>
    </row>
    <row r="1939" spans="2:2">
      <c r="B1939" s="565"/>
    </row>
    <row r="1940" spans="2:2">
      <c r="B1940" s="565"/>
    </row>
    <row r="1941" spans="2:2">
      <c r="B1941" s="565"/>
    </row>
    <row r="1942" spans="2:2">
      <c r="B1942" s="565"/>
    </row>
    <row r="1943" spans="2:2">
      <c r="B1943" s="565"/>
    </row>
    <row r="1944" spans="2:2">
      <c r="B1944" s="565"/>
    </row>
    <row r="1945" spans="2:2">
      <c r="B1945" s="565"/>
    </row>
    <row r="1946" spans="2:2">
      <c r="B1946" s="565"/>
    </row>
    <row r="1947" spans="2:2">
      <c r="B1947" s="565"/>
    </row>
    <row r="1948" spans="2:2">
      <c r="B1948" s="565"/>
    </row>
    <row r="1949" spans="2:2">
      <c r="B1949" s="565"/>
    </row>
    <row r="1950" spans="2:2">
      <c r="B1950" s="565"/>
    </row>
    <row r="1951" spans="2:2">
      <c r="B1951" s="565"/>
    </row>
    <row r="1952" spans="2:2">
      <c r="B1952" s="565"/>
    </row>
    <row r="1953" spans="2:2">
      <c r="B1953" s="565"/>
    </row>
    <row r="1954" spans="2:2">
      <c r="B1954" s="565"/>
    </row>
    <row r="1955" spans="2:2">
      <c r="B1955" s="565"/>
    </row>
    <row r="1956" spans="2:2">
      <c r="B1956" s="565"/>
    </row>
    <row r="1957" spans="2:2">
      <c r="B1957" s="565"/>
    </row>
    <row r="1958" spans="2:2">
      <c r="B1958" s="565"/>
    </row>
    <row r="1959" spans="2:2">
      <c r="B1959" s="565"/>
    </row>
    <row r="1960" spans="2:2">
      <c r="B1960" s="565"/>
    </row>
    <row r="1961" spans="2:2">
      <c r="B1961" s="565"/>
    </row>
    <row r="1962" spans="2:2">
      <c r="B1962" s="565"/>
    </row>
    <row r="1963" spans="2:2">
      <c r="B1963" s="565"/>
    </row>
    <row r="1964" spans="2:2">
      <c r="B1964" s="565"/>
    </row>
    <row r="1965" spans="2:2">
      <c r="B1965" s="565"/>
    </row>
    <row r="1966" spans="2:2">
      <c r="B1966" s="565"/>
    </row>
    <row r="1967" spans="2:2">
      <c r="B1967" s="565"/>
    </row>
    <row r="1968" spans="2:2">
      <c r="B1968" s="565"/>
    </row>
    <row r="1969" spans="2:2">
      <c r="B1969" s="565"/>
    </row>
    <row r="1970" spans="2:2">
      <c r="B1970" s="565"/>
    </row>
    <row r="1971" spans="2:2">
      <c r="B1971" s="565"/>
    </row>
    <row r="1972" spans="2:2">
      <c r="B1972" s="565"/>
    </row>
    <row r="1973" spans="2:2">
      <c r="B1973" s="565"/>
    </row>
    <row r="1974" spans="2:2">
      <c r="B1974" s="565"/>
    </row>
    <row r="1975" spans="2:2">
      <c r="B1975" s="565"/>
    </row>
    <row r="1976" spans="2:2">
      <c r="B1976" s="565"/>
    </row>
    <row r="1977" spans="2:2">
      <c r="B1977" s="565"/>
    </row>
    <row r="1978" spans="2:2">
      <c r="B1978" s="565"/>
    </row>
    <row r="1979" spans="2:2">
      <c r="B1979" s="565"/>
    </row>
    <row r="1980" spans="2:2">
      <c r="B1980" s="565"/>
    </row>
    <row r="1981" spans="2:2">
      <c r="B1981" s="565"/>
    </row>
    <row r="1982" spans="2:2">
      <c r="B1982" s="565"/>
    </row>
    <row r="1983" spans="2:2">
      <c r="B1983" s="565"/>
    </row>
    <row r="1984" spans="2:2">
      <c r="B1984" s="565"/>
    </row>
    <row r="1985" spans="2:2">
      <c r="B1985" s="565"/>
    </row>
    <row r="1986" spans="2:2">
      <c r="B1986" s="565"/>
    </row>
    <row r="1987" spans="2:2">
      <c r="B1987" s="565"/>
    </row>
    <row r="1988" spans="2:2">
      <c r="B1988" s="565"/>
    </row>
    <row r="1989" spans="2:2">
      <c r="B1989" s="565"/>
    </row>
    <row r="1990" spans="2:2">
      <c r="B1990" s="565"/>
    </row>
    <row r="1991" spans="2:2">
      <c r="B1991" s="565"/>
    </row>
    <row r="1992" spans="2:2">
      <c r="B1992" s="565"/>
    </row>
    <row r="1993" spans="2:2">
      <c r="B1993" s="565"/>
    </row>
    <row r="1994" spans="2:2">
      <c r="B1994" s="565"/>
    </row>
    <row r="1995" spans="2:2">
      <c r="B1995" s="565"/>
    </row>
    <row r="1996" spans="2:2">
      <c r="B1996" s="565"/>
    </row>
    <row r="1997" spans="2:2">
      <c r="B1997" s="565"/>
    </row>
    <row r="1998" spans="2:2">
      <c r="B1998" s="565"/>
    </row>
    <row r="1999" spans="2:2">
      <c r="B1999" s="565"/>
    </row>
    <row r="2000" spans="2:2">
      <c r="B2000" s="565"/>
    </row>
    <row r="2001" spans="2:2">
      <c r="B2001" s="565"/>
    </row>
    <row r="2002" spans="2:2">
      <c r="B2002" s="565"/>
    </row>
    <row r="2003" spans="2:2">
      <c r="B2003" s="565"/>
    </row>
    <row r="2004" spans="2:2">
      <c r="B2004" s="565"/>
    </row>
    <row r="2005" spans="2:2">
      <c r="B2005" s="565"/>
    </row>
    <row r="2006" spans="2:2">
      <c r="B2006" s="565"/>
    </row>
    <row r="2007" spans="2:2">
      <c r="B2007" s="565"/>
    </row>
    <row r="2008" spans="2:2">
      <c r="B2008" s="565"/>
    </row>
    <row r="2009" spans="2:2">
      <c r="B2009" s="565"/>
    </row>
    <row r="2010" spans="2:2">
      <c r="B2010" s="565"/>
    </row>
    <row r="2011" spans="2:2">
      <c r="B2011" s="565"/>
    </row>
    <row r="2012" spans="2:2">
      <c r="B2012" s="565"/>
    </row>
    <row r="2013" spans="2:2">
      <c r="B2013" s="565"/>
    </row>
    <row r="2014" spans="2:2">
      <c r="B2014" s="565"/>
    </row>
    <row r="2015" spans="2:2">
      <c r="B2015" s="565"/>
    </row>
    <row r="2016" spans="2:2">
      <c r="B2016" s="565"/>
    </row>
    <row r="2017" spans="2:2">
      <c r="B2017" s="565"/>
    </row>
    <row r="2018" spans="2:2">
      <c r="B2018" s="565"/>
    </row>
    <row r="2019" spans="2:2">
      <c r="B2019" s="565"/>
    </row>
    <row r="2020" spans="2:2">
      <c r="B2020" s="565"/>
    </row>
    <row r="2021" spans="2:2">
      <c r="B2021" s="565"/>
    </row>
    <row r="2022" spans="2:2">
      <c r="B2022" s="565"/>
    </row>
    <row r="2023" spans="2:2">
      <c r="B2023" s="565"/>
    </row>
    <row r="2024" spans="2:2">
      <c r="B2024" s="565"/>
    </row>
    <row r="2025" spans="2:2">
      <c r="B2025" s="565"/>
    </row>
    <row r="2026" spans="2:2">
      <c r="B2026" s="565"/>
    </row>
    <row r="2027" spans="2:2">
      <c r="B2027" s="565"/>
    </row>
    <row r="2028" spans="2:2">
      <c r="B2028" s="565"/>
    </row>
    <row r="2029" spans="2:2">
      <c r="B2029" s="565"/>
    </row>
    <row r="2030" spans="2:2">
      <c r="B2030" s="565"/>
    </row>
    <row r="2031" spans="2:2">
      <c r="B2031" s="565"/>
    </row>
    <row r="2032" spans="2:2">
      <c r="B2032" s="565"/>
    </row>
    <row r="2033" spans="2:2">
      <c r="B2033" s="565"/>
    </row>
    <row r="2034" spans="2:2">
      <c r="B2034" s="565"/>
    </row>
    <row r="2035" spans="2:2">
      <c r="B2035" s="565"/>
    </row>
    <row r="2036" spans="2:2">
      <c r="B2036" s="565"/>
    </row>
    <row r="2037" spans="2:2">
      <c r="B2037" s="565"/>
    </row>
    <row r="2038" spans="2:2">
      <c r="B2038" s="565"/>
    </row>
    <row r="2039" spans="2:2">
      <c r="B2039" s="565"/>
    </row>
    <row r="2040" spans="2:2">
      <c r="B2040" s="565"/>
    </row>
    <row r="2041" spans="2:2">
      <c r="B2041" s="565"/>
    </row>
    <row r="2042" spans="2:2">
      <c r="B2042" s="565"/>
    </row>
    <row r="2043" spans="2:2">
      <c r="B2043" s="565"/>
    </row>
    <row r="2044" spans="2:2">
      <c r="B2044" s="565"/>
    </row>
    <row r="2045" spans="2:2">
      <c r="B2045" s="565"/>
    </row>
    <row r="2046" spans="2:2">
      <c r="B2046" s="565"/>
    </row>
    <row r="2047" spans="2:2">
      <c r="B2047" s="565"/>
    </row>
    <row r="2048" spans="2:2">
      <c r="B2048" s="565"/>
    </row>
    <row r="2049" spans="2:2">
      <c r="B2049" s="565"/>
    </row>
    <row r="2050" spans="2:2">
      <c r="B2050" s="565"/>
    </row>
    <row r="2051" spans="2:2">
      <c r="B2051" s="565"/>
    </row>
    <row r="2052" spans="2:2">
      <c r="B2052" s="565"/>
    </row>
    <row r="2053" spans="2:2">
      <c r="B2053" s="565"/>
    </row>
    <row r="2054" spans="2:2">
      <c r="B2054" s="565"/>
    </row>
    <row r="2055" spans="2:2">
      <c r="B2055" s="565"/>
    </row>
    <row r="2056" spans="2:2">
      <c r="B2056" s="565"/>
    </row>
    <row r="2057" spans="2:2">
      <c r="B2057" s="565"/>
    </row>
    <row r="2058" spans="2:2">
      <c r="B2058" s="565"/>
    </row>
    <row r="2059" spans="2:2">
      <c r="B2059" s="565"/>
    </row>
    <row r="2060" spans="2:2">
      <c r="B2060" s="565"/>
    </row>
    <row r="2061" spans="2:2">
      <c r="B2061" s="565"/>
    </row>
    <row r="2062" spans="2:2">
      <c r="B2062" s="565"/>
    </row>
    <row r="2063" spans="2:2">
      <c r="B2063" s="565"/>
    </row>
    <row r="2064" spans="2:2">
      <c r="B2064" s="565"/>
    </row>
    <row r="2065" spans="2:2">
      <c r="B2065" s="565"/>
    </row>
    <row r="2066" spans="2:2">
      <c r="B2066" s="565"/>
    </row>
    <row r="2067" spans="2:2">
      <c r="B2067" s="565"/>
    </row>
    <row r="2068" spans="2:2">
      <c r="B2068" s="565"/>
    </row>
    <row r="2069" spans="2:2">
      <c r="B2069" s="565"/>
    </row>
    <row r="2070" spans="2:2">
      <c r="B2070" s="565"/>
    </row>
    <row r="2071" spans="2:2">
      <c r="B2071" s="565"/>
    </row>
    <row r="2072" spans="2:2">
      <c r="B2072" s="565"/>
    </row>
    <row r="2073" spans="2:2">
      <c r="B2073" s="565"/>
    </row>
    <row r="2074" spans="2:2">
      <c r="B2074" s="565"/>
    </row>
    <row r="2075" spans="2:2">
      <c r="B2075" s="565"/>
    </row>
    <row r="2076" spans="2:2">
      <c r="B2076" s="565"/>
    </row>
    <row r="2077" spans="2:2">
      <c r="B2077" s="565"/>
    </row>
    <row r="2078" spans="2:2">
      <c r="B2078" s="565"/>
    </row>
    <row r="2079" spans="2:2">
      <c r="B2079" s="565"/>
    </row>
    <row r="2080" spans="2:2">
      <c r="B2080" s="565"/>
    </row>
    <row r="2081" spans="2:2">
      <c r="B2081" s="565"/>
    </row>
    <row r="2082" spans="2:2">
      <c r="B2082" s="565"/>
    </row>
    <row r="2083" spans="2:2">
      <c r="B2083" s="565"/>
    </row>
    <row r="2084" spans="2:2">
      <c r="B2084" s="565"/>
    </row>
    <row r="2085" spans="2:2">
      <c r="B2085" s="565"/>
    </row>
    <row r="2086" spans="2:2">
      <c r="B2086" s="565"/>
    </row>
    <row r="2087" spans="2:2">
      <c r="B2087" s="565"/>
    </row>
    <row r="2088" spans="2:2">
      <c r="B2088" s="565"/>
    </row>
    <row r="2089" spans="2:2">
      <c r="B2089" s="565"/>
    </row>
    <row r="2090" spans="2:2">
      <c r="B2090" s="565"/>
    </row>
    <row r="2091" spans="2:2">
      <c r="B2091" s="565"/>
    </row>
    <row r="2092" spans="2:2">
      <c r="B2092" s="565"/>
    </row>
    <row r="2093" spans="2:2">
      <c r="B2093" s="565"/>
    </row>
    <row r="2094" spans="2:2">
      <c r="B2094" s="565"/>
    </row>
    <row r="2095" spans="2:2">
      <c r="B2095" s="565"/>
    </row>
    <row r="2096" spans="2:2">
      <c r="B2096" s="565"/>
    </row>
    <row r="2097" spans="2:2">
      <c r="B2097" s="565"/>
    </row>
    <row r="2098" spans="2:2">
      <c r="B2098" s="565"/>
    </row>
    <row r="2099" spans="2:2">
      <c r="B2099" s="565"/>
    </row>
    <row r="2100" spans="2:2">
      <c r="B2100" s="565"/>
    </row>
    <row r="2101" spans="2:2">
      <c r="B2101" s="565"/>
    </row>
    <row r="2102" spans="2:2">
      <c r="B2102" s="565"/>
    </row>
    <row r="2103" spans="2:2">
      <c r="B2103" s="565"/>
    </row>
    <row r="2104" spans="2:2">
      <c r="B2104" s="565"/>
    </row>
    <row r="2105" spans="2:2">
      <c r="B2105" s="565"/>
    </row>
    <row r="2106" spans="2:2">
      <c r="B2106" s="565"/>
    </row>
    <row r="2107" spans="2:2">
      <c r="B2107" s="565"/>
    </row>
    <row r="2108" spans="2:2">
      <c r="B2108" s="565"/>
    </row>
    <row r="2109" spans="2:2">
      <c r="B2109" s="565"/>
    </row>
    <row r="2110" spans="2:2">
      <c r="B2110" s="565"/>
    </row>
    <row r="2111" spans="2:2">
      <c r="B2111" s="565"/>
    </row>
    <row r="2112" spans="2:2">
      <c r="B2112" s="565"/>
    </row>
    <row r="2113" spans="2:2">
      <c r="B2113" s="565"/>
    </row>
    <row r="2114" spans="2:2">
      <c r="B2114" s="565"/>
    </row>
    <row r="2115" spans="2:2">
      <c r="B2115" s="565"/>
    </row>
    <row r="2116" spans="2:2">
      <c r="B2116" s="565"/>
    </row>
    <row r="2117" spans="2:2">
      <c r="B2117" s="565"/>
    </row>
    <row r="2118" spans="2:2">
      <c r="B2118" s="565"/>
    </row>
    <row r="2119" spans="2:2">
      <c r="B2119" s="565"/>
    </row>
    <row r="2120" spans="2:2">
      <c r="B2120" s="565"/>
    </row>
    <row r="2121" spans="2:2">
      <c r="B2121" s="565"/>
    </row>
    <row r="2122" spans="2:2">
      <c r="B2122" s="565"/>
    </row>
    <row r="2123" spans="2:2">
      <c r="B2123" s="565"/>
    </row>
    <row r="2124" spans="2:2">
      <c r="B2124" s="565"/>
    </row>
    <row r="2125" spans="2:2">
      <c r="B2125" s="565"/>
    </row>
    <row r="2126" spans="2:2">
      <c r="B2126" s="565"/>
    </row>
    <row r="2127" spans="2:2">
      <c r="B2127" s="565"/>
    </row>
    <row r="2128" spans="2:2">
      <c r="B2128" s="565"/>
    </row>
    <row r="2129" spans="2:2">
      <c r="B2129" s="565"/>
    </row>
    <row r="2130" spans="2:2">
      <c r="B2130" s="565"/>
    </row>
    <row r="2131" spans="2:2">
      <c r="B2131" s="565"/>
    </row>
    <row r="2132" spans="2:2">
      <c r="B2132" s="565"/>
    </row>
    <row r="2133" spans="2:2">
      <c r="B2133" s="565"/>
    </row>
    <row r="2134" spans="2:2">
      <c r="B2134" s="565"/>
    </row>
    <row r="2135" spans="2:2">
      <c r="B2135" s="565"/>
    </row>
    <row r="2136" spans="2:2">
      <c r="B2136" s="565"/>
    </row>
    <row r="2137" spans="2:2">
      <c r="B2137" s="565"/>
    </row>
    <row r="2138" spans="2:2">
      <c r="B2138" s="565"/>
    </row>
    <row r="2139" spans="2:2">
      <c r="B2139" s="565"/>
    </row>
    <row r="2140" spans="2:2">
      <c r="B2140" s="565"/>
    </row>
    <row r="2141" spans="2:2">
      <c r="B2141" s="565"/>
    </row>
    <row r="2142" spans="2:2">
      <c r="B2142" s="565"/>
    </row>
    <row r="2143" spans="2:2">
      <c r="B2143" s="565"/>
    </row>
    <row r="2144" spans="2:2">
      <c r="B2144" s="565"/>
    </row>
    <row r="2145" spans="2:2">
      <c r="B2145" s="565"/>
    </row>
    <row r="2146" spans="2:2">
      <c r="B2146" s="565"/>
    </row>
    <row r="2147" spans="2:2">
      <c r="B2147" s="565"/>
    </row>
    <row r="2148" spans="2:2">
      <c r="B2148" s="565"/>
    </row>
    <row r="2149" spans="2:2">
      <c r="B2149" s="565"/>
    </row>
    <row r="2150" spans="2:2">
      <c r="B2150" s="565"/>
    </row>
    <row r="2151" spans="2:2">
      <c r="B2151" s="565"/>
    </row>
    <row r="2152" spans="2:2">
      <c r="B2152" s="565"/>
    </row>
    <row r="2153" spans="2:2">
      <c r="B2153" s="565"/>
    </row>
    <row r="2154" spans="2:2">
      <c r="B2154" s="565"/>
    </row>
    <row r="2155" spans="2:2">
      <c r="B2155" s="565"/>
    </row>
    <row r="2156" spans="2:2">
      <c r="B2156" s="565"/>
    </row>
    <row r="2157" spans="2:2">
      <c r="B2157" s="565"/>
    </row>
    <row r="2158" spans="2:2">
      <c r="B2158" s="565"/>
    </row>
    <row r="2159" spans="2:2">
      <c r="B2159" s="565"/>
    </row>
    <row r="2160" spans="2:2">
      <c r="B2160" s="565"/>
    </row>
    <row r="2161" spans="2:2">
      <c r="B2161" s="565"/>
    </row>
    <row r="2162" spans="2:2">
      <c r="B2162" s="565"/>
    </row>
    <row r="2163" spans="2:2">
      <c r="B2163" s="565"/>
    </row>
    <row r="2164" spans="2:2">
      <c r="B2164" s="565"/>
    </row>
    <row r="2165" spans="2:2">
      <c r="B2165" s="565"/>
    </row>
    <row r="2166" spans="2:2">
      <c r="B2166" s="565"/>
    </row>
    <row r="2167" spans="2:2">
      <c r="B2167" s="565"/>
    </row>
    <row r="2168" spans="2:2">
      <c r="B2168" s="565"/>
    </row>
    <row r="2169" spans="2:2">
      <c r="B2169" s="565"/>
    </row>
    <row r="2170" spans="2:2">
      <c r="B2170" s="565"/>
    </row>
    <row r="2171" spans="2:2">
      <c r="B2171" s="565"/>
    </row>
    <row r="2172" spans="2:2">
      <c r="B2172" s="565"/>
    </row>
    <row r="2173" spans="2:2">
      <c r="B2173" s="565"/>
    </row>
    <row r="2174" spans="2:2">
      <c r="B2174" s="565"/>
    </row>
    <row r="2175" spans="2:2">
      <c r="B2175" s="565"/>
    </row>
    <row r="2176" spans="2:2">
      <c r="B2176" s="565"/>
    </row>
    <row r="2177" spans="2:2">
      <c r="B2177" s="565"/>
    </row>
    <row r="2178" spans="2:2">
      <c r="B2178" s="565"/>
    </row>
    <row r="2179" spans="2:2">
      <c r="B2179" s="565"/>
    </row>
    <row r="2180" spans="2:2">
      <c r="B2180" s="565"/>
    </row>
    <row r="2181" spans="2:2">
      <c r="B2181" s="565"/>
    </row>
    <row r="2182" spans="2:2">
      <c r="B2182" s="565"/>
    </row>
    <row r="2183" spans="2:2">
      <c r="B2183" s="565"/>
    </row>
    <row r="2184" spans="2:2">
      <c r="B2184" s="565"/>
    </row>
    <row r="2185" spans="2:2">
      <c r="B2185" s="565"/>
    </row>
    <row r="2186" spans="2:2">
      <c r="B2186" s="565"/>
    </row>
    <row r="2187" spans="2:2">
      <c r="B2187" s="565"/>
    </row>
    <row r="2188" spans="2:2">
      <c r="B2188" s="565"/>
    </row>
    <row r="2189" spans="2:2">
      <c r="B2189" s="565"/>
    </row>
    <row r="2190" spans="2:2">
      <c r="B2190" s="565"/>
    </row>
    <row r="2191" spans="2:2">
      <c r="B2191" s="565"/>
    </row>
    <row r="2192" spans="2:2">
      <c r="B2192" s="565"/>
    </row>
    <row r="2193" spans="2:2">
      <c r="B2193" s="565"/>
    </row>
    <row r="2194" spans="2:2">
      <c r="B2194" s="565"/>
    </row>
    <row r="2195" spans="2:2">
      <c r="B2195" s="565"/>
    </row>
    <row r="2196" spans="2:2">
      <c r="B2196" s="565"/>
    </row>
    <row r="2197" spans="2:2">
      <c r="B2197" s="565"/>
    </row>
    <row r="2198" spans="2:2">
      <c r="B2198" s="565"/>
    </row>
    <row r="2199" spans="2:2">
      <c r="B2199" s="565"/>
    </row>
    <row r="2200" spans="2:2">
      <c r="B2200" s="565"/>
    </row>
    <row r="2201" spans="2:2">
      <c r="B2201" s="565"/>
    </row>
    <row r="2202" spans="2:2">
      <c r="B2202" s="565"/>
    </row>
    <row r="2203" spans="2:2">
      <c r="B2203" s="565"/>
    </row>
    <row r="2204" spans="2:2">
      <c r="B2204" s="565"/>
    </row>
    <row r="2205" spans="2:2">
      <c r="B2205" s="565"/>
    </row>
    <row r="2206" spans="2:2">
      <c r="B2206" s="565"/>
    </row>
    <row r="2207" spans="2:2">
      <c r="B2207" s="565"/>
    </row>
    <row r="2208" spans="2:2">
      <c r="B2208" s="565"/>
    </row>
    <row r="2209" spans="2:2">
      <c r="B2209" s="565"/>
    </row>
    <row r="2210" spans="2:2">
      <c r="B2210" s="565"/>
    </row>
    <row r="2211" spans="2:2">
      <c r="B2211" s="565"/>
    </row>
    <row r="2212" spans="2:2">
      <c r="B2212" s="565"/>
    </row>
    <row r="2213" spans="2:2">
      <c r="B2213" s="565"/>
    </row>
    <row r="2214" spans="2:2">
      <c r="B2214" s="565"/>
    </row>
    <row r="2215" spans="2:2">
      <c r="B2215" s="565"/>
    </row>
    <row r="2216" spans="2:2">
      <c r="B2216" s="565"/>
    </row>
    <row r="2217" spans="2:2">
      <c r="B2217" s="565"/>
    </row>
    <row r="2218" spans="2:2">
      <c r="B2218" s="565"/>
    </row>
    <row r="2219" spans="2:2">
      <c r="B2219" s="565"/>
    </row>
    <row r="2220" spans="2:2">
      <c r="B2220" s="565"/>
    </row>
    <row r="2221" spans="2:2">
      <c r="B2221" s="565"/>
    </row>
    <row r="2222" spans="2:2">
      <c r="B2222" s="565"/>
    </row>
    <row r="2223" spans="2:2">
      <c r="B2223" s="565"/>
    </row>
    <row r="2224" spans="2:2">
      <c r="B2224" s="565"/>
    </row>
    <row r="2225" spans="2:2">
      <c r="B2225" s="565"/>
    </row>
    <row r="2226" spans="2:2">
      <c r="B2226" s="565"/>
    </row>
    <row r="2227" spans="2:2">
      <c r="B2227" s="565"/>
    </row>
    <row r="2228" spans="2:2">
      <c r="B2228" s="565"/>
    </row>
    <row r="2229" spans="2:2">
      <c r="B2229" s="565"/>
    </row>
    <row r="2230" spans="2:2">
      <c r="B2230" s="565"/>
    </row>
    <row r="2231" spans="2:2">
      <c r="B2231" s="565"/>
    </row>
    <row r="2232" spans="2:2">
      <c r="B2232" s="565"/>
    </row>
    <row r="2233" spans="2:2">
      <c r="B2233" s="565"/>
    </row>
    <row r="2234" spans="2:2">
      <c r="B2234" s="565"/>
    </row>
    <row r="2235" spans="2:2">
      <c r="B2235" s="565"/>
    </row>
    <row r="2236" spans="2:2">
      <c r="B2236" s="565"/>
    </row>
    <row r="2237" spans="2:2">
      <c r="B2237" s="565"/>
    </row>
    <row r="2238" spans="2:2">
      <c r="B2238" s="565"/>
    </row>
    <row r="2239" spans="2:2">
      <c r="B2239" s="565"/>
    </row>
    <row r="2240" spans="2:2">
      <c r="B2240" s="565"/>
    </row>
    <row r="2241" spans="2:2">
      <c r="B2241" s="565"/>
    </row>
    <row r="2242" spans="2:2">
      <c r="B2242" s="565"/>
    </row>
    <row r="2243" spans="2:2">
      <c r="B2243" s="565"/>
    </row>
    <row r="2244" spans="2:2">
      <c r="B2244" s="565"/>
    </row>
    <row r="2245" spans="2:2">
      <c r="B2245" s="565"/>
    </row>
    <row r="2246" spans="2:2">
      <c r="B2246" s="565"/>
    </row>
    <row r="2247" spans="2:2">
      <c r="B2247" s="565"/>
    </row>
    <row r="2248" spans="2:2">
      <c r="B2248" s="565"/>
    </row>
    <row r="2249" spans="2:2">
      <c r="B2249" s="565"/>
    </row>
    <row r="2250" spans="2:2">
      <c r="B2250" s="565"/>
    </row>
    <row r="2251" spans="2:2">
      <c r="B2251" s="565"/>
    </row>
    <row r="2252" spans="2:2">
      <c r="B2252" s="565"/>
    </row>
    <row r="2253" spans="2:2">
      <c r="B2253" s="565"/>
    </row>
    <row r="2254" spans="2:2">
      <c r="B2254" s="565"/>
    </row>
    <row r="2255" spans="2:2">
      <c r="B2255" s="565"/>
    </row>
    <row r="2256" spans="2:2">
      <c r="B2256" s="565"/>
    </row>
    <row r="2257" spans="2:2">
      <c r="B2257" s="565"/>
    </row>
    <row r="2258" spans="2:2">
      <c r="B2258" s="565"/>
    </row>
    <row r="2259" spans="2:2">
      <c r="B2259" s="565"/>
    </row>
    <row r="2260" spans="2:2">
      <c r="B2260" s="565"/>
    </row>
    <row r="2261" spans="2:2">
      <c r="B2261" s="565"/>
    </row>
    <row r="2262" spans="2:2">
      <c r="B2262" s="565"/>
    </row>
    <row r="2263" spans="2:2">
      <c r="B2263" s="565"/>
    </row>
    <row r="2264" spans="2:2">
      <c r="B2264" s="565"/>
    </row>
    <row r="2265" spans="2:2">
      <c r="B2265" s="565"/>
    </row>
    <row r="2266" spans="2:2">
      <c r="B2266" s="565"/>
    </row>
    <row r="2267" spans="2:2">
      <c r="B2267" s="565"/>
    </row>
    <row r="2268" spans="2:2">
      <c r="B2268" s="565"/>
    </row>
    <row r="2269" spans="2:2">
      <c r="B2269" s="565"/>
    </row>
    <row r="2270" spans="2:2">
      <c r="B2270" s="565"/>
    </row>
    <row r="2271" spans="2:2">
      <c r="B2271" s="565"/>
    </row>
    <row r="2272" spans="2:2">
      <c r="B2272" s="565"/>
    </row>
    <row r="2273" spans="2:2">
      <c r="B2273" s="565"/>
    </row>
    <row r="2274" spans="2:2">
      <c r="B2274" s="565"/>
    </row>
    <row r="2275" spans="2:2">
      <c r="B2275" s="565"/>
    </row>
    <row r="2276" spans="2:2">
      <c r="B2276" s="565"/>
    </row>
    <row r="2277" spans="2:2">
      <c r="B2277" s="565"/>
    </row>
    <row r="2278" spans="2:2">
      <c r="B2278" s="565"/>
    </row>
    <row r="2279" spans="2:2">
      <c r="B2279" s="565"/>
    </row>
    <row r="2280" spans="2:2">
      <c r="B2280" s="565"/>
    </row>
    <row r="2281" spans="2:2">
      <c r="B2281" s="565"/>
    </row>
    <row r="2282" spans="2:2">
      <c r="B2282" s="565"/>
    </row>
    <row r="2283" spans="2:2">
      <c r="B2283" s="565"/>
    </row>
    <row r="2284" spans="2:2">
      <c r="B2284" s="565"/>
    </row>
    <row r="2285" spans="2:2">
      <c r="B2285" s="565"/>
    </row>
    <row r="2286" spans="2:2">
      <c r="B2286" s="565"/>
    </row>
    <row r="2287" spans="2:2">
      <c r="B2287" s="565"/>
    </row>
    <row r="2288" spans="2:2">
      <c r="B2288" s="565"/>
    </row>
    <row r="2289" spans="2:2">
      <c r="B2289" s="565"/>
    </row>
    <row r="2290" spans="2:2">
      <c r="B2290" s="565"/>
    </row>
    <row r="2291" spans="2:2">
      <c r="B2291" s="565"/>
    </row>
    <row r="2292" spans="2:2">
      <c r="B2292" s="565"/>
    </row>
    <row r="2293" spans="2:2">
      <c r="B2293" s="565"/>
    </row>
    <row r="2294" spans="2:2">
      <c r="B2294" s="565"/>
    </row>
    <row r="2295" spans="2:2">
      <c r="B2295" s="565"/>
    </row>
    <row r="2296" spans="2:2">
      <c r="B2296" s="565"/>
    </row>
    <row r="2297" spans="2:2">
      <c r="B2297" s="565"/>
    </row>
    <row r="2298" spans="2:2">
      <c r="B2298" s="565"/>
    </row>
    <row r="2299" spans="2:2">
      <c r="B2299" s="565"/>
    </row>
    <row r="2300" spans="2:2">
      <c r="B2300" s="565"/>
    </row>
    <row r="2301" spans="2:2">
      <c r="B2301" s="565"/>
    </row>
    <row r="2302" spans="2:2">
      <c r="B2302" s="565"/>
    </row>
    <row r="2303" spans="2:2">
      <c r="B2303" s="565"/>
    </row>
    <row r="2304" spans="2:2">
      <c r="B2304" s="565"/>
    </row>
    <row r="2305" spans="2:2">
      <c r="B2305" s="565"/>
    </row>
    <row r="2306" spans="2:2">
      <c r="B2306" s="565"/>
    </row>
    <row r="2307" spans="2:2">
      <c r="B2307" s="565"/>
    </row>
    <row r="2308" spans="2:2">
      <c r="B2308" s="565"/>
    </row>
    <row r="2309" spans="2:2">
      <c r="B2309" s="565"/>
    </row>
    <row r="2310" spans="2:2">
      <c r="B2310" s="565"/>
    </row>
    <row r="2311" spans="2:2">
      <c r="B2311" s="565"/>
    </row>
    <row r="2312" spans="2:2">
      <c r="B2312" s="565"/>
    </row>
    <row r="2313" spans="2:2">
      <c r="B2313" s="565"/>
    </row>
    <row r="2314" spans="2:2">
      <c r="B2314" s="565"/>
    </row>
    <row r="2315" spans="2:2">
      <c r="B2315" s="565"/>
    </row>
    <row r="2316" spans="2:2">
      <c r="B2316" s="565"/>
    </row>
    <row r="2317" spans="2:2">
      <c r="B2317" s="565"/>
    </row>
    <row r="2318" spans="2:2">
      <c r="B2318" s="565"/>
    </row>
    <row r="2319" spans="2:2">
      <c r="B2319" s="565"/>
    </row>
    <row r="2320" spans="2:2">
      <c r="B2320" s="565"/>
    </row>
    <row r="2321" spans="2:2">
      <c r="B2321" s="565"/>
    </row>
    <row r="2322" spans="2:2">
      <c r="B2322" s="565"/>
    </row>
    <row r="2323" spans="2:2">
      <c r="B2323" s="565"/>
    </row>
    <row r="2324" spans="2:2">
      <c r="B2324" s="565"/>
    </row>
    <row r="2325" spans="2:2">
      <c r="B2325" s="565"/>
    </row>
    <row r="2326" spans="2:2">
      <c r="B2326" s="565"/>
    </row>
    <row r="2327" spans="2:2">
      <c r="B2327" s="565"/>
    </row>
    <row r="2328" spans="2:2">
      <c r="B2328" s="565"/>
    </row>
    <row r="2329" spans="2:2">
      <c r="B2329" s="565"/>
    </row>
    <row r="2330" spans="2:2">
      <c r="B2330" s="565"/>
    </row>
    <row r="2331" spans="2:2">
      <c r="B2331" s="565"/>
    </row>
    <row r="2332" spans="2:2">
      <c r="B2332" s="565"/>
    </row>
    <row r="2333" spans="2:2">
      <c r="B2333" s="565"/>
    </row>
    <row r="2334" spans="2:2">
      <c r="B2334" s="565"/>
    </row>
    <row r="2335" spans="2:2">
      <c r="B2335" s="565"/>
    </row>
    <row r="2336" spans="2:2">
      <c r="B2336" s="565"/>
    </row>
    <row r="2337" spans="2:2">
      <c r="B2337" s="565"/>
    </row>
    <row r="2338" spans="2:2">
      <c r="B2338" s="565"/>
    </row>
    <row r="2339" spans="2:2">
      <c r="B2339" s="565"/>
    </row>
    <row r="2340" spans="2:2">
      <c r="B2340" s="565"/>
    </row>
    <row r="2341" spans="2:2">
      <c r="B2341" s="565"/>
    </row>
    <row r="2342" spans="2:2">
      <c r="B2342" s="565"/>
    </row>
    <row r="2343" spans="2:2">
      <c r="B2343" s="565"/>
    </row>
    <row r="2344" spans="2:2">
      <c r="B2344" s="565"/>
    </row>
    <row r="2345" spans="2:2">
      <c r="B2345" s="565"/>
    </row>
    <row r="2346" spans="2:2">
      <c r="B2346" s="565"/>
    </row>
    <row r="2347" spans="2:2">
      <c r="B2347" s="565"/>
    </row>
    <row r="2348" spans="2:2">
      <c r="B2348" s="565"/>
    </row>
    <row r="2349" spans="2:2">
      <c r="B2349" s="565"/>
    </row>
    <row r="2350" spans="2:2">
      <c r="B2350" s="565"/>
    </row>
    <row r="2351" spans="2:2">
      <c r="B2351" s="565"/>
    </row>
    <row r="2352" spans="2:2">
      <c r="B2352" s="565"/>
    </row>
    <row r="2353" spans="2:2">
      <c r="B2353" s="565"/>
    </row>
    <row r="2354" spans="2:2">
      <c r="B2354" s="565"/>
    </row>
    <row r="2355" spans="2:2">
      <c r="B2355" s="565"/>
    </row>
    <row r="2356" spans="2:2">
      <c r="B2356" s="565"/>
    </row>
    <row r="2357" spans="2:2">
      <c r="B2357" s="565"/>
    </row>
    <row r="2358" spans="2:2">
      <c r="B2358" s="565"/>
    </row>
    <row r="2359" spans="2:2">
      <c r="B2359" s="565"/>
    </row>
    <row r="2360" spans="2:2">
      <c r="B2360" s="565"/>
    </row>
    <row r="2361" spans="2:2">
      <c r="B2361" s="565"/>
    </row>
    <row r="2362" spans="2:2">
      <c r="B2362" s="565"/>
    </row>
    <row r="2363" spans="2:2">
      <c r="B2363" s="565"/>
    </row>
    <row r="2364" spans="2:2">
      <c r="B2364" s="565"/>
    </row>
    <row r="2365" spans="2:2">
      <c r="B2365" s="565"/>
    </row>
    <row r="2366" spans="2:2">
      <c r="B2366" s="565"/>
    </row>
    <row r="2367" spans="2:2">
      <c r="B2367" s="565"/>
    </row>
    <row r="2368" spans="2:2">
      <c r="B2368" s="565"/>
    </row>
    <row r="2369" spans="2:2">
      <c r="B2369" s="565"/>
    </row>
    <row r="2370" spans="2:2">
      <c r="B2370" s="565"/>
    </row>
    <row r="2371" spans="2:2">
      <c r="B2371" s="565"/>
    </row>
    <row r="2372" spans="2:2">
      <c r="B2372" s="565"/>
    </row>
    <row r="2373" spans="2:2">
      <c r="B2373" s="565"/>
    </row>
    <row r="2374" spans="2:2">
      <c r="B2374" s="565"/>
    </row>
    <row r="2375" spans="2:2">
      <c r="B2375" s="565"/>
    </row>
    <row r="2376" spans="2:2">
      <c r="B2376" s="565"/>
    </row>
    <row r="2377" spans="2:2">
      <c r="B2377" s="565"/>
    </row>
    <row r="2378" spans="2:2">
      <c r="B2378" s="565"/>
    </row>
    <row r="2379" spans="2:2">
      <c r="B2379" s="565"/>
    </row>
    <row r="2380" spans="2:2">
      <c r="B2380" s="565"/>
    </row>
    <row r="2381" spans="2:2">
      <c r="B2381" s="565"/>
    </row>
    <row r="2382" spans="2:2">
      <c r="B2382" s="565"/>
    </row>
    <row r="2383" spans="2:2">
      <c r="B2383" s="565"/>
    </row>
    <row r="2384" spans="2:2">
      <c r="B2384" s="565"/>
    </row>
    <row r="2385" spans="2:2">
      <c r="B2385" s="565"/>
    </row>
    <row r="2386" spans="2:2">
      <c r="B2386" s="565"/>
    </row>
    <row r="2387" spans="2:2">
      <c r="B2387" s="565"/>
    </row>
    <row r="2388" spans="2:2">
      <c r="B2388" s="565"/>
    </row>
    <row r="2389" spans="2:2">
      <c r="B2389" s="565"/>
    </row>
    <row r="2390" spans="2:2">
      <c r="B2390" s="565"/>
    </row>
    <row r="2391" spans="2:2">
      <c r="B2391" s="565"/>
    </row>
    <row r="2392" spans="2:2">
      <c r="B2392" s="565"/>
    </row>
    <row r="2393" spans="2:2">
      <c r="B2393" s="565"/>
    </row>
    <row r="2394" spans="2:2">
      <c r="B2394" s="565"/>
    </row>
    <row r="2395" spans="2:2">
      <c r="B2395" s="565"/>
    </row>
    <row r="2396" spans="2:2">
      <c r="B2396" s="565"/>
    </row>
    <row r="2397" spans="2:2">
      <c r="B2397" s="565"/>
    </row>
    <row r="2398" spans="2:2">
      <c r="B2398" s="565"/>
    </row>
    <row r="2399" spans="2:2">
      <c r="B2399" s="565"/>
    </row>
    <row r="2400" spans="2:2">
      <c r="B2400" s="565"/>
    </row>
    <row r="2401" spans="2:2">
      <c r="B2401" s="565"/>
    </row>
    <row r="2402" spans="2:2">
      <c r="B2402" s="565"/>
    </row>
    <row r="2403" spans="2:2">
      <c r="B2403" s="565"/>
    </row>
    <row r="2404" spans="2:2">
      <c r="B2404" s="565"/>
    </row>
    <row r="2405" spans="2:2">
      <c r="B2405" s="565"/>
    </row>
    <row r="2406" spans="2:2">
      <c r="B2406" s="565"/>
    </row>
    <row r="2407" spans="2:2">
      <c r="B2407" s="565"/>
    </row>
    <row r="2408" spans="2:2">
      <c r="B2408" s="565"/>
    </row>
    <row r="2409" spans="2:2">
      <c r="B2409" s="565"/>
    </row>
    <row r="2410" spans="2:2">
      <c r="B2410" s="565"/>
    </row>
    <row r="2411" spans="2:2">
      <c r="B2411" s="565"/>
    </row>
    <row r="2412" spans="2:2">
      <c r="B2412" s="565"/>
    </row>
    <row r="2413" spans="2:2">
      <c r="B2413" s="565"/>
    </row>
    <row r="2414" spans="2:2">
      <c r="B2414" s="565"/>
    </row>
    <row r="2415" spans="2:2">
      <c r="B2415" s="565"/>
    </row>
    <row r="2416" spans="2:2">
      <c r="B2416" s="565"/>
    </row>
    <row r="2417" spans="2:2">
      <c r="B2417" s="565"/>
    </row>
    <row r="2418" spans="2:2">
      <c r="B2418" s="565"/>
    </row>
    <row r="2419" spans="2:2">
      <c r="B2419" s="565"/>
    </row>
    <row r="2420" spans="2:2">
      <c r="B2420" s="565"/>
    </row>
    <row r="2421" spans="2:2">
      <c r="B2421" s="565"/>
    </row>
    <row r="2422" spans="2:2">
      <c r="B2422" s="565"/>
    </row>
    <row r="2423" spans="2:2">
      <c r="B2423" s="565"/>
    </row>
    <row r="2424" spans="2:2">
      <c r="B2424" s="565"/>
    </row>
    <row r="2425" spans="2:2">
      <c r="B2425" s="565"/>
    </row>
    <row r="2426" spans="2:2">
      <c r="B2426" s="565"/>
    </row>
    <row r="2427" spans="2:2">
      <c r="B2427" s="565"/>
    </row>
    <row r="2428" spans="2:2">
      <c r="B2428" s="565"/>
    </row>
    <row r="2429" spans="2:2">
      <c r="B2429" s="565"/>
    </row>
    <row r="2430" spans="2:2">
      <c r="B2430" s="565"/>
    </row>
    <row r="2431" spans="2:2">
      <c r="B2431" s="565"/>
    </row>
    <row r="2432" spans="2:2">
      <c r="B2432" s="565"/>
    </row>
    <row r="2433" spans="2:2">
      <c r="B2433" s="565"/>
    </row>
    <row r="2434" spans="2:2">
      <c r="B2434" s="565"/>
    </row>
    <row r="2435" spans="2:2">
      <c r="B2435" s="565"/>
    </row>
    <row r="2436" spans="2:2">
      <c r="B2436" s="565"/>
    </row>
    <row r="2437" spans="2:2">
      <c r="B2437" s="565"/>
    </row>
    <row r="2438" spans="2:2">
      <c r="B2438" s="565"/>
    </row>
    <row r="2439" spans="2:2">
      <c r="B2439" s="565"/>
    </row>
    <row r="2440" spans="2:2">
      <c r="B2440" s="565"/>
    </row>
    <row r="2441" spans="2:2">
      <c r="B2441" s="565"/>
    </row>
    <row r="2442" spans="2:2">
      <c r="B2442" s="565"/>
    </row>
    <row r="2443" spans="2:2">
      <c r="B2443" s="565"/>
    </row>
    <row r="2444" spans="2:2">
      <c r="B2444" s="565"/>
    </row>
    <row r="2445" spans="2:2">
      <c r="B2445" s="565"/>
    </row>
    <row r="2446" spans="2:2">
      <c r="B2446" s="565"/>
    </row>
    <row r="2447" spans="2:2">
      <c r="B2447" s="565"/>
    </row>
    <row r="2448" spans="2:2">
      <c r="B2448" s="565"/>
    </row>
    <row r="2449" spans="2:2">
      <c r="B2449" s="565"/>
    </row>
    <row r="2450" spans="2:2">
      <c r="B2450" s="565"/>
    </row>
    <row r="2451" spans="2:2">
      <c r="B2451" s="565"/>
    </row>
    <row r="2452" spans="2:2">
      <c r="B2452" s="565"/>
    </row>
    <row r="2453" spans="2:2">
      <c r="B2453" s="565"/>
    </row>
    <row r="2454" spans="2:2">
      <c r="B2454" s="565"/>
    </row>
    <row r="2455" spans="2:2">
      <c r="B2455" s="565"/>
    </row>
    <row r="2456" spans="2:2">
      <c r="B2456" s="565"/>
    </row>
    <row r="2457" spans="2:2">
      <c r="B2457" s="565"/>
    </row>
    <row r="2458" spans="2:2">
      <c r="B2458" s="565"/>
    </row>
    <row r="2459" spans="2:2">
      <c r="B2459" s="565"/>
    </row>
    <row r="2460" spans="2:2">
      <c r="B2460" s="565"/>
    </row>
    <row r="2461" spans="2:2">
      <c r="B2461" s="565"/>
    </row>
    <row r="2462" spans="2:2">
      <c r="B2462" s="565"/>
    </row>
    <row r="2463" spans="2:2">
      <c r="B2463" s="565"/>
    </row>
    <row r="2464" spans="2:2">
      <c r="B2464" s="565"/>
    </row>
    <row r="2465" spans="2:2">
      <c r="B2465" s="565"/>
    </row>
    <row r="2466" spans="2:2">
      <c r="B2466" s="565"/>
    </row>
    <row r="2467" spans="2:2">
      <c r="B2467" s="565"/>
    </row>
    <row r="2468" spans="2:2">
      <c r="B2468" s="565"/>
    </row>
    <row r="2469" spans="2:2">
      <c r="B2469" s="565"/>
    </row>
    <row r="2470" spans="2:2">
      <c r="B2470" s="565"/>
    </row>
    <row r="2471" spans="2:2">
      <c r="B2471" s="565"/>
    </row>
    <row r="2472" spans="2:2">
      <c r="B2472" s="565"/>
    </row>
    <row r="2473" spans="2:2">
      <c r="B2473" s="565"/>
    </row>
    <row r="2474" spans="2:2">
      <c r="B2474" s="565"/>
    </row>
    <row r="2475" spans="2:2">
      <c r="B2475" s="565"/>
    </row>
    <row r="2476" spans="2:2">
      <c r="B2476" s="565"/>
    </row>
    <row r="2477" spans="2:2">
      <c r="B2477" s="565"/>
    </row>
    <row r="2478" spans="2:2">
      <c r="B2478" s="565"/>
    </row>
    <row r="2479" spans="2:2">
      <c r="B2479" s="565"/>
    </row>
    <row r="2480" spans="2:2">
      <c r="B2480" s="565"/>
    </row>
    <row r="2481" spans="2:2">
      <c r="B2481" s="565"/>
    </row>
    <row r="2482" spans="2:2">
      <c r="B2482" s="565"/>
    </row>
    <row r="2483" spans="2:2">
      <c r="B2483" s="565"/>
    </row>
    <row r="2484" spans="2:2">
      <c r="B2484" s="565"/>
    </row>
    <row r="2485" spans="2:2">
      <c r="B2485" s="565"/>
    </row>
    <row r="2486" spans="2:2">
      <c r="B2486" s="565"/>
    </row>
    <row r="2487" spans="2:2">
      <c r="B2487" s="565"/>
    </row>
    <row r="2488" spans="2:2">
      <c r="B2488" s="565"/>
    </row>
    <row r="2489" spans="2:2">
      <c r="B2489" s="565"/>
    </row>
    <row r="2490" spans="2:2">
      <c r="B2490" s="565"/>
    </row>
    <row r="2491" spans="2:2">
      <c r="B2491" s="565"/>
    </row>
    <row r="2492" spans="2:2">
      <c r="B2492" s="565"/>
    </row>
    <row r="2493" spans="2:2">
      <c r="B2493" s="565"/>
    </row>
    <row r="2494" spans="2:2">
      <c r="B2494" s="565"/>
    </row>
    <row r="2495" spans="2:2">
      <c r="B2495" s="565"/>
    </row>
    <row r="2496" spans="2:2">
      <c r="B2496" s="565"/>
    </row>
    <row r="2497" spans="2:2">
      <c r="B2497" s="565"/>
    </row>
    <row r="2498" spans="2:2">
      <c r="B2498" s="565"/>
    </row>
    <row r="2499" spans="2:2">
      <c r="B2499" s="565"/>
    </row>
    <row r="2500" spans="2:2">
      <c r="B2500" s="565"/>
    </row>
    <row r="2501" spans="2:2">
      <c r="B2501" s="565"/>
    </row>
    <row r="2502" spans="2:2">
      <c r="B2502" s="565"/>
    </row>
    <row r="2503" spans="2:2">
      <c r="B2503" s="565"/>
    </row>
    <row r="2504" spans="2:2">
      <c r="B2504" s="565"/>
    </row>
    <row r="2505" spans="2:2">
      <c r="B2505" s="565"/>
    </row>
    <row r="2506" spans="2:2">
      <c r="B2506" s="565"/>
    </row>
    <row r="2507" spans="2:2">
      <c r="B2507" s="565"/>
    </row>
    <row r="2508" spans="2:2">
      <c r="B2508" s="565"/>
    </row>
    <row r="2509" spans="2:2">
      <c r="B2509" s="565"/>
    </row>
    <row r="2510" spans="2:2">
      <c r="B2510" s="565"/>
    </row>
    <row r="2511" spans="2:2">
      <c r="B2511" s="565"/>
    </row>
    <row r="2512" spans="2:2">
      <c r="B2512" s="565"/>
    </row>
    <row r="2513" spans="2:2">
      <c r="B2513" s="565"/>
    </row>
    <row r="2514" spans="2:2">
      <c r="B2514" s="565"/>
    </row>
    <row r="2515" spans="2:2">
      <c r="B2515" s="565"/>
    </row>
    <row r="2516" spans="2:2">
      <c r="B2516" s="565"/>
    </row>
    <row r="2517" spans="2:2">
      <c r="B2517" s="565"/>
    </row>
    <row r="2518" spans="2:2">
      <c r="B2518" s="565"/>
    </row>
    <row r="2519" spans="2:2">
      <c r="B2519" s="565"/>
    </row>
    <row r="2520" spans="2:2">
      <c r="B2520" s="565"/>
    </row>
    <row r="2521" spans="2:2">
      <c r="B2521" s="565"/>
    </row>
    <row r="2522" spans="2:2">
      <c r="B2522" s="565"/>
    </row>
    <row r="2523" spans="2:2">
      <c r="B2523" s="565"/>
    </row>
    <row r="2524" spans="2:2">
      <c r="B2524" s="565"/>
    </row>
    <row r="2525" spans="2:2">
      <c r="B2525" s="565"/>
    </row>
    <row r="2526" spans="2:2">
      <c r="B2526" s="565"/>
    </row>
    <row r="2527" spans="2:2">
      <c r="B2527" s="565"/>
    </row>
    <row r="2528" spans="2:2">
      <c r="B2528" s="565"/>
    </row>
    <row r="2529" spans="2:2">
      <c r="B2529" s="565"/>
    </row>
    <row r="2530" spans="2:2">
      <c r="B2530" s="565"/>
    </row>
    <row r="2531" spans="2:2">
      <c r="B2531" s="565"/>
    </row>
    <row r="2532" spans="2:2">
      <c r="B2532" s="565"/>
    </row>
    <row r="2533" spans="2:2">
      <c r="B2533" s="565"/>
    </row>
    <row r="2534" spans="2:2">
      <c r="B2534" s="565"/>
    </row>
    <row r="2535" spans="2:2">
      <c r="B2535" s="565"/>
    </row>
    <row r="2536" spans="2:2">
      <c r="B2536" s="565"/>
    </row>
    <row r="2537" spans="2:2">
      <c r="B2537" s="565"/>
    </row>
    <row r="2538" spans="2:2">
      <c r="B2538" s="565"/>
    </row>
    <row r="2539" spans="2:2">
      <c r="B2539" s="565"/>
    </row>
    <row r="2540" spans="2:2">
      <c r="B2540" s="565"/>
    </row>
    <row r="2541" spans="2:2">
      <c r="B2541" s="565"/>
    </row>
    <row r="2542" spans="2:2">
      <c r="B2542" s="565"/>
    </row>
    <row r="2543" spans="2:2">
      <c r="B2543" s="565"/>
    </row>
    <row r="2544" spans="2:2">
      <c r="B2544" s="565"/>
    </row>
    <row r="2545" spans="2:2">
      <c r="B2545" s="565"/>
    </row>
    <row r="2546" spans="2:2">
      <c r="B2546" s="565"/>
    </row>
    <row r="2547" spans="2:2">
      <c r="B2547" s="565"/>
    </row>
    <row r="2548" spans="2:2">
      <c r="B2548" s="565"/>
    </row>
    <row r="2549" spans="2:2">
      <c r="B2549" s="565"/>
    </row>
    <row r="2550" spans="2:2">
      <c r="B2550" s="565"/>
    </row>
    <row r="2551" spans="2:2">
      <c r="B2551" s="565"/>
    </row>
    <row r="2552" spans="2:2">
      <c r="B2552" s="565"/>
    </row>
    <row r="2553" spans="2:2">
      <c r="B2553" s="565"/>
    </row>
    <row r="2554" spans="2:2">
      <c r="B2554" s="565"/>
    </row>
    <row r="2555" spans="2:2">
      <c r="B2555" s="565"/>
    </row>
    <row r="2556" spans="2:2">
      <c r="B2556" s="565"/>
    </row>
    <row r="2557" spans="2:2">
      <c r="B2557" s="565"/>
    </row>
    <row r="2558" spans="2:2">
      <c r="B2558" s="565"/>
    </row>
    <row r="2559" spans="2:2">
      <c r="B2559" s="565"/>
    </row>
    <row r="2560" spans="2:2">
      <c r="B2560" s="565"/>
    </row>
    <row r="2561" spans="2:2">
      <c r="B2561" s="565"/>
    </row>
    <row r="2562" spans="2:2">
      <c r="B2562" s="565"/>
    </row>
    <row r="2563" spans="2:2">
      <c r="B2563" s="565"/>
    </row>
    <row r="2564" spans="2:2">
      <c r="B2564" s="565"/>
    </row>
    <row r="2565" spans="2:2">
      <c r="B2565" s="565"/>
    </row>
    <row r="2566" spans="2:2">
      <c r="B2566" s="565"/>
    </row>
    <row r="2567" spans="2:2">
      <c r="B2567" s="565"/>
    </row>
    <row r="2568" spans="2:2">
      <c r="B2568" s="565"/>
    </row>
    <row r="2569" spans="2:2">
      <c r="B2569" s="565"/>
    </row>
    <row r="2570" spans="2:2">
      <c r="B2570" s="565"/>
    </row>
    <row r="2571" spans="2:2">
      <c r="B2571" s="565"/>
    </row>
    <row r="2572" spans="2:2">
      <c r="B2572" s="565"/>
    </row>
    <row r="2573" spans="2:2">
      <c r="B2573" s="565"/>
    </row>
    <row r="2574" spans="2:2">
      <c r="B2574" s="565"/>
    </row>
    <row r="2575" spans="2:2">
      <c r="B2575" s="565"/>
    </row>
    <row r="2576" spans="2:2">
      <c r="B2576" s="565"/>
    </row>
    <row r="2577" spans="2:2">
      <c r="B2577" s="565"/>
    </row>
    <row r="2578" spans="2:2">
      <c r="B2578" s="565"/>
    </row>
    <row r="2579" spans="2:2">
      <c r="B2579" s="565"/>
    </row>
    <row r="2580" spans="2:2">
      <c r="B2580" s="565"/>
    </row>
    <row r="2581" spans="2:2">
      <c r="B2581" s="565"/>
    </row>
    <row r="2582" spans="2:2">
      <c r="B2582" s="565"/>
    </row>
    <row r="2583" spans="2:2">
      <c r="B2583" s="565"/>
    </row>
    <row r="2584" spans="2:2">
      <c r="B2584" s="565"/>
    </row>
    <row r="2585" spans="2:2">
      <c r="B2585" s="565"/>
    </row>
    <row r="2586" spans="2:2">
      <c r="B2586" s="565"/>
    </row>
    <row r="2587" spans="2:2">
      <c r="B2587" s="565"/>
    </row>
    <row r="2588" spans="2:2">
      <c r="B2588" s="565"/>
    </row>
    <row r="2589" spans="2:2">
      <c r="B2589" s="565"/>
    </row>
    <row r="2590" spans="2:2">
      <c r="B2590" s="565"/>
    </row>
    <row r="2591" spans="2:2">
      <c r="B2591" s="565"/>
    </row>
    <row r="2592" spans="2:2">
      <c r="B2592" s="565"/>
    </row>
    <row r="2593" spans="2:2">
      <c r="B2593" s="565"/>
    </row>
    <row r="2594" spans="2:2">
      <c r="B2594" s="565"/>
    </row>
    <row r="2595" spans="2:2">
      <c r="B2595" s="565"/>
    </row>
    <row r="2596" spans="2:2">
      <c r="B2596" s="565"/>
    </row>
    <row r="2597" spans="2:2">
      <c r="B2597" s="565"/>
    </row>
    <row r="2598" spans="2:2">
      <c r="B2598" s="565"/>
    </row>
    <row r="2599" spans="2:2">
      <c r="B2599" s="565"/>
    </row>
    <row r="2600" spans="2:2">
      <c r="B2600" s="565"/>
    </row>
    <row r="2601" spans="2:2">
      <c r="B2601" s="565"/>
    </row>
    <row r="2602" spans="2:2">
      <c r="B2602" s="565"/>
    </row>
    <row r="2603" spans="2:2">
      <c r="B2603" s="565"/>
    </row>
    <row r="2604" spans="2:2">
      <c r="B2604" s="565"/>
    </row>
    <row r="2605" spans="2:2">
      <c r="B2605" s="565"/>
    </row>
    <row r="2606" spans="2:2">
      <c r="B2606" s="565"/>
    </row>
    <row r="2607" spans="2:2">
      <c r="B2607" s="565"/>
    </row>
    <row r="2608" spans="2:2">
      <c r="B2608" s="565"/>
    </row>
    <row r="2609" spans="2:2">
      <c r="B2609" s="565"/>
    </row>
    <row r="2610" spans="2:2">
      <c r="B2610" s="565"/>
    </row>
    <row r="2611" spans="2:2">
      <c r="B2611" s="565"/>
    </row>
    <row r="2612" spans="2:2">
      <c r="B2612" s="565"/>
    </row>
    <row r="2613" spans="2:2">
      <c r="B2613" s="565"/>
    </row>
    <row r="2614" spans="2:2">
      <c r="B2614" s="565"/>
    </row>
    <row r="2615" spans="2:2">
      <c r="B2615" s="565"/>
    </row>
    <row r="2616" spans="2:2">
      <c r="B2616" s="565"/>
    </row>
    <row r="2617" spans="2:2">
      <c r="B2617" s="565"/>
    </row>
    <row r="2618" spans="2:2">
      <c r="B2618" s="565"/>
    </row>
    <row r="2619" spans="2:2">
      <c r="B2619" s="565"/>
    </row>
    <row r="2620" spans="2:2">
      <c r="B2620" s="565"/>
    </row>
    <row r="2621" spans="2:2">
      <c r="B2621" s="565"/>
    </row>
    <row r="2622" spans="2:2">
      <c r="B2622" s="565"/>
    </row>
    <row r="2623" spans="2:2">
      <c r="B2623" s="565"/>
    </row>
    <row r="2624" spans="2:2">
      <c r="B2624" s="565"/>
    </row>
    <row r="2625" spans="2:2">
      <c r="B2625" s="565"/>
    </row>
    <row r="2626" spans="2:2">
      <c r="B2626" s="565"/>
    </row>
    <row r="2627" spans="2:2">
      <c r="B2627" s="565"/>
    </row>
    <row r="2628" spans="2:2">
      <c r="B2628" s="565"/>
    </row>
    <row r="2629" spans="2:2">
      <c r="B2629" s="565"/>
    </row>
    <row r="2630" spans="2:2">
      <c r="B2630" s="565"/>
    </row>
    <row r="2631" spans="2:2">
      <c r="B2631" s="565"/>
    </row>
    <row r="2632" spans="2:2">
      <c r="B2632" s="565"/>
    </row>
    <row r="2633" spans="2:2">
      <c r="B2633" s="565"/>
    </row>
    <row r="2634" spans="2:2">
      <c r="B2634" s="565"/>
    </row>
    <row r="2635" spans="2:2">
      <c r="B2635" s="565"/>
    </row>
    <row r="2636" spans="2:2">
      <c r="B2636" s="565"/>
    </row>
    <row r="2637" spans="2:2">
      <c r="B2637" s="565"/>
    </row>
    <row r="2638" spans="2:2">
      <c r="B2638" s="565"/>
    </row>
    <row r="2639" spans="2:2">
      <c r="B2639" s="565"/>
    </row>
    <row r="2640" spans="2:2">
      <c r="B2640" s="565"/>
    </row>
    <row r="2641" spans="2:2">
      <c r="B2641" s="565"/>
    </row>
    <row r="2642" spans="2:2">
      <c r="B2642" s="565"/>
    </row>
    <row r="2643" spans="2:2">
      <c r="B2643" s="565"/>
    </row>
    <row r="2644" spans="2:2">
      <c r="B2644" s="565"/>
    </row>
    <row r="2645" spans="2:2">
      <c r="B2645" s="565"/>
    </row>
    <row r="2646" spans="2:2">
      <c r="B2646" s="565"/>
    </row>
    <row r="2647" spans="2:2">
      <c r="B2647" s="565"/>
    </row>
    <row r="2648" spans="2:2">
      <c r="B2648" s="565"/>
    </row>
    <row r="2649" spans="2:2">
      <c r="B2649" s="565"/>
    </row>
    <row r="2650" spans="2:2">
      <c r="B2650" s="565"/>
    </row>
    <row r="2651" spans="2:2">
      <c r="B2651" s="565"/>
    </row>
    <row r="2652" spans="2:2">
      <c r="B2652" s="565"/>
    </row>
    <row r="2653" spans="2:2">
      <c r="B2653" s="565"/>
    </row>
    <row r="2654" spans="2:2">
      <c r="B2654" s="565"/>
    </row>
    <row r="2655" spans="2:2">
      <c r="B2655" s="565"/>
    </row>
    <row r="2656" spans="2:2">
      <c r="B2656" s="565"/>
    </row>
    <row r="2657" spans="2:2">
      <c r="B2657" s="565"/>
    </row>
    <row r="2658" spans="2:2">
      <c r="B2658" s="565"/>
    </row>
    <row r="2659" spans="2:2">
      <c r="B2659" s="565"/>
    </row>
    <row r="2660" spans="2:2">
      <c r="B2660" s="565"/>
    </row>
    <row r="2661" spans="2:2">
      <c r="B2661" s="565"/>
    </row>
    <row r="2662" spans="2:2">
      <c r="B2662" s="565"/>
    </row>
    <row r="2663" spans="2:2">
      <c r="B2663" s="565"/>
    </row>
    <row r="2664" spans="2:2">
      <c r="B2664" s="565"/>
    </row>
    <row r="2665" spans="2:2">
      <c r="B2665" s="565"/>
    </row>
    <row r="2666" spans="2:2">
      <c r="B2666" s="565"/>
    </row>
    <row r="2667" spans="2:2">
      <c r="B2667" s="565"/>
    </row>
    <row r="2668" spans="2:2">
      <c r="B2668" s="565"/>
    </row>
    <row r="2669" spans="2:2">
      <c r="B2669" s="565"/>
    </row>
    <row r="2670" spans="2:2">
      <c r="B2670" s="565"/>
    </row>
    <row r="2671" spans="2:2">
      <c r="B2671" s="565"/>
    </row>
    <row r="2672" spans="2:2">
      <c r="B2672" s="565"/>
    </row>
    <row r="2673" spans="2:2">
      <c r="B2673" s="565"/>
    </row>
    <row r="2674" spans="2:2">
      <c r="B2674" s="565"/>
    </row>
    <row r="2675" spans="2:2">
      <c r="B2675" s="565"/>
    </row>
    <row r="2676" spans="2:2">
      <c r="B2676" s="565"/>
    </row>
    <row r="2677" spans="2:2">
      <c r="B2677" s="565"/>
    </row>
    <row r="2678" spans="2:2">
      <c r="B2678" s="565"/>
    </row>
    <row r="2679" spans="2:2">
      <c r="B2679" s="565"/>
    </row>
    <row r="2680" spans="2:2">
      <c r="B2680" s="565"/>
    </row>
    <row r="2681" spans="2:2">
      <c r="B2681" s="565"/>
    </row>
    <row r="2682" spans="2:2">
      <c r="B2682" s="565"/>
    </row>
    <row r="2683" spans="2:2">
      <c r="B2683" s="565"/>
    </row>
    <row r="2684" spans="2:2">
      <c r="B2684" s="565"/>
    </row>
    <row r="2685" spans="2:2">
      <c r="B2685" s="565"/>
    </row>
    <row r="2686" spans="2:2">
      <c r="B2686" s="565"/>
    </row>
    <row r="2687" spans="2:2">
      <c r="B2687" s="565"/>
    </row>
    <row r="2688" spans="2:2">
      <c r="B2688" s="565"/>
    </row>
    <row r="2689" spans="2:2">
      <c r="B2689" s="565"/>
    </row>
    <row r="2690" spans="2:2">
      <c r="B2690" s="565"/>
    </row>
    <row r="2691" spans="2:2">
      <c r="B2691" s="565"/>
    </row>
    <row r="2692" spans="2:2">
      <c r="B2692" s="565"/>
    </row>
    <row r="2693" spans="2:2">
      <c r="B2693" s="565"/>
    </row>
    <row r="2694" spans="2:2">
      <c r="B2694" s="565"/>
    </row>
    <row r="2695" spans="2:2">
      <c r="B2695" s="565"/>
    </row>
    <row r="2696" spans="2:2">
      <c r="B2696" s="565"/>
    </row>
    <row r="2697" spans="2:2">
      <c r="B2697" s="565"/>
    </row>
    <row r="2698" spans="2:2">
      <c r="B2698" s="565"/>
    </row>
    <row r="2699" spans="2:2">
      <c r="B2699" s="565"/>
    </row>
    <row r="2700" spans="2:2">
      <c r="B2700" s="565"/>
    </row>
    <row r="2701" spans="2:2">
      <c r="B2701" s="565"/>
    </row>
    <row r="2702" spans="2:2">
      <c r="B2702" s="565"/>
    </row>
    <row r="2703" spans="2:2">
      <c r="B2703" s="565"/>
    </row>
    <row r="2704" spans="2:2">
      <c r="B2704" s="565"/>
    </row>
    <row r="2705" spans="2:2">
      <c r="B2705" s="565"/>
    </row>
    <row r="2706" spans="2:2">
      <c r="B2706" s="565"/>
    </row>
    <row r="2707" spans="2:2">
      <c r="B2707" s="565"/>
    </row>
    <row r="2708" spans="2:2">
      <c r="B2708" s="565"/>
    </row>
    <row r="2709" spans="2:2">
      <c r="B2709" s="565"/>
    </row>
    <row r="2710" spans="2:2">
      <c r="B2710" s="565"/>
    </row>
    <row r="2711" spans="2:2">
      <c r="B2711" s="565"/>
    </row>
    <row r="2712" spans="2:2">
      <c r="B2712" s="565"/>
    </row>
    <row r="2713" spans="2:2">
      <c r="B2713" s="565"/>
    </row>
    <row r="2714" spans="2:2">
      <c r="B2714" s="565"/>
    </row>
    <row r="2715" spans="2:2">
      <c r="B2715" s="565"/>
    </row>
    <row r="2716" spans="2:2">
      <c r="B2716" s="565"/>
    </row>
    <row r="2717" spans="2:2">
      <c r="B2717" s="565"/>
    </row>
    <row r="2718" spans="2:2">
      <c r="B2718" s="565"/>
    </row>
    <row r="2719" spans="2:2">
      <c r="B2719" s="565"/>
    </row>
    <row r="2720" spans="2:2">
      <c r="B2720" s="565"/>
    </row>
    <row r="2721" spans="2:2">
      <c r="B2721" s="565"/>
    </row>
    <row r="2722" spans="2:2">
      <c r="B2722" s="565"/>
    </row>
    <row r="2723" spans="2:2">
      <c r="B2723" s="565"/>
    </row>
    <row r="2724" spans="2:2">
      <c r="B2724" s="565"/>
    </row>
    <row r="2725" spans="2:2">
      <c r="B2725" s="565"/>
    </row>
    <row r="2726" spans="2:2">
      <c r="B2726" s="565"/>
    </row>
    <row r="2727" spans="2:2">
      <c r="B2727" s="565"/>
    </row>
    <row r="2728" spans="2:2">
      <c r="B2728" s="565"/>
    </row>
    <row r="2729" spans="2:2">
      <c r="B2729" s="565"/>
    </row>
    <row r="2730" spans="2:2">
      <c r="B2730" s="565"/>
    </row>
    <row r="2731" spans="2:2">
      <c r="B2731" s="565"/>
    </row>
    <row r="2732" spans="2:2">
      <c r="B2732" s="565"/>
    </row>
    <row r="2733" spans="2:2">
      <c r="B2733" s="565"/>
    </row>
    <row r="2734" spans="2:2">
      <c r="B2734" s="565"/>
    </row>
    <row r="2735" spans="2:2">
      <c r="B2735" s="565"/>
    </row>
    <row r="2736" spans="2:2">
      <c r="B2736" s="565"/>
    </row>
    <row r="2737" spans="2:2">
      <c r="B2737" s="565"/>
    </row>
    <row r="2738" spans="2:2">
      <c r="B2738" s="565"/>
    </row>
    <row r="2739" spans="2:2">
      <c r="B2739" s="565"/>
    </row>
    <row r="2740" spans="2:2">
      <c r="B2740" s="565"/>
    </row>
    <row r="2741" spans="2:2">
      <c r="B2741" s="565"/>
    </row>
    <row r="2742" spans="2:2">
      <c r="B2742" s="565"/>
    </row>
    <row r="2743" spans="2:2">
      <c r="B2743" s="565"/>
    </row>
    <row r="2744" spans="2:2">
      <c r="B2744" s="565"/>
    </row>
    <row r="2745" spans="2:2">
      <c r="B2745" s="565"/>
    </row>
    <row r="2746" spans="2:2">
      <c r="B2746" s="565"/>
    </row>
    <row r="2747" spans="2:2">
      <c r="B2747" s="565"/>
    </row>
    <row r="2748" spans="2:2">
      <c r="B2748" s="565"/>
    </row>
    <row r="2749" spans="2:2">
      <c r="B2749" s="565"/>
    </row>
    <row r="2750" spans="2:2">
      <c r="B2750" s="565"/>
    </row>
    <row r="2751" spans="2:2">
      <c r="B2751" s="565"/>
    </row>
    <row r="2752" spans="2:2">
      <c r="B2752" s="565"/>
    </row>
    <row r="2753" spans="2:2">
      <c r="B2753" s="565"/>
    </row>
    <row r="2754" spans="2:2">
      <c r="B2754" s="565"/>
    </row>
    <row r="2755" spans="2:2">
      <c r="B2755" s="565"/>
    </row>
    <row r="2756" spans="2:2">
      <c r="B2756" s="565"/>
    </row>
    <row r="2757" spans="2:2">
      <c r="B2757" s="565"/>
    </row>
    <row r="2758" spans="2:2">
      <c r="B2758" s="565"/>
    </row>
    <row r="2759" spans="2:2">
      <c r="B2759" s="565"/>
    </row>
    <row r="2760" spans="2:2">
      <c r="B2760" s="565"/>
    </row>
    <row r="2761" spans="2:2">
      <c r="B2761" s="565"/>
    </row>
    <row r="2762" spans="2:2">
      <c r="B2762" s="565"/>
    </row>
    <row r="2763" spans="2:2">
      <c r="B2763" s="565"/>
    </row>
    <row r="2764" spans="2:2">
      <c r="B2764" s="565"/>
    </row>
    <row r="2765" spans="2:2">
      <c r="B2765" s="565"/>
    </row>
    <row r="2766" spans="2:2">
      <c r="B2766" s="565"/>
    </row>
    <row r="2767" spans="2:2">
      <c r="B2767" s="565"/>
    </row>
    <row r="2768" spans="2:2">
      <c r="B2768" s="565"/>
    </row>
    <row r="2769" spans="2:2">
      <c r="B2769" s="565"/>
    </row>
    <row r="2770" spans="2:2">
      <c r="B2770" s="565"/>
    </row>
    <row r="2771" spans="2:2">
      <c r="B2771" s="565"/>
    </row>
    <row r="2772" spans="2:2">
      <c r="B2772" s="565"/>
    </row>
    <row r="2773" spans="2:2">
      <c r="B2773" s="565"/>
    </row>
    <row r="2774" spans="2:2">
      <c r="B2774" s="565"/>
    </row>
    <row r="2775" spans="2:2">
      <c r="B2775" s="565"/>
    </row>
    <row r="2776" spans="2:2">
      <c r="B2776" s="565"/>
    </row>
    <row r="2777" spans="2:2">
      <c r="B2777" s="565"/>
    </row>
    <row r="2778" spans="2:2">
      <c r="B2778" s="565"/>
    </row>
    <row r="2779" spans="2:2">
      <c r="B2779" s="565"/>
    </row>
    <row r="2780" spans="2:2">
      <c r="B2780" s="565"/>
    </row>
    <row r="2781" spans="2:2">
      <c r="B2781" s="565"/>
    </row>
    <row r="2782" spans="2:2">
      <c r="B2782" s="565"/>
    </row>
    <row r="2783" spans="2:2">
      <c r="B2783" s="565"/>
    </row>
    <row r="2784" spans="2:2">
      <c r="B2784" s="565"/>
    </row>
    <row r="2785" spans="2:2">
      <c r="B2785" s="565"/>
    </row>
    <row r="2786" spans="2:2">
      <c r="B2786" s="565"/>
    </row>
    <row r="2787" spans="2:2">
      <c r="B2787" s="565"/>
    </row>
    <row r="2788" spans="2:2">
      <c r="B2788" s="565"/>
    </row>
    <row r="2789" spans="2:2">
      <c r="B2789" s="565"/>
    </row>
    <row r="2790" spans="2:2">
      <c r="B2790" s="565"/>
    </row>
    <row r="2791" spans="2:2">
      <c r="B2791" s="565"/>
    </row>
    <row r="2792" spans="2:2">
      <c r="B2792" s="565"/>
    </row>
    <row r="2793" spans="2:2">
      <c r="B2793" s="565"/>
    </row>
    <row r="2794" spans="2:2">
      <c r="B2794" s="565"/>
    </row>
    <row r="2795" spans="2:2">
      <c r="B2795" s="565"/>
    </row>
    <row r="2796" spans="2:2">
      <c r="B2796" s="565"/>
    </row>
    <row r="2797" spans="2:2">
      <c r="B2797" s="565"/>
    </row>
    <row r="2798" spans="2:2">
      <c r="B2798" s="565"/>
    </row>
    <row r="2799" spans="2:2">
      <c r="B2799" s="565"/>
    </row>
    <row r="2800" spans="2:2">
      <c r="B2800" s="565"/>
    </row>
    <row r="2801" spans="2:2">
      <c r="B2801" s="565"/>
    </row>
    <row r="2802" spans="2:2">
      <c r="B2802" s="565"/>
    </row>
    <row r="2803" spans="2:2">
      <c r="B2803" s="565"/>
    </row>
    <row r="2804" spans="2:2">
      <c r="B2804" s="565"/>
    </row>
    <row r="2805" spans="2:2">
      <c r="B2805" s="565"/>
    </row>
    <row r="2806" spans="2:2">
      <c r="B2806" s="565"/>
    </row>
    <row r="2807" spans="2:2">
      <c r="B2807" s="565"/>
    </row>
    <row r="2808" spans="2:2">
      <c r="B2808" s="565"/>
    </row>
    <row r="2809" spans="2:2">
      <c r="B2809" s="565"/>
    </row>
    <row r="2810" spans="2:2">
      <c r="B2810" s="565"/>
    </row>
    <row r="2811" spans="2:2">
      <c r="B2811" s="565"/>
    </row>
    <row r="2812" spans="2:2">
      <c r="B2812" s="565"/>
    </row>
    <row r="2813" spans="2:2">
      <c r="B2813" s="565"/>
    </row>
    <row r="2814" spans="2:2">
      <c r="B2814" s="565"/>
    </row>
    <row r="2815" spans="2:2">
      <c r="B2815" s="565"/>
    </row>
    <row r="2816" spans="2:2">
      <c r="B2816" s="565"/>
    </row>
    <row r="2817" spans="2:2">
      <c r="B2817" s="565"/>
    </row>
    <row r="2818" spans="2:2">
      <c r="B2818" s="565"/>
    </row>
    <row r="2819" spans="2:2">
      <c r="B2819" s="565"/>
    </row>
    <row r="2820" spans="2:2">
      <c r="B2820" s="565"/>
    </row>
    <row r="2821" spans="2:2">
      <c r="B2821" s="565"/>
    </row>
    <row r="2822" spans="2:2">
      <c r="B2822" s="565"/>
    </row>
    <row r="2823" spans="2:2">
      <c r="B2823" s="565"/>
    </row>
    <row r="2824" spans="2:2">
      <c r="B2824" s="565"/>
    </row>
    <row r="2825" spans="2:2">
      <c r="B2825" s="565"/>
    </row>
    <row r="2826" spans="2:2">
      <c r="B2826" s="565"/>
    </row>
    <row r="2827" spans="2:2">
      <c r="B2827" s="565"/>
    </row>
    <row r="2828" spans="2:2">
      <c r="B2828" s="565"/>
    </row>
    <row r="2829" spans="2:2">
      <c r="B2829" s="565"/>
    </row>
    <row r="2830" spans="2:2">
      <c r="B2830" s="565"/>
    </row>
    <row r="2831" spans="2:2">
      <c r="B2831" s="565"/>
    </row>
    <row r="2832" spans="2:2">
      <c r="B2832" s="565"/>
    </row>
    <row r="2833" spans="2:2">
      <c r="B2833" s="565"/>
    </row>
    <row r="2834" spans="2:2">
      <c r="B2834" s="565"/>
    </row>
    <row r="2835" spans="2:2">
      <c r="B2835" s="565"/>
    </row>
    <row r="2836" spans="2:2">
      <c r="B2836" s="565"/>
    </row>
    <row r="2837" spans="2:2">
      <c r="B2837" s="565"/>
    </row>
    <row r="2838" spans="2:2">
      <c r="B2838" s="565"/>
    </row>
    <row r="2839" spans="2:2">
      <c r="B2839" s="565"/>
    </row>
    <row r="2840" spans="2:2">
      <c r="B2840" s="565"/>
    </row>
    <row r="2841" spans="2:2">
      <c r="B2841" s="565"/>
    </row>
    <row r="2842" spans="2:2">
      <c r="B2842" s="565"/>
    </row>
    <row r="2843" spans="2:2">
      <c r="B2843" s="565"/>
    </row>
    <row r="2844" spans="2:2">
      <c r="B2844" s="565"/>
    </row>
    <row r="2845" spans="2:2">
      <c r="B2845" s="565"/>
    </row>
    <row r="2846" spans="2:2">
      <c r="B2846" s="565"/>
    </row>
    <row r="2847" spans="2:2">
      <c r="B2847" s="565"/>
    </row>
    <row r="2848" spans="2:2">
      <c r="B2848" s="565"/>
    </row>
    <row r="2849" spans="2:2">
      <c r="B2849" s="565"/>
    </row>
    <row r="2850" spans="2:2">
      <c r="B2850" s="565"/>
    </row>
    <row r="2851" spans="2:2">
      <c r="B2851" s="565"/>
    </row>
    <row r="2852" spans="2:2">
      <c r="B2852" s="565"/>
    </row>
    <row r="2853" spans="2:2">
      <c r="B2853" s="565"/>
    </row>
    <row r="2854" spans="2:2">
      <c r="B2854" s="565"/>
    </row>
    <row r="2855" spans="2:2">
      <c r="B2855" s="565"/>
    </row>
    <row r="2856" spans="2:2">
      <c r="B2856" s="565"/>
    </row>
    <row r="2857" spans="2:2">
      <c r="B2857" s="565"/>
    </row>
    <row r="2858" spans="2:2">
      <c r="B2858" s="565"/>
    </row>
    <row r="2859" spans="2:2">
      <c r="B2859" s="565"/>
    </row>
    <row r="2860" spans="2:2">
      <c r="B2860" s="565"/>
    </row>
    <row r="2861" spans="2:2">
      <c r="B2861" s="565"/>
    </row>
    <row r="2862" spans="2:2">
      <c r="B2862" s="565"/>
    </row>
    <row r="2863" spans="2:2">
      <c r="B2863" s="565"/>
    </row>
    <row r="2864" spans="2:2">
      <c r="B2864" s="565"/>
    </row>
    <row r="2865" spans="2:2">
      <c r="B2865" s="565"/>
    </row>
    <row r="2866" spans="2:2">
      <c r="B2866" s="565"/>
    </row>
    <row r="2867" spans="2:2">
      <c r="B2867" s="565"/>
    </row>
    <row r="2868" spans="2:2">
      <c r="B2868" s="565"/>
    </row>
    <row r="2869" spans="2:2">
      <c r="B2869" s="565"/>
    </row>
    <row r="2870" spans="2:2">
      <c r="B2870" s="565"/>
    </row>
    <row r="2871" spans="2:2">
      <c r="B2871" s="565"/>
    </row>
    <row r="2872" spans="2:2">
      <c r="B2872" s="565"/>
    </row>
    <row r="2873" spans="2:2">
      <c r="B2873" s="565"/>
    </row>
    <row r="2874" spans="2:2">
      <c r="B2874" s="565"/>
    </row>
    <row r="2875" spans="2:2">
      <c r="B2875" s="565"/>
    </row>
    <row r="2876" spans="2:2">
      <c r="B2876" s="565"/>
    </row>
    <row r="2877" spans="2:2">
      <c r="B2877" s="565"/>
    </row>
    <row r="2878" spans="2:2">
      <c r="B2878" s="565"/>
    </row>
    <row r="2879" spans="2:2">
      <c r="B2879" s="565"/>
    </row>
    <row r="2880" spans="2:2">
      <c r="B2880" s="565"/>
    </row>
    <row r="2881" spans="2:2">
      <c r="B2881" s="565"/>
    </row>
    <row r="2882" spans="2:2">
      <c r="B2882" s="565"/>
    </row>
    <row r="2883" spans="2:2">
      <c r="B2883" s="565"/>
    </row>
    <row r="2884" spans="2:2">
      <c r="B2884" s="565"/>
    </row>
    <row r="2885" spans="2:2">
      <c r="B2885" s="565"/>
    </row>
    <row r="2886" spans="2:2">
      <c r="B2886" s="565"/>
    </row>
    <row r="2887" spans="2:2">
      <c r="B2887" s="565"/>
    </row>
    <row r="2888" spans="2:2">
      <c r="B2888" s="565"/>
    </row>
    <row r="2889" spans="2:2">
      <c r="B2889" s="565"/>
    </row>
    <row r="2890" spans="2:2">
      <c r="B2890" s="565"/>
    </row>
    <row r="2891" spans="2:2">
      <c r="B2891" s="565"/>
    </row>
    <row r="2892" spans="2:2">
      <c r="B2892" s="565"/>
    </row>
    <row r="2893" spans="2:2">
      <c r="B2893" s="565"/>
    </row>
    <row r="2894" spans="2:2">
      <c r="B2894" s="565"/>
    </row>
    <row r="2895" spans="2:2">
      <c r="B2895" s="565"/>
    </row>
    <row r="2896" spans="2:2">
      <c r="B2896" s="565"/>
    </row>
    <row r="2897" spans="2:2">
      <c r="B2897" s="565"/>
    </row>
    <row r="2898" spans="2:2">
      <c r="B2898" s="565"/>
    </row>
    <row r="2899" spans="2:2">
      <c r="B2899" s="565"/>
    </row>
    <row r="2900" spans="2:2">
      <c r="B2900" s="565"/>
    </row>
    <row r="2901" spans="2:2">
      <c r="B2901" s="565"/>
    </row>
    <row r="2902" spans="2:2">
      <c r="B2902" s="565"/>
    </row>
    <row r="2903" spans="2:2">
      <c r="B2903" s="565"/>
    </row>
    <row r="2904" spans="2:2">
      <c r="B2904" s="565"/>
    </row>
    <row r="2905" spans="2:2">
      <c r="B2905" s="565"/>
    </row>
    <row r="2906" spans="2:2">
      <c r="B2906" s="565"/>
    </row>
    <row r="2907" spans="2:2">
      <c r="B2907" s="565"/>
    </row>
    <row r="2908" spans="2:2">
      <c r="B2908" s="565"/>
    </row>
    <row r="2909" spans="2:2">
      <c r="B2909" s="565"/>
    </row>
    <row r="2910" spans="2:2">
      <c r="B2910" s="565"/>
    </row>
    <row r="2911" spans="2:2">
      <c r="B2911" s="565"/>
    </row>
    <row r="2912" spans="2:2">
      <c r="B2912" s="565"/>
    </row>
    <row r="2913" spans="2:2">
      <c r="B2913" s="565"/>
    </row>
    <row r="2914" spans="2:2">
      <c r="B2914" s="565"/>
    </row>
    <row r="2915" spans="2:2">
      <c r="B2915" s="565"/>
    </row>
    <row r="2916" spans="2:2">
      <c r="B2916" s="565"/>
    </row>
    <row r="2917" spans="2:2">
      <c r="B2917" s="565"/>
    </row>
    <row r="2918" spans="2:2">
      <c r="B2918" s="565"/>
    </row>
    <row r="2919" spans="2:2">
      <c r="B2919" s="565"/>
    </row>
    <row r="2920" spans="2:2">
      <c r="B2920" s="565"/>
    </row>
    <row r="2921" spans="2:2">
      <c r="B2921" s="565"/>
    </row>
    <row r="2922" spans="2:2">
      <c r="B2922" s="565"/>
    </row>
    <row r="2923" spans="2:2">
      <c r="B2923" s="565"/>
    </row>
    <row r="2924" spans="2:2">
      <c r="B2924" s="565"/>
    </row>
    <row r="2925" spans="2:2">
      <c r="B2925" s="565"/>
    </row>
    <row r="2926" spans="2:2">
      <c r="B2926" s="565"/>
    </row>
    <row r="2927" spans="2:2">
      <c r="B2927" s="565"/>
    </row>
    <row r="2928" spans="2:2">
      <c r="B2928" s="565"/>
    </row>
    <row r="2929" spans="2:2">
      <c r="B2929" s="565"/>
    </row>
    <row r="2930" spans="2:2">
      <c r="B2930" s="565"/>
    </row>
    <row r="2931" spans="2:2">
      <c r="B2931" s="565"/>
    </row>
    <row r="2932" spans="2:2">
      <c r="B2932" s="565"/>
    </row>
    <row r="2933" spans="2:2">
      <c r="B2933" s="565"/>
    </row>
    <row r="2934" spans="2:2">
      <c r="B2934" s="565"/>
    </row>
    <row r="2935" spans="2:2">
      <c r="B2935" s="565"/>
    </row>
    <row r="2936" spans="2:2">
      <c r="B2936" s="565"/>
    </row>
    <row r="2937" spans="2:2">
      <c r="B2937" s="565"/>
    </row>
    <row r="2938" spans="2:2">
      <c r="B2938" s="565"/>
    </row>
    <row r="2939" spans="2:2">
      <c r="B2939" s="565"/>
    </row>
    <row r="2940" spans="2:2">
      <c r="B2940" s="565"/>
    </row>
    <row r="2941" spans="2:2">
      <c r="B2941" s="565"/>
    </row>
    <row r="2942" spans="2:2">
      <c r="B2942" s="565"/>
    </row>
    <row r="2943" spans="2:2">
      <c r="B2943" s="565"/>
    </row>
    <row r="2944" spans="2:2">
      <c r="B2944" s="565"/>
    </row>
    <row r="2945" spans="2:2">
      <c r="B2945" s="565"/>
    </row>
    <row r="2946" spans="2:2">
      <c r="B2946" s="565"/>
    </row>
    <row r="2947" spans="2:2">
      <c r="B2947" s="565"/>
    </row>
    <row r="2948" spans="2:2">
      <c r="B2948" s="565"/>
    </row>
    <row r="2949" spans="2:2">
      <c r="B2949" s="565"/>
    </row>
    <row r="2950" spans="2:2">
      <c r="B2950" s="565"/>
    </row>
    <row r="2951" spans="2:2">
      <c r="B2951" s="565"/>
    </row>
    <row r="2952" spans="2:2">
      <c r="B2952" s="565"/>
    </row>
    <row r="2953" spans="2:2">
      <c r="B2953" s="565"/>
    </row>
    <row r="2954" spans="2:2">
      <c r="B2954" s="565"/>
    </row>
    <row r="2955" spans="2:2">
      <c r="B2955" s="565"/>
    </row>
    <row r="2956" spans="2:2">
      <c r="B2956" s="565"/>
    </row>
    <row r="2957" spans="2:2">
      <c r="B2957" s="565"/>
    </row>
    <row r="2958" spans="2:2">
      <c r="B2958" s="565"/>
    </row>
    <row r="2959" spans="2:2">
      <c r="B2959" s="565"/>
    </row>
    <row r="2960" spans="2:2">
      <c r="B2960" s="565"/>
    </row>
    <row r="2961" spans="2:2">
      <c r="B2961" s="565"/>
    </row>
    <row r="2962" spans="2:2">
      <c r="B2962" s="565"/>
    </row>
    <row r="2963" spans="2:2">
      <c r="B2963" s="565"/>
    </row>
    <row r="2964" spans="2:2">
      <c r="B2964" s="565"/>
    </row>
    <row r="2965" spans="2:2">
      <c r="B2965" s="565"/>
    </row>
    <row r="2966" spans="2:2">
      <c r="B2966" s="565"/>
    </row>
    <row r="2967" spans="2:2">
      <c r="B2967" s="565"/>
    </row>
    <row r="2968" spans="2:2">
      <c r="B2968" s="565"/>
    </row>
    <row r="2969" spans="2:2">
      <c r="B2969" s="565"/>
    </row>
    <row r="2970" spans="2:2">
      <c r="B2970" s="565"/>
    </row>
    <row r="2971" spans="2:2">
      <c r="B2971" s="565"/>
    </row>
    <row r="2972" spans="2:2">
      <c r="B2972" s="565"/>
    </row>
    <row r="2973" spans="2:2">
      <c r="B2973" s="565"/>
    </row>
    <row r="2974" spans="2:2">
      <c r="B2974" s="565"/>
    </row>
    <row r="2975" spans="2:2">
      <c r="B2975" s="565"/>
    </row>
    <row r="2976" spans="2:2">
      <c r="B2976" s="565"/>
    </row>
    <row r="2977" spans="2:2">
      <c r="B2977" s="565"/>
    </row>
    <row r="2978" spans="2:2">
      <c r="B2978" s="565"/>
    </row>
    <row r="2979" spans="2:2">
      <c r="B2979" s="565"/>
    </row>
    <row r="2980" spans="2:2">
      <c r="B2980" s="565"/>
    </row>
    <row r="2981" spans="2:2">
      <c r="B2981" s="565"/>
    </row>
    <row r="2982" spans="2:2">
      <c r="B2982" s="565"/>
    </row>
    <row r="2983" spans="2:2">
      <c r="B2983" s="565"/>
    </row>
    <row r="2984" spans="2:2">
      <c r="B2984" s="565"/>
    </row>
    <row r="2985" spans="2:2">
      <c r="B2985" s="565"/>
    </row>
    <row r="2986" spans="2:2">
      <c r="B2986" s="565"/>
    </row>
    <row r="2987" spans="2:2">
      <c r="B2987" s="565"/>
    </row>
    <row r="2988" spans="2:2">
      <c r="B2988" s="565"/>
    </row>
    <row r="2989" spans="2:2">
      <c r="B2989" s="565"/>
    </row>
    <row r="2990" spans="2:2">
      <c r="B2990" s="565"/>
    </row>
    <row r="2991" spans="2:2">
      <c r="B2991" s="565"/>
    </row>
    <row r="2992" spans="2:2">
      <c r="B2992" s="565"/>
    </row>
    <row r="2993" spans="2:2">
      <c r="B2993" s="565"/>
    </row>
    <row r="2994" spans="2:2">
      <c r="B2994" s="565"/>
    </row>
    <row r="2995" spans="2:2">
      <c r="B2995" s="565"/>
    </row>
    <row r="2996" spans="2:2">
      <c r="B2996" s="565"/>
    </row>
    <row r="2997" spans="2:2">
      <c r="B2997" s="565"/>
    </row>
    <row r="2998" spans="2:2">
      <c r="B2998" s="565"/>
    </row>
    <row r="2999" spans="2:2">
      <c r="B2999" s="565"/>
    </row>
    <row r="3000" spans="2:2">
      <c r="B3000" s="565"/>
    </row>
    <row r="3001" spans="2:2">
      <c r="B3001" s="565"/>
    </row>
    <row r="3002" spans="2:2">
      <c r="B3002" s="565"/>
    </row>
    <row r="3003" spans="2:2">
      <c r="B3003" s="565"/>
    </row>
    <row r="3004" spans="2:2">
      <c r="B3004" s="565"/>
    </row>
    <row r="3005" spans="2:2">
      <c r="B3005" s="565"/>
    </row>
    <row r="3006" spans="2:2">
      <c r="B3006" s="565"/>
    </row>
    <row r="3007" spans="2:2">
      <c r="B3007" s="565"/>
    </row>
    <row r="3008" spans="2:2">
      <c r="B3008" s="565"/>
    </row>
    <row r="3009" spans="2:2">
      <c r="B3009" s="565"/>
    </row>
    <row r="3010" spans="2:2">
      <c r="B3010" s="565"/>
    </row>
    <row r="3011" spans="2:2">
      <c r="B3011" s="565"/>
    </row>
    <row r="3012" spans="2:2">
      <c r="B3012" s="565"/>
    </row>
    <row r="3013" spans="2:2">
      <c r="B3013" s="565"/>
    </row>
    <row r="3014" spans="2:2">
      <c r="B3014" s="565"/>
    </row>
    <row r="3015" spans="2:2">
      <c r="B3015" s="565"/>
    </row>
    <row r="3016" spans="2:2">
      <c r="B3016" s="565"/>
    </row>
    <row r="3017" spans="2:2">
      <c r="B3017" s="565"/>
    </row>
    <row r="3018" spans="2:2">
      <c r="B3018" s="565"/>
    </row>
    <row r="3019" spans="2:2">
      <c r="B3019" s="565"/>
    </row>
    <row r="3020" spans="2:2">
      <c r="B3020" s="565"/>
    </row>
    <row r="3021" spans="2:2">
      <c r="B3021" s="565"/>
    </row>
    <row r="3022" spans="2:2">
      <c r="B3022" s="565"/>
    </row>
    <row r="3023" spans="2:2">
      <c r="B3023" s="565"/>
    </row>
    <row r="3024" spans="2:2">
      <c r="B3024" s="565"/>
    </row>
    <row r="3025" spans="2:2">
      <c r="B3025" s="565"/>
    </row>
    <row r="3026" spans="2:2">
      <c r="B3026" s="565"/>
    </row>
    <row r="3027" spans="2:2">
      <c r="B3027" s="565"/>
    </row>
    <row r="3028" spans="2:2">
      <c r="B3028" s="565"/>
    </row>
    <row r="3029" spans="2:2">
      <c r="B3029" s="565"/>
    </row>
    <row r="3030" spans="2:2">
      <c r="B3030" s="565"/>
    </row>
    <row r="3031" spans="2:2">
      <c r="B3031" s="565"/>
    </row>
    <row r="3032" spans="2:2">
      <c r="B3032" s="565"/>
    </row>
    <row r="3033" spans="2:2">
      <c r="B3033" s="565"/>
    </row>
    <row r="3034" spans="2:2">
      <c r="B3034" s="565"/>
    </row>
    <row r="3035" spans="2:2">
      <c r="B3035" s="565"/>
    </row>
    <row r="3036" spans="2:2">
      <c r="B3036" s="565"/>
    </row>
    <row r="3037" spans="2:2">
      <c r="B3037" s="565"/>
    </row>
    <row r="3038" spans="2:2">
      <c r="B3038" s="565"/>
    </row>
    <row r="3039" spans="2:2">
      <c r="B3039" s="565"/>
    </row>
    <row r="3040" spans="2:2">
      <c r="B3040" s="565"/>
    </row>
    <row r="3041" spans="2:2">
      <c r="B3041" s="565"/>
    </row>
    <row r="3042" spans="2:2">
      <c r="B3042" s="565"/>
    </row>
    <row r="3043" spans="2:2">
      <c r="B3043" s="565"/>
    </row>
    <row r="3044" spans="2:2">
      <c r="B3044" s="565"/>
    </row>
    <row r="3045" spans="2:2">
      <c r="B3045" s="565"/>
    </row>
    <row r="3046" spans="2:2">
      <c r="B3046" s="565"/>
    </row>
    <row r="3047" spans="2:2">
      <c r="B3047" s="565"/>
    </row>
    <row r="3048" spans="2:2">
      <c r="B3048" s="565"/>
    </row>
    <row r="3049" spans="2:2">
      <c r="B3049" s="565"/>
    </row>
    <row r="3050" spans="2:2">
      <c r="B3050" s="565"/>
    </row>
    <row r="3051" spans="2:2">
      <c r="B3051" s="565"/>
    </row>
    <row r="3052" spans="2:2">
      <c r="B3052" s="565"/>
    </row>
    <row r="3053" spans="2:2">
      <c r="B3053" s="565"/>
    </row>
    <row r="3054" spans="2:2">
      <c r="B3054" s="565"/>
    </row>
    <row r="3055" spans="2:2">
      <c r="B3055" s="565"/>
    </row>
    <row r="3056" spans="2:2">
      <c r="B3056" s="565"/>
    </row>
    <row r="3057" spans="2:2">
      <c r="B3057" s="565"/>
    </row>
    <row r="3058" spans="2:2">
      <c r="B3058" s="565"/>
    </row>
    <row r="3059" spans="2:2">
      <c r="B3059" s="565"/>
    </row>
    <row r="3060" spans="2:2">
      <c r="B3060" s="565"/>
    </row>
    <row r="3061" spans="2:2">
      <c r="B3061" s="565"/>
    </row>
    <row r="3062" spans="2:2">
      <c r="B3062" s="565"/>
    </row>
    <row r="3063" spans="2:2">
      <c r="B3063" s="565"/>
    </row>
    <row r="3064" spans="2:2">
      <c r="B3064" s="565"/>
    </row>
    <row r="3065" spans="2:2">
      <c r="B3065" s="565"/>
    </row>
    <row r="3066" spans="2:2">
      <c r="B3066" s="565"/>
    </row>
    <row r="3067" spans="2:2">
      <c r="B3067" s="565"/>
    </row>
    <row r="3068" spans="2:2">
      <c r="B3068" s="565"/>
    </row>
    <row r="3069" spans="2:2">
      <c r="B3069" s="565"/>
    </row>
    <row r="3070" spans="2:2">
      <c r="B3070" s="565"/>
    </row>
    <row r="3071" spans="2:2">
      <c r="B3071" s="565"/>
    </row>
    <row r="3072" spans="2:2">
      <c r="B3072" s="565"/>
    </row>
    <row r="3073" spans="2:2">
      <c r="B3073" s="565"/>
    </row>
    <row r="3074" spans="2:2">
      <c r="B3074" s="565"/>
    </row>
    <row r="3075" spans="2:2">
      <c r="B3075" s="565"/>
    </row>
    <row r="3076" spans="2:2">
      <c r="B3076" s="565"/>
    </row>
    <row r="3077" spans="2:2">
      <c r="B3077" s="565"/>
    </row>
    <row r="3078" spans="2:2">
      <c r="B3078" s="565"/>
    </row>
    <row r="3079" spans="2:2">
      <c r="B3079" s="565"/>
    </row>
    <row r="3080" spans="2:2">
      <c r="B3080" s="565"/>
    </row>
    <row r="3081" spans="2:2">
      <c r="B3081" s="565"/>
    </row>
    <row r="3082" spans="2:2">
      <c r="B3082" s="565"/>
    </row>
    <row r="3083" spans="2:2">
      <c r="B3083" s="565"/>
    </row>
    <row r="3084" spans="2:2">
      <c r="B3084" s="565"/>
    </row>
    <row r="3085" spans="2:2">
      <c r="B3085" s="565"/>
    </row>
    <row r="3086" spans="2:2">
      <c r="B3086" s="565"/>
    </row>
    <row r="3087" spans="2:2">
      <c r="B3087" s="565"/>
    </row>
    <row r="3088" spans="2:2">
      <c r="B3088" s="565"/>
    </row>
    <row r="3089" spans="2:2">
      <c r="B3089" s="565"/>
    </row>
    <row r="3090" spans="2:2">
      <c r="B3090" s="565"/>
    </row>
    <row r="3091" spans="2:2">
      <c r="B3091" s="565"/>
    </row>
    <row r="3092" spans="2:2">
      <c r="B3092" s="565"/>
    </row>
    <row r="3093" spans="2:2">
      <c r="B3093" s="565"/>
    </row>
    <row r="3094" spans="2:2">
      <c r="B3094" s="565"/>
    </row>
    <row r="3095" spans="2:2">
      <c r="B3095" s="565"/>
    </row>
    <row r="3096" spans="2:2">
      <c r="B3096" s="565"/>
    </row>
    <row r="3097" spans="2:2">
      <c r="B3097" s="565"/>
    </row>
    <row r="3098" spans="2:2">
      <c r="B3098" s="565"/>
    </row>
    <row r="3099" spans="2:2">
      <c r="B3099" s="565"/>
    </row>
    <row r="3100" spans="2:2">
      <c r="B3100" s="565"/>
    </row>
    <row r="3101" spans="2:2">
      <c r="B3101" s="565"/>
    </row>
    <row r="3102" spans="2:2">
      <c r="B3102" s="565"/>
    </row>
    <row r="3103" spans="2:2">
      <c r="B3103" s="565"/>
    </row>
    <row r="3104" spans="2:2">
      <c r="B3104" s="565"/>
    </row>
    <row r="3105" spans="2:2">
      <c r="B3105" s="565"/>
    </row>
    <row r="3106" spans="2:2">
      <c r="B3106" s="565"/>
    </row>
    <row r="3107" spans="2:2">
      <c r="B3107" s="565"/>
    </row>
    <row r="3108" spans="2:2">
      <c r="B3108" s="565"/>
    </row>
    <row r="3109" spans="2:2">
      <c r="B3109" s="565"/>
    </row>
    <row r="3110" spans="2:2">
      <c r="B3110" s="565"/>
    </row>
    <row r="3111" spans="2:2">
      <c r="B3111" s="565"/>
    </row>
    <row r="3112" spans="2:2">
      <c r="B3112" s="565"/>
    </row>
    <row r="3113" spans="2:2">
      <c r="B3113" s="565"/>
    </row>
    <row r="3114" spans="2:2">
      <c r="B3114" s="565"/>
    </row>
    <row r="3115" spans="2:2">
      <c r="B3115" s="565"/>
    </row>
    <row r="3116" spans="2:2">
      <c r="B3116" s="565"/>
    </row>
    <row r="3117" spans="2:2">
      <c r="B3117" s="565"/>
    </row>
    <row r="3118" spans="2:2">
      <c r="B3118" s="565"/>
    </row>
    <row r="3119" spans="2:2">
      <c r="B3119" s="565"/>
    </row>
    <row r="3120" spans="2:2">
      <c r="B3120" s="565"/>
    </row>
    <row r="3121" spans="2:2">
      <c r="B3121" s="565"/>
    </row>
    <row r="3122" spans="2:2">
      <c r="B3122" s="565"/>
    </row>
    <row r="3123" spans="2:2">
      <c r="B3123" s="565"/>
    </row>
    <row r="3124" spans="2:2">
      <c r="B3124" s="565"/>
    </row>
    <row r="3125" spans="2:2">
      <c r="B3125" s="565"/>
    </row>
    <row r="3126" spans="2:2">
      <c r="B3126" s="565"/>
    </row>
    <row r="3127" spans="2:2">
      <c r="B3127" s="565"/>
    </row>
    <row r="3128" spans="2:2">
      <c r="B3128" s="565"/>
    </row>
    <row r="3129" spans="2:2">
      <c r="B3129" s="565"/>
    </row>
    <row r="3130" spans="2:2">
      <c r="B3130" s="565"/>
    </row>
    <row r="3131" spans="2:2">
      <c r="B3131" s="565"/>
    </row>
    <row r="3132" spans="2:2">
      <c r="B3132" s="565"/>
    </row>
    <row r="3133" spans="2:2">
      <c r="B3133" s="565"/>
    </row>
    <row r="3134" spans="2:2">
      <c r="B3134" s="565"/>
    </row>
    <row r="3135" spans="2:2">
      <c r="B3135" s="565"/>
    </row>
    <row r="3136" spans="2:2">
      <c r="B3136" s="565"/>
    </row>
    <row r="3137" spans="2:2">
      <c r="B3137" s="565"/>
    </row>
    <row r="3138" spans="2:2">
      <c r="B3138" s="565"/>
    </row>
    <row r="3139" spans="2:2">
      <c r="B3139" s="565"/>
    </row>
    <row r="3140" spans="2:2">
      <c r="B3140" s="565"/>
    </row>
    <row r="3141" spans="2:2">
      <c r="B3141" s="565"/>
    </row>
    <row r="3142" spans="2:2">
      <c r="B3142" s="565"/>
    </row>
    <row r="3143" spans="2:2">
      <c r="B3143" s="565"/>
    </row>
    <row r="3144" spans="2:2">
      <c r="B3144" s="565"/>
    </row>
    <row r="3145" spans="2:2">
      <c r="B3145" s="565"/>
    </row>
    <row r="3146" spans="2:2">
      <c r="B3146" s="565"/>
    </row>
    <row r="3147" spans="2:2">
      <c r="B3147" s="565"/>
    </row>
    <row r="3148" spans="2:2">
      <c r="B3148" s="565"/>
    </row>
    <row r="3149" spans="2:2">
      <c r="B3149" s="565"/>
    </row>
    <row r="3150" spans="2:2">
      <c r="B3150" s="565"/>
    </row>
    <row r="3151" spans="2:2">
      <c r="B3151" s="565"/>
    </row>
    <row r="3152" spans="2:2">
      <c r="B3152" s="565"/>
    </row>
    <row r="3153" spans="2:2">
      <c r="B3153" s="565"/>
    </row>
    <row r="3154" spans="2:2">
      <c r="B3154" s="565"/>
    </row>
    <row r="3155" spans="2:2">
      <c r="B3155" s="565"/>
    </row>
    <row r="3156" spans="2:2">
      <c r="B3156" s="565"/>
    </row>
    <row r="3157" spans="2:2">
      <c r="B3157" s="565"/>
    </row>
    <row r="3158" spans="2:2">
      <c r="B3158" s="565"/>
    </row>
    <row r="3159" spans="2:2">
      <c r="B3159" s="565"/>
    </row>
    <row r="3160" spans="2:2">
      <c r="B3160" s="565"/>
    </row>
    <row r="3161" spans="2:2">
      <c r="B3161" s="565"/>
    </row>
    <row r="3162" spans="2:2">
      <c r="B3162" s="565"/>
    </row>
    <row r="3163" spans="2:2">
      <c r="B3163" s="565"/>
    </row>
    <row r="3164" spans="2:2">
      <c r="B3164" s="565"/>
    </row>
    <row r="3165" spans="2:2">
      <c r="B3165" s="565"/>
    </row>
    <row r="3166" spans="2:2">
      <c r="B3166" s="565"/>
    </row>
    <row r="3167" spans="2:2">
      <c r="B3167" s="565"/>
    </row>
    <row r="3168" spans="2:2">
      <c r="B3168" s="565"/>
    </row>
    <row r="3169" spans="2:2">
      <c r="B3169" s="565"/>
    </row>
    <row r="3170" spans="2:2">
      <c r="B3170" s="565"/>
    </row>
    <row r="3171" spans="2:2">
      <c r="B3171" s="565"/>
    </row>
    <row r="3172" spans="2:2">
      <c r="B3172" s="565"/>
    </row>
    <row r="3173" spans="2:2">
      <c r="B3173" s="565"/>
    </row>
    <row r="3174" spans="2:2">
      <c r="B3174" s="565"/>
    </row>
    <row r="3175" spans="2:2">
      <c r="B3175" s="565"/>
    </row>
    <row r="3176" spans="2:2">
      <c r="B3176" s="565"/>
    </row>
    <row r="3177" spans="2:2">
      <c r="B3177" s="565"/>
    </row>
    <row r="3178" spans="2:2">
      <c r="B3178" s="565"/>
    </row>
    <row r="3179" spans="2:2">
      <c r="B3179" s="565"/>
    </row>
    <row r="3180" spans="2:2">
      <c r="B3180" s="565"/>
    </row>
    <row r="3181" spans="2:2">
      <c r="B3181" s="565"/>
    </row>
    <row r="3182" spans="2:2">
      <c r="B3182" s="565"/>
    </row>
    <row r="3183" spans="2:2">
      <c r="B3183" s="565"/>
    </row>
    <row r="3184" spans="2:2">
      <c r="B3184" s="565"/>
    </row>
    <row r="3185" spans="2:2">
      <c r="B3185" s="565"/>
    </row>
    <row r="3186" spans="2:2">
      <c r="B3186" s="565"/>
    </row>
    <row r="3187" spans="2:2">
      <c r="B3187" s="565"/>
    </row>
    <row r="3188" spans="2:2">
      <c r="B3188" s="565"/>
    </row>
    <row r="3189" spans="2:2">
      <c r="B3189" s="565"/>
    </row>
    <row r="3190" spans="2:2">
      <c r="B3190" s="565"/>
    </row>
    <row r="3191" spans="2:2">
      <c r="B3191" s="565"/>
    </row>
    <row r="3192" spans="2:2">
      <c r="B3192" s="565"/>
    </row>
    <row r="3193" spans="2:2">
      <c r="B3193" s="565"/>
    </row>
    <row r="3194" spans="2:2">
      <c r="B3194" s="565"/>
    </row>
    <row r="3195" spans="2:2">
      <c r="B3195" s="565"/>
    </row>
    <row r="3196" spans="2:2">
      <c r="B3196" s="565"/>
    </row>
    <row r="3197" spans="2:2">
      <c r="B3197" s="565"/>
    </row>
    <row r="3198" spans="2:2">
      <c r="B3198" s="565"/>
    </row>
    <row r="3199" spans="2:2">
      <c r="B3199" s="565"/>
    </row>
    <row r="3200" spans="2:2">
      <c r="B3200" s="565"/>
    </row>
    <row r="3201" spans="2:2">
      <c r="B3201" s="565"/>
    </row>
    <row r="3202" spans="2:2">
      <c r="B3202" s="565"/>
    </row>
    <row r="3203" spans="2:2">
      <c r="B3203" s="565"/>
    </row>
    <row r="3204" spans="2:2">
      <c r="B3204" s="565"/>
    </row>
    <row r="3205" spans="2:2">
      <c r="B3205" s="565"/>
    </row>
    <row r="3206" spans="2:2">
      <c r="B3206" s="565"/>
    </row>
    <row r="3207" spans="2:2">
      <c r="B3207" s="565"/>
    </row>
    <row r="3208" spans="2:2">
      <c r="B3208" s="565"/>
    </row>
    <row r="3209" spans="2:2">
      <c r="B3209" s="565"/>
    </row>
    <row r="3210" spans="2:2">
      <c r="B3210" s="565"/>
    </row>
    <row r="3211" spans="2:2">
      <c r="B3211" s="565"/>
    </row>
    <row r="3212" spans="2:2">
      <c r="B3212" s="565"/>
    </row>
    <row r="3213" spans="2:2">
      <c r="B3213" s="565"/>
    </row>
    <row r="3214" spans="2:2">
      <c r="B3214" s="565"/>
    </row>
    <row r="3215" spans="2:2">
      <c r="B3215" s="565"/>
    </row>
    <row r="3216" spans="2:2">
      <c r="B3216" s="565"/>
    </row>
    <row r="3217" spans="2:2">
      <c r="B3217" s="565"/>
    </row>
    <row r="3218" spans="2:2">
      <c r="B3218" s="565"/>
    </row>
    <row r="3219" spans="2:2">
      <c r="B3219" s="565"/>
    </row>
    <row r="3220" spans="2:2">
      <c r="B3220" s="565"/>
    </row>
    <row r="3221" spans="2:2">
      <c r="B3221" s="565"/>
    </row>
    <row r="3222" spans="2:2">
      <c r="B3222" s="565"/>
    </row>
    <row r="3223" spans="2:2">
      <c r="B3223" s="565"/>
    </row>
    <row r="3224" spans="2:2">
      <c r="B3224" s="565"/>
    </row>
    <row r="3225" spans="2:2">
      <c r="B3225" s="565"/>
    </row>
    <row r="3226" spans="2:2">
      <c r="B3226" s="565"/>
    </row>
    <row r="3227" spans="2:2">
      <c r="B3227" s="565"/>
    </row>
    <row r="3228" spans="2:2">
      <c r="B3228" s="565"/>
    </row>
    <row r="3229" spans="2:2">
      <c r="B3229" s="565"/>
    </row>
    <row r="3230" spans="2:2">
      <c r="B3230" s="565"/>
    </row>
    <row r="3231" spans="2:2">
      <c r="B3231" s="565"/>
    </row>
    <row r="3232" spans="2:2">
      <c r="B3232" s="565"/>
    </row>
    <row r="3233" spans="2:2">
      <c r="B3233" s="565"/>
    </row>
    <row r="3234" spans="2:2">
      <c r="B3234" s="565"/>
    </row>
    <row r="3235" spans="2:2">
      <c r="B3235" s="565"/>
    </row>
    <row r="3236" spans="2:2">
      <c r="B3236" s="565"/>
    </row>
    <row r="3237" spans="2:2">
      <c r="B3237" s="565"/>
    </row>
    <row r="3238" spans="2:2">
      <c r="B3238" s="565"/>
    </row>
    <row r="3239" spans="2:2">
      <c r="B3239" s="565"/>
    </row>
    <row r="3240" spans="2:2">
      <c r="B3240" s="565"/>
    </row>
    <row r="3241" spans="2:2">
      <c r="B3241" s="565"/>
    </row>
    <row r="3242" spans="2:2">
      <c r="B3242" s="565"/>
    </row>
    <row r="3243" spans="2:2">
      <c r="B3243" s="565"/>
    </row>
    <row r="3244" spans="2:2">
      <c r="B3244" s="565"/>
    </row>
    <row r="3245" spans="2:2">
      <c r="B3245" s="565"/>
    </row>
    <row r="3246" spans="2:2">
      <c r="B3246" s="565"/>
    </row>
    <row r="3247" spans="2:2">
      <c r="B3247" s="565"/>
    </row>
    <row r="3248" spans="2:2">
      <c r="B3248" s="565"/>
    </row>
    <row r="3249" spans="2:2">
      <c r="B3249" s="565"/>
    </row>
    <row r="3250" spans="2:2">
      <c r="B3250" s="565"/>
    </row>
    <row r="3251" spans="2:2">
      <c r="B3251" s="565"/>
    </row>
    <row r="3252" spans="2:2">
      <c r="B3252" s="565"/>
    </row>
    <row r="3253" spans="2:2">
      <c r="B3253" s="565"/>
    </row>
    <row r="3254" spans="2:2">
      <c r="B3254" s="565"/>
    </row>
    <row r="3255" spans="2:2">
      <c r="B3255" s="565"/>
    </row>
    <row r="3256" spans="2:2">
      <c r="B3256" s="565"/>
    </row>
    <row r="3257" spans="2:2">
      <c r="B3257" s="565"/>
    </row>
    <row r="3258" spans="2:2">
      <c r="B3258" s="565"/>
    </row>
    <row r="3259" spans="2:2">
      <c r="B3259" s="565"/>
    </row>
    <row r="3260" spans="2:2">
      <c r="B3260" s="565"/>
    </row>
    <row r="3261" spans="2:2">
      <c r="B3261" s="565"/>
    </row>
    <row r="3262" spans="2:2">
      <c r="B3262" s="565"/>
    </row>
    <row r="3263" spans="2:2">
      <c r="B3263" s="565"/>
    </row>
    <row r="3264" spans="2:2">
      <c r="B3264" s="565"/>
    </row>
    <row r="3265" spans="2:2">
      <c r="B3265" s="565"/>
    </row>
    <row r="3266" spans="2:2">
      <c r="B3266" s="565"/>
    </row>
    <row r="3267" spans="2:2">
      <c r="B3267" s="565"/>
    </row>
    <row r="3268" spans="2:2">
      <c r="B3268" s="565"/>
    </row>
    <row r="3269" spans="2:2">
      <c r="B3269" s="565"/>
    </row>
    <row r="3270" spans="2:2">
      <c r="B3270" s="565"/>
    </row>
    <row r="3271" spans="2:2">
      <c r="B3271" s="565"/>
    </row>
    <row r="3272" spans="2:2">
      <c r="B3272" s="565"/>
    </row>
    <row r="3273" spans="2:2">
      <c r="B3273" s="565"/>
    </row>
    <row r="3274" spans="2:2">
      <c r="B3274" s="565"/>
    </row>
    <row r="3275" spans="2:2">
      <c r="B3275" s="565"/>
    </row>
    <row r="3276" spans="2:2">
      <c r="B3276" s="565"/>
    </row>
    <row r="3277" spans="2:2">
      <c r="B3277" s="565"/>
    </row>
    <row r="3278" spans="2:2">
      <c r="B3278" s="565"/>
    </row>
    <row r="3279" spans="2:2">
      <c r="B3279" s="565"/>
    </row>
    <row r="3280" spans="2:2">
      <c r="B3280" s="565"/>
    </row>
    <row r="3281" spans="2:2">
      <c r="B3281" s="565"/>
    </row>
    <row r="3282" spans="2:2">
      <c r="B3282" s="565"/>
    </row>
    <row r="3283" spans="2:2">
      <c r="B3283" s="565"/>
    </row>
    <row r="3284" spans="2:2">
      <c r="B3284" s="565"/>
    </row>
    <row r="3285" spans="2:2">
      <c r="B3285" s="565"/>
    </row>
    <row r="3286" spans="2:2">
      <c r="B3286" s="565"/>
    </row>
    <row r="3287" spans="2:2">
      <c r="B3287" s="565"/>
    </row>
    <row r="3288" spans="2:2">
      <c r="B3288" s="565"/>
    </row>
    <row r="3289" spans="2:2">
      <c r="B3289" s="565"/>
    </row>
    <row r="3290" spans="2:2">
      <c r="B3290" s="565"/>
    </row>
    <row r="3291" spans="2:2">
      <c r="B3291" s="565"/>
    </row>
    <row r="3292" spans="2:2">
      <c r="B3292" s="565"/>
    </row>
    <row r="3293" spans="2:2">
      <c r="B3293" s="565"/>
    </row>
    <row r="3294" spans="2:2">
      <c r="B3294" s="565"/>
    </row>
    <row r="3295" spans="2:2">
      <c r="B3295" s="565"/>
    </row>
    <row r="3296" spans="2:2">
      <c r="B3296" s="565"/>
    </row>
    <row r="3297" spans="2:2">
      <c r="B3297" s="565"/>
    </row>
    <row r="3298" spans="2:2">
      <c r="B3298" s="565"/>
    </row>
    <row r="3299" spans="2:2">
      <c r="B3299" s="565"/>
    </row>
    <row r="3300" spans="2:2">
      <c r="B3300" s="565"/>
    </row>
    <row r="3301" spans="2:2">
      <c r="B3301" s="565"/>
    </row>
    <row r="3302" spans="2:2">
      <c r="B3302" s="565"/>
    </row>
    <row r="3303" spans="2:2">
      <c r="B3303" s="565"/>
    </row>
    <row r="3304" spans="2:2">
      <c r="B3304" s="565"/>
    </row>
    <row r="3305" spans="2:2">
      <c r="B3305" s="565"/>
    </row>
    <row r="3306" spans="2:2">
      <c r="B3306" s="565"/>
    </row>
    <row r="3307" spans="2:2">
      <c r="B3307" s="565"/>
    </row>
    <row r="3308" spans="2:2">
      <c r="B3308" s="565"/>
    </row>
    <row r="3309" spans="2:2">
      <c r="B3309" s="565"/>
    </row>
    <row r="3310" spans="2:2">
      <c r="B3310" s="565"/>
    </row>
    <row r="3311" spans="2:2">
      <c r="B3311" s="565"/>
    </row>
    <row r="3312" spans="2:2">
      <c r="B3312" s="565"/>
    </row>
    <row r="3313" spans="2:2">
      <c r="B3313" s="565"/>
    </row>
    <row r="3314" spans="2:2">
      <c r="B3314" s="565"/>
    </row>
    <row r="3315" spans="2:2">
      <c r="B3315" s="565"/>
    </row>
    <row r="3316" spans="2:2">
      <c r="B3316" s="565"/>
    </row>
    <row r="3317" spans="2:2">
      <c r="B3317" s="565"/>
    </row>
    <row r="3318" spans="2:2">
      <c r="B3318" s="565"/>
    </row>
    <row r="3319" spans="2:2">
      <c r="B3319" s="565"/>
    </row>
    <row r="3320" spans="2:2">
      <c r="B3320" s="565"/>
    </row>
    <row r="3321" spans="2:2">
      <c r="B3321" s="565"/>
    </row>
    <row r="3322" spans="2:2">
      <c r="B3322" s="565"/>
    </row>
    <row r="3323" spans="2:2">
      <c r="B3323" s="565"/>
    </row>
    <row r="3324" spans="2:2">
      <c r="B3324" s="565"/>
    </row>
    <row r="3325" spans="2:2">
      <c r="B3325" s="565"/>
    </row>
    <row r="3326" spans="2:2">
      <c r="B3326" s="565"/>
    </row>
    <row r="3327" spans="2:2">
      <c r="B3327" s="565"/>
    </row>
    <row r="3328" spans="2:2">
      <c r="B3328" s="565"/>
    </row>
    <row r="3329" spans="2:2">
      <c r="B3329" s="565"/>
    </row>
    <row r="3330" spans="2:2">
      <c r="B3330" s="565"/>
    </row>
    <row r="3331" spans="2:2">
      <c r="B3331" s="565"/>
    </row>
    <row r="3332" spans="2:2">
      <c r="B3332" s="565"/>
    </row>
    <row r="3333" spans="2:2">
      <c r="B3333" s="565"/>
    </row>
    <row r="3334" spans="2:2">
      <c r="B3334" s="565"/>
    </row>
    <row r="3335" spans="2:2">
      <c r="B3335" s="565"/>
    </row>
    <row r="3336" spans="2:2">
      <c r="B3336" s="565"/>
    </row>
    <row r="3337" spans="2:2">
      <c r="B3337" s="565"/>
    </row>
    <row r="3338" spans="2:2">
      <c r="B3338" s="565"/>
    </row>
    <row r="3339" spans="2:2">
      <c r="B3339" s="565"/>
    </row>
    <row r="3340" spans="2:2">
      <c r="B3340" s="565"/>
    </row>
    <row r="3341" spans="2:2">
      <c r="B3341" s="565"/>
    </row>
    <row r="3342" spans="2:2">
      <c r="B3342" s="565"/>
    </row>
    <row r="3343" spans="2:2">
      <c r="B3343" s="565"/>
    </row>
    <row r="3344" spans="2:2">
      <c r="B3344" s="565"/>
    </row>
    <row r="3345" spans="2:2">
      <c r="B3345" s="565"/>
    </row>
    <row r="3346" spans="2:2">
      <c r="B3346" s="565"/>
    </row>
    <row r="3347" spans="2:2">
      <c r="B3347" s="565"/>
    </row>
    <row r="3348" spans="2:2">
      <c r="B3348" s="565"/>
    </row>
    <row r="3349" spans="2:2">
      <c r="B3349" s="565"/>
    </row>
    <row r="3350" spans="2:2">
      <c r="B3350" s="565"/>
    </row>
    <row r="3351" spans="2:2">
      <c r="B3351" s="565"/>
    </row>
    <row r="3352" spans="2:2">
      <c r="B3352" s="565"/>
    </row>
    <row r="3353" spans="2:2">
      <c r="B3353" s="565"/>
    </row>
    <row r="3354" spans="2:2">
      <c r="B3354" s="565"/>
    </row>
    <row r="3355" spans="2:2">
      <c r="B3355" s="565"/>
    </row>
    <row r="3356" spans="2:2">
      <c r="B3356" s="565"/>
    </row>
    <row r="3357" spans="2:2">
      <c r="B3357" s="565"/>
    </row>
    <row r="3358" spans="2:2">
      <c r="B3358" s="565"/>
    </row>
    <row r="3359" spans="2:2">
      <c r="B3359" s="565"/>
    </row>
    <row r="3360" spans="2:2">
      <c r="B3360" s="565"/>
    </row>
    <row r="3361" spans="2:2">
      <c r="B3361" s="565"/>
    </row>
    <row r="3362" spans="2:2">
      <c r="B3362" s="565"/>
    </row>
    <row r="3363" spans="2:2">
      <c r="B3363" s="565"/>
    </row>
    <row r="3364" spans="2:2">
      <c r="B3364" s="565"/>
    </row>
    <row r="3365" spans="2:2">
      <c r="B3365" s="565"/>
    </row>
    <row r="3366" spans="2:2">
      <c r="B3366" s="565"/>
    </row>
    <row r="3367" spans="2:2">
      <c r="B3367" s="565"/>
    </row>
    <row r="3368" spans="2:2">
      <c r="B3368" s="565"/>
    </row>
    <row r="3369" spans="2:2">
      <c r="B3369" s="565"/>
    </row>
    <row r="3370" spans="2:2">
      <c r="B3370" s="565"/>
    </row>
    <row r="3371" spans="2:2">
      <c r="B3371" s="565"/>
    </row>
    <row r="3372" spans="2:2">
      <c r="B3372" s="565"/>
    </row>
    <row r="3373" spans="2:2">
      <c r="B3373" s="565"/>
    </row>
    <row r="3374" spans="2:2">
      <c r="B3374" s="565"/>
    </row>
    <row r="3375" spans="2:2">
      <c r="B3375" s="565"/>
    </row>
    <row r="3376" spans="2:2">
      <c r="B3376" s="565"/>
    </row>
    <row r="3377" spans="2:2">
      <c r="B3377" s="565"/>
    </row>
    <row r="3378" spans="2:2">
      <c r="B3378" s="565"/>
    </row>
    <row r="3379" spans="2:2">
      <c r="B3379" s="565"/>
    </row>
    <row r="3380" spans="2:2">
      <c r="B3380" s="565"/>
    </row>
    <row r="3381" spans="2:2">
      <c r="B3381" s="565"/>
    </row>
    <row r="3382" spans="2:2">
      <c r="B3382" s="565"/>
    </row>
    <row r="3383" spans="2:2">
      <c r="B3383" s="565"/>
    </row>
    <row r="3384" spans="2:2">
      <c r="B3384" s="565"/>
    </row>
    <row r="3385" spans="2:2">
      <c r="B3385" s="565"/>
    </row>
    <row r="3386" spans="2:2">
      <c r="B3386" s="565"/>
    </row>
    <row r="3387" spans="2:2">
      <c r="B3387" s="565"/>
    </row>
    <row r="3388" spans="2:2">
      <c r="B3388" s="565"/>
    </row>
    <row r="3389" spans="2:2">
      <c r="B3389" s="565"/>
    </row>
    <row r="3390" spans="2:2">
      <c r="B3390" s="565"/>
    </row>
    <row r="3391" spans="2:2">
      <c r="B3391" s="565"/>
    </row>
    <row r="3392" spans="2:2">
      <c r="B3392" s="565"/>
    </row>
    <row r="3393" spans="2:2">
      <c r="B3393" s="565"/>
    </row>
    <row r="3394" spans="2:2">
      <c r="B3394" s="565"/>
    </row>
    <row r="3395" spans="2:2">
      <c r="B3395" s="565"/>
    </row>
    <row r="3396" spans="2:2">
      <c r="B3396" s="565"/>
    </row>
    <row r="3397" spans="2:2">
      <c r="B3397" s="565"/>
    </row>
    <row r="3398" spans="2:2">
      <c r="B3398" s="565"/>
    </row>
    <row r="3399" spans="2:2">
      <c r="B3399" s="565"/>
    </row>
    <row r="3400" spans="2:2">
      <c r="B3400" s="565"/>
    </row>
    <row r="3401" spans="2:2">
      <c r="B3401" s="565"/>
    </row>
    <row r="3402" spans="2:2">
      <c r="B3402" s="565"/>
    </row>
    <row r="3403" spans="2:2">
      <c r="B3403" s="565"/>
    </row>
    <row r="3404" spans="2:2">
      <c r="B3404" s="565"/>
    </row>
    <row r="3405" spans="2:2">
      <c r="B3405" s="565"/>
    </row>
    <row r="3406" spans="2:2">
      <c r="B3406" s="565"/>
    </row>
    <row r="3407" spans="2:2">
      <c r="B3407" s="565"/>
    </row>
    <row r="3408" spans="2:2">
      <c r="B3408" s="565"/>
    </row>
    <row r="3409" spans="2:2">
      <c r="B3409" s="565"/>
    </row>
    <row r="3410" spans="2:2">
      <c r="B3410" s="565"/>
    </row>
    <row r="3411" spans="2:2">
      <c r="B3411" s="565"/>
    </row>
    <row r="3412" spans="2:2">
      <c r="B3412" s="565"/>
    </row>
    <row r="3413" spans="2:2">
      <c r="B3413" s="565"/>
    </row>
    <row r="3414" spans="2:2">
      <c r="B3414" s="565"/>
    </row>
    <row r="3415" spans="2:2">
      <c r="B3415" s="565"/>
    </row>
    <row r="3416" spans="2:2">
      <c r="B3416" s="565"/>
    </row>
    <row r="3417" spans="2:2">
      <c r="B3417" s="565"/>
    </row>
    <row r="3418" spans="2:2">
      <c r="B3418" s="565"/>
    </row>
    <row r="3419" spans="2:2">
      <c r="B3419" s="565"/>
    </row>
    <row r="3420" spans="2:2">
      <c r="B3420" s="565"/>
    </row>
    <row r="3421" spans="2:2">
      <c r="B3421" s="565"/>
    </row>
    <row r="3422" spans="2:2">
      <c r="B3422" s="565"/>
    </row>
    <row r="3423" spans="2:2">
      <c r="B3423" s="565"/>
    </row>
    <row r="3424" spans="2:2">
      <c r="B3424" s="565"/>
    </row>
    <row r="3425" spans="2:2">
      <c r="B3425" s="565"/>
    </row>
    <row r="3426" spans="2:2">
      <c r="B3426" s="565"/>
    </row>
    <row r="3427" spans="2:2">
      <c r="B3427" s="565"/>
    </row>
    <row r="3428" spans="2:2">
      <c r="B3428" s="565"/>
    </row>
    <row r="3429" spans="2:2">
      <c r="B3429" s="565"/>
    </row>
    <row r="3430" spans="2:2">
      <c r="B3430" s="565"/>
    </row>
    <row r="3431" spans="2:2">
      <c r="B3431" s="565"/>
    </row>
    <row r="3432" spans="2:2">
      <c r="B3432" s="565"/>
    </row>
    <row r="3433" spans="2:2">
      <c r="B3433" s="565"/>
    </row>
    <row r="3434" spans="2:2">
      <c r="B3434" s="565"/>
    </row>
    <row r="3435" spans="2:2">
      <c r="B3435" s="565"/>
    </row>
    <row r="3436" spans="2:2">
      <c r="B3436" s="565"/>
    </row>
    <row r="3437" spans="2:2">
      <c r="B3437" s="565"/>
    </row>
    <row r="3438" spans="2:2">
      <c r="B3438" s="565"/>
    </row>
    <row r="3439" spans="2:2">
      <c r="B3439" s="565"/>
    </row>
    <row r="3440" spans="2:2">
      <c r="B3440" s="565"/>
    </row>
    <row r="3441" spans="2:2">
      <c r="B3441" s="565"/>
    </row>
    <row r="3442" spans="2:2">
      <c r="B3442" s="565"/>
    </row>
    <row r="3443" spans="2:2">
      <c r="B3443" s="565"/>
    </row>
    <row r="3444" spans="2:2">
      <c r="B3444" s="565"/>
    </row>
    <row r="3445" spans="2:2">
      <c r="B3445" s="565"/>
    </row>
    <row r="3446" spans="2:2">
      <c r="B3446" s="565"/>
    </row>
    <row r="3447" spans="2:2">
      <c r="B3447" s="565"/>
    </row>
    <row r="3448" spans="2:2">
      <c r="B3448" s="565"/>
    </row>
    <row r="3449" spans="2:2">
      <c r="B3449" s="565"/>
    </row>
    <row r="3450" spans="2:2">
      <c r="B3450" s="565"/>
    </row>
    <row r="3451" spans="2:2">
      <c r="B3451" s="565"/>
    </row>
    <row r="3452" spans="2:2">
      <c r="B3452" s="565"/>
    </row>
    <row r="3453" spans="2:2">
      <c r="B3453" s="565"/>
    </row>
    <row r="3454" spans="2:2">
      <c r="B3454" s="565"/>
    </row>
    <row r="3455" spans="2:2">
      <c r="B3455" s="565"/>
    </row>
    <row r="3456" spans="2:2">
      <c r="B3456" s="565"/>
    </row>
    <row r="3457" spans="2:2">
      <c r="B3457" s="565"/>
    </row>
    <row r="3458" spans="2:2">
      <c r="B3458" s="565"/>
    </row>
    <row r="3459" spans="2:2">
      <c r="B3459" s="565"/>
    </row>
    <row r="3460" spans="2:2">
      <c r="B3460" s="565"/>
    </row>
    <row r="3461" spans="2:2">
      <c r="B3461" s="565"/>
    </row>
    <row r="3462" spans="2:2">
      <c r="B3462" s="565"/>
    </row>
    <row r="3463" spans="2:2">
      <c r="B3463" s="565"/>
    </row>
    <row r="3464" spans="2:2">
      <c r="B3464" s="565"/>
    </row>
    <row r="3465" spans="2:2">
      <c r="B3465" s="565"/>
    </row>
    <row r="3466" spans="2:2">
      <c r="B3466" s="565"/>
    </row>
    <row r="3467" spans="2:2">
      <c r="B3467" s="565"/>
    </row>
    <row r="3468" spans="2:2">
      <c r="B3468" s="565"/>
    </row>
    <row r="3469" spans="2:2">
      <c r="B3469" s="565"/>
    </row>
    <row r="3470" spans="2:2">
      <c r="B3470" s="565"/>
    </row>
    <row r="3471" spans="2:2">
      <c r="B3471" s="565"/>
    </row>
    <row r="3472" spans="2:2">
      <c r="B3472" s="565"/>
    </row>
    <row r="3473" spans="2:2">
      <c r="B3473" s="565"/>
    </row>
    <row r="3474" spans="2:2">
      <c r="B3474" s="565"/>
    </row>
    <row r="3475" spans="2:2">
      <c r="B3475" s="565"/>
    </row>
    <row r="3476" spans="2:2">
      <c r="B3476" s="565"/>
    </row>
    <row r="3477" spans="2:2">
      <c r="B3477" s="565"/>
    </row>
    <row r="3478" spans="2:2">
      <c r="B3478" s="565"/>
    </row>
    <row r="3479" spans="2:2">
      <c r="B3479" s="565"/>
    </row>
    <row r="3480" spans="2:2">
      <c r="B3480" s="565"/>
    </row>
    <row r="3481" spans="2:2">
      <c r="B3481" s="565"/>
    </row>
    <row r="3482" spans="2:2">
      <c r="B3482" s="565"/>
    </row>
    <row r="3483" spans="2:2">
      <c r="B3483" s="565"/>
    </row>
    <row r="3484" spans="2:2">
      <c r="B3484" s="565"/>
    </row>
    <row r="3485" spans="2:2">
      <c r="B3485" s="565"/>
    </row>
    <row r="3486" spans="2:2">
      <c r="B3486" s="565"/>
    </row>
    <row r="3487" spans="2:2">
      <c r="B3487" s="565"/>
    </row>
    <row r="3488" spans="2:2">
      <c r="B3488" s="565"/>
    </row>
    <row r="3489" spans="2:2">
      <c r="B3489" s="565"/>
    </row>
    <row r="3490" spans="2:2">
      <c r="B3490" s="565"/>
    </row>
    <row r="3491" spans="2:2">
      <c r="B3491" s="565"/>
    </row>
    <row r="3492" spans="2:2">
      <c r="B3492" s="565"/>
    </row>
    <row r="3493" spans="2:2">
      <c r="B3493" s="565"/>
    </row>
    <row r="3494" spans="2:2">
      <c r="B3494" s="565"/>
    </row>
    <row r="3495" spans="2:2">
      <c r="B3495" s="565"/>
    </row>
    <row r="3496" spans="2:2">
      <c r="B3496" s="565"/>
    </row>
    <row r="3497" spans="2:2">
      <c r="B3497" s="565"/>
    </row>
    <row r="3498" spans="2:2">
      <c r="B3498" s="565"/>
    </row>
    <row r="3499" spans="2:2">
      <c r="B3499" s="565"/>
    </row>
    <row r="3500" spans="2:2">
      <c r="B3500" s="565"/>
    </row>
    <row r="3501" spans="2:2">
      <c r="B3501" s="565"/>
    </row>
    <row r="3502" spans="2:2">
      <c r="B3502" s="565"/>
    </row>
    <row r="3503" spans="2:2">
      <c r="B3503" s="565"/>
    </row>
    <row r="3504" spans="2:2">
      <c r="B3504" s="565"/>
    </row>
    <row r="3505" spans="2:2">
      <c r="B3505" s="565"/>
    </row>
    <row r="3506" spans="2:2">
      <c r="B3506" s="565"/>
    </row>
    <row r="3507" spans="2:2">
      <c r="B3507" s="565"/>
    </row>
    <row r="3508" spans="2:2">
      <c r="B3508" s="565"/>
    </row>
    <row r="3509" spans="2:2">
      <c r="B3509" s="565"/>
    </row>
    <row r="3510" spans="2:2">
      <c r="B3510" s="565"/>
    </row>
    <row r="3511" spans="2:2">
      <c r="B3511" s="565"/>
    </row>
    <row r="3512" spans="2:2">
      <c r="B3512" s="565"/>
    </row>
    <row r="3513" spans="2:2">
      <c r="B3513" s="565"/>
    </row>
    <row r="3514" spans="2:2">
      <c r="B3514" s="565"/>
    </row>
    <row r="3515" spans="2:2">
      <c r="B3515" s="565"/>
    </row>
    <row r="3516" spans="2:2">
      <c r="B3516" s="565"/>
    </row>
    <row r="3517" spans="2:2">
      <c r="B3517" s="565"/>
    </row>
    <row r="3518" spans="2:2">
      <c r="B3518" s="565"/>
    </row>
    <row r="3519" spans="2:2">
      <c r="B3519" s="565"/>
    </row>
    <row r="3520" spans="2:2">
      <c r="B3520" s="565"/>
    </row>
    <row r="3521" spans="2:2">
      <c r="B3521" s="565"/>
    </row>
    <row r="3522" spans="2:2">
      <c r="B3522" s="565"/>
    </row>
    <row r="3523" spans="2:2">
      <c r="B3523" s="565"/>
    </row>
    <row r="3524" spans="2:2">
      <c r="B3524" s="565"/>
    </row>
    <row r="3525" spans="2:2">
      <c r="B3525" s="565"/>
    </row>
    <row r="3526" spans="2:2">
      <c r="B3526" s="565"/>
    </row>
    <row r="3527" spans="2:2">
      <c r="B3527" s="565"/>
    </row>
    <row r="3528" spans="2:2">
      <c r="B3528" s="565"/>
    </row>
    <row r="3529" spans="2:2">
      <c r="B3529" s="565"/>
    </row>
    <row r="3530" spans="2:2">
      <c r="B3530" s="565"/>
    </row>
    <row r="3531" spans="2:2">
      <c r="B3531" s="565"/>
    </row>
    <row r="3532" spans="2:2">
      <c r="B3532" s="565"/>
    </row>
    <row r="3533" spans="2:2">
      <c r="B3533" s="565"/>
    </row>
    <row r="3534" spans="2:2">
      <c r="B3534" s="565"/>
    </row>
    <row r="3535" spans="2:2">
      <c r="B3535" s="565"/>
    </row>
    <row r="3536" spans="2:2">
      <c r="B3536" s="565"/>
    </row>
    <row r="3537" spans="2:2">
      <c r="B3537" s="565"/>
    </row>
    <row r="3538" spans="2:2">
      <c r="B3538" s="565"/>
    </row>
    <row r="3539" spans="2:2">
      <c r="B3539" s="565"/>
    </row>
    <row r="3540" spans="2:2">
      <c r="B3540" s="565"/>
    </row>
    <row r="3541" spans="2:2">
      <c r="B3541" s="565"/>
    </row>
    <row r="3542" spans="2:2">
      <c r="B3542" s="565"/>
    </row>
    <row r="3543" spans="2:2">
      <c r="B3543" s="565"/>
    </row>
    <row r="3544" spans="2:2">
      <c r="B3544" s="565"/>
    </row>
    <row r="3545" spans="2:2">
      <c r="B3545" s="565"/>
    </row>
    <row r="3546" spans="2:2">
      <c r="B3546" s="565"/>
    </row>
    <row r="3547" spans="2:2">
      <c r="B3547" s="565"/>
    </row>
    <row r="3548" spans="2:2">
      <c r="B3548" s="565"/>
    </row>
    <row r="3549" spans="2:2">
      <c r="B3549" s="565"/>
    </row>
    <row r="3550" spans="2:2">
      <c r="B3550" s="565"/>
    </row>
    <row r="3551" spans="2:2">
      <c r="B3551" s="565"/>
    </row>
    <row r="3552" spans="2:2">
      <c r="B3552" s="565"/>
    </row>
    <row r="3553" spans="2:2">
      <c r="B3553" s="565"/>
    </row>
    <row r="3554" spans="2:2">
      <c r="B3554" s="565"/>
    </row>
    <row r="3555" spans="2:2">
      <c r="B3555" s="565"/>
    </row>
    <row r="3556" spans="2:2">
      <c r="B3556" s="565"/>
    </row>
    <row r="3557" spans="2:2">
      <c r="B3557" s="565"/>
    </row>
    <row r="3558" spans="2:2">
      <c r="B3558" s="565"/>
    </row>
    <row r="3559" spans="2:2">
      <c r="B3559" s="565"/>
    </row>
    <row r="3560" spans="2:2">
      <c r="B3560" s="565"/>
    </row>
    <row r="3561" spans="2:2">
      <c r="B3561" s="565"/>
    </row>
    <row r="3562" spans="2:2">
      <c r="B3562" s="565"/>
    </row>
    <row r="3563" spans="2:2">
      <c r="B3563" s="565"/>
    </row>
    <row r="3564" spans="2:2">
      <c r="B3564" s="565"/>
    </row>
    <row r="3565" spans="2:2">
      <c r="B3565" s="565"/>
    </row>
    <row r="3566" spans="2:2">
      <c r="B3566" s="565"/>
    </row>
    <row r="3567" spans="2:2">
      <c r="B3567" s="565"/>
    </row>
    <row r="3568" spans="2:2">
      <c r="B3568" s="565"/>
    </row>
    <row r="3569" spans="2:2">
      <c r="B3569" s="565"/>
    </row>
    <row r="3570" spans="2:2">
      <c r="B3570" s="565"/>
    </row>
    <row r="3571" spans="2:2">
      <c r="B3571" s="565"/>
    </row>
    <row r="3572" spans="2:2">
      <c r="B3572" s="565"/>
    </row>
    <row r="3573" spans="2:2">
      <c r="B3573" s="565"/>
    </row>
    <row r="3574" spans="2:2">
      <c r="B3574" s="565"/>
    </row>
    <row r="3575" spans="2:2">
      <c r="B3575" s="565"/>
    </row>
    <row r="3576" spans="2:2">
      <c r="B3576" s="565"/>
    </row>
    <row r="3577" spans="2:2">
      <c r="B3577" s="565"/>
    </row>
    <row r="3578" spans="2:2">
      <c r="B3578" s="565"/>
    </row>
    <row r="3579" spans="2:2">
      <c r="B3579" s="565"/>
    </row>
    <row r="3580" spans="2:2">
      <c r="B3580" s="565"/>
    </row>
    <row r="3581" spans="2:2">
      <c r="B3581" s="565"/>
    </row>
    <row r="3582" spans="2:2">
      <c r="B3582" s="565"/>
    </row>
    <row r="3583" spans="2:2">
      <c r="B3583" s="565"/>
    </row>
    <row r="3584" spans="2:2">
      <c r="B3584" s="565"/>
    </row>
    <row r="3585" spans="2:2">
      <c r="B3585" s="565"/>
    </row>
    <row r="3586" spans="2:2">
      <c r="B3586" s="565"/>
    </row>
    <row r="3587" spans="2:2">
      <c r="B3587" s="565"/>
    </row>
    <row r="3588" spans="2:2">
      <c r="B3588" s="565"/>
    </row>
    <row r="3589" spans="2:2">
      <c r="B3589" s="565"/>
    </row>
    <row r="3590" spans="2:2">
      <c r="B3590" s="565"/>
    </row>
    <row r="3591" spans="2:2">
      <c r="B3591" s="565"/>
    </row>
    <row r="3592" spans="2:2">
      <c r="B3592" s="565"/>
    </row>
    <row r="3593" spans="2:2">
      <c r="B3593" s="565"/>
    </row>
    <row r="3594" spans="2:2">
      <c r="B3594" s="565"/>
    </row>
    <row r="3595" spans="2:2">
      <c r="B3595" s="565"/>
    </row>
    <row r="3596" spans="2:2">
      <c r="B3596" s="565"/>
    </row>
    <row r="3597" spans="2:2">
      <c r="B3597" s="565"/>
    </row>
    <row r="3598" spans="2:2">
      <c r="B3598" s="565"/>
    </row>
    <row r="3599" spans="2:2">
      <c r="B3599" s="565"/>
    </row>
    <row r="3600" spans="2:2">
      <c r="B3600" s="565"/>
    </row>
    <row r="3601" spans="2:2">
      <c r="B3601" s="565"/>
    </row>
    <row r="3602" spans="2:2">
      <c r="B3602" s="565"/>
    </row>
    <row r="3603" spans="2:2">
      <c r="B3603" s="565"/>
    </row>
    <row r="3604" spans="2:2">
      <c r="B3604" s="565"/>
    </row>
    <row r="3605" spans="2:2">
      <c r="B3605" s="565"/>
    </row>
    <row r="3606" spans="2:2">
      <c r="B3606" s="565"/>
    </row>
    <row r="3607" spans="2:2">
      <c r="B3607" s="565"/>
    </row>
    <row r="3608" spans="2:2">
      <c r="B3608" s="565"/>
    </row>
    <row r="3609" spans="2:2">
      <c r="B3609" s="565"/>
    </row>
    <row r="3610" spans="2:2">
      <c r="B3610" s="565"/>
    </row>
    <row r="3611" spans="2:2">
      <c r="B3611" s="565"/>
    </row>
    <row r="3612" spans="2:2">
      <c r="B3612" s="565"/>
    </row>
    <row r="3613" spans="2:2">
      <c r="B3613" s="565"/>
    </row>
    <row r="3614" spans="2:2">
      <c r="B3614" s="565"/>
    </row>
    <row r="3615" spans="2:2">
      <c r="B3615" s="565"/>
    </row>
    <row r="3616" spans="2:2">
      <c r="B3616" s="565"/>
    </row>
    <row r="3617" spans="2:2">
      <c r="B3617" s="565"/>
    </row>
    <row r="3618" spans="2:2">
      <c r="B3618" s="565"/>
    </row>
    <row r="3619" spans="2:2">
      <c r="B3619" s="565"/>
    </row>
    <row r="3620" spans="2:2">
      <c r="B3620" s="565"/>
    </row>
    <row r="3621" spans="2:2">
      <c r="B3621" s="565"/>
    </row>
    <row r="3622" spans="2:2">
      <c r="B3622" s="565"/>
    </row>
    <row r="3623" spans="2:2">
      <c r="B3623" s="565"/>
    </row>
    <row r="3624" spans="2:2">
      <c r="B3624" s="565"/>
    </row>
    <row r="3625" spans="2:2">
      <c r="B3625" s="565"/>
    </row>
    <row r="3626" spans="2:2">
      <c r="B3626" s="565"/>
    </row>
    <row r="3627" spans="2:2">
      <c r="B3627" s="565"/>
    </row>
    <row r="3628" spans="2:2">
      <c r="B3628" s="565"/>
    </row>
    <row r="3629" spans="2:2">
      <c r="B3629" s="565"/>
    </row>
    <row r="3630" spans="2:2">
      <c r="B3630" s="565"/>
    </row>
    <row r="3631" spans="2:2">
      <c r="B3631" s="565"/>
    </row>
    <row r="3632" spans="2:2">
      <c r="B3632" s="565"/>
    </row>
    <row r="3633" spans="2:2">
      <c r="B3633" s="565"/>
    </row>
    <row r="3634" spans="2:2">
      <c r="B3634" s="565"/>
    </row>
    <row r="3635" spans="2:2">
      <c r="B3635" s="565"/>
    </row>
    <row r="3636" spans="2:2">
      <c r="B3636" s="565"/>
    </row>
    <row r="3637" spans="2:2">
      <c r="B3637" s="565"/>
    </row>
    <row r="3638" spans="2:2">
      <c r="B3638" s="565"/>
    </row>
    <row r="3639" spans="2:2">
      <c r="B3639" s="565"/>
    </row>
    <row r="3640" spans="2:2">
      <c r="B3640" s="565"/>
    </row>
    <row r="3641" spans="2:2">
      <c r="B3641" s="565"/>
    </row>
    <row r="3642" spans="2:2">
      <c r="B3642" s="565"/>
    </row>
    <row r="3643" spans="2:2">
      <c r="B3643" s="565"/>
    </row>
    <row r="3644" spans="2:2">
      <c r="B3644" s="565"/>
    </row>
    <row r="3645" spans="2:2">
      <c r="B3645" s="565"/>
    </row>
    <row r="3646" spans="2:2">
      <c r="B3646" s="565"/>
    </row>
    <row r="3647" spans="2:2">
      <c r="B3647" s="565"/>
    </row>
    <row r="3648" spans="2:2">
      <c r="B3648" s="565"/>
    </row>
    <row r="3649" spans="2:2">
      <c r="B3649" s="565"/>
    </row>
    <row r="3650" spans="2:2">
      <c r="B3650" s="565"/>
    </row>
    <row r="3651" spans="2:2">
      <c r="B3651" s="565"/>
    </row>
    <row r="3652" spans="2:2">
      <c r="B3652" s="565"/>
    </row>
    <row r="3653" spans="2:2">
      <c r="B3653" s="565"/>
    </row>
    <row r="3654" spans="2:2">
      <c r="B3654" s="565"/>
    </row>
    <row r="3655" spans="2:2">
      <c r="B3655" s="565"/>
    </row>
    <row r="3656" spans="2:2">
      <c r="B3656" s="565"/>
    </row>
    <row r="3657" spans="2:2">
      <c r="B3657" s="565"/>
    </row>
    <row r="3658" spans="2:2">
      <c r="B3658" s="565"/>
    </row>
    <row r="3659" spans="2:2">
      <c r="B3659" s="565"/>
    </row>
    <row r="3660" spans="2:2">
      <c r="B3660" s="565"/>
    </row>
    <row r="3661" spans="2:2">
      <c r="B3661" s="565"/>
    </row>
    <row r="3662" spans="2:2">
      <c r="B3662" s="565"/>
    </row>
    <row r="3663" spans="2:2">
      <c r="B3663" s="565"/>
    </row>
    <row r="3664" spans="2:2">
      <c r="B3664" s="565"/>
    </row>
    <row r="3665" spans="2:2">
      <c r="B3665" s="565"/>
    </row>
    <row r="3666" spans="2:2">
      <c r="B3666" s="565"/>
    </row>
    <row r="3667" spans="2:2">
      <c r="B3667" s="565"/>
    </row>
    <row r="3668" spans="2:2">
      <c r="B3668" s="565"/>
    </row>
    <row r="3669" spans="2:2">
      <c r="B3669" s="565"/>
    </row>
    <row r="3670" spans="2:2">
      <c r="B3670" s="565"/>
    </row>
    <row r="3671" spans="2:2">
      <c r="B3671" s="565"/>
    </row>
    <row r="3672" spans="2:2">
      <c r="B3672" s="565"/>
    </row>
    <row r="3673" spans="2:2">
      <c r="B3673" s="565"/>
    </row>
    <row r="3674" spans="2:2">
      <c r="B3674" s="565"/>
    </row>
    <row r="3675" spans="2:2">
      <c r="B3675" s="565"/>
    </row>
    <row r="3676" spans="2:2">
      <c r="B3676" s="565"/>
    </row>
    <row r="3677" spans="2:2">
      <c r="B3677" s="565"/>
    </row>
    <row r="3678" spans="2:2">
      <c r="B3678" s="565"/>
    </row>
    <row r="3679" spans="2:2">
      <c r="B3679" s="565"/>
    </row>
    <row r="3680" spans="2:2">
      <c r="B3680" s="565"/>
    </row>
    <row r="3681" spans="2:2">
      <c r="B3681" s="565"/>
    </row>
    <row r="3682" spans="2:2">
      <c r="B3682" s="565"/>
    </row>
    <row r="3683" spans="2:2">
      <c r="B3683" s="565"/>
    </row>
    <row r="3684" spans="2:2">
      <c r="B3684" s="565"/>
    </row>
    <row r="3685" spans="2:2">
      <c r="B3685" s="565"/>
    </row>
    <row r="3686" spans="2:2">
      <c r="B3686" s="565"/>
    </row>
    <row r="3687" spans="2:2">
      <c r="B3687" s="565"/>
    </row>
    <row r="3688" spans="2:2">
      <c r="B3688" s="565"/>
    </row>
    <row r="3689" spans="2:2">
      <c r="B3689" s="565"/>
    </row>
    <row r="3690" spans="2:2">
      <c r="B3690" s="565"/>
    </row>
    <row r="3691" spans="2:2">
      <c r="B3691" s="565"/>
    </row>
    <row r="3692" spans="2:2">
      <c r="B3692" s="565"/>
    </row>
    <row r="3693" spans="2:2">
      <c r="B3693" s="565"/>
    </row>
    <row r="3694" spans="2:2">
      <c r="B3694" s="565"/>
    </row>
    <row r="3695" spans="2:2">
      <c r="B3695" s="565"/>
    </row>
    <row r="3696" spans="2:2">
      <c r="B3696" s="565"/>
    </row>
    <row r="3697" spans="2:2">
      <c r="B3697" s="565"/>
    </row>
    <row r="3698" spans="2:2">
      <c r="B3698" s="565"/>
    </row>
    <row r="3699" spans="2:2">
      <c r="B3699" s="565"/>
    </row>
    <row r="3700" spans="2:2">
      <c r="B3700" s="565"/>
    </row>
    <row r="3701" spans="2:2">
      <c r="B3701" s="565"/>
    </row>
    <row r="3702" spans="2:2">
      <c r="B3702" s="565"/>
    </row>
    <row r="3703" spans="2:2">
      <c r="B3703" s="565"/>
    </row>
    <row r="3704" spans="2:2">
      <c r="B3704" s="565"/>
    </row>
    <row r="3705" spans="2:2">
      <c r="B3705" s="565"/>
    </row>
    <row r="3706" spans="2:2">
      <c r="B3706" s="565"/>
    </row>
    <row r="3707" spans="2:2">
      <c r="B3707" s="565"/>
    </row>
    <row r="3708" spans="2:2">
      <c r="B3708" s="565"/>
    </row>
    <row r="3709" spans="2:2">
      <c r="B3709" s="565"/>
    </row>
    <row r="3710" spans="2:2">
      <c r="B3710" s="565"/>
    </row>
    <row r="3711" spans="2:2">
      <c r="B3711" s="565"/>
    </row>
    <row r="3712" spans="2:2">
      <c r="B3712" s="565"/>
    </row>
    <row r="3713" spans="2:2">
      <c r="B3713" s="565"/>
    </row>
    <row r="3714" spans="2:2">
      <c r="B3714" s="565"/>
    </row>
    <row r="3715" spans="2:2">
      <c r="B3715" s="565"/>
    </row>
    <row r="3716" spans="2:2">
      <c r="B3716" s="565"/>
    </row>
    <row r="3717" spans="2:2">
      <c r="B3717" s="565"/>
    </row>
    <row r="3718" spans="2:2">
      <c r="B3718" s="565"/>
    </row>
    <row r="3719" spans="2:2">
      <c r="B3719" s="565"/>
    </row>
    <row r="3720" spans="2:2">
      <c r="B3720" s="565"/>
    </row>
    <row r="3721" spans="2:2">
      <c r="B3721" s="565"/>
    </row>
    <row r="3722" spans="2:2">
      <c r="B3722" s="565"/>
    </row>
    <row r="3723" spans="2:2">
      <c r="B3723" s="565"/>
    </row>
    <row r="3724" spans="2:2">
      <c r="B3724" s="565"/>
    </row>
    <row r="3725" spans="2:2">
      <c r="B3725" s="565"/>
    </row>
    <row r="3726" spans="2:2">
      <c r="B3726" s="565"/>
    </row>
    <row r="3727" spans="2:2">
      <c r="B3727" s="565"/>
    </row>
    <row r="3728" spans="2:2">
      <c r="B3728" s="565"/>
    </row>
    <row r="3729" spans="2:2">
      <c r="B3729" s="565"/>
    </row>
    <row r="3730" spans="2:2">
      <c r="B3730" s="565"/>
    </row>
    <row r="3731" spans="2:2">
      <c r="B3731" s="565"/>
    </row>
    <row r="3732" spans="2:2">
      <c r="B3732" s="565"/>
    </row>
    <row r="3733" spans="2:2">
      <c r="B3733" s="565"/>
    </row>
    <row r="3734" spans="2:2">
      <c r="B3734" s="565"/>
    </row>
    <row r="3735" spans="2:2">
      <c r="B3735" s="565"/>
    </row>
    <row r="3736" spans="2:2">
      <c r="B3736" s="565"/>
    </row>
    <row r="3737" spans="2:2">
      <c r="B3737" s="565"/>
    </row>
    <row r="3738" spans="2:2">
      <c r="B3738" s="565"/>
    </row>
    <row r="3739" spans="2:2">
      <c r="B3739" s="565"/>
    </row>
    <row r="3740" spans="2:2">
      <c r="B3740" s="565"/>
    </row>
    <row r="3741" spans="2:2">
      <c r="B3741" s="565"/>
    </row>
    <row r="3742" spans="2:2">
      <c r="B3742" s="565"/>
    </row>
    <row r="3743" spans="2:2">
      <c r="B3743" s="565"/>
    </row>
    <row r="3744" spans="2:2">
      <c r="B3744" s="565"/>
    </row>
    <row r="3745" spans="2:2">
      <c r="B3745" s="565"/>
    </row>
    <row r="3746" spans="2:2">
      <c r="B3746" s="565"/>
    </row>
    <row r="3747" spans="2:2">
      <c r="B3747" s="565"/>
    </row>
    <row r="3748" spans="2:2">
      <c r="B3748" s="565"/>
    </row>
    <row r="3749" spans="2:2">
      <c r="B3749" s="565"/>
    </row>
    <row r="3750" spans="2:2">
      <c r="B3750" s="565"/>
    </row>
    <row r="3751" spans="2:2">
      <c r="B3751" s="565"/>
    </row>
    <row r="3752" spans="2:2">
      <c r="B3752" s="565"/>
    </row>
    <row r="3753" spans="2:2">
      <c r="B3753" s="565"/>
    </row>
    <row r="3754" spans="2:2">
      <c r="B3754" s="565"/>
    </row>
    <row r="3755" spans="2:2">
      <c r="B3755" s="565"/>
    </row>
    <row r="3756" spans="2:2">
      <c r="B3756" s="565"/>
    </row>
    <row r="3757" spans="2:2">
      <c r="B3757" s="565"/>
    </row>
    <row r="3758" spans="2:2">
      <c r="B3758" s="565"/>
    </row>
    <row r="3759" spans="2:2">
      <c r="B3759" s="565"/>
    </row>
    <row r="3760" spans="2:2">
      <c r="B3760" s="565"/>
    </row>
    <row r="3761" spans="2:2">
      <c r="B3761" s="565"/>
    </row>
    <row r="3762" spans="2:2">
      <c r="B3762" s="565"/>
    </row>
    <row r="3763" spans="2:2">
      <c r="B3763" s="565"/>
    </row>
    <row r="3764" spans="2:2">
      <c r="B3764" s="565"/>
    </row>
    <row r="3765" spans="2:2">
      <c r="B3765" s="565"/>
    </row>
    <row r="3766" spans="2:2">
      <c r="B3766" s="565"/>
    </row>
    <row r="3767" spans="2:2">
      <c r="B3767" s="565"/>
    </row>
    <row r="3768" spans="2:2">
      <c r="B3768" s="565"/>
    </row>
    <row r="3769" spans="2:2">
      <c r="B3769" s="565"/>
    </row>
    <row r="3770" spans="2:2">
      <c r="B3770" s="565"/>
    </row>
    <row r="3771" spans="2:2">
      <c r="B3771" s="565"/>
    </row>
    <row r="3772" spans="2:2">
      <c r="B3772" s="565"/>
    </row>
    <row r="3773" spans="2:2">
      <c r="B3773" s="565"/>
    </row>
    <row r="3774" spans="2:2">
      <c r="B3774" s="565"/>
    </row>
    <row r="3775" spans="2:2">
      <c r="B3775" s="565"/>
    </row>
    <row r="3776" spans="2:2">
      <c r="B3776" s="565"/>
    </row>
    <row r="3777" spans="2:2">
      <c r="B3777" s="565"/>
    </row>
    <row r="3778" spans="2:2">
      <c r="B3778" s="565"/>
    </row>
    <row r="3779" spans="2:2">
      <c r="B3779" s="565"/>
    </row>
    <row r="3780" spans="2:2">
      <c r="B3780" s="565"/>
    </row>
    <row r="3781" spans="2:2">
      <c r="B3781" s="565"/>
    </row>
    <row r="3782" spans="2:2">
      <c r="B3782" s="565"/>
    </row>
    <row r="3783" spans="2:2">
      <c r="B3783" s="565"/>
    </row>
    <row r="3784" spans="2:2">
      <c r="B3784" s="565"/>
    </row>
    <row r="3785" spans="2:2">
      <c r="B3785" s="565"/>
    </row>
    <row r="3786" spans="2:2">
      <c r="B3786" s="565"/>
    </row>
    <row r="3787" spans="2:2">
      <c r="B3787" s="565"/>
    </row>
    <row r="3788" spans="2:2">
      <c r="B3788" s="565"/>
    </row>
    <row r="3789" spans="2:2">
      <c r="B3789" s="565"/>
    </row>
    <row r="3790" spans="2:2">
      <c r="B3790" s="565"/>
    </row>
    <row r="3791" spans="2:2">
      <c r="B3791" s="565"/>
    </row>
    <row r="3792" spans="2:2">
      <c r="B3792" s="565"/>
    </row>
    <row r="3793" spans="2:2">
      <c r="B3793" s="565"/>
    </row>
    <row r="3794" spans="2:2">
      <c r="B3794" s="565"/>
    </row>
    <row r="3795" spans="2:2">
      <c r="B3795" s="565"/>
    </row>
    <row r="3796" spans="2:2">
      <c r="B3796" s="565"/>
    </row>
    <row r="3797" spans="2:2">
      <c r="B3797" s="565"/>
    </row>
    <row r="3798" spans="2:2">
      <c r="B3798" s="565"/>
    </row>
    <row r="3799" spans="2:2">
      <c r="B3799" s="565"/>
    </row>
    <row r="3800" spans="2:2">
      <c r="B3800" s="565"/>
    </row>
    <row r="3801" spans="2:2">
      <c r="B3801" s="565"/>
    </row>
    <row r="3802" spans="2:2">
      <c r="B3802" s="565"/>
    </row>
    <row r="3803" spans="2:2">
      <c r="B3803" s="565"/>
    </row>
    <row r="3804" spans="2:2">
      <c r="B3804" s="565"/>
    </row>
    <row r="3805" spans="2:2">
      <c r="B3805" s="565"/>
    </row>
    <row r="3806" spans="2:2">
      <c r="B3806" s="565"/>
    </row>
    <row r="3807" spans="2:2">
      <c r="B3807" s="565"/>
    </row>
    <row r="3808" spans="2:2">
      <c r="B3808" s="565"/>
    </row>
    <row r="3809" spans="2:2">
      <c r="B3809" s="565"/>
    </row>
    <row r="3810" spans="2:2">
      <c r="B3810" s="565"/>
    </row>
    <row r="3811" spans="2:2">
      <c r="B3811" s="565"/>
    </row>
    <row r="3812" spans="2:2">
      <c r="B3812" s="565"/>
    </row>
    <row r="3813" spans="2:2">
      <c r="B3813" s="565"/>
    </row>
    <row r="3814" spans="2:2">
      <c r="B3814" s="565"/>
    </row>
    <row r="3815" spans="2:2">
      <c r="B3815" s="565"/>
    </row>
    <row r="3816" spans="2:2">
      <c r="B3816" s="565"/>
    </row>
    <row r="3817" spans="2:2">
      <c r="B3817" s="565"/>
    </row>
    <row r="3818" spans="2:2">
      <c r="B3818" s="565"/>
    </row>
    <row r="3819" spans="2:2">
      <c r="B3819" s="565"/>
    </row>
    <row r="3820" spans="2:2">
      <c r="B3820" s="565"/>
    </row>
    <row r="3821" spans="2:2">
      <c r="B3821" s="565"/>
    </row>
    <row r="3822" spans="2:2">
      <c r="B3822" s="565"/>
    </row>
    <row r="3823" spans="2:2">
      <c r="B3823" s="565"/>
    </row>
    <row r="3824" spans="2:2">
      <c r="B3824" s="565"/>
    </row>
    <row r="3825" spans="2:2">
      <c r="B3825" s="565"/>
    </row>
    <row r="3826" spans="2:2">
      <c r="B3826" s="565"/>
    </row>
    <row r="3827" spans="2:2">
      <c r="B3827" s="565"/>
    </row>
    <row r="3828" spans="2:2">
      <c r="B3828" s="565"/>
    </row>
    <row r="3829" spans="2:2">
      <c r="B3829" s="565"/>
    </row>
    <row r="3830" spans="2:2">
      <c r="B3830" s="565"/>
    </row>
    <row r="3831" spans="2:2">
      <c r="B3831" s="565"/>
    </row>
    <row r="3832" spans="2:2">
      <c r="B3832" s="565"/>
    </row>
    <row r="3833" spans="2:2">
      <c r="B3833" s="565"/>
    </row>
    <row r="3834" spans="2:2">
      <c r="B3834" s="565"/>
    </row>
    <row r="3835" spans="2:2">
      <c r="B3835" s="565"/>
    </row>
    <row r="3836" spans="2:2">
      <c r="B3836" s="565"/>
    </row>
    <row r="3837" spans="2:2">
      <c r="B3837" s="565"/>
    </row>
    <row r="3838" spans="2:2">
      <c r="B3838" s="565"/>
    </row>
    <row r="3839" spans="2:2">
      <c r="B3839" s="565"/>
    </row>
    <row r="3840" spans="2:2">
      <c r="B3840" s="565"/>
    </row>
    <row r="3841" spans="2:2">
      <c r="B3841" s="565"/>
    </row>
    <row r="3842" spans="2:2">
      <c r="B3842" s="565"/>
    </row>
    <row r="3843" spans="2:2">
      <c r="B3843" s="565"/>
    </row>
    <row r="3844" spans="2:2">
      <c r="B3844" s="565"/>
    </row>
    <row r="3845" spans="2:2">
      <c r="B3845" s="565"/>
    </row>
    <row r="3846" spans="2:2">
      <c r="B3846" s="565"/>
    </row>
    <row r="3847" spans="2:2">
      <c r="B3847" s="565"/>
    </row>
    <row r="3848" spans="2:2">
      <c r="B3848" s="565"/>
    </row>
    <row r="3849" spans="2:2">
      <c r="B3849" s="565"/>
    </row>
    <row r="3850" spans="2:2">
      <c r="B3850" s="565"/>
    </row>
    <row r="3851" spans="2:2">
      <c r="B3851" s="565"/>
    </row>
    <row r="3852" spans="2:2">
      <c r="B3852" s="565"/>
    </row>
    <row r="3853" spans="2:2">
      <c r="B3853" s="565"/>
    </row>
    <row r="3854" spans="2:2">
      <c r="B3854" s="565"/>
    </row>
    <row r="3855" spans="2:2">
      <c r="B3855" s="565"/>
    </row>
    <row r="3856" spans="2:2">
      <c r="B3856" s="565"/>
    </row>
    <row r="3857" spans="2:2">
      <c r="B3857" s="565"/>
    </row>
    <row r="3858" spans="2:2">
      <c r="B3858" s="565"/>
    </row>
    <row r="3859" spans="2:2">
      <c r="B3859" s="565"/>
    </row>
    <row r="3860" spans="2:2">
      <c r="B3860" s="565"/>
    </row>
    <row r="3861" spans="2:2">
      <c r="B3861" s="565"/>
    </row>
    <row r="3862" spans="2:2">
      <c r="B3862" s="565"/>
    </row>
    <row r="3863" spans="2:2">
      <c r="B3863" s="565"/>
    </row>
    <row r="3864" spans="2:2">
      <c r="B3864" s="565"/>
    </row>
    <row r="3865" spans="2:2">
      <c r="B3865" s="565"/>
    </row>
    <row r="3866" spans="2:2">
      <c r="B3866" s="565"/>
    </row>
    <row r="3867" spans="2:2">
      <c r="B3867" s="565"/>
    </row>
    <row r="3868" spans="2:2">
      <c r="B3868" s="565"/>
    </row>
    <row r="3869" spans="2:2">
      <c r="B3869" s="565"/>
    </row>
    <row r="3870" spans="2:2">
      <c r="B3870" s="565"/>
    </row>
    <row r="3871" spans="2:2">
      <c r="B3871" s="565"/>
    </row>
    <row r="3872" spans="2:2">
      <c r="B3872" s="565"/>
    </row>
    <row r="3873" spans="2:2">
      <c r="B3873" s="565"/>
    </row>
    <row r="3874" spans="2:2">
      <c r="B3874" s="565"/>
    </row>
    <row r="3875" spans="2:2">
      <c r="B3875" s="565"/>
    </row>
    <row r="3876" spans="2:2">
      <c r="B3876" s="565"/>
    </row>
    <row r="3877" spans="2:2">
      <c r="B3877" s="565"/>
    </row>
    <row r="3878" spans="2:2">
      <c r="B3878" s="565"/>
    </row>
    <row r="3879" spans="2:2">
      <c r="B3879" s="565"/>
    </row>
    <row r="3880" spans="2:2">
      <c r="B3880" s="565"/>
    </row>
    <row r="3881" spans="2:2">
      <c r="B3881" s="565"/>
    </row>
    <row r="3882" spans="2:2">
      <c r="B3882" s="565"/>
    </row>
    <row r="3883" spans="2:2">
      <c r="B3883" s="565"/>
    </row>
    <row r="3884" spans="2:2">
      <c r="B3884" s="565"/>
    </row>
    <row r="3885" spans="2:2">
      <c r="B3885" s="565"/>
    </row>
    <row r="3886" spans="2:2">
      <c r="B3886" s="565"/>
    </row>
    <row r="3887" spans="2:2">
      <c r="B3887" s="565"/>
    </row>
    <row r="3888" spans="2:2">
      <c r="B3888" s="565"/>
    </row>
    <row r="3889" spans="2:2">
      <c r="B3889" s="565"/>
    </row>
    <row r="3890" spans="2:2">
      <c r="B3890" s="565"/>
    </row>
    <row r="3891" spans="2:2">
      <c r="B3891" s="565"/>
    </row>
    <row r="3892" spans="2:2">
      <c r="B3892" s="565"/>
    </row>
    <row r="3893" spans="2:2">
      <c r="B3893" s="565"/>
    </row>
    <row r="3894" spans="2:2">
      <c r="B3894" s="565"/>
    </row>
    <row r="3895" spans="2:2">
      <c r="B3895" s="565"/>
    </row>
    <row r="3896" spans="2:2">
      <c r="B3896" s="565"/>
    </row>
    <row r="3897" spans="2:2">
      <c r="B3897" s="565"/>
    </row>
    <row r="3898" spans="2:2">
      <c r="B3898" s="565"/>
    </row>
    <row r="3899" spans="2:2">
      <c r="B3899" s="565"/>
    </row>
    <row r="3900" spans="2:2">
      <c r="B3900" s="565"/>
    </row>
    <row r="3901" spans="2:2">
      <c r="B3901" s="565"/>
    </row>
    <row r="3902" spans="2:2">
      <c r="B3902" s="565"/>
    </row>
    <row r="3903" spans="2:2">
      <c r="B3903" s="565"/>
    </row>
    <row r="3904" spans="2:2">
      <c r="B3904" s="565"/>
    </row>
    <row r="3905" spans="2:2">
      <c r="B3905" s="565"/>
    </row>
    <row r="3906" spans="2:2">
      <c r="B3906" s="565"/>
    </row>
    <row r="3907" spans="2:2">
      <c r="B3907" s="565"/>
    </row>
    <row r="3908" spans="2:2">
      <c r="B3908" s="565"/>
    </row>
    <row r="3909" spans="2:2">
      <c r="B3909" s="565"/>
    </row>
    <row r="3910" spans="2:2">
      <c r="B3910" s="565"/>
    </row>
    <row r="3911" spans="2:2">
      <c r="B3911" s="565"/>
    </row>
    <row r="3912" spans="2:2">
      <c r="B3912" s="565"/>
    </row>
    <row r="3913" spans="2:2">
      <c r="B3913" s="565"/>
    </row>
    <row r="3914" spans="2:2">
      <c r="B3914" s="565"/>
    </row>
    <row r="3915" spans="2:2">
      <c r="B3915" s="565"/>
    </row>
    <row r="3916" spans="2:2">
      <c r="B3916" s="565"/>
    </row>
    <row r="3917" spans="2:2">
      <c r="B3917" s="565"/>
    </row>
    <row r="3918" spans="2:2">
      <c r="B3918" s="565"/>
    </row>
    <row r="3919" spans="2:2">
      <c r="B3919" s="565"/>
    </row>
    <row r="3920" spans="2:2">
      <c r="B3920" s="565"/>
    </row>
    <row r="3921" spans="2:2">
      <c r="B3921" s="565"/>
    </row>
    <row r="3922" spans="2:2">
      <c r="B3922" s="565"/>
    </row>
    <row r="3923" spans="2:2">
      <c r="B3923" s="565"/>
    </row>
    <row r="3924" spans="2:2">
      <c r="B3924" s="565"/>
    </row>
    <row r="3925" spans="2:2">
      <c r="B3925" s="565"/>
    </row>
    <row r="3926" spans="2:2">
      <c r="B3926" s="565"/>
    </row>
    <row r="3927" spans="2:2">
      <c r="B3927" s="565"/>
    </row>
    <row r="3928" spans="2:2">
      <c r="B3928" s="565"/>
    </row>
    <row r="3929" spans="2:2">
      <c r="B3929" s="565"/>
    </row>
    <row r="3930" spans="2:2">
      <c r="B3930" s="565"/>
    </row>
    <row r="3931" spans="2:2">
      <c r="B3931" s="565"/>
    </row>
    <row r="3932" spans="2:2">
      <c r="B3932" s="565"/>
    </row>
    <row r="3933" spans="2:2">
      <c r="B3933" s="565"/>
    </row>
    <row r="3934" spans="2:2">
      <c r="B3934" s="565"/>
    </row>
    <row r="3935" spans="2:2">
      <c r="B3935" s="565"/>
    </row>
    <row r="3936" spans="2:2">
      <c r="B3936" s="565"/>
    </row>
    <row r="3937" spans="2:2">
      <c r="B3937" s="565"/>
    </row>
    <row r="3938" spans="2:2">
      <c r="B3938" s="565"/>
    </row>
    <row r="3939" spans="2:2">
      <c r="B3939" s="565"/>
    </row>
    <row r="3940" spans="2:2">
      <c r="B3940" s="565"/>
    </row>
    <row r="3941" spans="2:2">
      <c r="B3941" s="565"/>
    </row>
    <row r="3942" spans="2:2">
      <c r="B3942" s="565"/>
    </row>
    <row r="3943" spans="2:2">
      <c r="B3943" s="565"/>
    </row>
    <row r="3944" spans="2:2">
      <c r="B3944" s="565"/>
    </row>
    <row r="3945" spans="2:2">
      <c r="B3945" s="565"/>
    </row>
    <row r="3946" spans="2:2">
      <c r="B3946" s="565"/>
    </row>
    <row r="3947" spans="2:2">
      <c r="B3947" s="565"/>
    </row>
    <row r="3948" spans="2:2">
      <c r="B3948" s="565"/>
    </row>
    <row r="3949" spans="2:2">
      <c r="B3949" s="565"/>
    </row>
    <row r="3950" spans="2:2">
      <c r="B3950" s="565"/>
    </row>
    <row r="3951" spans="2:2">
      <c r="B3951" s="565"/>
    </row>
    <row r="3952" spans="2:2">
      <c r="B3952" s="565"/>
    </row>
    <row r="3953" spans="2:2">
      <c r="B3953" s="565"/>
    </row>
    <row r="3954" spans="2:2">
      <c r="B3954" s="565"/>
    </row>
    <row r="3955" spans="2:2">
      <c r="B3955" s="565"/>
    </row>
    <row r="3956" spans="2:2">
      <c r="B3956" s="565"/>
    </row>
    <row r="3957" spans="2:2">
      <c r="B3957" s="565"/>
    </row>
    <row r="3958" spans="2:2">
      <c r="B3958" s="565"/>
    </row>
    <row r="3959" spans="2:2">
      <c r="B3959" s="565"/>
    </row>
    <row r="3960" spans="2:2">
      <c r="B3960" s="565"/>
    </row>
    <row r="3961" spans="2:2">
      <c r="B3961" s="565"/>
    </row>
    <row r="3962" spans="2:2">
      <c r="B3962" s="565"/>
    </row>
    <row r="3963" spans="2:2">
      <c r="B3963" s="565"/>
    </row>
    <row r="3964" spans="2:2">
      <c r="B3964" s="565"/>
    </row>
    <row r="3965" spans="2:2">
      <c r="B3965" s="565"/>
    </row>
    <row r="3966" spans="2:2">
      <c r="B3966" s="565"/>
    </row>
    <row r="3967" spans="2:2">
      <c r="B3967" s="565"/>
    </row>
    <row r="3968" spans="2:2">
      <c r="B3968" s="565"/>
    </row>
    <row r="3969" spans="2:2">
      <c r="B3969" s="565"/>
    </row>
    <row r="3970" spans="2:2">
      <c r="B3970" s="565"/>
    </row>
    <row r="3971" spans="2:2">
      <c r="B3971" s="565"/>
    </row>
    <row r="3972" spans="2:2">
      <c r="B3972" s="565"/>
    </row>
    <row r="3973" spans="2:2">
      <c r="B3973" s="565"/>
    </row>
    <row r="3974" spans="2:2">
      <c r="B3974" s="565"/>
    </row>
    <row r="3975" spans="2:2">
      <c r="B3975" s="565"/>
    </row>
    <row r="3976" spans="2:2">
      <c r="B3976" s="565"/>
    </row>
    <row r="3977" spans="2:2">
      <c r="B3977" s="565"/>
    </row>
    <row r="3978" spans="2:2">
      <c r="B3978" s="565"/>
    </row>
    <row r="3979" spans="2:2">
      <c r="B3979" s="565"/>
    </row>
    <row r="3980" spans="2:2">
      <c r="B3980" s="565"/>
    </row>
    <row r="3981" spans="2:2">
      <c r="B3981" s="565"/>
    </row>
    <row r="3982" spans="2:2">
      <c r="B3982" s="565"/>
    </row>
    <row r="3983" spans="2:2">
      <c r="B3983" s="565"/>
    </row>
    <row r="3984" spans="2:2">
      <c r="B3984" s="565"/>
    </row>
    <row r="3985" spans="2:2">
      <c r="B3985" s="565"/>
    </row>
    <row r="3986" spans="2:2">
      <c r="B3986" s="565"/>
    </row>
    <row r="3987" spans="2:2">
      <c r="B3987" s="565"/>
    </row>
    <row r="3988" spans="2:2">
      <c r="B3988" s="565"/>
    </row>
    <row r="3989" spans="2:2">
      <c r="B3989" s="565"/>
    </row>
    <row r="3990" spans="2:2">
      <c r="B3990" s="565"/>
    </row>
    <row r="3991" spans="2:2">
      <c r="B3991" s="565"/>
    </row>
    <row r="3992" spans="2:2">
      <c r="B3992" s="565"/>
    </row>
    <row r="3993" spans="2:2">
      <c r="B3993" s="565"/>
    </row>
    <row r="3994" spans="2:2">
      <c r="B3994" s="565"/>
    </row>
    <row r="3995" spans="2:2">
      <c r="B3995" s="565"/>
    </row>
    <row r="3996" spans="2:2">
      <c r="B3996" s="565"/>
    </row>
    <row r="3997" spans="2:2">
      <c r="B3997" s="565"/>
    </row>
    <row r="3998" spans="2:2">
      <c r="B3998" s="565"/>
    </row>
    <row r="3999" spans="2:2">
      <c r="B3999" s="565"/>
    </row>
    <row r="4000" spans="2:2">
      <c r="B4000" s="565"/>
    </row>
    <row r="4001" spans="2:2">
      <c r="B4001" s="565"/>
    </row>
    <row r="4002" spans="2:2">
      <c r="B4002" s="565"/>
    </row>
    <row r="4003" spans="2:2">
      <c r="B4003" s="565"/>
    </row>
    <row r="4004" spans="2:2">
      <c r="B4004" s="565"/>
    </row>
    <row r="4005" spans="2:2">
      <c r="B4005" s="565"/>
    </row>
    <row r="4006" spans="2:2">
      <c r="B4006" s="565"/>
    </row>
    <row r="4007" spans="2:2">
      <c r="B4007" s="565"/>
    </row>
    <row r="4008" spans="2:2">
      <c r="B4008" s="565"/>
    </row>
    <row r="4009" spans="2:2">
      <c r="B4009" s="565"/>
    </row>
    <row r="4010" spans="2:2">
      <c r="B4010" s="565"/>
    </row>
    <row r="4011" spans="2:2">
      <c r="B4011" s="565"/>
    </row>
    <row r="4012" spans="2:2">
      <c r="B4012" s="565"/>
    </row>
    <row r="4013" spans="2:2">
      <c r="B4013" s="565"/>
    </row>
    <row r="4014" spans="2:2">
      <c r="B4014" s="565"/>
    </row>
    <row r="4015" spans="2:2">
      <c r="B4015" s="565"/>
    </row>
    <row r="4016" spans="2:2">
      <c r="B4016" s="565"/>
    </row>
    <row r="4017" spans="2:2">
      <c r="B4017" s="565"/>
    </row>
    <row r="4018" spans="2:2">
      <c r="B4018" s="565"/>
    </row>
    <row r="4019" spans="2:2">
      <c r="B4019" s="565"/>
    </row>
    <row r="4020" spans="2:2">
      <c r="B4020" s="565"/>
    </row>
    <row r="4021" spans="2:2">
      <c r="B4021" s="565"/>
    </row>
    <row r="4022" spans="2:2">
      <c r="B4022" s="565"/>
    </row>
    <row r="4023" spans="2:2">
      <c r="B4023" s="565"/>
    </row>
    <row r="4024" spans="2:2">
      <c r="B4024" s="565"/>
    </row>
    <row r="4025" spans="2:2">
      <c r="B4025" s="565"/>
    </row>
    <row r="4026" spans="2:2">
      <c r="B4026" s="565"/>
    </row>
    <row r="4027" spans="2:2">
      <c r="B4027" s="565"/>
    </row>
    <row r="4028" spans="2:2">
      <c r="B4028" s="565"/>
    </row>
    <row r="4029" spans="2:2">
      <c r="B4029" s="565"/>
    </row>
    <row r="4030" spans="2:2">
      <c r="B4030" s="565"/>
    </row>
    <row r="4031" spans="2:2">
      <c r="B4031" s="565"/>
    </row>
    <row r="4032" spans="2:2">
      <c r="B4032" s="565"/>
    </row>
    <row r="4033" spans="2:2">
      <c r="B4033" s="565"/>
    </row>
    <row r="4034" spans="2:2">
      <c r="B4034" s="565"/>
    </row>
    <row r="4035" spans="2:2">
      <c r="B4035" s="565"/>
    </row>
    <row r="4036" spans="2:2">
      <c r="B4036" s="565"/>
    </row>
    <row r="4037" spans="2:2">
      <c r="B4037" s="565"/>
    </row>
    <row r="4038" spans="2:2">
      <c r="B4038" s="565"/>
    </row>
    <row r="4039" spans="2:2">
      <c r="B4039" s="565"/>
    </row>
    <row r="4040" spans="2:2">
      <c r="B4040" s="565"/>
    </row>
    <row r="4041" spans="2:2">
      <c r="B4041" s="565"/>
    </row>
    <row r="4042" spans="2:2">
      <c r="B4042" s="565"/>
    </row>
    <row r="4043" spans="2:2">
      <c r="B4043" s="565"/>
    </row>
    <row r="4044" spans="2:2">
      <c r="B4044" s="565"/>
    </row>
    <row r="4045" spans="2:2">
      <c r="B4045" s="565"/>
    </row>
    <row r="4046" spans="2:2">
      <c r="B4046" s="565"/>
    </row>
    <row r="4047" spans="2:2">
      <c r="B4047" s="565"/>
    </row>
    <row r="4048" spans="2:2">
      <c r="B4048" s="565"/>
    </row>
    <row r="4049" spans="2:2">
      <c r="B4049" s="565"/>
    </row>
    <row r="4050" spans="2:2">
      <c r="B4050" s="565"/>
    </row>
    <row r="4051" spans="2:2">
      <c r="B4051" s="565"/>
    </row>
    <row r="4052" spans="2:2">
      <c r="B4052" s="565"/>
    </row>
    <row r="4053" spans="2:2">
      <c r="B4053" s="565"/>
    </row>
    <row r="4054" spans="2:2">
      <c r="B4054" s="565"/>
    </row>
    <row r="4055" spans="2:2">
      <c r="B4055" s="565"/>
    </row>
    <row r="4056" spans="2:2">
      <c r="B4056" s="565"/>
    </row>
    <row r="4057" spans="2:2">
      <c r="B4057" s="565"/>
    </row>
    <row r="4058" spans="2:2">
      <c r="B4058" s="565"/>
    </row>
    <row r="4059" spans="2:2">
      <c r="B4059" s="565"/>
    </row>
    <row r="4060" spans="2:2">
      <c r="B4060" s="565"/>
    </row>
    <row r="4061" spans="2:2">
      <c r="B4061" s="565"/>
    </row>
    <row r="4062" spans="2:2">
      <c r="B4062" s="565"/>
    </row>
    <row r="4063" spans="2:2">
      <c r="B4063" s="565"/>
    </row>
    <row r="4064" spans="2:2">
      <c r="B4064" s="565"/>
    </row>
    <row r="4065" spans="2:2">
      <c r="B4065" s="565"/>
    </row>
    <row r="4066" spans="2:2">
      <c r="B4066" s="565"/>
    </row>
    <row r="4067" spans="2:2">
      <c r="B4067" s="565"/>
    </row>
    <row r="4068" spans="2:2">
      <c r="B4068" s="565"/>
    </row>
    <row r="4069" spans="2:2">
      <c r="B4069" s="565"/>
    </row>
    <row r="4070" spans="2:2">
      <c r="B4070" s="565"/>
    </row>
    <row r="4071" spans="2:2">
      <c r="B4071" s="565"/>
    </row>
    <row r="4072" spans="2:2">
      <c r="B4072" s="565"/>
    </row>
    <row r="4073" spans="2:2">
      <c r="B4073" s="565"/>
    </row>
    <row r="4074" spans="2:2">
      <c r="B4074" s="565"/>
    </row>
    <row r="4075" spans="2:2">
      <c r="B4075" s="565"/>
    </row>
    <row r="4076" spans="2:2">
      <c r="B4076" s="565"/>
    </row>
    <row r="4077" spans="2:2">
      <c r="B4077" s="565"/>
    </row>
    <row r="4078" spans="2:2">
      <c r="B4078" s="565"/>
    </row>
    <row r="4079" spans="2:2">
      <c r="B4079" s="565"/>
    </row>
    <row r="4080" spans="2:2">
      <c r="B4080" s="565"/>
    </row>
    <row r="4081" spans="2:2">
      <c r="B4081" s="565"/>
    </row>
    <row r="4082" spans="2:2">
      <c r="B4082" s="565"/>
    </row>
    <row r="4083" spans="2:2">
      <c r="B4083" s="565"/>
    </row>
    <row r="4084" spans="2:2">
      <c r="B4084" s="565"/>
    </row>
    <row r="4085" spans="2:2">
      <c r="B4085" s="565"/>
    </row>
    <row r="4086" spans="2:2">
      <c r="B4086" s="565"/>
    </row>
    <row r="4087" spans="2:2">
      <c r="B4087" s="565"/>
    </row>
    <row r="4088" spans="2:2">
      <c r="B4088" s="565"/>
    </row>
    <row r="4089" spans="2:2">
      <c r="B4089" s="565"/>
    </row>
    <row r="4090" spans="2:2">
      <c r="B4090" s="565"/>
    </row>
    <row r="4091" spans="2:2">
      <c r="B4091" s="565"/>
    </row>
    <row r="4092" spans="2:2">
      <c r="B4092" s="565"/>
    </row>
    <row r="4093" spans="2:2">
      <c r="B4093" s="565"/>
    </row>
    <row r="4094" spans="2:2">
      <c r="B4094" s="565"/>
    </row>
    <row r="4095" spans="2:2">
      <c r="B4095" s="565"/>
    </row>
    <row r="4096" spans="2:2">
      <c r="B4096" s="565"/>
    </row>
    <row r="4097" spans="2:2">
      <c r="B4097" s="565"/>
    </row>
    <row r="4098" spans="2:2">
      <c r="B4098" s="565"/>
    </row>
    <row r="4099" spans="2:2">
      <c r="B4099" s="565"/>
    </row>
    <row r="4100" spans="2:2">
      <c r="B4100" s="565"/>
    </row>
    <row r="4101" spans="2:2">
      <c r="B4101" s="565"/>
    </row>
    <row r="4102" spans="2:2">
      <c r="B4102" s="565"/>
    </row>
    <row r="4103" spans="2:2">
      <c r="B4103" s="565"/>
    </row>
    <row r="4104" spans="2:2">
      <c r="B4104" s="565"/>
    </row>
    <row r="4105" spans="2:2">
      <c r="B4105" s="565"/>
    </row>
    <row r="4106" spans="2:2">
      <c r="B4106" s="565"/>
    </row>
    <row r="4107" spans="2:2">
      <c r="B4107" s="565"/>
    </row>
    <row r="4108" spans="2:2">
      <c r="B4108" s="565"/>
    </row>
    <row r="4109" spans="2:2">
      <c r="B4109" s="565"/>
    </row>
    <row r="4110" spans="2:2">
      <c r="B4110" s="565"/>
    </row>
    <row r="4111" spans="2:2">
      <c r="B4111" s="565"/>
    </row>
    <row r="4112" spans="2:2">
      <c r="B4112" s="565"/>
    </row>
    <row r="4113" spans="2:2">
      <c r="B4113" s="565"/>
    </row>
    <row r="4114" spans="2:2">
      <c r="B4114" s="565"/>
    </row>
    <row r="4115" spans="2:2">
      <c r="B4115" s="565"/>
    </row>
    <row r="4116" spans="2:2">
      <c r="B4116" s="565"/>
    </row>
    <row r="4117" spans="2:2">
      <c r="B4117" s="565"/>
    </row>
    <row r="4118" spans="2:2">
      <c r="B4118" s="565"/>
    </row>
    <row r="4119" spans="2:2">
      <c r="B4119" s="565"/>
    </row>
    <row r="4120" spans="2:2">
      <c r="B4120" s="565"/>
    </row>
    <row r="4121" spans="2:2">
      <c r="B4121" s="565"/>
    </row>
    <row r="4122" spans="2:2">
      <c r="B4122" s="565"/>
    </row>
    <row r="4123" spans="2:2">
      <c r="B4123" s="565"/>
    </row>
    <row r="4124" spans="2:2">
      <c r="B4124" s="565"/>
    </row>
    <row r="4125" spans="2:2">
      <c r="B4125" s="565"/>
    </row>
    <row r="4126" spans="2:2">
      <c r="B4126" s="565"/>
    </row>
    <row r="4127" spans="2:2">
      <c r="B4127" s="565"/>
    </row>
    <row r="4128" spans="2:2">
      <c r="B4128" s="565"/>
    </row>
    <row r="4129" spans="2:2">
      <c r="B4129" s="565"/>
    </row>
    <row r="4130" spans="2:2">
      <c r="B4130" s="565"/>
    </row>
    <row r="4131" spans="2:2">
      <c r="B4131" s="565"/>
    </row>
    <row r="4132" spans="2:2">
      <c r="B4132" s="565"/>
    </row>
    <row r="4133" spans="2:2">
      <c r="B4133" s="565"/>
    </row>
    <row r="4134" spans="2:2">
      <c r="B4134" s="565"/>
    </row>
    <row r="4135" spans="2:2">
      <c r="B4135" s="565"/>
    </row>
    <row r="4136" spans="2:2">
      <c r="B4136" s="565"/>
    </row>
    <row r="4137" spans="2:2">
      <c r="B4137" s="565"/>
    </row>
    <row r="4138" spans="2:2">
      <c r="B4138" s="565"/>
    </row>
    <row r="4139" spans="2:2">
      <c r="B4139" s="565"/>
    </row>
    <row r="4140" spans="2:2">
      <c r="B4140" s="565"/>
    </row>
    <row r="4141" spans="2:2">
      <c r="B4141" s="565"/>
    </row>
    <row r="4142" spans="2:2">
      <c r="B4142" s="565"/>
    </row>
    <row r="4143" spans="2:2">
      <c r="B4143" s="565"/>
    </row>
    <row r="4144" spans="2:2">
      <c r="B4144" s="565"/>
    </row>
    <row r="4145" spans="2:2">
      <c r="B4145" s="565"/>
    </row>
    <row r="4146" spans="2:2">
      <c r="B4146" s="565"/>
    </row>
    <row r="4147" spans="2:2">
      <c r="B4147" s="565"/>
    </row>
    <row r="4148" spans="2:2">
      <c r="B4148" s="565"/>
    </row>
    <row r="4149" spans="2:2">
      <c r="B4149" s="565"/>
    </row>
    <row r="4150" spans="2:2">
      <c r="B4150" s="565"/>
    </row>
    <row r="4151" spans="2:2">
      <c r="B4151" s="565"/>
    </row>
    <row r="4152" spans="2:2">
      <c r="B4152" s="565"/>
    </row>
    <row r="4153" spans="2:2">
      <c r="B4153" s="565"/>
    </row>
    <row r="4154" spans="2:2">
      <c r="B4154" s="565"/>
    </row>
    <row r="4155" spans="2:2">
      <c r="B4155" s="565"/>
    </row>
    <row r="4156" spans="2:2">
      <c r="B4156" s="565"/>
    </row>
    <row r="4157" spans="2:2">
      <c r="B4157" s="565"/>
    </row>
    <row r="4158" spans="2:2">
      <c r="B4158" s="565"/>
    </row>
    <row r="4159" spans="2:2">
      <c r="B4159" s="565"/>
    </row>
    <row r="4160" spans="2:2">
      <c r="B4160" s="565"/>
    </row>
    <row r="4161" spans="2:2">
      <c r="B4161" s="565"/>
    </row>
    <row r="4162" spans="2:2">
      <c r="B4162" s="565"/>
    </row>
    <row r="4163" spans="2:2">
      <c r="B4163" s="565"/>
    </row>
    <row r="4164" spans="2:2">
      <c r="B4164" s="565"/>
    </row>
    <row r="4165" spans="2:2">
      <c r="B4165" s="565"/>
    </row>
    <row r="4166" spans="2:2">
      <c r="B4166" s="565"/>
    </row>
    <row r="4167" spans="2:2">
      <c r="B4167" s="565"/>
    </row>
    <row r="4168" spans="2:2">
      <c r="B4168" s="565"/>
    </row>
    <row r="4169" spans="2:2">
      <c r="B4169" s="565"/>
    </row>
    <row r="4170" spans="2:2">
      <c r="B4170" s="565"/>
    </row>
    <row r="4171" spans="2:2">
      <c r="B4171" s="565"/>
    </row>
    <row r="4172" spans="2:2">
      <c r="B4172" s="565"/>
    </row>
    <row r="4173" spans="2:2">
      <c r="B4173" s="565"/>
    </row>
    <row r="4174" spans="2:2">
      <c r="B4174" s="565"/>
    </row>
    <row r="4175" spans="2:2">
      <c r="B4175" s="565"/>
    </row>
    <row r="4176" spans="2:2">
      <c r="B4176" s="565"/>
    </row>
    <row r="4177" spans="2:2">
      <c r="B4177" s="565"/>
    </row>
    <row r="4178" spans="2:2">
      <c r="B4178" s="565"/>
    </row>
    <row r="4179" spans="2:2">
      <c r="B4179" s="565"/>
    </row>
    <row r="4180" spans="2:2">
      <c r="B4180" s="565"/>
    </row>
    <row r="4181" spans="2:2">
      <c r="B4181" s="565"/>
    </row>
    <row r="4182" spans="2:2">
      <c r="B4182" s="565"/>
    </row>
    <row r="4183" spans="2:2">
      <c r="B4183" s="565"/>
    </row>
    <row r="4184" spans="2:2">
      <c r="B4184" s="565"/>
    </row>
    <row r="4185" spans="2:2">
      <c r="B4185" s="565"/>
    </row>
    <row r="4186" spans="2:2">
      <c r="B4186" s="565"/>
    </row>
    <row r="4187" spans="2:2">
      <c r="B4187" s="565"/>
    </row>
    <row r="4188" spans="2:2">
      <c r="B4188" s="565"/>
    </row>
    <row r="4189" spans="2:2">
      <c r="B4189" s="565"/>
    </row>
    <row r="4190" spans="2:2">
      <c r="B4190" s="565"/>
    </row>
    <row r="4191" spans="2:2">
      <c r="B4191" s="565"/>
    </row>
    <row r="4192" spans="2:2">
      <c r="B4192" s="565"/>
    </row>
    <row r="4193" spans="2:2">
      <c r="B4193" s="565"/>
    </row>
    <row r="4194" spans="2:2">
      <c r="B4194" s="565"/>
    </row>
    <row r="4195" spans="2:2">
      <c r="B4195" s="565"/>
    </row>
    <row r="4196" spans="2:2">
      <c r="B4196" s="565"/>
    </row>
    <row r="4197" spans="2:2">
      <c r="B4197" s="565"/>
    </row>
    <row r="4198" spans="2:2">
      <c r="B4198" s="565"/>
    </row>
    <row r="4199" spans="2:2">
      <c r="B4199" s="565"/>
    </row>
    <row r="4200" spans="2:2">
      <c r="B4200" s="565"/>
    </row>
    <row r="4201" spans="2:2">
      <c r="B4201" s="565"/>
    </row>
    <row r="4202" spans="2:2">
      <c r="B4202" s="565"/>
    </row>
    <row r="4203" spans="2:2">
      <c r="B4203" s="565"/>
    </row>
    <row r="4204" spans="2:2">
      <c r="B4204" s="565"/>
    </row>
    <row r="4205" spans="2:2">
      <c r="B4205" s="565"/>
    </row>
    <row r="4206" spans="2:2">
      <c r="B4206" s="565"/>
    </row>
    <row r="4207" spans="2:2">
      <c r="B4207" s="565"/>
    </row>
    <row r="4208" spans="2:2">
      <c r="B4208" s="565"/>
    </row>
    <row r="4209" spans="2:2">
      <c r="B4209" s="565"/>
    </row>
    <row r="4210" spans="2:2">
      <c r="B4210" s="565"/>
    </row>
    <row r="4211" spans="2:2">
      <c r="B4211" s="565"/>
    </row>
    <row r="4212" spans="2:2">
      <c r="B4212" s="565"/>
    </row>
    <row r="4213" spans="2:2">
      <c r="B4213" s="565"/>
    </row>
    <row r="4214" spans="2:2">
      <c r="B4214" s="565"/>
    </row>
    <row r="4215" spans="2:2">
      <c r="B4215" s="565"/>
    </row>
    <row r="4216" spans="2:2">
      <c r="B4216" s="565"/>
    </row>
    <row r="4217" spans="2:2">
      <c r="B4217" s="565"/>
    </row>
    <row r="4218" spans="2:2">
      <c r="B4218" s="565"/>
    </row>
    <row r="4219" spans="2:2">
      <c r="B4219" s="565"/>
    </row>
    <row r="4220" spans="2:2">
      <c r="B4220" s="565"/>
    </row>
    <row r="4221" spans="2:2">
      <c r="B4221" s="565"/>
    </row>
    <row r="4222" spans="2:2">
      <c r="B4222" s="565"/>
    </row>
    <row r="4223" spans="2:2">
      <c r="B4223" s="565"/>
    </row>
    <row r="4224" spans="2:2">
      <c r="B4224" s="565"/>
    </row>
    <row r="4225" spans="2:2">
      <c r="B4225" s="565"/>
    </row>
    <row r="4226" spans="2:2">
      <c r="B4226" s="565"/>
    </row>
    <row r="4227" spans="2:2">
      <c r="B4227" s="565"/>
    </row>
    <row r="4228" spans="2:2">
      <c r="B4228" s="565"/>
    </row>
    <row r="4229" spans="2:2">
      <c r="B4229" s="565"/>
    </row>
    <row r="4230" spans="2:2">
      <c r="B4230" s="565"/>
    </row>
    <row r="4231" spans="2:2">
      <c r="B4231" s="565"/>
    </row>
    <row r="4232" spans="2:2">
      <c r="B4232" s="565"/>
    </row>
    <row r="4233" spans="2:2">
      <c r="B4233" s="565"/>
    </row>
    <row r="4234" spans="2:2">
      <c r="B4234" s="565"/>
    </row>
    <row r="4235" spans="2:2">
      <c r="B4235" s="565"/>
    </row>
    <row r="4236" spans="2:2">
      <c r="B4236" s="565"/>
    </row>
    <row r="4237" spans="2:2">
      <c r="B4237" s="565"/>
    </row>
    <row r="4238" spans="2:2">
      <c r="B4238" s="565"/>
    </row>
    <row r="4239" spans="2:2">
      <c r="B4239" s="565"/>
    </row>
    <row r="4240" spans="2:2">
      <c r="B4240" s="565"/>
    </row>
    <row r="4241" spans="2:2">
      <c r="B4241" s="565"/>
    </row>
    <row r="4242" spans="2:2">
      <c r="B4242" s="565"/>
    </row>
    <row r="4243" spans="2:2">
      <c r="B4243" s="565"/>
    </row>
    <row r="4244" spans="2:2">
      <c r="B4244" s="565"/>
    </row>
    <row r="4245" spans="2:2">
      <c r="B4245" s="565"/>
    </row>
    <row r="4246" spans="2:2">
      <c r="B4246" s="565"/>
    </row>
    <row r="4247" spans="2:2">
      <c r="B4247" s="565"/>
    </row>
    <row r="4248" spans="2:2">
      <c r="B4248" s="565"/>
    </row>
    <row r="4249" spans="2:2">
      <c r="B4249" s="565"/>
    </row>
    <row r="4250" spans="2:2">
      <c r="B4250" s="565"/>
    </row>
    <row r="4251" spans="2:2">
      <c r="B4251" s="565"/>
    </row>
    <row r="4252" spans="2:2">
      <c r="B4252" s="565"/>
    </row>
    <row r="4253" spans="2:2">
      <c r="B4253" s="565"/>
    </row>
    <row r="4254" spans="2:2">
      <c r="B4254" s="565"/>
    </row>
    <row r="4255" spans="2:2">
      <c r="B4255" s="565"/>
    </row>
    <row r="4256" spans="2:2">
      <c r="B4256" s="565"/>
    </row>
    <row r="4257" spans="2:2">
      <c r="B4257" s="565"/>
    </row>
    <row r="4258" spans="2:2">
      <c r="B4258" s="565"/>
    </row>
    <row r="4259" spans="2:2">
      <c r="B4259" s="565"/>
    </row>
    <row r="4260" spans="2:2">
      <c r="B4260" s="565"/>
    </row>
    <row r="4261" spans="2:2">
      <c r="B4261" s="565"/>
    </row>
    <row r="4262" spans="2:2">
      <c r="B4262" s="565"/>
    </row>
    <row r="4263" spans="2:2">
      <c r="B4263" s="565"/>
    </row>
    <row r="4264" spans="2:2">
      <c r="B4264" s="565"/>
    </row>
    <row r="4265" spans="2:2">
      <c r="B4265" s="565"/>
    </row>
    <row r="4266" spans="2:2">
      <c r="B4266" s="565"/>
    </row>
    <row r="4267" spans="2:2">
      <c r="B4267" s="565"/>
    </row>
    <row r="4268" spans="2:2">
      <c r="B4268" s="565"/>
    </row>
    <row r="4269" spans="2:2">
      <c r="B4269" s="565"/>
    </row>
    <row r="4270" spans="2:2">
      <c r="B4270" s="565"/>
    </row>
    <row r="4271" spans="2:2">
      <c r="B4271" s="565"/>
    </row>
    <row r="4272" spans="2:2">
      <c r="B4272" s="565"/>
    </row>
    <row r="4273" spans="2:2">
      <c r="B4273" s="565"/>
    </row>
    <row r="4274" spans="2:2">
      <c r="B4274" s="565"/>
    </row>
    <row r="4275" spans="2:2">
      <c r="B4275" s="565"/>
    </row>
    <row r="4276" spans="2:2">
      <c r="B4276" s="565"/>
    </row>
    <row r="4277" spans="2:2">
      <c r="B4277" s="565"/>
    </row>
    <row r="4278" spans="2:2">
      <c r="B4278" s="565"/>
    </row>
    <row r="4279" spans="2:2">
      <c r="B4279" s="565"/>
    </row>
    <row r="4280" spans="2:2">
      <c r="B4280" s="565"/>
    </row>
    <row r="4281" spans="2:2">
      <c r="B4281" s="565"/>
    </row>
    <row r="4282" spans="2:2">
      <c r="B4282" s="565"/>
    </row>
    <row r="4283" spans="2:2">
      <c r="B4283" s="565"/>
    </row>
    <row r="4284" spans="2:2">
      <c r="B4284" s="565"/>
    </row>
    <row r="4285" spans="2:2">
      <c r="B4285" s="565"/>
    </row>
    <row r="4286" spans="2:2">
      <c r="B4286" s="565"/>
    </row>
    <row r="4287" spans="2:2">
      <c r="B4287" s="565"/>
    </row>
    <row r="4288" spans="2:2">
      <c r="B4288" s="565"/>
    </row>
    <row r="4289" spans="2:2">
      <c r="B4289" s="565"/>
    </row>
    <row r="4290" spans="2:2">
      <c r="B4290" s="565"/>
    </row>
    <row r="4291" spans="2:2">
      <c r="B4291" s="565"/>
    </row>
    <row r="4292" spans="2:2">
      <c r="B4292" s="565"/>
    </row>
    <row r="4293" spans="2:2">
      <c r="B4293" s="565"/>
    </row>
    <row r="4294" spans="2:2">
      <c r="B4294" s="565"/>
    </row>
    <row r="4295" spans="2:2">
      <c r="B4295" s="565"/>
    </row>
    <row r="4296" spans="2:2">
      <c r="B4296" s="565"/>
    </row>
    <row r="4297" spans="2:2">
      <c r="B4297" s="565"/>
    </row>
    <row r="4298" spans="2:2">
      <c r="B4298" s="565"/>
    </row>
    <row r="4299" spans="2:2">
      <c r="B4299" s="565"/>
    </row>
    <row r="4300" spans="2:2">
      <c r="B4300" s="565"/>
    </row>
    <row r="4301" spans="2:2">
      <c r="B4301" s="565"/>
    </row>
    <row r="4302" spans="2:2">
      <c r="B4302" s="565"/>
    </row>
    <row r="4303" spans="2:2">
      <c r="B4303" s="565"/>
    </row>
    <row r="4304" spans="2:2">
      <c r="B4304" s="565"/>
    </row>
    <row r="4305" spans="2:2">
      <c r="B4305" s="565"/>
    </row>
    <row r="4306" spans="2:2">
      <c r="B4306" s="565"/>
    </row>
    <row r="4307" spans="2:2">
      <c r="B4307" s="565"/>
    </row>
    <row r="4308" spans="2:2">
      <c r="B4308" s="565"/>
    </row>
    <row r="4309" spans="2:2">
      <c r="B4309" s="565"/>
    </row>
    <row r="4310" spans="2:2">
      <c r="B4310" s="565"/>
    </row>
    <row r="4311" spans="2:2">
      <c r="B4311" s="565"/>
    </row>
    <row r="4312" spans="2:2">
      <c r="B4312" s="565"/>
    </row>
    <row r="4313" spans="2:2">
      <c r="B4313" s="565"/>
    </row>
    <row r="4314" spans="2:2">
      <c r="B4314" s="565"/>
    </row>
    <row r="4315" spans="2:2">
      <c r="B4315" s="565"/>
    </row>
    <row r="4316" spans="2:2">
      <c r="B4316" s="565"/>
    </row>
    <row r="4317" spans="2:2">
      <c r="B4317" s="565"/>
    </row>
    <row r="4318" spans="2:2">
      <c r="B4318" s="565"/>
    </row>
    <row r="4319" spans="2:2">
      <c r="B4319" s="565"/>
    </row>
    <row r="4320" spans="2:2">
      <c r="B4320" s="565"/>
    </row>
    <row r="4321" spans="2:2">
      <c r="B4321" s="565"/>
    </row>
    <row r="4322" spans="2:2">
      <c r="B4322" s="565"/>
    </row>
    <row r="4323" spans="2:2">
      <c r="B4323" s="565"/>
    </row>
    <row r="4324" spans="2:2">
      <c r="B4324" s="565"/>
    </row>
    <row r="4325" spans="2:2">
      <c r="B4325" s="565"/>
    </row>
    <row r="4326" spans="2:2">
      <c r="B4326" s="565"/>
    </row>
    <row r="4327" spans="2:2">
      <c r="B4327" s="565"/>
    </row>
    <row r="4328" spans="2:2">
      <c r="B4328" s="565"/>
    </row>
    <row r="4329" spans="2:2">
      <c r="B4329" s="565"/>
    </row>
    <row r="4330" spans="2:2">
      <c r="B4330" s="565"/>
    </row>
    <row r="4331" spans="2:2">
      <c r="B4331" s="565"/>
    </row>
    <row r="4332" spans="2:2">
      <c r="B4332" s="565"/>
    </row>
    <row r="4333" spans="2:2">
      <c r="B4333" s="565"/>
    </row>
    <row r="4334" spans="2:2">
      <c r="B4334" s="565"/>
    </row>
    <row r="4335" spans="2:2">
      <c r="B4335" s="565"/>
    </row>
    <row r="4336" spans="2:2">
      <c r="B4336" s="565"/>
    </row>
    <row r="4337" spans="2:2">
      <c r="B4337" s="565"/>
    </row>
    <row r="4338" spans="2:2">
      <c r="B4338" s="565"/>
    </row>
    <row r="4339" spans="2:2">
      <c r="B4339" s="565"/>
    </row>
    <row r="4340" spans="2:2">
      <c r="B4340" s="565"/>
    </row>
    <row r="4341" spans="2:2">
      <c r="B4341" s="565"/>
    </row>
    <row r="4342" spans="2:2">
      <c r="B4342" s="565"/>
    </row>
    <row r="4343" spans="2:2">
      <c r="B4343" s="565"/>
    </row>
    <row r="4344" spans="2:2">
      <c r="B4344" s="565"/>
    </row>
    <row r="4345" spans="2:2">
      <c r="B4345" s="565"/>
    </row>
    <row r="4346" spans="2:2">
      <c r="B4346" s="565"/>
    </row>
    <row r="4347" spans="2:2">
      <c r="B4347" s="565"/>
    </row>
    <row r="4348" spans="2:2">
      <c r="B4348" s="565"/>
    </row>
    <row r="4349" spans="2:2">
      <c r="B4349" s="565"/>
    </row>
    <row r="4350" spans="2:2">
      <c r="B4350" s="565"/>
    </row>
    <row r="4351" spans="2:2">
      <c r="B4351" s="565"/>
    </row>
    <row r="4352" spans="2:2">
      <c r="B4352" s="565"/>
    </row>
    <row r="4353" spans="2:2">
      <c r="B4353" s="565"/>
    </row>
    <row r="4354" spans="2:2">
      <c r="B4354" s="565"/>
    </row>
    <row r="4355" spans="2:2">
      <c r="B4355" s="565"/>
    </row>
    <row r="4356" spans="2:2">
      <c r="B4356" s="565"/>
    </row>
    <row r="4357" spans="2:2">
      <c r="B4357" s="565"/>
    </row>
    <row r="4358" spans="2:2">
      <c r="B4358" s="565"/>
    </row>
    <row r="4359" spans="2:2">
      <c r="B4359" s="565"/>
    </row>
    <row r="4360" spans="2:2">
      <c r="B4360" s="565"/>
    </row>
    <row r="4361" spans="2:2">
      <c r="B4361" s="565"/>
    </row>
    <row r="4362" spans="2:2">
      <c r="B4362" s="565"/>
    </row>
    <row r="4363" spans="2:2">
      <c r="B4363" s="565"/>
    </row>
    <row r="4364" spans="2:2">
      <c r="B4364" s="565"/>
    </row>
    <row r="4365" spans="2:2">
      <c r="B4365" s="565"/>
    </row>
    <row r="4366" spans="2:2">
      <c r="B4366" s="565"/>
    </row>
    <row r="4367" spans="2:2">
      <c r="B4367" s="565"/>
    </row>
    <row r="4368" spans="2:2">
      <c r="B4368" s="565"/>
    </row>
    <row r="4369" spans="2:2">
      <c r="B4369" s="565"/>
    </row>
    <row r="4370" spans="2:2">
      <c r="B4370" s="565"/>
    </row>
    <row r="4371" spans="2:2">
      <c r="B4371" s="565"/>
    </row>
    <row r="4372" spans="2:2">
      <c r="B4372" s="565"/>
    </row>
    <row r="4373" spans="2:2">
      <c r="B4373" s="565"/>
    </row>
    <row r="4374" spans="2:2">
      <c r="B4374" s="565"/>
    </row>
    <row r="4375" spans="2:2">
      <c r="B4375" s="565"/>
    </row>
    <row r="4376" spans="2:2">
      <c r="B4376" s="565"/>
    </row>
    <row r="4377" spans="2:2">
      <c r="B4377" s="565"/>
    </row>
    <row r="4378" spans="2:2">
      <c r="B4378" s="565"/>
    </row>
    <row r="4379" spans="2:2">
      <c r="B4379" s="565"/>
    </row>
    <row r="4380" spans="2:2">
      <c r="B4380" s="565"/>
    </row>
    <row r="4381" spans="2:2">
      <c r="B4381" s="565"/>
    </row>
    <row r="4382" spans="2:2">
      <c r="B4382" s="565"/>
    </row>
    <row r="4383" spans="2:2">
      <c r="B4383" s="565"/>
    </row>
    <row r="4384" spans="2:2">
      <c r="B4384" s="565"/>
    </row>
    <row r="4385" spans="2:2">
      <c r="B4385" s="565"/>
    </row>
    <row r="4386" spans="2:2">
      <c r="B4386" s="565"/>
    </row>
    <row r="4387" spans="2:2">
      <c r="B4387" s="565"/>
    </row>
    <row r="4388" spans="2:2">
      <c r="B4388" s="565"/>
    </row>
    <row r="4389" spans="2:2">
      <c r="B4389" s="565"/>
    </row>
    <row r="4390" spans="2:2">
      <c r="B4390" s="565"/>
    </row>
    <row r="4391" spans="2:2">
      <c r="B4391" s="565"/>
    </row>
    <row r="4392" spans="2:2">
      <c r="B4392" s="565"/>
    </row>
    <row r="4393" spans="2:2">
      <c r="B4393" s="565"/>
    </row>
    <row r="4394" spans="2:2">
      <c r="B4394" s="565"/>
    </row>
    <row r="4395" spans="2:2">
      <c r="B4395" s="565"/>
    </row>
    <row r="4396" spans="2:2">
      <c r="B4396" s="565"/>
    </row>
    <row r="4397" spans="2:2">
      <c r="B4397" s="565"/>
    </row>
    <row r="4398" spans="2:2">
      <c r="B4398" s="565"/>
    </row>
    <row r="4399" spans="2:2">
      <c r="B4399" s="565"/>
    </row>
    <row r="4400" spans="2:2">
      <c r="B4400" s="565"/>
    </row>
    <row r="4401" spans="2:2">
      <c r="B4401" s="565"/>
    </row>
    <row r="4402" spans="2:2">
      <c r="B4402" s="565"/>
    </row>
    <row r="4403" spans="2:2">
      <c r="B4403" s="565"/>
    </row>
    <row r="4404" spans="2:2">
      <c r="B4404" s="565"/>
    </row>
    <row r="4405" spans="2:2">
      <c r="B4405" s="565"/>
    </row>
    <row r="4406" spans="2:2">
      <c r="B4406" s="565"/>
    </row>
    <row r="4407" spans="2:2">
      <c r="B4407" s="565"/>
    </row>
    <row r="4408" spans="2:2">
      <c r="B4408" s="565"/>
    </row>
    <row r="4409" spans="2:2">
      <c r="B4409" s="565"/>
    </row>
    <row r="4410" spans="2:2">
      <c r="B4410" s="565"/>
    </row>
    <row r="4411" spans="2:2">
      <c r="B4411" s="565"/>
    </row>
    <row r="4412" spans="2:2">
      <c r="B4412" s="565"/>
    </row>
    <row r="4413" spans="2:2">
      <c r="B4413" s="565"/>
    </row>
    <row r="4414" spans="2:2">
      <c r="B4414" s="565"/>
    </row>
    <row r="4415" spans="2:2">
      <c r="B4415" s="565"/>
    </row>
    <row r="4416" spans="2:2">
      <c r="B4416" s="565"/>
    </row>
    <row r="4417" spans="2:2">
      <c r="B4417" s="565"/>
    </row>
    <row r="4418" spans="2:2">
      <c r="B4418" s="565"/>
    </row>
    <row r="4419" spans="2:2">
      <c r="B4419" s="565"/>
    </row>
    <row r="4420" spans="2:2">
      <c r="B4420" s="565"/>
    </row>
    <row r="4421" spans="2:2">
      <c r="B4421" s="565"/>
    </row>
    <row r="4422" spans="2:2">
      <c r="B4422" s="565"/>
    </row>
    <row r="4423" spans="2:2">
      <c r="B4423" s="565"/>
    </row>
    <row r="4424" spans="2:2">
      <c r="B4424" s="565"/>
    </row>
    <row r="4425" spans="2:2">
      <c r="B4425" s="565"/>
    </row>
    <row r="4426" spans="2:2">
      <c r="B4426" s="565"/>
    </row>
    <row r="4427" spans="2:2">
      <c r="B4427" s="565"/>
    </row>
    <row r="4428" spans="2:2">
      <c r="B4428" s="565"/>
    </row>
    <row r="4429" spans="2:2">
      <c r="B4429" s="565"/>
    </row>
    <row r="4430" spans="2:2">
      <c r="B4430" s="565"/>
    </row>
    <row r="4431" spans="2:2">
      <c r="B4431" s="565"/>
    </row>
    <row r="4432" spans="2:2">
      <c r="B4432" s="565"/>
    </row>
    <row r="4433" spans="2:2">
      <c r="B4433" s="565"/>
    </row>
    <row r="4434" spans="2:2">
      <c r="B4434" s="565"/>
    </row>
    <row r="4435" spans="2:2">
      <c r="B4435" s="565"/>
    </row>
    <row r="4436" spans="2:2">
      <c r="B4436" s="565"/>
    </row>
    <row r="4437" spans="2:2">
      <c r="B4437" s="565"/>
    </row>
    <row r="4438" spans="2:2">
      <c r="B4438" s="565"/>
    </row>
    <row r="4439" spans="2:2">
      <c r="B4439" s="565"/>
    </row>
    <row r="4440" spans="2:2">
      <c r="B4440" s="565"/>
    </row>
    <row r="4441" spans="2:2">
      <c r="B4441" s="565"/>
    </row>
    <row r="4442" spans="2:2">
      <c r="B4442" s="565"/>
    </row>
    <row r="4443" spans="2:2">
      <c r="B4443" s="565"/>
    </row>
    <row r="4444" spans="2:2">
      <c r="B4444" s="565"/>
    </row>
    <row r="4445" spans="2:2">
      <c r="B4445" s="565"/>
    </row>
    <row r="4446" spans="2:2">
      <c r="B4446" s="565"/>
    </row>
    <row r="4447" spans="2:2">
      <c r="B4447" s="565"/>
    </row>
    <row r="4448" spans="2:2">
      <c r="B4448" s="565"/>
    </row>
    <row r="4449" spans="2:2">
      <c r="B4449" s="565"/>
    </row>
    <row r="4450" spans="2:2">
      <c r="B4450" s="565"/>
    </row>
    <row r="4451" spans="2:2">
      <c r="B4451" s="565"/>
    </row>
    <row r="4452" spans="2:2">
      <c r="B4452" s="565"/>
    </row>
    <row r="4453" spans="2:2">
      <c r="B4453" s="565"/>
    </row>
    <row r="4454" spans="2:2">
      <c r="B4454" s="565"/>
    </row>
    <row r="4455" spans="2:2">
      <c r="B4455" s="565"/>
    </row>
    <row r="4456" spans="2:2">
      <c r="B4456" s="565"/>
    </row>
    <row r="4457" spans="2:2">
      <c r="B4457" s="565"/>
    </row>
    <row r="4458" spans="2:2">
      <c r="B4458" s="565"/>
    </row>
    <row r="4459" spans="2:2">
      <c r="B4459" s="565"/>
    </row>
    <row r="4460" spans="2:2">
      <c r="B4460" s="565"/>
    </row>
    <row r="4461" spans="2:2">
      <c r="B4461" s="565"/>
    </row>
    <row r="4462" spans="2:2">
      <c r="B4462" s="565"/>
    </row>
    <row r="4463" spans="2:2">
      <c r="B4463" s="565"/>
    </row>
    <row r="4464" spans="2:2">
      <c r="B4464" s="565"/>
    </row>
    <row r="4465" spans="2:2">
      <c r="B4465" s="565"/>
    </row>
    <row r="4466" spans="2:2">
      <c r="B4466" s="565"/>
    </row>
    <row r="4467" spans="2:2">
      <c r="B4467" s="565"/>
    </row>
    <row r="4468" spans="2:2">
      <c r="B4468" s="565"/>
    </row>
    <row r="4469" spans="2:2">
      <c r="B4469" s="565"/>
    </row>
    <row r="4470" spans="2:2">
      <c r="B4470" s="565"/>
    </row>
    <row r="4471" spans="2:2">
      <c r="B4471" s="565"/>
    </row>
    <row r="4472" spans="2:2">
      <c r="B4472" s="565"/>
    </row>
    <row r="4473" spans="2:2">
      <c r="B4473" s="565"/>
    </row>
    <row r="4474" spans="2:2">
      <c r="B4474" s="565"/>
    </row>
    <row r="4475" spans="2:2">
      <c r="B4475" s="565"/>
    </row>
    <row r="4476" spans="2:2">
      <c r="B4476" s="565"/>
    </row>
    <row r="4477" spans="2:2">
      <c r="B4477" s="565"/>
    </row>
    <row r="4478" spans="2:2">
      <c r="B4478" s="565"/>
    </row>
    <row r="4479" spans="2:2">
      <c r="B4479" s="565"/>
    </row>
    <row r="4480" spans="2:2">
      <c r="B4480" s="565"/>
    </row>
    <row r="4481" spans="2:2">
      <c r="B4481" s="565"/>
    </row>
    <row r="4482" spans="2:2">
      <c r="B4482" s="565"/>
    </row>
    <row r="4483" spans="2:2">
      <c r="B4483" s="565"/>
    </row>
    <row r="4484" spans="2:2">
      <c r="B4484" s="565"/>
    </row>
    <row r="4485" spans="2:2">
      <c r="B4485" s="565"/>
    </row>
    <row r="4486" spans="2:2">
      <c r="B4486" s="565"/>
    </row>
    <row r="4487" spans="2:2">
      <c r="B4487" s="565"/>
    </row>
    <row r="4488" spans="2:2">
      <c r="B4488" s="565"/>
    </row>
    <row r="4489" spans="2:2">
      <c r="B4489" s="565"/>
    </row>
    <row r="4490" spans="2:2">
      <c r="B4490" s="565"/>
    </row>
    <row r="4491" spans="2:2">
      <c r="B4491" s="565"/>
    </row>
    <row r="4492" spans="2:2">
      <c r="B4492" s="565"/>
    </row>
    <row r="4493" spans="2:2">
      <c r="B4493" s="565"/>
    </row>
    <row r="4494" spans="2:2">
      <c r="B4494" s="565"/>
    </row>
    <row r="4495" spans="2:2">
      <c r="B4495" s="565"/>
    </row>
    <row r="4496" spans="2:2">
      <c r="B4496" s="565"/>
    </row>
    <row r="4497" spans="2:2">
      <c r="B4497" s="565"/>
    </row>
    <row r="4498" spans="2:2">
      <c r="B4498" s="565"/>
    </row>
    <row r="4499" spans="2:2">
      <c r="B4499" s="565"/>
    </row>
    <row r="4500" spans="2:2">
      <c r="B4500" s="565"/>
    </row>
    <row r="4501" spans="2:2">
      <c r="B4501" s="565"/>
    </row>
    <row r="4502" spans="2:2">
      <c r="B4502" s="565"/>
    </row>
    <row r="4503" spans="2:2">
      <c r="B4503" s="565"/>
    </row>
    <row r="4504" spans="2:2">
      <c r="B4504" s="565"/>
    </row>
    <row r="4505" spans="2:2">
      <c r="B4505" s="565"/>
    </row>
    <row r="4506" spans="2:2">
      <c r="B4506" s="565"/>
    </row>
    <row r="4507" spans="2:2">
      <c r="B4507" s="565"/>
    </row>
    <row r="4508" spans="2:2">
      <c r="B4508" s="565"/>
    </row>
    <row r="4509" spans="2:2">
      <c r="B4509" s="565"/>
    </row>
    <row r="4510" spans="2:2">
      <c r="B4510" s="565"/>
    </row>
    <row r="4511" spans="2:2">
      <c r="B4511" s="565"/>
    </row>
    <row r="4512" spans="2:2">
      <c r="B4512" s="565"/>
    </row>
    <row r="4513" spans="2:2">
      <c r="B4513" s="565"/>
    </row>
    <row r="4514" spans="2:2">
      <c r="B4514" s="565"/>
    </row>
    <row r="4515" spans="2:2">
      <c r="B4515" s="565"/>
    </row>
    <row r="4516" spans="2:2">
      <c r="B4516" s="565"/>
    </row>
    <row r="4517" spans="2:2">
      <c r="B4517" s="565"/>
    </row>
    <row r="4518" spans="2:2">
      <c r="B4518" s="565"/>
    </row>
    <row r="4519" spans="2:2">
      <c r="B4519" s="565"/>
    </row>
    <row r="4520" spans="2:2">
      <c r="B4520" s="565"/>
    </row>
    <row r="4521" spans="2:2">
      <c r="B4521" s="565"/>
    </row>
    <row r="4522" spans="2:2">
      <c r="B4522" s="565"/>
    </row>
    <row r="4523" spans="2:2">
      <c r="B4523" s="565"/>
    </row>
    <row r="4524" spans="2:2">
      <c r="B4524" s="565"/>
    </row>
    <row r="4525" spans="2:2">
      <c r="B4525" s="565"/>
    </row>
    <row r="4526" spans="2:2">
      <c r="B4526" s="565"/>
    </row>
    <row r="4527" spans="2:2">
      <c r="B4527" s="565"/>
    </row>
    <row r="4528" spans="2:2">
      <c r="B4528" s="565"/>
    </row>
    <row r="4529" spans="2:2">
      <c r="B4529" s="565"/>
    </row>
    <row r="4530" spans="2:2">
      <c r="B4530" s="565"/>
    </row>
    <row r="4531" spans="2:2">
      <c r="B4531" s="565"/>
    </row>
    <row r="4532" spans="2:2">
      <c r="B4532" s="565"/>
    </row>
    <row r="4533" spans="2:2">
      <c r="B4533" s="565"/>
    </row>
    <row r="4534" spans="2:2">
      <c r="B4534" s="565"/>
    </row>
    <row r="4535" spans="2:2">
      <c r="B4535" s="565"/>
    </row>
    <row r="4536" spans="2:2">
      <c r="B4536" s="565"/>
    </row>
    <row r="4537" spans="2:2">
      <c r="B4537" s="565"/>
    </row>
    <row r="4538" spans="2:2">
      <c r="B4538" s="565"/>
    </row>
    <row r="4539" spans="2:2">
      <c r="B4539" s="565"/>
    </row>
    <row r="4540" spans="2:2">
      <c r="B4540" s="565"/>
    </row>
    <row r="4541" spans="2:2">
      <c r="B4541" s="565"/>
    </row>
    <row r="4542" spans="2:2">
      <c r="B4542" s="565"/>
    </row>
    <row r="4543" spans="2:2">
      <c r="B4543" s="565"/>
    </row>
    <row r="4544" spans="2:2">
      <c r="B4544" s="565"/>
    </row>
    <row r="4545" spans="2:2">
      <c r="B4545" s="565"/>
    </row>
    <row r="4546" spans="2:2">
      <c r="B4546" s="565"/>
    </row>
    <row r="4547" spans="2:2">
      <c r="B4547" s="565"/>
    </row>
    <row r="4548" spans="2:2">
      <c r="B4548" s="565"/>
    </row>
    <row r="4549" spans="2:2">
      <c r="B4549" s="565"/>
    </row>
    <row r="4550" spans="2:2">
      <c r="B4550" s="565"/>
    </row>
    <row r="4551" spans="2:2">
      <c r="B4551" s="565"/>
    </row>
    <row r="4552" spans="2:2">
      <c r="B4552" s="565"/>
    </row>
    <row r="4553" spans="2:2">
      <c r="B4553" s="565"/>
    </row>
    <row r="4554" spans="2:2">
      <c r="B4554" s="565"/>
    </row>
    <row r="4555" spans="2:2">
      <c r="B4555" s="565"/>
    </row>
    <row r="4556" spans="2:2">
      <c r="B4556" s="565"/>
    </row>
    <row r="4557" spans="2:2">
      <c r="B4557" s="565"/>
    </row>
    <row r="4558" spans="2:2">
      <c r="B4558" s="565"/>
    </row>
    <row r="4559" spans="2:2">
      <c r="B4559" s="565"/>
    </row>
    <row r="4560" spans="2:2">
      <c r="B4560" s="565"/>
    </row>
    <row r="4561" spans="2:2">
      <c r="B4561" s="565"/>
    </row>
    <row r="4562" spans="2:2">
      <c r="B4562" s="565"/>
    </row>
    <row r="4563" spans="2:2">
      <c r="B4563" s="565"/>
    </row>
    <row r="4564" spans="2:2">
      <c r="B4564" s="565"/>
    </row>
    <row r="4565" spans="2:2">
      <c r="B4565" s="565"/>
    </row>
    <row r="4566" spans="2:2">
      <c r="B4566" s="565"/>
    </row>
    <row r="4567" spans="2:2">
      <c r="B4567" s="565"/>
    </row>
    <row r="4568" spans="2:2">
      <c r="B4568" s="565"/>
    </row>
    <row r="4569" spans="2:2">
      <c r="B4569" s="565"/>
    </row>
    <row r="4570" spans="2:2">
      <c r="B4570" s="565"/>
    </row>
    <row r="4571" spans="2:2">
      <c r="B4571" s="565"/>
    </row>
    <row r="4572" spans="2:2">
      <c r="B4572" s="565"/>
    </row>
    <row r="4573" spans="2:2">
      <c r="B4573" s="565"/>
    </row>
    <row r="4574" spans="2:2">
      <c r="B4574" s="565"/>
    </row>
    <row r="4575" spans="2:2">
      <c r="B4575" s="565"/>
    </row>
    <row r="4576" spans="2:2">
      <c r="B4576" s="565"/>
    </row>
    <row r="4577" spans="2:2">
      <c r="B4577" s="565"/>
    </row>
    <row r="4578" spans="2:2">
      <c r="B4578" s="565"/>
    </row>
    <row r="4579" spans="2:2">
      <c r="B4579" s="565"/>
    </row>
    <row r="4580" spans="2:2">
      <c r="B4580" s="565"/>
    </row>
    <row r="4581" spans="2:2">
      <c r="B4581" s="565"/>
    </row>
    <row r="4582" spans="2:2">
      <c r="B4582" s="565"/>
    </row>
    <row r="4583" spans="2:2">
      <c r="B4583" s="565"/>
    </row>
    <row r="4584" spans="2:2">
      <c r="B4584" s="565"/>
    </row>
    <row r="4585" spans="2:2">
      <c r="B4585" s="565"/>
    </row>
    <row r="4586" spans="2:2">
      <c r="B4586" s="565"/>
    </row>
    <row r="4587" spans="2:2">
      <c r="B4587" s="565"/>
    </row>
    <row r="4588" spans="2:2">
      <c r="B4588" s="565"/>
    </row>
    <row r="4589" spans="2:2">
      <c r="B4589" s="565"/>
    </row>
    <row r="4590" spans="2:2">
      <c r="B4590" s="565"/>
    </row>
    <row r="4591" spans="2:2">
      <c r="B4591" s="565"/>
    </row>
    <row r="4592" spans="2:2">
      <c r="B4592" s="565"/>
    </row>
    <row r="4593" spans="2:2">
      <c r="B4593" s="565"/>
    </row>
    <row r="4594" spans="2:2">
      <c r="B4594" s="565"/>
    </row>
    <row r="4595" spans="2:2">
      <c r="B4595" s="565"/>
    </row>
    <row r="4596" spans="2:2">
      <c r="B4596" s="565"/>
    </row>
    <row r="4597" spans="2:2">
      <c r="B4597" s="565"/>
    </row>
    <row r="4598" spans="2:2">
      <c r="B4598" s="565"/>
    </row>
    <row r="4599" spans="2:2">
      <c r="B4599" s="565"/>
    </row>
    <row r="4600" spans="2:2">
      <c r="B4600" s="565"/>
    </row>
    <row r="4601" spans="2:2">
      <c r="B4601" s="565"/>
    </row>
    <row r="4602" spans="2:2">
      <c r="B4602" s="565"/>
    </row>
    <row r="4603" spans="2:2">
      <c r="B4603" s="565"/>
    </row>
    <row r="4604" spans="2:2">
      <c r="B4604" s="565"/>
    </row>
    <row r="4605" spans="2:2">
      <c r="B4605" s="565"/>
    </row>
    <row r="4606" spans="2:2">
      <c r="B4606" s="565"/>
    </row>
    <row r="4607" spans="2:2">
      <c r="B4607" s="565"/>
    </row>
    <row r="4608" spans="2:2">
      <c r="B4608" s="565"/>
    </row>
    <row r="4609" spans="2:2">
      <c r="B4609" s="565"/>
    </row>
    <row r="4610" spans="2:2">
      <c r="B4610" s="565"/>
    </row>
    <row r="4611" spans="2:2">
      <c r="B4611" s="565"/>
    </row>
    <row r="4612" spans="2:2">
      <c r="B4612" s="565"/>
    </row>
    <row r="4613" spans="2:2">
      <c r="B4613" s="565"/>
    </row>
    <row r="4614" spans="2:2">
      <c r="B4614" s="565"/>
    </row>
    <row r="4615" spans="2:2">
      <c r="B4615" s="565"/>
    </row>
    <row r="4616" spans="2:2">
      <c r="B4616" s="565"/>
    </row>
    <row r="4617" spans="2:2">
      <c r="B4617" s="565"/>
    </row>
    <row r="4618" spans="2:2">
      <c r="B4618" s="565"/>
    </row>
    <row r="4619" spans="2:2">
      <c r="B4619" s="565"/>
    </row>
    <row r="4620" spans="2:2">
      <c r="B4620" s="565"/>
    </row>
    <row r="4621" spans="2:2">
      <c r="B4621" s="565"/>
    </row>
    <row r="4622" spans="2:2">
      <c r="B4622" s="565"/>
    </row>
    <row r="4623" spans="2:2">
      <c r="B4623" s="565"/>
    </row>
    <row r="4624" spans="2:2">
      <c r="B4624" s="565"/>
    </row>
    <row r="4625" spans="2:2">
      <c r="B4625" s="565"/>
    </row>
    <row r="4626" spans="2:2">
      <c r="B4626" s="565"/>
    </row>
    <row r="4627" spans="2:2">
      <c r="B4627" s="565"/>
    </row>
    <row r="4628" spans="2:2">
      <c r="B4628" s="565"/>
    </row>
    <row r="4629" spans="2:2">
      <c r="B4629" s="565"/>
    </row>
    <row r="4630" spans="2:2">
      <c r="B4630" s="565"/>
    </row>
    <row r="4631" spans="2:2">
      <c r="B4631" s="565"/>
    </row>
    <row r="4632" spans="2:2">
      <c r="B4632" s="565"/>
    </row>
    <row r="4633" spans="2:2">
      <c r="B4633" s="565"/>
    </row>
    <row r="4634" spans="2:2">
      <c r="B4634" s="565"/>
    </row>
    <row r="4635" spans="2:2">
      <c r="B4635" s="565"/>
    </row>
    <row r="4636" spans="2:2">
      <c r="B4636" s="565"/>
    </row>
    <row r="4637" spans="2:2">
      <c r="B4637" s="565"/>
    </row>
    <row r="4638" spans="2:2">
      <c r="B4638" s="565"/>
    </row>
    <row r="4639" spans="2:2">
      <c r="B4639" s="565"/>
    </row>
    <row r="4640" spans="2:2">
      <c r="B4640" s="565"/>
    </row>
    <row r="4641" spans="2:2">
      <c r="B4641" s="565"/>
    </row>
    <row r="4642" spans="2:2">
      <c r="B4642" s="565"/>
    </row>
    <row r="4643" spans="2:2">
      <c r="B4643" s="565"/>
    </row>
    <row r="4644" spans="2:2">
      <c r="B4644" s="565"/>
    </row>
    <row r="4645" spans="2:2">
      <c r="B4645" s="565"/>
    </row>
    <row r="4646" spans="2:2">
      <c r="B4646" s="565"/>
    </row>
    <row r="4647" spans="2:2">
      <c r="B4647" s="565"/>
    </row>
    <row r="4648" spans="2:2">
      <c r="B4648" s="565"/>
    </row>
    <row r="4649" spans="2:2">
      <c r="B4649" s="565"/>
    </row>
    <row r="4650" spans="2:2">
      <c r="B4650" s="565"/>
    </row>
    <row r="4651" spans="2:2">
      <c r="B4651" s="565"/>
    </row>
    <row r="4652" spans="2:2">
      <c r="B4652" s="565"/>
    </row>
    <row r="4653" spans="2:2">
      <c r="B4653" s="565"/>
    </row>
    <row r="4654" spans="2:2">
      <c r="B4654" s="565"/>
    </row>
    <row r="4655" spans="2:2">
      <c r="B4655" s="565"/>
    </row>
    <row r="4656" spans="2:2">
      <c r="B4656" s="565"/>
    </row>
    <row r="4657" spans="2:2">
      <c r="B4657" s="565"/>
    </row>
    <row r="4658" spans="2:2">
      <c r="B4658" s="565"/>
    </row>
    <row r="4659" spans="2:2">
      <c r="B4659" s="565"/>
    </row>
    <row r="4660" spans="2:2">
      <c r="B4660" s="565"/>
    </row>
    <row r="4661" spans="2:2">
      <c r="B4661" s="565"/>
    </row>
    <row r="4662" spans="2:2">
      <c r="B4662" s="565"/>
    </row>
    <row r="4663" spans="2:2">
      <c r="B4663" s="565"/>
    </row>
    <row r="4664" spans="2:2">
      <c r="B4664" s="565"/>
    </row>
    <row r="4665" spans="2:2">
      <c r="B4665" s="565"/>
    </row>
    <row r="4666" spans="2:2">
      <c r="B4666" s="565"/>
    </row>
    <row r="4667" spans="2:2">
      <c r="B4667" s="565"/>
    </row>
    <row r="4668" spans="2:2">
      <c r="B4668" s="565"/>
    </row>
    <row r="4669" spans="2:2">
      <c r="B4669" s="565"/>
    </row>
    <row r="4670" spans="2:2">
      <c r="B4670" s="565"/>
    </row>
    <row r="4671" spans="2:2">
      <c r="B4671" s="565"/>
    </row>
    <row r="4672" spans="2:2">
      <c r="B4672" s="565"/>
    </row>
    <row r="4673" spans="2:2">
      <c r="B4673" s="565"/>
    </row>
    <row r="4674" spans="2:2">
      <c r="B4674" s="565"/>
    </row>
    <row r="4675" spans="2:2">
      <c r="B4675" s="565"/>
    </row>
    <row r="4676" spans="2:2">
      <c r="B4676" s="565"/>
    </row>
    <row r="4677" spans="2:2">
      <c r="B4677" s="565"/>
    </row>
    <row r="4678" spans="2:2">
      <c r="B4678" s="565"/>
    </row>
    <row r="4679" spans="2:2">
      <c r="B4679" s="565"/>
    </row>
    <row r="4680" spans="2:2">
      <c r="B4680" s="565"/>
    </row>
    <row r="4681" spans="2:2">
      <c r="B4681" s="565"/>
    </row>
    <row r="4682" spans="2:2">
      <c r="B4682" s="565"/>
    </row>
    <row r="4683" spans="2:2">
      <c r="B4683" s="565"/>
    </row>
    <row r="4684" spans="2:2">
      <c r="B4684" s="565"/>
    </row>
    <row r="4685" spans="2:2">
      <c r="B4685" s="565"/>
    </row>
    <row r="4686" spans="2:2">
      <c r="B4686" s="565"/>
    </row>
    <row r="4687" spans="2:2">
      <c r="B4687" s="565"/>
    </row>
    <row r="4688" spans="2:2">
      <c r="B4688" s="565"/>
    </row>
    <row r="4689" spans="2:2">
      <c r="B4689" s="565"/>
    </row>
    <row r="4690" spans="2:2">
      <c r="B4690" s="565"/>
    </row>
    <row r="4691" spans="2:2">
      <c r="B4691" s="565"/>
    </row>
    <row r="4692" spans="2:2">
      <c r="B4692" s="565"/>
    </row>
    <row r="4693" spans="2:2">
      <c r="B4693" s="565"/>
    </row>
    <row r="4694" spans="2:2">
      <c r="B4694" s="565"/>
    </row>
    <row r="4695" spans="2:2">
      <c r="B4695" s="565"/>
    </row>
    <row r="4696" spans="2:2">
      <c r="B4696" s="565"/>
    </row>
    <row r="4697" spans="2:2">
      <c r="B4697" s="565"/>
    </row>
    <row r="4698" spans="2:2">
      <c r="B4698" s="565"/>
    </row>
    <row r="4699" spans="2:2">
      <c r="B4699" s="565"/>
    </row>
    <row r="4700" spans="2:2">
      <c r="B4700" s="565"/>
    </row>
    <row r="4701" spans="2:2">
      <c r="B4701" s="565"/>
    </row>
    <row r="4702" spans="2:2">
      <c r="B4702" s="565"/>
    </row>
    <row r="4703" spans="2:2">
      <c r="B4703" s="565"/>
    </row>
    <row r="4704" spans="2:2">
      <c r="B4704" s="565"/>
    </row>
    <row r="4705" spans="2:2">
      <c r="B4705" s="565"/>
    </row>
    <row r="4706" spans="2:2">
      <c r="B4706" s="565"/>
    </row>
    <row r="4707" spans="2:2">
      <c r="B4707" s="565"/>
    </row>
    <row r="4708" spans="2:2">
      <c r="B4708" s="565"/>
    </row>
    <row r="4709" spans="2:2">
      <c r="B4709" s="565"/>
    </row>
    <row r="4710" spans="2:2">
      <c r="B4710" s="565"/>
    </row>
    <row r="4711" spans="2:2">
      <c r="B4711" s="565"/>
    </row>
    <row r="4712" spans="2:2">
      <c r="B4712" s="565"/>
    </row>
    <row r="4713" spans="2:2">
      <c r="B4713" s="565"/>
    </row>
    <row r="4714" spans="2:2">
      <c r="B4714" s="565"/>
    </row>
    <row r="4715" spans="2:2">
      <c r="B4715" s="565"/>
    </row>
    <row r="4716" spans="2:2">
      <c r="B4716" s="565"/>
    </row>
    <row r="4717" spans="2:2">
      <c r="B4717" s="565"/>
    </row>
    <row r="4718" spans="2:2">
      <c r="B4718" s="565"/>
    </row>
    <row r="4719" spans="2:2">
      <c r="B4719" s="565"/>
    </row>
    <row r="4720" spans="2:2">
      <c r="B4720" s="565"/>
    </row>
    <row r="4721" spans="2:2">
      <c r="B4721" s="565"/>
    </row>
    <row r="4722" spans="2:2">
      <c r="B4722" s="565"/>
    </row>
    <row r="4723" spans="2:2">
      <c r="B4723" s="565"/>
    </row>
    <row r="4724" spans="2:2">
      <c r="B4724" s="565"/>
    </row>
    <row r="4725" spans="2:2">
      <c r="B4725" s="565"/>
    </row>
    <row r="4726" spans="2:2">
      <c r="B4726" s="565"/>
    </row>
    <row r="4727" spans="2:2">
      <c r="B4727" s="565"/>
    </row>
    <row r="4728" spans="2:2">
      <c r="B4728" s="565"/>
    </row>
    <row r="4729" spans="2:2">
      <c r="B4729" s="565"/>
    </row>
    <row r="4730" spans="2:2">
      <c r="B4730" s="565"/>
    </row>
    <row r="4731" spans="2:2">
      <c r="B4731" s="565"/>
    </row>
    <row r="4732" spans="2:2">
      <c r="B4732" s="565"/>
    </row>
    <row r="4733" spans="2:2">
      <c r="B4733" s="565"/>
    </row>
    <row r="4734" spans="2:2">
      <c r="B4734" s="565"/>
    </row>
    <row r="4735" spans="2:2">
      <c r="B4735" s="565"/>
    </row>
    <row r="4736" spans="2:2">
      <c r="B4736" s="565"/>
    </row>
    <row r="4737" spans="2:2">
      <c r="B4737" s="565"/>
    </row>
    <row r="4738" spans="2:2">
      <c r="B4738" s="565"/>
    </row>
    <row r="4739" spans="2:2">
      <c r="B4739" s="565"/>
    </row>
    <row r="4740" spans="2:2">
      <c r="B4740" s="565"/>
    </row>
    <row r="4741" spans="2:2">
      <c r="B4741" s="565"/>
    </row>
    <row r="4742" spans="2:2">
      <c r="B4742" s="565"/>
    </row>
    <row r="4743" spans="2:2">
      <c r="B4743" s="565"/>
    </row>
    <row r="4744" spans="2:2">
      <c r="B4744" s="565"/>
    </row>
    <row r="4745" spans="2:2">
      <c r="B4745" s="565"/>
    </row>
    <row r="4746" spans="2:2">
      <c r="B4746" s="565"/>
    </row>
    <row r="4747" spans="2:2">
      <c r="B4747" s="565"/>
    </row>
    <row r="4748" spans="2:2">
      <c r="B4748" s="565"/>
    </row>
    <row r="4749" spans="2:2">
      <c r="B4749" s="565"/>
    </row>
    <row r="4750" spans="2:2">
      <c r="B4750" s="565"/>
    </row>
    <row r="4751" spans="2:2">
      <c r="B4751" s="565"/>
    </row>
    <row r="4752" spans="2:2">
      <c r="B4752" s="565"/>
    </row>
    <row r="4753" spans="2:2">
      <c r="B4753" s="565"/>
    </row>
    <row r="4754" spans="2:2">
      <c r="B4754" s="565"/>
    </row>
    <row r="4755" spans="2:2">
      <c r="B4755" s="565"/>
    </row>
    <row r="4756" spans="2:2">
      <c r="B4756" s="565"/>
    </row>
    <row r="4757" spans="2:2">
      <c r="B4757" s="565"/>
    </row>
    <row r="4758" spans="2:2">
      <c r="B4758" s="565"/>
    </row>
    <row r="4759" spans="2:2">
      <c r="B4759" s="565"/>
    </row>
    <row r="4760" spans="2:2">
      <c r="B4760" s="565"/>
    </row>
    <row r="4761" spans="2:2">
      <c r="B4761" s="565"/>
    </row>
    <row r="4762" spans="2:2">
      <c r="B4762" s="565"/>
    </row>
    <row r="4763" spans="2:2">
      <c r="B4763" s="565"/>
    </row>
    <row r="4764" spans="2:2">
      <c r="B4764" s="565"/>
    </row>
    <row r="4765" spans="2:2">
      <c r="B4765" s="565"/>
    </row>
    <row r="4766" spans="2:2">
      <c r="B4766" s="565"/>
    </row>
    <row r="4767" spans="2:2">
      <c r="B4767" s="565"/>
    </row>
    <row r="4768" spans="2:2">
      <c r="B4768" s="565"/>
    </row>
    <row r="4769" spans="2:2">
      <c r="B4769" s="565"/>
    </row>
    <row r="4770" spans="2:2">
      <c r="B4770" s="565"/>
    </row>
    <row r="4771" spans="2:2">
      <c r="B4771" s="565"/>
    </row>
    <row r="4772" spans="2:2">
      <c r="B4772" s="565"/>
    </row>
    <row r="4773" spans="2:2">
      <c r="B4773" s="565"/>
    </row>
    <row r="4774" spans="2:2">
      <c r="B4774" s="565"/>
    </row>
    <row r="4775" spans="2:2">
      <c r="B4775" s="565"/>
    </row>
    <row r="4776" spans="2:2">
      <c r="B4776" s="565"/>
    </row>
    <row r="4777" spans="2:2">
      <c r="B4777" s="565"/>
    </row>
    <row r="4778" spans="2:2">
      <c r="B4778" s="565"/>
    </row>
    <row r="4779" spans="2:2">
      <c r="B4779" s="565"/>
    </row>
    <row r="4780" spans="2:2">
      <c r="B4780" s="565"/>
    </row>
    <row r="4781" spans="2:2">
      <c r="B4781" s="565"/>
    </row>
    <row r="4782" spans="2:2">
      <c r="B4782" s="565"/>
    </row>
    <row r="4783" spans="2:2">
      <c r="B4783" s="565"/>
    </row>
    <row r="4784" spans="2:2">
      <c r="B4784" s="565"/>
    </row>
    <row r="4785" spans="2:2">
      <c r="B4785" s="565"/>
    </row>
    <row r="4786" spans="2:2">
      <c r="B4786" s="565"/>
    </row>
    <row r="4787" spans="2:2">
      <c r="B4787" s="565"/>
    </row>
    <row r="4788" spans="2:2">
      <c r="B4788" s="565"/>
    </row>
    <row r="4789" spans="2:2">
      <c r="B4789" s="565"/>
    </row>
    <row r="4790" spans="2:2">
      <c r="B4790" s="565"/>
    </row>
    <row r="4791" spans="2:2">
      <c r="B4791" s="565"/>
    </row>
    <row r="4792" spans="2:2">
      <c r="B4792" s="565"/>
    </row>
    <row r="4793" spans="2:2">
      <c r="B4793" s="565"/>
    </row>
    <row r="4794" spans="2:2">
      <c r="B4794" s="565"/>
    </row>
    <row r="4795" spans="2:2">
      <c r="B4795" s="565"/>
    </row>
    <row r="4796" spans="2:2">
      <c r="B4796" s="565"/>
    </row>
    <row r="4797" spans="2:2">
      <c r="B4797" s="565"/>
    </row>
    <row r="4798" spans="2:2">
      <c r="B4798" s="565"/>
    </row>
    <row r="4799" spans="2:2">
      <c r="B4799" s="565"/>
    </row>
    <row r="4800" spans="2:2">
      <c r="B4800" s="565"/>
    </row>
    <row r="4801" spans="2:2">
      <c r="B4801" s="565"/>
    </row>
    <row r="4802" spans="2:2">
      <c r="B4802" s="565"/>
    </row>
    <row r="4803" spans="2:2">
      <c r="B4803" s="565"/>
    </row>
    <row r="4804" spans="2:2">
      <c r="B4804" s="565"/>
    </row>
    <row r="4805" spans="2:2">
      <c r="B4805" s="565"/>
    </row>
    <row r="4806" spans="2:2">
      <c r="B4806" s="565"/>
    </row>
    <row r="4807" spans="2:2">
      <c r="B4807" s="565"/>
    </row>
    <row r="4808" spans="2:2">
      <c r="B4808" s="565"/>
    </row>
    <row r="4809" spans="2:2">
      <c r="B4809" s="565"/>
    </row>
    <row r="4810" spans="2:2">
      <c r="B4810" s="565"/>
    </row>
    <row r="4811" spans="2:2">
      <c r="B4811" s="565"/>
    </row>
    <row r="4812" spans="2:2">
      <c r="B4812" s="565"/>
    </row>
    <row r="4813" spans="2:2">
      <c r="B4813" s="565"/>
    </row>
    <row r="4814" spans="2:2">
      <c r="B4814" s="565"/>
    </row>
    <row r="4815" spans="2:2">
      <c r="B4815" s="565"/>
    </row>
    <row r="4816" spans="2:2">
      <c r="B4816" s="565"/>
    </row>
    <row r="4817" spans="2:2">
      <c r="B4817" s="565"/>
    </row>
    <row r="4818" spans="2:2">
      <c r="B4818" s="565"/>
    </row>
    <row r="4819" spans="2:2">
      <c r="B4819" s="565"/>
    </row>
    <row r="4820" spans="2:2">
      <c r="B4820" s="565"/>
    </row>
    <row r="4821" spans="2:2">
      <c r="B4821" s="565"/>
    </row>
    <row r="4822" spans="2:2">
      <c r="B4822" s="565"/>
    </row>
    <row r="4823" spans="2:2">
      <c r="B4823" s="565"/>
    </row>
    <row r="4824" spans="2:2">
      <c r="B4824" s="565"/>
    </row>
    <row r="4825" spans="2:2">
      <c r="B4825" s="565"/>
    </row>
    <row r="4826" spans="2:2">
      <c r="B4826" s="565"/>
    </row>
    <row r="4827" spans="2:2">
      <c r="B4827" s="565"/>
    </row>
    <row r="4828" spans="2:2">
      <c r="B4828" s="565"/>
    </row>
    <row r="4829" spans="2:2">
      <c r="B4829" s="565"/>
    </row>
    <row r="4830" spans="2:2">
      <c r="B4830" s="565"/>
    </row>
    <row r="4831" spans="2:2">
      <c r="B4831" s="565"/>
    </row>
    <row r="4832" spans="2:2">
      <c r="B4832" s="565"/>
    </row>
    <row r="4833" spans="2:2">
      <c r="B4833" s="565"/>
    </row>
    <row r="4834" spans="2:2">
      <c r="B4834" s="565"/>
    </row>
    <row r="4835" spans="2:2">
      <c r="B4835" s="565"/>
    </row>
    <row r="4836" spans="2:2">
      <c r="B4836" s="565"/>
    </row>
    <row r="4837" spans="2:2">
      <c r="B4837" s="565"/>
    </row>
    <row r="4838" spans="2:2">
      <c r="B4838" s="565"/>
    </row>
    <row r="4839" spans="2:2">
      <c r="B4839" s="565"/>
    </row>
    <row r="4840" spans="2:2">
      <c r="B4840" s="565"/>
    </row>
    <row r="4841" spans="2:2">
      <c r="B4841" s="565"/>
    </row>
    <row r="4842" spans="2:2">
      <c r="B4842" s="565"/>
    </row>
    <row r="4843" spans="2:2">
      <c r="B4843" s="565"/>
    </row>
    <row r="4844" spans="2:2">
      <c r="B4844" s="565"/>
    </row>
    <row r="4845" spans="2:2">
      <c r="B4845" s="565"/>
    </row>
    <row r="4846" spans="2:2">
      <c r="B4846" s="565"/>
    </row>
    <row r="4847" spans="2:2">
      <c r="B4847" s="565"/>
    </row>
    <row r="4848" spans="2:2">
      <c r="B4848" s="565"/>
    </row>
    <row r="4849" spans="2:2">
      <c r="B4849" s="565"/>
    </row>
    <row r="4850" spans="2:2">
      <c r="B4850" s="565"/>
    </row>
    <row r="4851" spans="2:2">
      <c r="B4851" s="565"/>
    </row>
    <row r="4852" spans="2:2">
      <c r="B4852" s="565"/>
    </row>
    <row r="4853" spans="2:2">
      <c r="B4853" s="565"/>
    </row>
    <row r="4854" spans="2:2">
      <c r="B4854" s="565"/>
    </row>
    <row r="4855" spans="2:2">
      <c r="B4855" s="565"/>
    </row>
    <row r="4856" spans="2:2">
      <c r="B4856" s="565"/>
    </row>
    <row r="4857" spans="2:2">
      <c r="B4857" s="565"/>
    </row>
    <row r="4858" spans="2:2">
      <c r="B4858" s="565"/>
    </row>
    <row r="4859" spans="2:2">
      <c r="B4859" s="565"/>
    </row>
    <row r="4860" spans="2:2">
      <c r="B4860" s="565"/>
    </row>
    <row r="4861" spans="2:2">
      <c r="B4861" s="565"/>
    </row>
    <row r="4862" spans="2:2">
      <c r="B4862" s="565"/>
    </row>
    <row r="4863" spans="2:2">
      <c r="B4863" s="565"/>
    </row>
    <row r="4864" spans="2:2">
      <c r="B4864" s="565"/>
    </row>
    <row r="4865" spans="2:2">
      <c r="B4865" s="565"/>
    </row>
    <row r="4866" spans="2:2">
      <c r="B4866" s="565"/>
    </row>
    <row r="4867" spans="2:2">
      <c r="B4867" s="565"/>
    </row>
    <row r="4868" spans="2:2">
      <c r="B4868" s="565"/>
    </row>
    <row r="4869" spans="2:2">
      <c r="B4869" s="565"/>
    </row>
    <row r="4870" spans="2:2">
      <c r="B4870" s="565"/>
    </row>
    <row r="4871" spans="2:2">
      <c r="B4871" s="565"/>
    </row>
    <row r="4872" spans="2:2">
      <c r="B4872" s="565"/>
    </row>
    <row r="4873" spans="2:2">
      <c r="B4873" s="565"/>
    </row>
    <row r="4874" spans="2:2">
      <c r="B4874" s="565"/>
    </row>
    <row r="4875" spans="2:2">
      <c r="B4875" s="565"/>
    </row>
    <row r="4876" spans="2:2">
      <c r="B4876" s="565"/>
    </row>
    <row r="4877" spans="2:2">
      <c r="B4877" s="565"/>
    </row>
    <row r="4878" spans="2:2">
      <c r="B4878" s="565"/>
    </row>
    <row r="4879" spans="2:2">
      <c r="B4879" s="565"/>
    </row>
    <row r="4880" spans="2:2">
      <c r="B4880" s="565"/>
    </row>
    <row r="4881" spans="2:2">
      <c r="B4881" s="565"/>
    </row>
    <row r="4882" spans="2:2">
      <c r="B4882" s="565"/>
    </row>
    <row r="4883" spans="2:2">
      <c r="B4883" s="565"/>
    </row>
    <row r="4884" spans="2:2">
      <c r="B4884" s="565"/>
    </row>
    <row r="4885" spans="2:2">
      <c r="B4885" s="565"/>
    </row>
    <row r="4886" spans="2:2">
      <c r="B4886" s="565"/>
    </row>
    <row r="4887" spans="2:2">
      <c r="B4887" s="565"/>
    </row>
    <row r="4888" spans="2:2">
      <c r="B4888" s="565"/>
    </row>
    <row r="4889" spans="2:2">
      <c r="B4889" s="565"/>
    </row>
    <row r="4890" spans="2:2">
      <c r="B4890" s="565"/>
    </row>
    <row r="4891" spans="2:2">
      <c r="B4891" s="565"/>
    </row>
    <row r="4892" spans="2:2">
      <c r="B4892" s="565"/>
    </row>
    <row r="4893" spans="2:2">
      <c r="B4893" s="565"/>
    </row>
    <row r="4894" spans="2:2">
      <c r="B4894" s="565"/>
    </row>
    <row r="4895" spans="2:2">
      <c r="B4895" s="565"/>
    </row>
    <row r="4896" spans="2:2">
      <c r="B4896" s="565"/>
    </row>
    <row r="4897" spans="2:2">
      <c r="B4897" s="565"/>
    </row>
    <row r="4898" spans="2:2">
      <c r="B4898" s="565"/>
    </row>
    <row r="4899" spans="2:2">
      <c r="B4899" s="565"/>
    </row>
    <row r="4900" spans="2:2">
      <c r="B4900" s="565"/>
    </row>
    <row r="4901" spans="2:2">
      <c r="B4901" s="565"/>
    </row>
    <row r="4902" spans="2:2">
      <c r="B4902" s="565"/>
    </row>
    <row r="4903" spans="2:2">
      <c r="B4903" s="565"/>
    </row>
    <row r="4904" spans="2:2">
      <c r="B4904" s="565"/>
    </row>
    <row r="4905" spans="2:2">
      <c r="B4905" s="565"/>
    </row>
    <row r="4906" spans="2:2">
      <c r="B4906" s="565"/>
    </row>
    <row r="4907" spans="2:2">
      <c r="B4907" s="565"/>
    </row>
    <row r="4908" spans="2:2">
      <c r="B4908" s="565"/>
    </row>
    <row r="4909" spans="2:2">
      <c r="B4909" s="565"/>
    </row>
    <row r="4910" spans="2:2">
      <c r="B4910" s="565"/>
    </row>
    <row r="4911" spans="2:2">
      <c r="B4911" s="565"/>
    </row>
    <row r="4912" spans="2:2">
      <c r="B4912" s="565"/>
    </row>
    <row r="4913" spans="2:2">
      <c r="B4913" s="565"/>
    </row>
    <row r="4914" spans="2:2">
      <c r="B4914" s="565"/>
    </row>
    <row r="4915" spans="2:2">
      <c r="B4915" s="565"/>
    </row>
    <row r="4916" spans="2:2">
      <c r="B4916" s="565"/>
    </row>
    <row r="4917" spans="2:2">
      <c r="B4917" s="565"/>
    </row>
    <row r="4918" spans="2:2">
      <c r="B4918" s="565"/>
    </row>
    <row r="4919" spans="2:2">
      <c r="B4919" s="565"/>
    </row>
    <row r="4920" spans="2:2">
      <c r="B4920" s="565"/>
    </row>
    <row r="4921" spans="2:2">
      <c r="B4921" s="565"/>
    </row>
    <row r="4922" spans="2:2">
      <c r="B4922" s="565"/>
    </row>
    <row r="4923" spans="2:2">
      <c r="B4923" s="565"/>
    </row>
    <row r="4924" spans="2:2">
      <c r="B4924" s="565"/>
    </row>
    <row r="4925" spans="2:2">
      <c r="B4925" s="565"/>
    </row>
    <row r="4926" spans="2:2">
      <c r="B4926" s="565"/>
    </row>
    <row r="4927" spans="2:2">
      <c r="B4927" s="565"/>
    </row>
    <row r="4928" spans="2:2">
      <c r="B4928" s="565"/>
    </row>
    <row r="4929" spans="2:2">
      <c r="B4929" s="565"/>
    </row>
    <row r="4930" spans="2:2">
      <c r="B4930" s="565"/>
    </row>
    <row r="4931" spans="2:2">
      <c r="B4931" s="565"/>
    </row>
    <row r="4932" spans="2:2">
      <c r="B4932" s="565"/>
    </row>
    <row r="4933" spans="2:2">
      <c r="B4933" s="565"/>
    </row>
    <row r="4934" spans="2:2">
      <c r="B4934" s="565"/>
    </row>
    <row r="4935" spans="2:2">
      <c r="B4935" s="565"/>
    </row>
    <row r="4936" spans="2:2">
      <c r="B4936" s="565"/>
    </row>
    <row r="4937" spans="2:2">
      <c r="B4937" s="565"/>
    </row>
    <row r="4938" spans="2:2">
      <c r="B4938" s="565"/>
    </row>
    <row r="4939" spans="2:2">
      <c r="B4939" s="565"/>
    </row>
    <row r="4940" spans="2:2">
      <c r="B4940" s="565"/>
    </row>
    <row r="4941" spans="2:2">
      <c r="B4941" s="565"/>
    </row>
    <row r="4942" spans="2:2">
      <c r="B4942" s="565"/>
    </row>
    <row r="4943" spans="2:2">
      <c r="B4943" s="565"/>
    </row>
    <row r="4944" spans="2:2">
      <c r="B4944" s="565"/>
    </row>
    <row r="4945" spans="2:2">
      <c r="B4945" s="565"/>
    </row>
    <row r="4946" spans="2:2">
      <c r="B4946" s="565"/>
    </row>
    <row r="4947" spans="2:2">
      <c r="B4947" s="565"/>
    </row>
    <row r="4948" spans="2:2">
      <c r="B4948" s="565"/>
    </row>
    <row r="4949" spans="2:2">
      <c r="B4949" s="565"/>
    </row>
    <row r="4950" spans="2:2">
      <c r="B4950" s="565"/>
    </row>
    <row r="4951" spans="2:2">
      <c r="B4951" s="565"/>
    </row>
    <row r="4952" spans="2:2">
      <c r="B4952" s="565"/>
    </row>
    <row r="4953" spans="2:2">
      <c r="B4953" s="565"/>
    </row>
    <row r="4954" spans="2:2">
      <c r="B4954" s="565"/>
    </row>
    <row r="4955" spans="2:2">
      <c r="B4955" s="565"/>
    </row>
    <row r="4956" spans="2:2">
      <c r="B4956" s="565"/>
    </row>
    <row r="4957" spans="2:2">
      <c r="B4957" s="565"/>
    </row>
    <row r="4958" spans="2:2">
      <c r="B4958" s="565"/>
    </row>
    <row r="4959" spans="2:2">
      <c r="B4959" s="565"/>
    </row>
    <row r="4960" spans="2:2">
      <c r="B4960" s="565"/>
    </row>
    <row r="4961" spans="2:2">
      <c r="B4961" s="565"/>
    </row>
    <row r="4962" spans="2:2">
      <c r="B4962" s="565"/>
    </row>
    <row r="4963" spans="2:2">
      <c r="B4963" s="565"/>
    </row>
    <row r="4964" spans="2:2">
      <c r="B4964" s="565"/>
    </row>
    <row r="4965" spans="2:2">
      <c r="B4965" s="565"/>
    </row>
    <row r="4966" spans="2:2">
      <c r="B4966" s="565"/>
    </row>
    <row r="4967" spans="2:2">
      <c r="B4967" s="565"/>
    </row>
    <row r="4968" spans="2:2">
      <c r="B4968" s="565"/>
    </row>
    <row r="4969" spans="2:2">
      <c r="B4969" s="565"/>
    </row>
    <row r="4970" spans="2:2">
      <c r="B4970" s="565"/>
    </row>
    <row r="4971" spans="2:2">
      <c r="B4971" s="565"/>
    </row>
    <row r="4972" spans="2:2">
      <c r="B4972" s="565"/>
    </row>
    <row r="4973" spans="2:2">
      <c r="B4973" s="565"/>
    </row>
    <row r="4974" spans="2:2">
      <c r="B4974" s="565"/>
    </row>
    <row r="4975" spans="2:2">
      <c r="B4975" s="565"/>
    </row>
    <row r="4976" spans="2:2">
      <c r="B4976" s="565"/>
    </row>
    <row r="4977" spans="2:2">
      <c r="B4977" s="565"/>
    </row>
    <row r="4978" spans="2:2">
      <c r="B4978" s="565"/>
    </row>
    <row r="4979" spans="2:2">
      <c r="B4979" s="565"/>
    </row>
    <row r="4980" spans="2:2">
      <c r="B4980" s="565"/>
    </row>
    <row r="4981" spans="2:2">
      <c r="B4981" s="565"/>
    </row>
    <row r="4982" spans="2:2">
      <c r="B4982" s="565"/>
    </row>
    <row r="4983" spans="2:2">
      <c r="B4983" s="565"/>
    </row>
    <row r="4984" spans="2:2">
      <c r="B4984" s="565"/>
    </row>
    <row r="4985" spans="2:2">
      <c r="B4985" s="565"/>
    </row>
    <row r="4986" spans="2:2">
      <c r="B4986" s="565"/>
    </row>
    <row r="4987" spans="2:2">
      <c r="B4987" s="565"/>
    </row>
    <row r="4988" spans="2:2">
      <c r="B4988" s="565"/>
    </row>
    <row r="4989" spans="2:2">
      <c r="B4989" s="565"/>
    </row>
    <row r="4990" spans="2:2">
      <c r="B4990" s="565"/>
    </row>
    <row r="4991" spans="2:2">
      <c r="B4991" s="565"/>
    </row>
    <row r="4992" spans="2:2">
      <c r="B4992" s="565"/>
    </row>
    <row r="4993" spans="2:2">
      <c r="B4993" s="565"/>
    </row>
    <row r="4994" spans="2:2">
      <c r="B4994" s="565"/>
    </row>
    <row r="4995" spans="2:2">
      <c r="B4995" s="565"/>
    </row>
    <row r="4996" spans="2:2">
      <c r="B4996" s="565"/>
    </row>
    <row r="4997" spans="2:2">
      <c r="B4997" s="565"/>
    </row>
    <row r="4998" spans="2:2">
      <c r="B4998" s="565"/>
    </row>
    <row r="4999" spans="2:2">
      <c r="B4999" s="565"/>
    </row>
    <row r="5000" spans="2:2">
      <c r="B5000" s="565"/>
    </row>
  </sheetData>
  <mergeCells count="15">
    <mergeCell ref="A45:C45"/>
    <mergeCell ref="E45:G45"/>
    <mergeCell ref="D38:F38"/>
    <mergeCell ref="D39:F39"/>
    <mergeCell ref="D40:F40"/>
    <mergeCell ref="D41:G41"/>
    <mergeCell ref="A43:G43"/>
    <mergeCell ref="A44:C44"/>
    <mergeCell ref="E44:G44"/>
    <mergeCell ref="D37:F37"/>
    <mergeCell ref="A1:H1"/>
    <mergeCell ref="A34:H34"/>
    <mergeCell ref="I34:M34"/>
    <mergeCell ref="E35:F35"/>
    <mergeCell ref="D36:F36"/>
  </mergeCells>
  <conditionalFormatting sqref="O3:O5000">
    <cfRule type="cellIs" dxfId="23" priority="1" stopIfTrue="1" operator="equal">
      <formula>"Realizar"</formula>
    </cfRule>
    <cfRule type="cellIs" dxfId="22" priority="2" stopIfTrue="1" operator="equal">
      <formula>"Realizada"</formula>
    </cfRule>
    <cfRule type="cellIs" dxfId="21" priority="3" stopIfTrue="1" operator="equal">
      <formula>"Não Realizada"</formula>
    </cfRule>
  </conditionalFormatting>
  <dataValidations count="2">
    <dataValidation type="list" allowBlank="1" showInputMessage="1" showErrorMessage="1" sqref="O3:O5000" xr:uid="{DE2E3EB2-0E77-4C5C-AC2B-D04AC9303CE6}">
      <formula1>"Realizar,Realizada,Não Realizada"</formula1>
    </dataValidation>
    <dataValidation type="list" allowBlank="1" showInputMessage="1" showErrorMessage="1" sqref="N3:N5000" xr:uid="{CB6B28CB-1FE1-48E3-B6E0-A16702EBA138}">
      <formula1>"1º Visita,2º Visita,3º Visita"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otaoLimparConteudo">
                <anchor moveWithCells="1" sizeWithCells="1">
                  <from>
                    <xdr:col>0</xdr:col>
                    <xdr:colOff>200025</xdr:colOff>
                    <xdr:row>46</xdr:row>
                    <xdr:rowOff>76200</xdr:rowOff>
                  </from>
                  <to>
                    <xdr:col>1</xdr:col>
                    <xdr:colOff>1000125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17955B-D29A-40D6-8A42-D5E836010C91}">
          <x14:formula1>
            <xm:f>'Dados Gerais'!$P$2:$P$1047934</xm:f>
          </x14:formula1>
          <xm:sqref>J3:J5000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CEF7E-7F6A-43A3-80C5-483E49D4AA6D}">
  <sheetPr codeName="Planilha16">
    <pageSetUpPr fitToPage="1"/>
  </sheetPr>
  <dimension ref="A1:Q23"/>
  <sheetViews>
    <sheetView workbookViewId="0">
      <selection activeCell="E7" sqref="E7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10.85546875" customWidth="1"/>
    <col min="5" max="5" width="32.28515625" customWidth="1"/>
    <col min="6" max="6" width="18.5703125" customWidth="1"/>
    <col min="7" max="7" width="17.85546875" customWidth="1"/>
    <col min="8" max="8" width="24.7109375" bestFit="1" customWidth="1"/>
    <col min="9" max="9" width="40.42578125" bestFit="1" customWidth="1"/>
    <col min="10" max="10" width="13.5703125" bestFit="1" customWidth="1"/>
    <col min="11" max="11" width="27.85546875" bestFit="1" customWidth="1"/>
    <col min="12" max="12" width="13.85546875" bestFit="1" customWidth="1"/>
    <col min="13" max="13" width="26.7109375" bestFit="1" customWidth="1"/>
    <col min="15" max="15" width="11.42578125" customWidth="1"/>
    <col min="16" max="16" width="13" customWidth="1"/>
  </cols>
  <sheetData>
    <row r="1" spans="1:17" ht="45">
      <c r="A1" s="217" t="s">
        <v>514</v>
      </c>
      <c r="B1" s="218" t="s">
        <v>515</v>
      </c>
      <c r="C1" s="218" t="s">
        <v>0</v>
      </c>
      <c r="D1" s="218" t="s">
        <v>3110</v>
      </c>
      <c r="E1" s="218" t="s">
        <v>516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  <c r="Q1" s="202"/>
    </row>
    <row r="2" spans="1:17">
      <c r="A2" s="438">
        <v>0.54166666666666663</v>
      </c>
      <c r="B2" s="438">
        <v>0.54166666666666663</v>
      </c>
      <c r="C2" s="22">
        <v>202500031</v>
      </c>
      <c r="D2" s="22" t="s">
        <v>23</v>
      </c>
      <c r="E2" s="22" t="s">
        <v>3086</v>
      </c>
      <c r="F2" s="22" t="s">
        <v>1192</v>
      </c>
      <c r="G2" s="22" t="s">
        <v>565</v>
      </c>
      <c r="H2" s="432" t="s">
        <v>1913</v>
      </c>
      <c r="I2" s="433" t="s">
        <v>7002</v>
      </c>
      <c r="J2" s="121" t="s">
        <v>254</v>
      </c>
      <c r="K2" s="434" t="s">
        <v>3093</v>
      </c>
      <c r="L2" s="22" t="s">
        <v>3090</v>
      </c>
      <c r="M2" s="22" t="s">
        <v>3091</v>
      </c>
      <c r="N2" s="237" t="s">
        <v>7003</v>
      </c>
      <c r="O2" s="22" t="s">
        <v>7003</v>
      </c>
      <c r="P2" s="22" t="s">
        <v>7003</v>
      </c>
      <c r="Q2" s="191"/>
    </row>
    <row r="3" spans="1:17">
      <c r="A3" s="438">
        <v>0.5625</v>
      </c>
      <c r="B3" s="439">
        <v>0.54166666666666663</v>
      </c>
      <c r="C3" s="434">
        <v>202500031</v>
      </c>
      <c r="D3" s="22" t="s">
        <v>23</v>
      </c>
      <c r="E3" s="434" t="s">
        <v>3092</v>
      </c>
      <c r="F3" s="434" t="s">
        <v>1192</v>
      </c>
      <c r="G3" s="434" t="s">
        <v>565</v>
      </c>
      <c r="H3" s="435" t="s">
        <v>1913</v>
      </c>
      <c r="I3" s="436" t="s">
        <v>7002</v>
      </c>
      <c r="J3" s="443" t="s">
        <v>254</v>
      </c>
      <c r="K3" s="434" t="s">
        <v>3093</v>
      </c>
      <c r="L3" s="22" t="s">
        <v>3090</v>
      </c>
      <c r="M3" s="22" t="s">
        <v>3091</v>
      </c>
      <c r="N3" s="237" t="s">
        <v>7003</v>
      </c>
      <c r="O3" s="22" t="s">
        <v>7003</v>
      </c>
      <c r="P3" s="22" t="s">
        <v>7003</v>
      </c>
      <c r="Q3" s="191"/>
    </row>
    <row r="4" spans="1:17" s="469" customFormat="1">
      <c r="A4" s="475">
        <v>0.40277777777777779</v>
      </c>
      <c r="B4" s="475">
        <v>0.33333333333333331</v>
      </c>
      <c r="C4" s="467">
        <v>202500868</v>
      </c>
      <c r="D4" s="467" t="s">
        <v>42</v>
      </c>
      <c r="E4" s="467" t="s">
        <v>6126</v>
      </c>
      <c r="F4" s="467" t="s">
        <v>1192</v>
      </c>
      <c r="G4" s="467" t="s">
        <v>565</v>
      </c>
      <c r="H4" s="476" t="s">
        <v>6127</v>
      </c>
      <c r="I4" s="477" t="s">
        <v>7002</v>
      </c>
      <c r="J4" s="474" t="s">
        <v>254</v>
      </c>
      <c r="K4" s="467" t="s">
        <v>6128</v>
      </c>
      <c r="L4" s="467" t="s">
        <v>6130</v>
      </c>
      <c r="M4" s="467" t="s">
        <v>6131</v>
      </c>
      <c r="N4" s="466"/>
      <c r="O4" s="467"/>
      <c r="P4" s="467"/>
      <c r="Q4" s="468"/>
    </row>
    <row r="5" spans="1:17">
      <c r="A5" s="438">
        <v>0.60416666666666663</v>
      </c>
      <c r="B5" s="438">
        <v>0.54166666666666663</v>
      </c>
      <c r="C5" s="22">
        <v>202500868</v>
      </c>
      <c r="D5" s="437" t="s">
        <v>42</v>
      </c>
      <c r="E5" s="13" t="s">
        <v>6136</v>
      </c>
      <c r="F5" s="434" t="s">
        <v>1192</v>
      </c>
      <c r="G5" s="434" t="s">
        <v>565</v>
      </c>
      <c r="H5" s="435" t="s">
        <v>6127</v>
      </c>
      <c r="I5" s="436" t="s">
        <v>7002</v>
      </c>
      <c r="J5" s="443" t="s">
        <v>254</v>
      </c>
      <c r="K5" s="22" t="s">
        <v>6128</v>
      </c>
      <c r="L5" s="22" t="s">
        <v>6130</v>
      </c>
      <c r="M5" s="22" t="s">
        <v>6131</v>
      </c>
      <c r="N5" s="237"/>
      <c r="O5" s="22"/>
      <c r="P5" s="22"/>
      <c r="Q5" s="191"/>
    </row>
    <row r="6" spans="1:17">
      <c r="A6" s="438">
        <v>0.625</v>
      </c>
      <c r="B6" s="438">
        <v>0.54166666666666663</v>
      </c>
      <c r="C6" s="437">
        <v>202500868</v>
      </c>
      <c r="D6" s="437" t="s">
        <v>42</v>
      </c>
      <c r="E6" s="437" t="s">
        <v>6137</v>
      </c>
      <c r="F6" s="434" t="s">
        <v>1192</v>
      </c>
      <c r="G6" s="434" t="s">
        <v>565</v>
      </c>
      <c r="H6" s="435" t="s">
        <v>6127</v>
      </c>
      <c r="I6" s="436" t="s">
        <v>7002</v>
      </c>
      <c r="J6" s="443" t="s">
        <v>254</v>
      </c>
      <c r="K6" s="22" t="s">
        <v>6128</v>
      </c>
      <c r="L6" s="22" t="s">
        <v>6130</v>
      </c>
      <c r="M6" s="22" t="s">
        <v>6131</v>
      </c>
      <c r="N6" s="237"/>
      <c r="O6" s="22"/>
      <c r="P6" s="22"/>
      <c r="Q6" s="191"/>
    </row>
    <row r="7" spans="1:17">
      <c r="A7" s="438">
        <v>0.64583333333333337</v>
      </c>
      <c r="B7" s="438">
        <v>0.5625</v>
      </c>
      <c r="C7" s="437">
        <v>202500520</v>
      </c>
      <c r="D7" s="437" t="s">
        <v>36</v>
      </c>
      <c r="E7" s="437" t="s">
        <v>5890</v>
      </c>
      <c r="F7" s="437" t="s">
        <v>1176</v>
      </c>
      <c r="G7" s="437" t="s">
        <v>1864</v>
      </c>
      <c r="H7" s="430" t="s">
        <v>5892</v>
      </c>
      <c r="I7" s="431" t="s">
        <v>5893</v>
      </c>
      <c r="J7" s="22" t="s">
        <v>254</v>
      </c>
      <c r="K7" s="444" t="s">
        <v>7004</v>
      </c>
      <c r="L7" s="444" t="s">
        <v>7005</v>
      </c>
      <c r="M7" s="445"/>
      <c r="N7" s="22"/>
      <c r="O7" s="22"/>
      <c r="P7" s="22"/>
      <c r="Q7" s="191"/>
    </row>
    <row r="8" spans="1:17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</row>
    <row r="9" spans="1:17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</row>
    <row r="10" spans="1:17">
      <c r="A10" s="191"/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</row>
    <row r="11" spans="1:17">
      <c r="A11" s="191"/>
      <c r="B11" s="191"/>
      <c r="C11" s="191"/>
      <c r="D11" s="191"/>
      <c r="E11" s="191"/>
      <c r="F11" s="191"/>
      <c r="G11" s="191"/>
      <c r="H11" s="191"/>
      <c r="I11" s="817" t="s">
        <v>7006</v>
      </c>
      <c r="J11" s="794"/>
      <c r="K11" s="794"/>
      <c r="L11" s="795"/>
      <c r="M11" s="191"/>
      <c r="N11" s="746" t="s">
        <v>541</v>
      </c>
      <c r="O11" s="747"/>
      <c r="P11" s="748"/>
      <c r="Q11" s="191"/>
    </row>
    <row r="12" spans="1:17">
      <c r="A12" s="796" t="s">
        <v>542</v>
      </c>
      <c r="B12" s="797"/>
      <c r="C12" s="797"/>
      <c r="D12" s="797"/>
      <c r="E12" s="797"/>
      <c r="F12" s="797"/>
      <c r="G12" s="797"/>
      <c r="H12" s="798"/>
      <c r="I12" s="613" t="s">
        <v>7007</v>
      </c>
      <c r="J12" s="755"/>
      <c r="K12" s="755"/>
      <c r="L12" s="756"/>
      <c r="M12" s="191"/>
      <c r="N12" s="749"/>
      <c r="O12" s="750"/>
      <c r="P12" s="751"/>
      <c r="Q12" s="191"/>
    </row>
    <row r="13" spans="1:17">
      <c r="A13" s="203" t="s">
        <v>543</v>
      </c>
      <c r="B13" s="204" t="s">
        <v>544</v>
      </c>
      <c r="C13" s="271" t="s">
        <v>545</v>
      </c>
      <c r="D13" s="319"/>
      <c r="E13" s="818" t="s">
        <v>546</v>
      </c>
      <c r="F13" s="800"/>
      <c r="G13" s="204" t="s">
        <v>545</v>
      </c>
      <c r="H13" s="205" t="s">
        <v>547</v>
      </c>
      <c r="I13" s="206" t="s">
        <v>548</v>
      </c>
      <c r="J13" s="191"/>
      <c r="K13" s="191"/>
      <c r="L13" s="191"/>
      <c r="M13" s="191"/>
      <c r="N13" s="749"/>
      <c r="O13" s="750"/>
      <c r="P13" s="751"/>
      <c r="Q13" s="191"/>
    </row>
    <row r="14" spans="1:17">
      <c r="A14" s="208">
        <v>45884</v>
      </c>
      <c r="B14" s="211" t="s">
        <v>549</v>
      </c>
      <c r="C14" s="272">
        <v>0.33333333333333331</v>
      </c>
      <c r="D14" s="272"/>
      <c r="E14" s="757" t="s">
        <v>7008</v>
      </c>
      <c r="F14" s="616"/>
      <c r="G14" s="210"/>
      <c r="H14" s="211">
        <v>48.5</v>
      </c>
      <c r="I14" s="207">
        <v>16.8</v>
      </c>
      <c r="J14" s="758" t="s">
        <v>7009</v>
      </c>
      <c r="K14" s="758"/>
      <c r="L14" s="759"/>
      <c r="M14" s="191"/>
      <c r="N14" s="749"/>
      <c r="O14" s="750"/>
      <c r="P14" s="751"/>
      <c r="Q14" s="191"/>
    </row>
    <row r="15" spans="1:17">
      <c r="A15" s="208">
        <v>45884</v>
      </c>
      <c r="B15" s="211" t="s">
        <v>7010</v>
      </c>
      <c r="C15" s="272">
        <v>0.6875</v>
      </c>
      <c r="D15" s="272"/>
      <c r="E15" s="766" t="s">
        <v>549</v>
      </c>
      <c r="F15" s="645"/>
      <c r="G15" s="223"/>
      <c r="H15" s="209">
        <v>48.5</v>
      </c>
      <c r="I15" s="191"/>
      <c r="J15" s="760"/>
      <c r="K15" s="761"/>
      <c r="L15" s="762"/>
      <c r="M15" s="191"/>
      <c r="N15" s="749"/>
      <c r="O15" s="750"/>
      <c r="P15" s="751"/>
      <c r="Q15" s="191"/>
    </row>
    <row r="16" spans="1:17">
      <c r="A16" s="220" t="s">
        <v>7003</v>
      </c>
      <c r="B16" s="222" t="s">
        <v>7003</v>
      </c>
      <c r="C16" s="88" t="s">
        <v>7003</v>
      </c>
      <c r="D16" s="88"/>
      <c r="E16" s="769" t="s">
        <v>551</v>
      </c>
      <c r="F16" s="770"/>
      <c r="G16" s="770"/>
      <c r="H16" s="216">
        <f>SUM(H14:H15)</f>
        <v>97</v>
      </c>
      <c r="I16" s="191"/>
      <c r="J16" s="760"/>
      <c r="K16" s="761"/>
      <c r="L16" s="762"/>
      <c r="M16" s="191"/>
      <c r="N16" s="752"/>
      <c r="O16" s="753"/>
      <c r="P16" s="754"/>
      <c r="Q16" s="191"/>
    </row>
    <row r="17" spans="1:17">
      <c r="A17" s="220" t="s">
        <v>7003</v>
      </c>
      <c r="B17" s="222" t="s">
        <v>7003</v>
      </c>
      <c r="C17" s="88" t="s">
        <v>7003</v>
      </c>
      <c r="D17" s="88"/>
      <c r="E17" s="767" t="s">
        <v>7003</v>
      </c>
      <c r="F17" s="768"/>
      <c r="G17" s="221" t="s">
        <v>7003</v>
      </c>
      <c r="H17" s="221" t="s">
        <v>7003</v>
      </c>
      <c r="I17" s="191"/>
      <c r="J17" s="760"/>
      <c r="K17" s="761"/>
      <c r="L17" s="762"/>
      <c r="M17" s="191"/>
      <c r="N17" s="191"/>
      <c r="O17" s="191"/>
      <c r="P17" s="191"/>
      <c r="Q17" s="191"/>
    </row>
    <row r="18" spans="1:17">
      <c r="A18" s="191"/>
      <c r="B18" s="191"/>
      <c r="C18" s="191"/>
      <c r="D18" s="191"/>
      <c r="E18" s="191"/>
      <c r="F18" s="191"/>
      <c r="G18" s="191"/>
      <c r="H18" s="191"/>
      <c r="I18" s="191"/>
      <c r="J18" s="760"/>
      <c r="K18" s="761"/>
      <c r="L18" s="762"/>
      <c r="M18" s="191"/>
      <c r="N18" s="191"/>
      <c r="O18" s="191"/>
      <c r="P18" s="191"/>
      <c r="Q18" s="191"/>
    </row>
    <row r="19" spans="1:17">
      <c r="A19" s="819" t="s">
        <v>552</v>
      </c>
      <c r="B19" s="801"/>
      <c r="C19" s="801"/>
      <c r="D19" s="801"/>
      <c r="E19" s="801"/>
      <c r="F19" s="801"/>
      <c r="G19" s="801"/>
      <c r="H19" s="191"/>
      <c r="I19" s="191"/>
      <c r="J19" s="760"/>
      <c r="K19" s="761"/>
      <c r="L19" s="762"/>
      <c r="M19" s="191"/>
      <c r="N19" s="191"/>
      <c r="O19" s="191"/>
      <c r="P19" s="191"/>
      <c r="Q19" s="191"/>
    </row>
    <row r="20" spans="1:17">
      <c r="A20" s="799" t="s">
        <v>553</v>
      </c>
      <c r="B20" s="818"/>
      <c r="C20" s="800"/>
      <c r="D20" s="440"/>
      <c r="E20" s="818" t="s">
        <v>554</v>
      </c>
      <c r="F20" s="818"/>
      <c r="G20" s="820"/>
      <c r="H20" s="191"/>
      <c r="I20" s="191"/>
      <c r="J20" s="760"/>
      <c r="K20" s="761"/>
      <c r="L20" s="762"/>
      <c r="M20" s="191"/>
      <c r="N20" s="191"/>
      <c r="O20" s="191"/>
      <c r="P20" s="191"/>
      <c r="Q20" s="191"/>
    </row>
    <row r="21" spans="1:17">
      <c r="A21" s="821">
        <v>0.5</v>
      </c>
      <c r="B21" s="822"/>
      <c r="C21" s="823"/>
      <c r="D21" s="441"/>
      <c r="E21" s="824">
        <v>0.54166666666666663</v>
      </c>
      <c r="F21" s="822"/>
      <c r="G21" s="825"/>
      <c r="H21" s="191"/>
      <c r="I21" s="191"/>
      <c r="J21" s="763"/>
      <c r="K21" s="764"/>
      <c r="L21" s="765"/>
      <c r="M21" s="191"/>
      <c r="N21" s="191"/>
      <c r="O21" s="191"/>
      <c r="P21" s="191"/>
      <c r="Q21" s="191"/>
    </row>
    <row r="22" spans="1:17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</row>
    <row r="23" spans="1:17">
      <c r="A23" s="191"/>
      <c r="B23" s="191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</row>
  </sheetData>
  <protectedRanges>
    <protectedRange sqref="C4:E4 D5:D6" name="Range1_3"/>
    <protectedRange sqref="C5" name="Range1_5"/>
    <protectedRange sqref="C6 E6" name="Range1_7"/>
    <protectedRange sqref="C7:E7" name="Range1_9"/>
    <protectedRange sqref="F7" name="Range1_10"/>
    <protectedRange sqref="G7" name="Range1_11"/>
    <protectedRange sqref="H7" name="Range1_12"/>
    <protectedRange sqref="I7" name="Range1_13"/>
    <protectedRange sqref="K7" name="Range1_14"/>
    <protectedRange sqref="L7" name="Range1_15"/>
    <protectedRange sqref="K4" name="Range1"/>
    <protectedRange sqref="L4" name="Range1_1"/>
    <protectedRange sqref="M4" name="Range1_2"/>
    <protectedRange sqref="K5" name="Range1_4"/>
    <protectedRange sqref="L5" name="Range1_6"/>
    <protectedRange sqref="M5" name="Range1_8"/>
    <protectedRange sqref="K6" name="Range1_16"/>
    <protectedRange sqref="L6" name="Range1_17"/>
    <protectedRange sqref="M6" name="Range1_18"/>
  </protectedRanges>
  <autoFilter ref="A1:Q1" xr:uid="{F09CEF7E-7F6A-43A3-80C5-483E49D4AA6D}"/>
  <mergeCells count="15">
    <mergeCell ref="I11:L11"/>
    <mergeCell ref="N11:P16"/>
    <mergeCell ref="A12:H12"/>
    <mergeCell ref="I12:L12"/>
    <mergeCell ref="E13:F13"/>
    <mergeCell ref="E14:F14"/>
    <mergeCell ref="J14:L21"/>
    <mergeCell ref="E15:F15"/>
    <mergeCell ref="E17:F17"/>
    <mergeCell ref="E16:G16"/>
    <mergeCell ref="A19:G19"/>
    <mergeCell ref="A20:C20"/>
    <mergeCell ref="E20:G20"/>
    <mergeCell ref="A21:C21"/>
    <mergeCell ref="E21:G21"/>
  </mergeCells>
  <conditionalFormatting sqref="H7:I7">
    <cfRule type="cellIs" dxfId="20" priority="1" operator="equal">
      <formula>0</formula>
    </cfRule>
  </conditionalFormatting>
  <conditionalFormatting sqref="H7">
    <cfRule type="duplicateValues" dxfId="19" priority="2"/>
  </conditionalFormatting>
  <hyperlinks>
    <hyperlink ref="I2" r:id="rId1" xr:uid="{861BCB6D-CFB9-447A-9D2C-9EC00EAFC13F}"/>
    <hyperlink ref="I3" r:id="rId2" xr:uid="{DF1EFC33-58BC-4BF1-B8DD-7D1780328B20}"/>
    <hyperlink ref="I4" r:id="rId3" xr:uid="{17384BD0-446F-4C4B-9E40-3514D6386485}"/>
    <hyperlink ref="I5" r:id="rId4" xr:uid="{5A7A9914-1168-4259-9A04-7035A805AC9F}"/>
    <hyperlink ref="I6" r:id="rId5" xr:uid="{75716E5B-967A-4019-873C-C96F3CB679E7}"/>
    <hyperlink ref="I7" r:id="rId6" xr:uid="{711966D9-00E9-4D19-9FB4-90F98CB6E4F9}"/>
    <hyperlink ref="I12:L12" r:id="rId7" display="https://maps.app.goo.gl/c8VZYsX3ry1K8xSBA" xr:uid="{6638B775-B19A-42EE-8B84-39320079922D}"/>
  </hyperlinks>
  <pageMargins left="0.25" right="0.25" top="0.75" bottom="0.75" header="0.3" footer="0.3"/>
  <pageSetup paperSize="9" fitToHeight="0"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A62EF-F6D8-4C17-94F2-604B523BF14D}">
  <sheetPr codeName="Planilha17">
    <pageSetUpPr fitToPage="1"/>
  </sheetPr>
  <dimension ref="A1:Q37"/>
  <sheetViews>
    <sheetView topLeftCell="A10" workbookViewId="0">
      <selection activeCell="A33" sqref="A33:G34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10.85546875" customWidth="1"/>
    <col min="5" max="5" width="32.28515625" customWidth="1"/>
    <col min="6" max="6" width="18.5703125" customWidth="1"/>
    <col min="7" max="7" width="17.85546875" customWidth="1"/>
    <col min="8" max="8" width="24.7109375" bestFit="1" customWidth="1"/>
    <col min="9" max="9" width="40.42578125" bestFit="1" customWidth="1"/>
    <col min="10" max="10" width="19" bestFit="1" customWidth="1"/>
    <col min="11" max="11" width="27.85546875" bestFit="1" customWidth="1"/>
    <col min="12" max="12" width="13.85546875" bestFit="1" customWidth="1"/>
    <col min="13" max="13" width="26.7109375" bestFit="1" customWidth="1"/>
    <col min="15" max="15" width="11.42578125" customWidth="1"/>
    <col min="16" max="16" width="13" customWidth="1"/>
  </cols>
  <sheetData>
    <row r="1" spans="1:17" ht="45">
      <c r="A1" s="217" t="s">
        <v>514</v>
      </c>
      <c r="B1" s="218" t="s">
        <v>515</v>
      </c>
      <c r="C1" s="218" t="s">
        <v>0</v>
      </c>
      <c r="D1" s="360" t="s">
        <v>3110</v>
      </c>
      <c r="E1" s="218" t="s">
        <v>516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  <c r="Q1" s="202"/>
    </row>
    <row r="2" spans="1:17">
      <c r="A2" s="250">
        <v>0.58333333333333337</v>
      </c>
      <c r="B2" s="15">
        <v>0.58333333333333337</v>
      </c>
      <c r="C2" s="430">
        <v>202500031</v>
      </c>
      <c r="D2" s="430" t="s">
        <v>23</v>
      </c>
      <c r="E2" s="430" t="s">
        <v>3094</v>
      </c>
      <c r="F2" s="430" t="s">
        <v>1192</v>
      </c>
      <c r="G2" s="430" t="s">
        <v>1278</v>
      </c>
      <c r="H2" s="430" t="s">
        <v>1280</v>
      </c>
      <c r="I2" s="431" t="s">
        <v>1281</v>
      </c>
      <c r="J2" s="450" t="s">
        <v>411</v>
      </c>
      <c r="K2" s="430" t="s">
        <v>1282</v>
      </c>
      <c r="L2" s="430" t="s">
        <v>3095</v>
      </c>
      <c r="M2" s="430" t="s">
        <v>1284</v>
      </c>
      <c r="N2" s="237">
        <v>3</v>
      </c>
      <c r="O2" s="22" t="s">
        <v>7003</v>
      </c>
      <c r="P2" s="22" t="s">
        <v>7003</v>
      </c>
      <c r="Q2" s="191"/>
    </row>
    <row r="3" spans="1:17">
      <c r="A3" s="250">
        <v>0.60416666666666663</v>
      </c>
      <c r="B3" s="459">
        <v>0.58333333333333337</v>
      </c>
      <c r="C3" s="13">
        <v>202500031</v>
      </c>
      <c r="D3" s="430" t="s">
        <v>23</v>
      </c>
      <c r="E3" s="13" t="s">
        <v>3096</v>
      </c>
      <c r="F3" s="13" t="s">
        <v>1192</v>
      </c>
      <c r="G3" s="13" t="s">
        <v>1278</v>
      </c>
      <c r="H3" s="13" t="s">
        <v>1280</v>
      </c>
      <c r="I3" s="13" t="s">
        <v>1281</v>
      </c>
      <c r="J3" s="79" t="s">
        <v>411</v>
      </c>
      <c r="K3" s="13" t="s">
        <v>1282</v>
      </c>
      <c r="L3" s="13" t="s">
        <v>3095</v>
      </c>
      <c r="M3" s="13" t="s">
        <v>1284</v>
      </c>
      <c r="N3" s="237">
        <v>3</v>
      </c>
      <c r="O3" s="22" t="s">
        <v>7003</v>
      </c>
      <c r="P3" s="22" t="s">
        <v>7003</v>
      </c>
      <c r="Q3" s="191"/>
    </row>
    <row r="4" spans="1:17">
      <c r="A4" s="250">
        <v>0.625</v>
      </c>
      <c r="B4" s="460">
        <v>0.58333333333333337</v>
      </c>
      <c r="C4" s="446">
        <v>202500869</v>
      </c>
      <c r="D4" s="449" t="s">
        <v>43</v>
      </c>
      <c r="E4" s="447" t="s">
        <v>6258</v>
      </c>
      <c r="F4" s="447" t="s">
        <v>1192</v>
      </c>
      <c r="G4" s="447" t="s">
        <v>1278</v>
      </c>
      <c r="H4" s="430" t="s">
        <v>1280</v>
      </c>
      <c r="I4" s="430" t="s">
        <v>1281</v>
      </c>
      <c r="J4" s="451" t="s">
        <v>411</v>
      </c>
      <c r="K4" s="430" t="s">
        <v>1282</v>
      </c>
      <c r="L4" s="447" t="s">
        <v>3095</v>
      </c>
      <c r="M4" s="447" t="s">
        <v>1284</v>
      </c>
      <c r="N4" s="237">
        <v>1</v>
      </c>
      <c r="O4" s="22"/>
      <c r="P4" s="22"/>
      <c r="Q4" s="191"/>
    </row>
    <row r="5" spans="1:17">
      <c r="A5" s="250">
        <v>0.64583333333333337</v>
      </c>
      <c r="B5" s="460">
        <v>0.58333333333333337</v>
      </c>
      <c r="C5" s="448">
        <v>202500869</v>
      </c>
      <c r="D5" s="449" t="s">
        <v>43</v>
      </c>
      <c r="E5" s="449" t="s">
        <v>6269</v>
      </c>
      <c r="F5" s="449" t="s">
        <v>1192</v>
      </c>
      <c r="G5" s="449" t="s">
        <v>1278</v>
      </c>
      <c r="H5" s="13" t="s">
        <v>1280</v>
      </c>
      <c r="I5" s="13" t="s">
        <v>1281</v>
      </c>
      <c r="J5" s="452" t="s">
        <v>411</v>
      </c>
      <c r="K5" s="449" t="s">
        <v>1282</v>
      </c>
      <c r="L5" s="449" t="s">
        <v>3095</v>
      </c>
      <c r="M5" s="449" t="s">
        <v>1284</v>
      </c>
      <c r="N5" s="237">
        <v>1</v>
      </c>
      <c r="O5" s="22"/>
      <c r="P5" s="22"/>
      <c r="Q5" s="191"/>
    </row>
    <row r="6" spans="1:17">
      <c r="A6" s="250">
        <v>0.72916666666666663</v>
      </c>
      <c r="B6" s="457">
        <v>0.58333333333333337</v>
      </c>
      <c r="C6" s="430">
        <v>202500031</v>
      </c>
      <c r="D6" s="430" t="s">
        <v>23</v>
      </c>
      <c r="E6" s="430" t="s">
        <v>3097</v>
      </c>
      <c r="F6" s="430" t="s">
        <v>1192</v>
      </c>
      <c r="G6" s="430" t="s">
        <v>1288</v>
      </c>
      <c r="H6" s="430" t="s">
        <v>1290</v>
      </c>
      <c r="I6" s="430" t="s">
        <v>1291</v>
      </c>
      <c r="J6" s="450" t="s">
        <v>385</v>
      </c>
      <c r="K6" s="430" t="s">
        <v>1292</v>
      </c>
      <c r="L6" s="430" t="s">
        <v>3098</v>
      </c>
      <c r="M6" s="430" t="s">
        <v>3099</v>
      </c>
      <c r="N6" s="237">
        <v>3</v>
      </c>
      <c r="O6" s="22"/>
      <c r="P6" s="22"/>
      <c r="Q6" s="191"/>
    </row>
    <row r="7" spans="1:17">
      <c r="A7" s="250">
        <v>0.72916666666666663</v>
      </c>
      <c r="B7" s="15">
        <v>0.58333333333333337</v>
      </c>
      <c r="C7" s="13">
        <v>202500031</v>
      </c>
      <c r="D7" s="430" t="s">
        <v>23</v>
      </c>
      <c r="E7" s="13" t="s">
        <v>3100</v>
      </c>
      <c r="F7" s="13" t="s">
        <v>1192</v>
      </c>
      <c r="G7" s="13" t="s">
        <v>1288</v>
      </c>
      <c r="H7" s="13" t="s">
        <v>1290</v>
      </c>
      <c r="I7" s="13" t="s">
        <v>1291</v>
      </c>
      <c r="J7" s="79" t="s">
        <v>385</v>
      </c>
      <c r="K7" s="13" t="s">
        <v>1292</v>
      </c>
      <c r="L7" s="13" t="s">
        <v>3098</v>
      </c>
      <c r="M7" s="13" t="s">
        <v>3099</v>
      </c>
      <c r="N7" s="237">
        <v>3</v>
      </c>
      <c r="O7" s="22"/>
      <c r="P7" s="22"/>
      <c r="Q7" s="191"/>
    </row>
    <row r="8" spans="1:17">
      <c r="A8" s="250">
        <v>0.72916666666666663</v>
      </c>
      <c r="B8" s="457">
        <v>0.58333333333333337</v>
      </c>
      <c r="C8" s="430">
        <v>202500031</v>
      </c>
      <c r="D8" s="430" t="s">
        <v>23</v>
      </c>
      <c r="E8" s="430" t="s">
        <v>3101</v>
      </c>
      <c r="F8" s="430" t="s">
        <v>1192</v>
      </c>
      <c r="G8" s="430" t="s">
        <v>1288</v>
      </c>
      <c r="H8" s="430" t="s">
        <v>1290</v>
      </c>
      <c r="I8" s="430" t="s">
        <v>1291</v>
      </c>
      <c r="J8" s="450" t="s">
        <v>385</v>
      </c>
      <c r="K8" s="430" t="s">
        <v>1292</v>
      </c>
      <c r="L8" s="430" t="s">
        <v>3098</v>
      </c>
      <c r="M8" s="430" t="s">
        <v>3099</v>
      </c>
      <c r="N8" s="237">
        <v>3</v>
      </c>
      <c r="O8" s="22"/>
      <c r="P8" s="22"/>
      <c r="Q8" s="191"/>
    </row>
    <row r="9" spans="1:17">
      <c r="A9" s="250">
        <v>0.75</v>
      </c>
      <c r="B9" s="15">
        <v>0.58333333333333337</v>
      </c>
      <c r="C9" s="13">
        <v>202500031</v>
      </c>
      <c r="D9" s="430" t="s">
        <v>23</v>
      </c>
      <c r="E9" s="13" t="s">
        <v>3102</v>
      </c>
      <c r="F9" s="13" t="s">
        <v>1192</v>
      </c>
      <c r="G9" s="13" t="s">
        <v>1288</v>
      </c>
      <c r="H9" s="13" t="s">
        <v>1290</v>
      </c>
      <c r="I9" s="13" t="s">
        <v>1291</v>
      </c>
      <c r="J9" s="79" t="s">
        <v>385</v>
      </c>
      <c r="K9" s="13" t="s">
        <v>1292</v>
      </c>
      <c r="L9" s="13" t="s">
        <v>3098</v>
      </c>
      <c r="M9" s="13" t="s">
        <v>3099</v>
      </c>
      <c r="N9" s="237">
        <v>3</v>
      </c>
      <c r="O9" s="22"/>
      <c r="P9" s="22"/>
      <c r="Q9" s="191"/>
    </row>
    <row r="10" spans="1:17">
      <c r="A10" s="250">
        <v>0.58333333333333337</v>
      </c>
      <c r="B10" s="457">
        <v>0.58333333333333337</v>
      </c>
      <c r="C10" s="430">
        <v>202500120</v>
      </c>
      <c r="D10" s="13" t="s">
        <v>27</v>
      </c>
      <c r="E10" s="430" t="s">
        <v>3103</v>
      </c>
      <c r="F10" s="430" t="s">
        <v>1176</v>
      </c>
      <c r="G10" s="430" t="s">
        <v>2891</v>
      </c>
      <c r="H10" s="430" t="s">
        <v>3105</v>
      </c>
      <c r="I10" s="430" t="s">
        <v>1291</v>
      </c>
      <c r="J10" s="450" t="s">
        <v>385</v>
      </c>
      <c r="K10" s="430" t="s">
        <v>3106</v>
      </c>
      <c r="L10" s="430" t="s">
        <v>3108</v>
      </c>
      <c r="M10" s="430" t="s">
        <v>3109</v>
      </c>
      <c r="N10" s="237">
        <v>3</v>
      </c>
      <c r="O10" s="22"/>
      <c r="P10" s="22"/>
      <c r="Q10" s="191"/>
    </row>
    <row r="11" spans="1:17" s="469" customFormat="1">
      <c r="A11" s="478">
        <v>0.40277777777777779</v>
      </c>
      <c r="B11" s="461">
        <v>0.33333333333333331</v>
      </c>
      <c r="C11" s="462">
        <v>202500869</v>
      </c>
      <c r="D11" s="463" t="s">
        <v>43</v>
      </c>
      <c r="E11" s="464" t="s">
        <v>6242</v>
      </c>
      <c r="F11" s="464" t="s">
        <v>1192</v>
      </c>
      <c r="G11" s="464" t="s">
        <v>1288</v>
      </c>
      <c r="H11" s="20" t="s">
        <v>1290</v>
      </c>
      <c r="I11" s="20" t="s">
        <v>1291</v>
      </c>
      <c r="J11" s="465" t="s">
        <v>385</v>
      </c>
      <c r="K11" s="464" t="s">
        <v>6243</v>
      </c>
      <c r="L11" s="464" t="s">
        <v>1293</v>
      </c>
      <c r="M11" s="464" t="s">
        <v>1294</v>
      </c>
      <c r="N11" s="466">
        <v>1</v>
      </c>
      <c r="O11" s="467" t="s">
        <v>7003</v>
      </c>
      <c r="P11" s="467" t="s">
        <v>7003</v>
      </c>
      <c r="Q11" s="468"/>
    </row>
    <row r="12" spans="1:17">
      <c r="A12" s="250">
        <v>0.70833333333333337</v>
      </c>
      <c r="B12" s="459">
        <v>0.58333333333333337</v>
      </c>
      <c r="C12" s="446">
        <v>202500869</v>
      </c>
      <c r="D12" s="449" t="s">
        <v>43</v>
      </c>
      <c r="E12" s="447" t="s">
        <v>6245</v>
      </c>
      <c r="F12" s="447" t="s">
        <v>1192</v>
      </c>
      <c r="G12" s="447" t="s">
        <v>1288</v>
      </c>
      <c r="H12" s="430" t="s">
        <v>1290</v>
      </c>
      <c r="I12" s="430" t="s">
        <v>1291</v>
      </c>
      <c r="J12" s="451" t="s">
        <v>385</v>
      </c>
      <c r="K12" s="447" t="s">
        <v>6246</v>
      </c>
      <c r="L12" s="493" t="s">
        <v>1293</v>
      </c>
      <c r="M12" s="447" t="s">
        <v>1294</v>
      </c>
      <c r="N12" s="237">
        <v>1</v>
      </c>
      <c r="O12" s="22" t="s">
        <v>7003</v>
      </c>
      <c r="P12" s="22" t="s">
        <v>7003</v>
      </c>
      <c r="Q12" s="191"/>
    </row>
    <row r="13" spans="1:17" s="469" customFormat="1">
      <c r="A13" s="479">
        <v>0.40277777777777779</v>
      </c>
      <c r="B13" s="461">
        <v>0.33333333333333331</v>
      </c>
      <c r="C13" s="470">
        <v>202500869</v>
      </c>
      <c r="D13" s="463" t="s">
        <v>43</v>
      </c>
      <c r="E13" s="464" t="s">
        <v>6247</v>
      </c>
      <c r="F13" s="464" t="s">
        <v>1192</v>
      </c>
      <c r="G13" s="464" t="s">
        <v>1288</v>
      </c>
      <c r="H13" s="20" t="s">
        <v>1290</v>
      </c>
      <c r="I13" s="20" t="s">
        <v>1291</v>
      </c>
      <c r="J13" s="465" t="s">
        <v>385</v>
      </c>
      <c r="K13" s="464" t="s">
        <v>6246</v>
      </c>
      <c r="L13" s="467" t="s">
        <v>1293</v>
      </c>
      <c r="M13" s="464" t="s">
        <v>1294</v>
      </c>
      <c r="N13" s="466">
        <v>1</v>
      </c>
      <c r="O13" s="467"/>
      <c r="P13" s="467"/>
      <c r="Q13" s="468"/>
    </row>
    <row r="14" spans="1:17">
      <c r="A14" s="250">
        <v>0.60416666666666663</v>
      </c>
      <c r="B14" s="459">
        <v>0.58333333333333337</v>
      </c>
      <c r="C14" s="437">
        <v>202500869</v>
      </c>
      <c r="D14" s="449" t="s">
        <v>43</v>
      </c>
      <c r="E14" s="447" t="s">
        <v>6260</v>
      </c>
      <c r="F14" s="447" t="s">
        <v>1192</v>
      </c>
      <c r="G14" s="447" t="s">
        <v>1278</v>
      </c>
      <c r="H14" s="430" t="s">
        <v>6262</v>
      </c>
      <c r="I14" s="431" t="s">
        <v>6263</v>
      </c>
      <c r="J14" s="451" t="s">
        <v>385</v>
      </c>
      <c r="K14" s="447" t="s">
        <v>6264</v>
      </c>
      <c r="L14" s="13" t="s">
        <v>6265</v>
      </c>
      <c r="M14" s="447" t="s">
        <v>6266</v>
      </c>
      <c r="N14" s="237">
        <v>1</v>
      </c>
      <c r="O14" s="22"/>
      <c r="P14" s="22"/>
      <c r="Q14" s="191"/>
    </row>
    <row r="15" spans="1:17">
      <c r="A15" s="250">
        <v>0.625</v>
      </c>
      <c r="B15" s="459">
        <v>0.58333333333333337</v>
      </c>
      <c r="C15" s="437">
        <v>202500869</v>
      </c>
      <c r="D15" s="449" t="s">
        <v>43</v>
      </c>
      <c r="E15" s="447" t="s">
        <v>6267</v>
      </c>
      <c r="F15" s="447" t="s">
        <v>1192</v>
      </c>
      <c r="G15" s="447" t="s">
        <v>1278</v>
      </c>
      <c r="H15" s="430" t="s">
        <v>6262</v>
      </c>
      <c r="I15" s="431" t="s">
        <v>6263</v>
      </c>
      <c r="J15" s="451" t="s">
        <v>385</v>
      </c>
      <c r="K15" s="447" t="s">
        <v>6268</v>
      </c>
      <c r="L15" s="13" t="s">
        <v>6265</v>
      </c>
      <c r="M15" s="447" t="s">
        <v>6266</v>
      </c>
      <c r="N15" s="456">
        <v>1</v>
      </c>
      <c r="O15" s="92" t="s">
        <v>7003</v>
      </c>
      <c r="P15" s="92" t="s">
        <v>7003</v>
      </c>
      <c r="Q15" s="191"/>
    </row>
    <row r="16" spans="1:17">
      <c r="A16" s="250">
        <v>0.6875</v>
      </c>
      <c r="B16" s="458">
        <v>0.58333333333333337</v>
      </c>
      <c r="C16" s="22">
        <v>202500869</v>
      </c>
      <c r="D16" s="449" t="s">
        <v>43</v>
      </c>
      <c r="E16" s="442" t="s">
        <v>6271</v>
      </c>
      <c r="F16" s="442" t="s">
        <v>1192</v>
      </c>
      <c r="G16" s="442" t="s">
        <v>1288</v>
      </c>
      <c r="H16" s="13" t="s">
        <v>1290</v>
      </c>
      <c r="I16" s="13" t="s">
        <v>1291</v>
      </c>
      <c r="J16" s="453" t="s">
        <v>385</v>
      </c>
      <c r="K16" s="442" t="s">
        <v>6246</v>
      </c>
      <c r="L16" s="22" t="s">
        <v>1293</v>
      </c>
      <c r="M16" s="442" t="s">
        <v>1294</v>
      </c>
      <c r="N16" s="22">
        <v>1</v>
      </c>
      <c r="O16" s="22"/>
      <c r="P16" s="22"/>
      <c r="Q16" s="191"/>
    </row>
    <row r="17" spans="1:17" s="469" customFormat="1">
      <c r="A17" s="478">
        <v>0.44444444444444442</v>
      </c>
      <c r="B17" s="461">
        <v>0.33333333333333331</v>
      </c>
      <c r="C17" s="467">
        <v>202500869</v>
      </c>
      <c r="D17" s="463" t="s">
        <v>43</v>
      </c>
      <c r="E17" s="464" t="s">
        <v>6272</v>
      </c>
      <c r="F17" s="464" t="s">
        <v>1192</v>
      </c>
      <c r="G17" s="464" t="s">
        <v>1278</v>
      </c>
      <c r="H17" s="20" t="s">
        <v>6262</v>
      </c>
      <c r="I17" s="471" t="s">
        <v>6263</v>
      </c>
      <c r="J17" s="465" t="s">
        <v>385</v>
      </c>
      <c r="K17" s="464" t="s">
        <v>6268</v>
      </c>
      <c r="L17" s="13" t="s">
        <v>6265</v>
      </c>
      <c r="M17" s="464" t="s">
        <v>6266</v>
      </c>
      <c r="N17" s="467">
        <v>1</v>
      </c>
      <c r="O17" s="467"/>
      <c r="P17" s="467"/>
      <c r="Q17" s="468"/>
    </row>
    <row r="18" spans="1:17">
      <c r="A18" s="250">
        <v>0.64583333333333337</v>
      </c>
      <c r="B18" s="458">
        <v>0.58333333333333337</v>
      </c>
      <c r="C18" s="22">
        <v>202500869</v>
      </c>
      <c r="D18" s="449" t="s">
        <v>43</v>
      </c>
      <c r="E18" s="442" t="s">
        <v>6273</v>
      </c>
      <c r="F18" s="442" t="s">
        <v>1192</v>
      </c>
      <c r="G18" s="442" t="s">
        <v>1278</v>
      </c>
      <c r="H18" s="13" t="s">
        <v>6262</v>
      </c>
      <c r="I18" s="17" t="s">
        <v>6263</v>
      </c>
      <c r="J18" s="453" t="s">
        <v>385</v>
      </c>
      <c r="K18" s="442" t="s">
        <v>6268</v>
      </c>
      <c r="L18" s="13" t="s">
        <v>6265</v>
      </c>
      <c r="M18" s="442" t="s">
        <v>6266</v>
      </c>
      <c r="N18" s="22">
        <v>1</v>
      </c>
      <c r="O18" s="22"/>
      <c r="P18" s="22"/>
      <c r="Q18" s="191"/>
    </row>
    <row r="19" spans="1:17">
      <c r="A19" s="481">
        <v>0.66666666666666663</v>
      </c>
      <c r="B19" s="459">
        <v>0.58333333333333337</v>
      </c>
      <c r="C19" s="437">
        <v>202500869</v>
      </c>
      <c r="D19" s="449" t="s">
        <v>43</v>
      </c>
      <c r="E19" s="447" t="s">
        <v>6274</v>
      </c>
      <c r="F19" s="447" t="s">
        <v>1192</v>
      </c>
      <c r="G19" s="447" t="s">
        <v>1278</v>
      </c>
      <c r="H19" s="454" t="s">
        <v>6262</v>
      </c>
      <c r="I19" s="455" t="s">
        <v>6263</v>
      </c>
      <c r="J19" s="451" t="s">
        <v>385</v>
      </c>
      <c r="K19" s="447" t="s">
        <v>6268</v>
      </c>
      <c r="L19" s="13" t="s">
        <v>6265</v>
      </c>
      <c r="M19" s="447" t="s">
        <v>6266</v>
      </c>
      <c r="N19" s="22">
        <v>1</v>
      </c>
      <c r="O19" s="22"/>
      <c r="P19" s="22"/>
      <c r="Q19" s="191"/>
    </row>
    <row r="20" spans="1:17" s="469" customFormat="1">
      <c r="A20" s="480">
        <v>0.44444444444444442</v>
      </c>
      <c r="B20" s="472">
        <v>0.33333333333333331</v>
      </c>
      <c r="C20" s="467">
        <v>202500869</v>
      </c>
      <c r="D20" s="463" t="s">
        <v>43</v>
      </c>
      <c r="E20" s="466" t="s">
        <v>6275</v>
      </c>
      <c r="F20" s="467" t="s">
        <v>1192</v>
      </c>
      <c r="G20" s="467" t="s">
        <v>1278</v>
      </c>
      <c r="H20" s="20" t="s">
        <v>6262</v>
      </c>
      <c r="I20" s="471" t="s">
        <v>6263</v>
      </c>
      <c r="J20" s="473" t="s">
        <v>385</v>
      </c>
      <c r="K20" s="474" t="s">
        <v>6268</v>
      </c>
      <c r="L20" s="13" t="s">
        <v>6265</v>
      </c>
      <c r="M20" s="492" t="s">
        <v>6266</v>
      </c>
      <c r="N20" s="467">
        <v>1</v>
      </c>
      <c r="O20" s="467"/>
      <c r="P20" s="467"/>
      <c r="Q20" s="468"/>
    </row>
    <row r="21" spans="1:17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</row>
    <row r="22" spans="1:17">
      <c r="A22" s="191"/>
      <c r="B22" s="191"/>
      <c r="C22" s="191"/>
      <c r="D22" s="191"/>
      <c r="E22" s="191"/>
      <c r="F22" s="191"/>
      <c r="G22" s="191"/>
      <c r="H22" s="191"/>
      <c r="I22" s="793" t="s">
        <v>7011</v>
      </c>
      <c r="J22" s="794"/>
      <c r="K22" s="794"/>
      <c r="L22" s="795"/>
      <c r="M22" s="191"/>
      <c r="N22" s="746" t="s">
        <v>541</v>
      </c>
      <c r="O22" s="747"/>
      <c r="P22" s="748"/>
      <c r="Q22" s="191"/>
    </row>
    <row r="23" spans="1:17">
      <c r="A23" s="796" t="s">
        <v>542</v>
      </c>
      <c r="B23" s="797"/>
      <c r="C23" s="797"/>
      <c r="D23" s="797"/>
      <c r="E23" s="797"/>
      <c r="F23" s="797"/>
      <c r="G23" s="797"/>
      <c r="H23" s="798"/>
      <c r="I23" s="613"/>
      <c r="J23" s="755"/>
      <c r="K23" s="755"/>
      <c r="L23" s="756"/>
      <c r="M23" s="191"/>
      <c r="N23" s="749"/>
      <c r="O23" s="750"/>
      <c r="P23" s="751"/>
      <c r="Q23" s="191"/>
    </row>
    <row r="24" spans="1:17">
      <c r="A24" s="297" t="s">
        <v>543</v>
      </c>
      <c r="B24" s="271" t="s">
        <v>544</v>
      </c>
      <c r="C24" s="271" t="s">
        <v>545</v>
      </c>
      <c r="D24" s="319"/>
      <c r="E24" s="826" t="s">
        <v>546</v>
      </c>
      <c r="F24" s="827"/>
      <c r="G24" s="271" t="s">
        <v>545</v>
      </c>
      <c r="H24" s="319" t="s">
        <v>547</v>
      </c>
      <c r="I24" s="206" t="s">
        <v>548</v>
      </c>
      <c r="J24" s="191"/>
      <c r="K24" s="191"/>
      <c r="L24" s="191"/>
      <c r="M24" s="191"/>
      <c r="N24" s="749"/>
      <c r="O24" s="750"/>
      <c r="P24" s="751"/>
      <c r="Q24" s="191"/>
    </row>
    <row r="25" spans="1:17">
      <c r="A25" s="251">
        <v>45978</v>
      </c>
      <c r="B25" s="263" t="s">
        <v>7012</v>
      </c>
      <c r="C25" s="262">
        <v>0.33333333333333331</v>
      </c>
      <c r="D25" s="648" t="s">
        <v>7013</v>
      </c>
      <c r="E25" s="691"/>
      <c r="F25" s="649"/>
      <c r="G25" s="302">
        <v>0.41666666666666669</v>
      </c>
      <c r="H25" s="264">
        <v>70.7</v>
      </c>
      <c r="I25" s="485">
        <v>45.6</v>
      </c>
      <c r="J25" s="758" t="s">
        <v>7009</v>
      </c>
      <c r="K25" s="758"/>
      <c r="L25" s="759"/>
      <c r="M25" s="191"/>
      <c r="N25" s="749"/>
      <c r="O25" s="750"/>
      <c r="P25" s="751"/>
      <c r="Q25" s="191"/>
    </row>
    <row r="26" spans="1:17">
      <c r="A26" s="265">
        <v>45979</v>
      </c>
      <c r="B26" s="263" t="s">
        <v>7013</v>
      </c>
      <c r="C26" s="262">
        <v>0.35416666666666669</v>
      </c>
      <c r="D26" s="648" t="s">
        <v>7014</v>
      </c>
      <c r="E26" s="691"/>
      <c r="F26" s="649"/>
      <c r="G26" s="302">
        <v>0.39583333333333331</v>
      </c>
      <c r="H26" s="264">
        <v>65</v>
      </c>
      <c r="I26" s="483"/>
      <c r="J26" s="761"/>
      <c r="K26" s="761"/>
      <c r="L26" s="762"/>
      <c r="M26" s="191"/>
      <c r="N26" s="749"/>
      <c r="O26" s="750"/>
      <c r="P26" s="751"/>
      <c r="Q26" s="191"/>
    </row>
    <row r="27" spans="1:17">
      <c r="A27" s="265" t="s">
        <v>7015</v>
      </c>
      <c r="B27" s="717" t="s">
        <v>7016</v>
      </c>
      <c r="C27" s="717"/>
      <c r="D27" s="717"/>
      <c r="E27" s="717"/>
      <c r="F27" s="717"/>
      <c r="G27" s="648"/>
      <c r="H27" s="264"/>
      <c r="I27" s="191"/>
      <c r="J27" s="760"/>
      <c r="K27" s="761"/>
      <c r="L27" s="762"/>
      <c r="M27" s="191"/>
      <c r="N27" s="749"/>
      <c r="O27" s="750"/>
      <c r="P27" s="751"/>
      <c r="Q27" s="191"/>
    </row>
    <row r="28" spans="1:17">
      <c r="A28" s="265">
        <v>45980</v>
      </c>
      <c r="B28" s="264" t="s">
        <v>7017</v>
      </c>
      <c r="C28" s="272">
        <v>0.375</v>
      </c>
      <c r="D28" s="778" t="s">
        <v>7012</v>
      </c>
      <c r="E28" s="778"/>
      <c r="F28" s="778"/>
      <c r="G28" s="484">
        <v>0.45833333333333331</v>
      </c>
      <c r="H28" s="264">
        <v>105</v>
      </c>
      <c r="I28" s="191"/>
      <c r="J28" s="760"/>
      <c r="K28" s="761"/>
      <c r="L28" s="762"/>
      <c r="M28" s="191"/>
      <c r="N28" s="749"/>
      <c r="O28" s="750"/>
      <c r="P28" s="751"/>
      <c r="Q28" s="191"/>
    </row>
    <row r="29" spans="1:17">
      <c r="A29" s="251"/>
      <c r="B29" s="482"/>
      <c r="C29" s="343"/>
      <c r="D29" s="775"/>
      <c r="E29" s="776"/>
      <c r="F29" s="777"/>
      <c r="G29" s="272"/>
      <c r="H29" s="209"/>
      <c r="I29" s="191"/>
      <c r="J29" s="760"/>
      <c r="K29" s="761"/>
      <c r="L29" s="762"/>
      <c r="M29" s="191"/>
      <c r="N29" s="749"/>
      <c r="O29" s="750"/>
      <c r="P29" s="751"/>
      <c r="Q29" s="191"/>
    </row>
    <row r="30" spans="1:17">
      <c r="A30" s="264" t="s">
        <v>7003</v>
      </c>
      <c r="B30" s="88" t="s">
        <v>7003</v>
      </c>
      <c r="C30" s="88" t="s">
        <v>7003</v>
      </c>
      <c r="D30" s="772" t="s">
        <v>551</v>
      </c>
      <c r="E30" s="773"/>
      <c r="F30" s="773"/>
      <c r="G30" s="774"/>
      <c r="H30" s="216">
        <f>SUM(H25:H29)</f>
        <v>240.7</v>
      </c>
      <c r="I30" s="191"/>
      <c r="J30" s="760"/>
      <c r="K30" s="761"/>
      <c r="L30" s="762"/>
      <c r="M30" s="191"/>
      <c r="N30" s="752"/>
      <c r="O30" s="753"/>
      <c r="P30" s="754"/>
      <c r="Q30" s="191"/>
    </row>
    <row r="31" spans="1:17">
      <c r="A31" s="264" t="s">
        <v>7003</v>
      </c>
      <c r="B31" s="88" t="s">
        <v>7003</v>
      </c>
      <c r="C31" s="88" t="s">
        <v>7003</v>
      </c>
      <c r="D31" s="88"/>
      <c r="E31" s="771" t="s">
        <v>7003</v>
      </c>
      <c r="F31" s="771"/>
      <c r="G31" s="88" t="s">
        <v>7003</v>
      </c>
      <c r="H31" s="221" t="s">
        <v>7003</v>
      </c>
      <c r="I31" s="191"/>
      <c r="J31" s="760"/>
      <c r="K31" s="761"/>
      <c r="L31" s="762"/>
      <c r="M31" s="191"/>
      <c r="N31" s="191"/>
      <c r="O31" s="191"/>
      <c r="P31" s="191"/>
      <c r="Q31" s="191"/>
    </row>
    <row r="32" spans="1:17">
      <c r="A32" s="191"/>
      <c r="B32" s="191"/>
      <c r="C32" s="191"/>
      <c r="D32" s="191"/>
      <c r="E32" s="191"/>
      <c r="F32" s="191"/>
      <c r="G32" s="191"/>
      <c r="H32" s="191"/>
      <c r="I32" s="191"/>
      <c r="J32" s="760"/>
      <c r="K32" s="761"/>
      <c r="L32" s="762"/>
      <c r="M32" s="191"/>
      <c r="N32" s="191"/>
      <c r="O32" s="191"/>
      <c r="P32" s="191"/>
      <c r="Q32" s="191"/>
    </row>
    <row r="33" spans="1:17">
      <c r="A33" s="819" t="s">
        <v>552</v>
      </c>
      <c r="B33" s="801"/>
      <c r="C33" s="801"/>
      <c r="D33" s="801"/>
      <c r="E33" s="801"/>
      <c r="F33" s="801"/>
      <c r="G33" s="801"/>
      <c r="H33" s="191"/>
      <c r="I33" s="191"/>
      <c r="J33" s="760"/>
      <c r="K33" s="761"/>
      <c r="L33" s="762"/>
      <c r="M33" s="191"/>
      <c r="N33" s="191"/>
      <c r="O33" s="191"/>
      <c r="P33" s="191"/>
      <c r="Q33" s="191"/>
    </row>
    <row r="34" spans="1:17">
      <c r="A34" s="799" t="s">
        <v>553</v>
      </c>
      <c r="B34" s="818"/>
      <c r="C34" s="800"/>
      <c r="D34" s="440"/>
      <c r="E34" s="818" t="s">
        <v>554</v>
      </c>
      <c r="F34" s="818"/>
      <c r="G34" s="820"/>
      <c r="H34" s="191"/>
      <c r="I34" s="191"/>
      <c r="J34" s="760"/>
      <c r="K34" s="761"/>
      <c r="L34" s="762"/>
      <c r="M34" s="191"/>
      <c r="N34" s="191"/>
      <c r="O34" s="191"/>
      <c r="P34" s="191"/>
      <c r="Q34" s="191"/>
    </row>
    <row r="35" spans="1:17">
      <c r="A35" s="821">
        <v>0.5</v>
      </c>
      <c r="B35" s="822"/>
      <c r="C35" s="823"/>
      <c r="D35" s="441"/>
      <c r="E35" s="824">
        <v>0.54166666666666663</v>
      </c>
      <c r="F35" s="822"/>
      <c r="G35" s="825"/>
      <c r="H35" s="191"/>
      <c r="I35" s="191"/>
      <c r="J35" s="763"/>
      <c r="K35" s="764"/>
      <c r="L35" s="765"/>
      <c r="M35" s="191"/>
      <c r="N35" s="191"/>
      <c r="O35" s="191"/>
      <c r="P35" s="191"/>
      <c r="Q35" s="191"/>
    </row>
    <row r="36" spans="1:17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</row>
    <row r="37" spans="1:17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</row>
  </sheetData>
  <protectedRanges>
    <protectedRange sqref="D10" name="Range1_9"/>
    <protectedRange sqref="C2:F3 D6:D9" name="Range1_19"/>
    <protectedRange sqref="C4 E4:F4" name="Range1_20"/>
    <protectedRange sqref="C5:F5 D4 D11:D20" name="Range1_21"/>
    <protectedRange sqref="G2:G3" name="Range1_22"/>
    <protectedRange sqref="H2:H3" name="Range1_23"/>
    <protectedRange sqref="I2:J3" name="Range1_24"/>
    <protectedRange sqref="G4" name="Range1_25"/>
    <protectedRange sqref="H4" name="Range1_26"/>
    <protectedRange sqref="I4:J4" name="Range1_27"/>
    <protectedRange sqref="G5" name="Range1_28"/>
    <protectedRange sqref="H5" name="Range1_29"/>
    <protectedRange sqref="I5:J5" name="Range1_30"/>
    <protectedRange sqref="K2:K3" name="Range1_31"/>
    <protectedRange sqref="K4" name="Range1_32"/>
    <protectedRange sqref="K5" name="Range1_33"/>
    <protectedRange sqref="L2:M3" name="Range1_34"/>
    <protectedRange sqref="L4:M4" name="Range1_35"/>
    <protectedRange sqref="L5:M5" name="Range1_36"/>
    <protectedRange sqref="C6" name="Range1_37"/>
    <protectedRange sqref="C7:C9" name="Range1_38"/>
    <protectedRange sqref="C10" name="Range1_39"/>
    <protectedRange sqref="C11:C13" name="Range1_40"/>
    <protectedRange sqref="C14:C15" name="Range1_41"/>
    <protectedRange sqref="C16:C20" name="Range1_42"/>
    <protectedRange sqref="E6:F6" name="Range1_43"/>
    <protectedRange sqref="E7:F9" name="Range1_44"/>
    <protectedRange sqref="E10:F10" name="Range1_45"/>
    <protectedRange sqref="E11:F13" name="Range1_46"/>
    <protectedRange sqref="E14:F15" name="Range1_47"/>
    <protectedRange sqref="E16:F20" name="Range1_48"/>
    <protectedRange sqref="G6" name="Range1_49"/>
    <protectedRange sqref="H6:J6" name="Range1_50"/>
    <protectedRange sqref="G7:G9" name="Range1_51"/>
    <protectedRange sqref="H7:J9" name="Range1_52"/>
    <protectedRange sqref="G10" name="Range1_53"/>
    <protectedRange sqref="H10:J10" name="Range1_54"/>
    <protectedRange sqref="G11:G13" name="Range1_55"/>
    <protectedRange sqref="H11:J13" name="Range1_56"/>
    <protectedRange sqref="G14:G15" name="Range1_57"/>
    <protectedRange sqref="H14:J15" name="Range1_58"/>
    <protectedRange sqref="G16:G20" name="Range1_59"/>
    <protectedRange sqref="H16:J20" name="Range1_60"/>
    <protectedRange sqref="K6" name="Range1_61"/>
    <protectedRange sqref="L6:M6" name="Range1_62"/>
    <protectedRange sqref="K7:K9" name="Range1_63"/>
    <protectedRange sqref="L7:M9" name="Range1_64"/>
    <protectedRange sqref="K10" name="Range1_65"/>
    <protectedRange sqref="L10:M10" name="Range1_66"/>
    <protectedRange sqref="K11:K13" name="Range1_67"/>
    <protectedRange sqref="L11:M13" name="Range1_68"/>
    <protectedRange sqref="K14:K15" name="Range1_69"/>
    <protectedRange sqref="L14:M15" name="Range1_70"/>
    <protectedRange sqref="K16:K20" name="Range1_71"/>
    <protectedRange sqref="L16:M20" name="Range1_72"/>
    <protectedRange sqref="B6" name="Range1_73"/>
    <protectedRange sqref="B7:B9" name="Range1_74"/>
    <protectedRange sqref="B10" name="Range1_75"/>
    <protectedRange sqref="B11:B13" name="Range1_76"/>
    <protectedRange sqref="B14:B15" name="Range1_77"/>
    <protectedRange sqref="B16:B20" name="Range1_78"/>
    <protectedRange sqref="B2" name="Range1_79"/>
    <protectedRange sqref="B3" name="Range1_80"/>
    <protectedRange sqref="B4:B5" name="Range1_81"/>
  </protectedRanges>
  <autoFilter ref="A1:Q20" xr:uid="{F09CEF7E-7F6A-43A3-80C5-483E49D4AA6D}"/>
  <mergeCells count="18">
    <mergeCell ref="D26:F26"/>
    <mergeCell ref="D28:F28"/>
    <mergeCell ref="I22:L22"/>
    <mergeCell ref="N22:P30"/>
    <mergeCell ref="A23:H23"/>
    <mergeCell ref="I23:L23"/>
    <mergeCell ref="E24:F24"/>
    <mergeCell ref="J25:L35"/>
    <mergeCell ref="E31:F31"/>
    <mergeCell ref="D30:G30"/>
    <mergeCell ref="A33:G33"/>
    <mergeCell ref="A34:C34"/>
    <mergeCell ref="E34:G34"/>
    <mergeCell ref="A35:C35"/>
    <mergeCell ref="E35:G35"/>
    <mergeCell ref="B27:G27"/>
    <mergeCell ref="D25:F25"/>
    <mergeCell ref="D29:F29"/>
  </mergeCells>
  <conditionalFormatting sqref="E2:E3">
    <cfRule type="duplicateValues" dxfId="18" priority="8"/>
  </conditionalFormatting>
  <conditionalFormatting sqref="H2:I20">
    <cfRule type="cellIs" dxfId="17" priority="6" operator="equal">
      <formula>0</formula>
    </cfRule>
  </conditionalFormatting>
  <conditionalFormatting sqref="H2:H5">
    <cfRule type="duplicateValues" dxfId="16" priority="7"/>
  </conditionalFormatting>
  <conditionalFormatting sqref="E6:E10">
    <cfRule type="duplicateValues" dxfId="15" priority="5"/>
  </conditionalFormatting>
  <conditionalFormatting sqref="B10">
    <cfRule type="cellIs" dxfId="14" priority="2" operator="lessThan">
      <formula>0.541666666666667</formula>
    </cfRule>
  </conditionalFormatting>
  <conditionalFormatting sqref="B10">
    <cfRule type="cellIs" dxfId="13" priority="1" operator="greaterThan">
      <formula>0.0833333333333333</formula>
    </cfRule>
  </conditionalFormatting>
  <conditionalFormatting sqref="H6:H20">
    <cfRule type="duplicateValues" dxfId="12" priority="1813"/>
  </conditionalFormatting>
  <hyperlinks>
    <hyperlink ref="I14" r:id="rId1" xr:uid="{9CC4672B-42AF-4F50-AC2D-FCC7A98C598B}"/>
    <hyperlink ref="I15" r:id="rId2" xr:uid="{5CDB2282-C583-418B-909B-81328E4BFCAE}"/>
    <hyperlink ref="I17:I20" r:id="rId3" display="https://maps.app.goo.gl/rbvyHGELnx5Qin5V6" xr:uid="{29C181CB-8510-4DCA-9315-26FC2E85E436}"/>
    <hyperlink ref="I2" r:id="rId4" xr:uid="{E0FFF433-EB01-4CDA-85E0-F428D4829E4E}"/>
  </hyperlinks>
  <pageMargins left="0.25" right="0.25" top="0.75" bottom="0.75" header="0.3" footer="0.3"/>
  <pageSetup paperSize="9" fitToHeight="0"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A15E-A378-4769-AF55-99392E2E1E21}">
  <sheetPr codeName="Planilha19">
    <pageSetUpPr fitToPage="1"/>
  </sheetPr>
  <dimension ref="A1:Q22"/>
  <sheetViews>
    <sheetView workbookViewId="0">
      <selection activeCell="E2" sqref="E2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10.85546875" customWidth="1"/>
    <col min="5" max="5" width="32.28515625" customWidth="1"/>
    <col min="6" max="6" width="18.5703125" customWidth="1"/>
    <col min="7" max="7" width="17.85546875" customWidth="1"/>
    <col min="8" max="8" width="24.7109375" bestFit="1" customWidth="1"/>
    <col min="9" max="9" width="40.42578125" bestFit="1" customWidth="1"/>
    <col min="10" max="10" width="13.5703125" bestFit="1" customWidth="1"/>
    <col min="11" max="11" width="27.85546875" bestFit="1" customWidth="1"/>
    <col min="12" max="12" width="13.85546875" bestFit="1" customWidth="1"/>
    <col min="13" max="13" width="26.7109375" bestFit="1" customWidth="1"/>
    <col min="15" max="15" width="11.42578125" customWidth="1"/>
    <col min="16" max="16" width="13" customWidth="1"/>
  </cols>
  <sheetData>
    <row r="1" spans="1:17" ht="45">
      <c r="A1" s="217" t="s">
        <v>514</v>
      </c>
      <c r="B1" s="218" t="s">
        <v>515</v>
      </c>
      <c r="C1" s="218" t="s">
        <v>0</v>
      </c>
      <c r="D1" s="218" t="s">
        <v>3110</v>
      </c>
      <c r="E1" s="218" t="s">
        <v>516</v>
      </c>
      <c r="F1" s="218" t="s">
        <v>517</v>
      </c>
      <c r="G1" s="218" t="s">
        <v>518</v>
      </c>
      <c r="H1" s="218" t="s">
        <v>519</v>
      </c>
      <c r="I1" s="219" t="s">
        <v>520</v>
      </c>
      <c r="J1" s="218" t="s">
        <v>521</v>
      </c>
      <c r="K1" s="218" t="s">
        <v>522</v>
      </c>
      <c r="L1" s="218" t="s">
        <v>523</v>
      </c>
      <c r="M1" s="218" t="s">
        <v>524</v>
      </c>
      <c r="N1" s="235" t="s">
        <v>525</v>
      </c>
      <c r="O1" s="218" t="s">
        <v>0</v>
      </c>
      <c r="P1" s="218" t="s">
        <v>1</v>
      </c>
      <c r="Q1" s="202"/>
    </row>
    <row r="2" spans="1:17">
      <c r="A2" s="236">
        <v>0.39583333333333331</v>
      </c>
      <c r="B2" s="250">
        <v>0.33333333333333331</v>
      </c>
      <c r="C2" s="446">
        <v>202500868</v>
      </c>
      <c r="D2" s="13" t="s">
        <v>42</v>
      </c>
      <c r="E2" s="447" t="s">
        <v>6110</v>
      </c>
      <c r="F2" s="447" t="s">
        <v>1192</v>
      </c>
      <c r="G2" s="447" t="s">
        <v>6111</v>
      </c>
      <c r="H2" s="430" t="s">
        <v>6113</v>
      </c>
      <c r="I2" s="431" t="s">
        <v>6114</v>
      </c>
      <c r="J2" s="451" t="s">
        <v>251</v>
      </c>
      <c r="K2" s="437" t="s">
        <v>7018</v>
      </c>
      <c r="L2" s="437">
        <v>41991340669</v>
      </c>
      <c r="M2" s="447" t="s">
        <v>6117</v>
      </c>
      <c r="N2" s="79">
        <v>1</v>
      </c>
      <c r="O2" s="237" t="s">
        <v>7003</v>
      </c>
      <c r="P2" s="22" t="s">
        <v>7003</v>
      </c>
      <c r="Q2" s="191"/>
    </row>
    <row r="3" spans="1:17" s="469" customFormat="1">
      <c r="A3" s="13"/>
      <c r="B3" s="13"/>
      <c r="C3" s="13"/>
      <c r="D3" s="13"/>
      <c r="E3" s="13"/>
      <c r="F3" s="13"/>
      <c r="G3" s="13"/>
      <c r="H3" s="13"/>
      <c r="I3" s="13"/>
      <c r="J3" s="13"/>
      <c r="K3" s="34"/>
      <c r="L3" s="34"/>
      <c r="M3" s="13"/>
      <c r="N3" s="13"/>
      <c r="O3" s="466"/>
      <c r="P3" s="467"/>
      <c r="Q3" s="468"/>
    </row>
    <row r="4" spans="1:17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237"/>
      <c r="P4" s="22"/>
      <c r="Q4" s="191"/>
    </row>
    <row r="5" spans="1:17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237"/>
      <c r="P5" s="22"/>
      <c r="Q5" s="191"/>
    </row>
    <row r="6" spans="1:17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237"/>
      <c r="P6" s="22"/>
      <c r="Q6" s="191"/>
    </row>
    <row r="7" spans="1:17">
      <c r="A7" s="191"/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</row>
    <row r="8" spans="1:17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</row>
    <row r="9" spans="1:17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</row>
    <row r="10" spans="1:17">
      <c r="A10" s="191"/>
      <c r="B10" s="191"/>
      <c r="C10" s="191"/>
      <c r="D10" s="191"/>
      <c r="E10" s="191"/>
      <c r="F10" s="191"/>
      <c r="G10" s="191"/>
      <c r="H10" s="191"/>
      <c r="I10" s="817" t="s">
        <v>7006</v>
      </c>
      <c r="J10" s="794"/>
      <c r="K10" s="794"/>
      <c r="L10" s="795"/>
      <c r="M10" s="191"/>
      <c r="N10" s="746" t="s">
        <v>541</v>
      </c>
      <c r="O10" s="747"/>
      <c r="P10" s="748"/>
      <c r="Q10" s="191"/>
    </row>
    <row r="11" spans="1:17">
      <c r="A11" s="796" t="s">
        <v>542</v>
      </c>
      <c r="B11" s="797"/>
      <c r="C11" s="797"/>
      <c r="D11" s="797"/>
      <c r="E11" s="797"/>
      <c r="F11" s="797"/>
      <c r="G11" s="797"/>
      <c r="H11" s="798"/>
      <c r="I11" s="613" t="s">
        <v>6114</v>
      </c>
      <c r="J11" s="755"/>
      <c r="K11" s="755"/>
      <c r="L11" s="756"/>
      <c r="M11" s="191"/>
      <c r="N11" s="749"/>
      <c r="O11" s="750"/>
      <c r="P11" s="751"/>
      <c r="Q11" s="191"/>
    </row>
    <row r="12" spans="1:17">
      <c r="A12" s="203" t="s">
        <v>543</v>
      </c>
      <c r="B12" s="204" t="s">
        <v>544</v>
      </c>
      <c r="C12" s="271" t="s">
        <v>545</v>
      </c>
      <c r="D12" s="319"/>
      <c r="E12" s="826" t="s">
        <v>546</v>
      </c>
      <c r="F12" s="827"/>
      <c r="G12" s="204" t="s">
        <v>545</v>
      </c>
      <c r="H12" s="205" t="s">
        <v>547</v>
      </c>
      <c r="I12" s="206" t="s">
        <v>548</v>
      </c>
      <c r="J12" s="191"/>
      <c r="K12" s="191"/>
      <c r="L12" s="191"/>
      <c r="M12" s="191"/>
      <c r="N12" s="749"/>
      <c r="O12" s="750"/>
      <c r="P12" s="751"/>
      <c r="Q12" s="191"/>
    </row>
    <row r="13" spans="1:17">
      <c r="A13" s="208">
        <v>45986</v>
      </c>
      <c r="B13" s="211" t="s">
        <v>549</v>
      </c>
      <c r="C13" s="491">
        <v>0.33333333333333331</v>
      </c>
      <c r="D13" s="680" t="s">
        <v>7019</v>
      </c>
      <c r="E13" s="680"/>
      <c r="F13" s="680"/>
      <c r="G13" s="210">
        <v>0.375</v>
      </c>
      <c r="H13" s="211">
        <v>17.2</v>
      </c>
      <c r="I13" s="207"/>
      <c r="J13" s="758" t="s">
        <v>7020</v>
      </c>
      <c r="K13" s="758"/>
      <c r="L13" s="759"/>
      <c r="M13" s="191"/>
      <c r="N13" s="749"/>
      <c r="O13" s="750"/>
      <c r="P13" s="751"/>
      <c r="Q13" s="191"/>
    </row>
    <row r="14" spans="1:17">
      <c r="A14" s="208"/>
      <c r="B14" s="211" t="s">
        <v>7019</v>
      </c>
      <c r="C14" s="491">
        <v>0.45833333333333331</v>
      </c>
      <c r="D14" s="680" t="s">
        <v>549</v>
      </c>
      <c r="E14" s="680"/>
      <c r="F14" s="680"/>
      <c r="G14" s="223">
        <v>0.5</v>
      </c>
      <c r="H14" s="209">
        <v>17.2</v>
      </c>
      <c r="I14" s="191"/>
      <c r="J14" s="760"/>
      <c r="K14" s="761"/>
      <c r="L14" s="762"/>
      <c r="M14" s="191"/>
      <c r="N14" s="749"/>
      <c r="O14" s="750"/>
      <c r="P14" s="751"/>
      <c r="Q14" s="191"/>
    </row>
    <row r="15" spans="1:17">
      <c r="A15" s="220" t="s">
        <v>7003</v>
      </c>
      <c r="B15" s="222" t="s">
        <v>7003</v>
      </c>
      <c r="C15" s="88" t="s">
        <v>7003</v>
      </c>
      <c r="D15" s="494"/>
      <c r="E15" s="772" t="s">
        <v>551</v>
      </c>
      <c r="F15" s="773"/>
      <c r="G15" s="774"/>
      <c r="H15" s="216">
        <f>SUM(H13:H14)</f>
        <v>34.4</v>
      </c>
      <c r="I15" s="191"/>
      <c r="J15" s="760"/>
      <c r="K15" s="761"/>
      <c r="L15" s="762"/>
      <c r="M15" s="191"/>
      <c r="N15" s="752"/>
      <c r="O15" s="753"/>
      <c r="P15" s="754"/>
      <c r="Q15" s="191"/>
    </row>
    <row r="16" spans="1:17">
      <c r="A16" s="220" t="s">
        <v>7003</v>
      </c>
      <c r="B16" s="222" t="s">
        <v>7003</v>
      </c>
      <c r="C16" s="88" t="s">
        <v>7003</v>
      </c>
      <c r="D16" s="88"/>
      <c r="E16" s="767" t="s">
        <v>7003</v>
      </c>
      <c r="F16" s="768"/>
      <c r="G16" s="221" t="s">
        <v>7003</v>
      </c>
      <c r="H16" s="221" t="s">
        <v>7003</v>
      </c>
      <c r="I16" s="191"/>
      <c r="J16" s="760"/>
      <c r="K16" s="761"/>
      <c r="L16" s="762"/>
      <c r="M16" s="191"/>
      <c r="N16" s="191"/>
      <c r="O16" s="191"/>
      <c r="P16" s="191"/>
      <c r="Q16" s="191"/>
    </row>
    <row r="17" spans="1:17">
      <c r="A17" s="191"/>
      <c r="B17" s="191"/>
      <c r="C17" s="191"/>
      <c r="D17" s="191"/>
      <c r="E17" s="191"/>
      <c r="F17" s="191"/>
      <c r="G17" s="191"/>
      <c r="H17" s="191"/>
      <c r="I17" s="191"/>
      <c r="J17" s="760"/>
      <c r="K17" s="761"/>
      <c r="L17" s="762"/>
      <c r="M17" s="191"/>
      <c r="N17" s="191"/>
      <c r="O17" s="191"/>
      <c r="P17" s="191"/>
      <c r="Q17" s="191"/>
    </row>
    <row r="18" spans="1:17">
      <c r="A18" s="819" t="s">
        <v>552</v>
      </c>
      <c r="B18" s="801"/>
      <c r="C18" s="801"/>
      <c r="D18" s="801"/>
      <c r="E18" s="801"/>
      <c r="F18" s="801"/>
      <c r="G18" s="801"/>
      <c r="H18" s="191"/>
      <c r="I18" s="191"/>
      <c r="J18" s="760"/>
      <c r="K18" s="761"/>
      <c r="L18" s="762"/>
      <c r="M18" s="191"/>
      <c r="N18" s="191"/>
      <c r="O18" s="191"/>
      <c r="P18" s="191"/>
      <c r="Q18" s="191"/>
    </row>
    <row r="19" spans="1:17">
      <c r="A19" s="799" t="s">
        <v>553</v>
      </c>
      <c r="B19" s="818"/>
      <c r="C19" s="800"/>
      <c r="D19" s="440"/>
      <c r="E19" s="818" t="s">
        <v>554</v>
      </c>
      <c r="F19" s="818"/>
      <c r="G19" s="820"/>
      <c r="H19" s="191"/>
      <c r="I19" s="191"/>
      <c r="J19" s="760"/>
      <c r="K19" s="761"/>
      <c r="L19" s="762"/>
      <c r="M19" s="191"/>
      <c r="N19" s="191"/>
      <c r="O19" s="191"/>
      <c r="P19" s="191"/>
      <c r="Q19" s="191"/>
    </row>
    <row r="20" spans="1:17">
      <c r="A20" s="821"/>
      <c r="B20" s="822"/>
      <c r="C20" s="823"/>
      <c r="D20" s="441"/>
      <c r="E20" s="824"/>
      <c r="F20" s="822"/>
      <c r="G20" s="825"/>
      <c r="H20" s="191"/>
      <c r="I20" s="191"/>
      <c r="J20" s="763"/>
      <c r="K20" s="764"/>
      <c r="L20" s="765"/>
      <c r="M20" s="191"/>
      <c r="N20" s="191"/>
      <c r="O20" s="191"/>
      <c r="P20" s="191"/>
      <c r="Q20" s="191"/>
    </row>
    <row r="21" spans="1:17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</row>
    <row r="22" spans="1:17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</row>
  </sheetData>
  <protectedRanges>
    <protectedRange sqref="C3:E3 D4:D5" name="Range1_3"/>
    <protectedRange sqref="C4" name="Range1_5"/>
    <protectedRange sqref="C5 E5" name="Range1_7"/>
    <protectedRange sqref="C6:E6" name="Range1_9"/>
    <protectedRange sqref="F6" name="Range1_10"/>
    <protectedRange sqref="G6" name="Range1_11"/>
    <protectedRange sqref="H6" name="Range1_12"/>
    <protectedRange sqref="I6" name="Range1_13"/>
    <protectedRange sqref="K6" name="Range1_14"/>
    <protectedRange sqref="L6" name="Range1_15"/>
    <protectedRange sqref="K3" name="Range1"/>
    <protectedRange sqref="L3" name="Range1_1"/>
    <protectedRange sqref="M3" name="Range1_2"/>
    <protectedRange sqref="K4" name="Range1_4"/>
    <protectedRange sqref="L4" name="Range1_6"/>
    <protectedRange sqref="M4" name="Range1_8"/>
    <protectedRange sqref="K5" name="Range1_16"/>
    <protectedRange sqref="L5" name="Range1_17"/>
    <protectedRange sqref="M5" name="Range1_18"/>
    <protectedRange sqref="C2" name="Range1_19"/>
    <protectedRange sqref="E2" name="Range1_21"/>
    <protectedRange sqref="F2" name="Range1_23"/>
    <protectedRange sqref="G2" name="Range1_25"/>
    <protectedRange sqref="H2:I2" name="Range1_27"/>
    <protectedRange sqref="J2" name="Range1_29"/>
    <protectedRange sqref="K2" name="Range1_31"/>
    <protectedRange sqref="L2" name="Range1_32"/>
    <protectedRange sqref="M2" name="Range1_33"/>
  </protectedRanges>
  <autoFilter ref="A1:Q1" xr:uid="{F09CEF7E-7F6A-43A3-80C5-483E49D4AA6D}"/>
  <mergeCells count="15">
    <mergeCell ref="D13:F13"/>
    <mergeCell ref="D14:F14"/>
    <mergeCell ref="I10:L10"/>
    <mergeCell ref="N10:P15"/>
    <mergeCell ref="A11:H11"/>
    <mergeCell ref="I11:L11"/>
    <mergeCell ref="E12:F12"/>
    <mergeCell ref="J13:L20"/>
    <mergeCell ref="E15:G15"/>
    <mergeCell ref="E16:F16"/>
    <mergeCell ref="A18:G18"/>
    <mergeCell ref="A19:C19"/>
    <mergeCell ref="E19:G19"/>
    <mergeCell ref="A20:C20"/>
    <mergeCell ref="E20:G20"/>
  </mergeCells>
  <conditionalFormatting sqref="H2:I2">
    <cfRule type="cellIs" dxfId="11" priority="1" operator="equal">
      <formula>0</formula>
    </cfRule>
  </conditionalFormatting>
  <conditionalFormatting sqref="E2">
    <cfRule type="duplicateValues" dxfId="10" priority="1814"/>
  </conditionalFormatting>
  <conditionalFormatting sqref="H2">
    <cfRule type="duplicateValues" dxfId="9" priority="1816"/>
  </conditionalFormatting>
  <hyperlinks>
    <hyperlink ref="I2" r:id="rId1" xr:uid="{ACB94274-8168-4597-BA05-CA8A5ABE4417}"/>
  </hyperlinks>
  <pageMargins left="0.25" right="0.25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0067E-B44E-44A5-9876-8C82286838B2}">
  <sheetPr codeName="Planilha18"/>
  <dimension ref="A1:Q30"/>
  <sheetViews>
    <sheetView workbookViewId="0">
      <selection activeCell="E20" sqref="E20"/>
    </sheetView>
  </sheetViews>
  <sheetFormatPr defaultRowHeight="15"/>
  <cols>
    <col min="1" max="1" width="15.85546875" customWidth="1"/>
    <col min="2" max="2" width="10.7109375" customWidth="1"/>
    <col min="3" max="3" width="15.42578125" customWidth="1"/>
    <col min="4" max="4" width="14.28515625" bestFit="1" customWidth="1"/>
    <col min="5" max="5" width="48.28515625" bestFit="1" customWidth="1"/>
    <col min="6" max="6" width="49.85546875" customWidth="1"/>
    <col min="7" max="7" width="60.5703125" customWidth="1"/>
    <col min="8" max="8" width="35.42578125" customWidth="1"/>
    <col min="9" max="9" width="41.5703125" customWidth="1"/>
    <col min="10" max="10" width="21.85546875" customWidth="1"/>
    <col min="11" max="11" width="27.42578125" customWidth="1"/>
    <col min="12" max="12" width="18.28515625" customWidth="1"/>
    <col min="13" max="13" width="17.42578125" bestFit="1" customWidth="1"/>
    <col min="14" max="14" width="2.85546875" customWidth="1"/>
    <col min="15" max="15" width="6.42578125" customWidth="1"/>
    <col min="16" max="16" width="10" customWidth="1"/>
  </cols>
  <sheetData>
    <row r="1" spans="1:17" ht="18.75">
      <c r="A1" s="122" t="s">
        <v>7021</v>
      </c>
      <c r="B1" s="122" t="s">
        <v>7022</v>
      </c>
      <c r="C1" s="123" t="s">
        <v>7023</v>
      </c>
      <c r="D1" s="124" t="s">
        <v>0</v>
      </c>
      <c r="E1" s="124" t="s">
        <v>516</v>
      </c>
      <c r="F1" s="124" t="s">
        <v>517</v>
      </c>
      <c r="G1" s="124" t="s">
        <v>518</v>
      </c>
      <c r="H1" s="125" t="s">
        <v>519</v>
      </c>
      <c r="I1" s="125" t="s">
        <v>603</v>
      </c>
      <c r="J1" s="125" t="s">
        <v>521</v>
      </c>
      <c r="K1" s="125" t="s">
        <v>606</v>
      </c>
      <c r="L1" s="126" t="s">
        <v>607</v>
      </c>
      <c r="M1" s="125" t="s">
        <v>523</v>
      </c>
      <c r="N1" s="127" t="s">
        <v>524</v>
      </c>
      <c r="O1" s="125" t="s">
        <v>7024</v>
      </c>
      <c r="P1" s="122" t="s">
        <v>7025</v>
      </c>
      <c r="Q1" s="128"/>
    </row>
    <row r="2" spans="1:17" ht="18.75">
      <c r="A2" s="129" t="s">
        <v>7026</v>
      </c>
      <c r="B2" s="130">
        <v>1</v>
      </c>
      <c r="C2" s="131">
        <v>0.33333333333333331</v>
      </c>
      <c r="D2" s="66">
        <v>202401099</v>
      </c>
      <c r="E2" s="66" t="s">
        <v>1175</v>
      </c>
      <c r="F2" s="66" t="s">
        <v>1176</v>
      </c>
      <c r="G2" s="66" t="s">
        <v>1177</v>
      </c>
      <c r="H2" s="66" t="s">
        <v>1179</v>
      </c>
      <c r="I2" s="132" t="s">
        <v>1180</v>
      </c>
      <c r="J2" s="66" t="s">
        <v>446</v>
      </c>
      <c r="K2" s="66" t="s">
        <v>1181</v>
      </c>
      <c r="L2" s="65"/>
      <c r="M2" s="66" t="s">
        <v>1182</v>
      </c>
      <c r="N2" s="67" t="s">
        <v>1183</v>
      </c>
      <c r="O2" s="67" t="s">
        <v>7027</v>
      </c>
      <c r="P2" s="129" t="s">
        <v>7018</v>
      </c>
      <c r="Q2" s="128"/>
    </row>
    <row r="3" spans="1:17" ht="18.75">
      <c r="A3" s="129" t="s">
        <v>7028</v>
      </c>
      <c r="B3" s="130">
        <v>2</v>
      </c>
      <c r="C3" s="131">
        <v>0.375</v>
      </c>
      <c r="D3" s="66">
        <v>202400673</v>
      </c>
      <c r="E3" s="66" t="s">
        <v>3075</v>
      </c>
      <c r="F3" s="66" t="s">
        <v>1192</v>
      </c>
      <c r="G3" s="66" t="s">
        <v>1932</v>
      </c>
      <c r="H3" s="66" t="s">
        <v>1934</v>
      </c>
      <c r="I3" s="66" t="s">
        <v>1935</v>
      </c>
      <c r="J3" s="66" t="s">
        <v>446</v>
      </c>
      <c r="K3" s="68" t="s">
        <v>6133</v>
      </c>
      <c r="L3" s="133" t="s">
        <v>1937</v>
      </c>
      <c r="M3" s="68" t="s">
        <v>1937</v>
      </c>
      <c r="N3" s="69" t="s">
        <v>1938</v>
      </c>
      <c r="O3" s="67" t="s">
        <v>7027</v>
      </c>
      <c r="P3" s="129" t="s">
        <v>7029</v>
      </c>
      <c r="Q3" s="128"/>
    </row>
    <row r="4" spans="1:17" ht="18.75">
      <c r="A4" s="129" t="s">
        <v>7030</v>
      </c>
      <c r="B4" s="130">
        <v>3</v>
      </c>
      <c r="C4" s="134">
        <v>0.54166666666666663</v>
      </c>
      <c r="D4" s="68">
        <v>202400673</v>
      </c>
      <c r="E4" s="68" t="s">
        <v>1942</v>
      </c>
      <c r="F4" s="68" t="s">
        <v>1192</v>
      </c>
      <c r="G4" s="68" t="s">
        <v>1932</v>
      </c>
      <c r="H4" s="68" t="s">
        <v>1934</v>
      </c>
      <c r="I4" s="68" t="s">
        <v>1935</v>
      </c>
      <c r="J4" s="68" t="s">
        <v>446</v>
      </c>
      <c r="K4" s="68" t="s">
        <v>6133</v>
      </c>
      <c r="L4" s="133" t="s">
        <v>1937</v>
      </c>
      <c r="M4" s="68" t="s">
        <v>1937</v>
      </c>
      <c r="N4" s="69" t="s">
        <v>1938</v>
      </c>
      <c r="O4" s="67" t="s">
        <v>7027</v>
      </c>
      <c r="P4" s="129" t="s">
        <v>7029</v>
      </c>
      <c r="Q4" s="128"/>
    </row>
    <row r="5" spans="1:17" ht="18.75">
      <c r="A5" s="129" t="s">
        <v>7030</v>
      </c>
      <c r="B5" s="130">
        <v>3</v>
      </c>
      <c r="C5" s="135">
        <v>0.54166666666666663</v>
      </c>
      <c r="D5" s="66">
        <v>202400673</v>
      </c>
      <c r="E5" s="66" t="s">
        <v>1960</v>
      </c>
      <c r="F5" s="66" t="s">
        <v>1192</v>
      </c>
      <c r="G5" s="66" t="s">
        <v>1932</v>
      </c>
      <c r="H5" s="66" t="s">
        <v>1934</v>
      </c>
      <c r="I5" s="66" t="s">
        <v>1935</v>
      </c>
      <c r="J5" s="66" t="s">
        <v>446</v>
      </c>
      <c r="K5" s="68" t="s">
        <v>6133</v>
      </c>
      <c r="L5" s="133" t="s">
        <v>1937</v>
      </c>
      <c r="M5" s="68" t="s">
        <v>1937</v>
      </c>
      <c r="N5" s="69" t="s">
        <v>1938</v>
      </c>
      <c r="O5" s="67" t="s">
        <v>7027</v>
      </c>
      <c r="P5" s="129" t="s">
        <v>7029</v>
      </c>
      <c r="Q5" s="128"/>
    </row>
    <row r="6" spans="1:17" ht="18.75">
      <c r="A6" s="129" t="s">
        <v>7031</v>
      </c>
      <c r="B6" s="130">
        <v>4</v>
      </c>
      <c r="C6" s="134">
        <v>0.54166666666666663</v>
      </c>
      <c r="D6" s="68">
        <v>202500030</v>
      </c>
      <c r="E6" s="68" t="s">
        <v>3251</v>
      </c>
      <c r="F6" s="68" t="s">
        <v>1176</v>
      </c>
      <c r="G6" s="68" t="s">
        <v>3252</v>
      </c>
      <c r="H6" s="68" t="s">
        <v>3253</v>
      </c>
      <c r="I6" s="68" t="s">
        <v>1935</v>
      </c>
      <c r="J6" s="68" t="s">
        <v>446</v>
      </c>
      <c r="K6" s="68" t="s">
        <v>3839</v>
      </c>
      <c r="L6" s="133" t="s">
        <v>3840</v>
      </c>
      <c r="M6" s="68" t="s">
        <v>3840</v>
      </c>
      <c r="N6" s="69" t="s">
        <v>3841</v>
      </c>
      <c r="O6" s="67" t="s">
        <v>7027</v>
      </c>
      <c r="P6" s="129" t="s">
        <v>7032</v>
      </c>
      <c r="Q6" s="128"/>
    </row>
    <row r="7" spans="1:17" ht="18.75">
      <c r="A7" s="129" t="s">
        <v>7030</v>
      </c>
      <c r="B7" s="130">
        <v>3</v>
      </c>
      <c r="C7" s="134">
        <v>0.58333333333333337</v>
      </c>
      <c r="D7" s="68">
        <v>202400673</v>
      </c>
      <c r="E7" s="68" t="s">
        <v>1931</v>
      </c>
      <c r="F7" s="68" t="s">
        <v>1192</v>
      </c>
      <c r="G7" s="68" t="s">
        <v>1932</v>
      </c>
      <c r="H7" s="68" t="s">
        <v>1934</v>
      </c>
      <c r="I7" s="68" t="s">
        <v>1935</v>
      </c>
      <c r="J7" s="68" t="s">
        <v>446</v>
      </c>
      <c r="K7" s="68" t="s">
        <v>6133</v>
      </c>
      <c r="L7" s="133" t="s">
        <v>1937</v>
      </c>
      <c r="M7" s="68" t="s">
        <v>1937</v>
      </c>
      <c r="N7" s="69" t="s">
        <v>1938</v>
      </c>
      <c r="O7" s="67" t="s">
        <v>7027</v>
      </c>
      <c r="P7" s="129" t="s">
        <v>7029</v>
      </c>
      <c r="Q7" s="128"/>
    </row>
    <row r="8" spans="1:17" ht="18.75">
      <c r="A8" s="129" t="s">
        <v>7030</v>
      </c>
      <c r="B8" s="130">
        <v>3</v>
      </c>
      <c r="C8" s="134">
        <v>0.625</v>
      </c>
      <c r="D8" s="68">
        <v>202400673</v>
      </c>
      <c r="E8" s="68" t="s">
        <v>1961</v>
      </c>
      <c r="F8" s="68" t="s">
        <v>1192</v>
      </c>
      <c r="G8" s="68" t="s">
        <v>1932</v>
      </c>
      <c r="H8" s="68" t="s">
        <v>1934</v>
      </c>
      <c r="I8" s="68" t="s">
        <v>1935</v>
      </c>
      <c r="J8" s="68" t="s">
        <v>446</v>
      </c>
      <c r="K8" s="68" t="s">
        <v>6133</v>
      </c>
      <c r="L8" s="133" t="s">
        <v>1937</v>
      </c>
      <c r="M8" s="68" t="s">
        <v>1937</v>
      </c>
      <c r="N8" s="69" t="s">
        <v>1938</v>
      </c>
      <c r="O8" s="67" t="s">
        <v>7027</v>
      </c>
      <c r="P8" s="129" t="s">
        <v>7029</v>
      </c>
      <c r="Q8" s="128"/>
    </row>
    <row r="9" spans="1:17" ht="18.75">
      <c r="A9" s="129" t="s">
        <v>7030</v>
      </c>
      <c r="B9" s="130">
        <v>3</v>
      </c>
      <c r="C9" s="135">
        <v>0.625</v>
      </c>
      <c r="D9" s="66">
        <v>202400673</v>
      </c>
      <c r="E9" s="66" t="s">
        <v>1963</v>
      </c>
      <c r="F9" s="66" t="s">
        <v>1192</v>
      </c>
      <c r="G9" s="66" t="s">
        <v>1932</v>
      </c>
      <c r="H9" s="66" t="s">
        <v>1934</v>
      </c>
      <c r="I9" s="66" t="s">
        <v>1935</v>
      </c>
      <c r="J9" s="66" t="s">
        <v>446</v>
      </c>
      <c r="K9" s="68" t="s">
        <v>6133</v>
      </c>
      <c r="L9" s="133" t="s">
        <v>1937</v>
      </c>
      <c r="M9" s="68" t="s">
        <v>1937</v>
      </c>
      <c r="N9" s="69" t="s">
        <v>1938</v>
      </c>
      <c r="O9" s="67" t="s">
        <v>7027</v>
      </c>
      <c r="P9" s="129" t="s">
        <v>7029</v>
      </c>
      <c r="Q9" s="128"/>
    </row>
    <row r="10" spans="1:17" ht="18.75">
      <c r="A10" s="129" t="s">
        <v>7033</v>
      </c>
      <c r="B10" s="130">
        <v>5</v>
      </c>
      <c r="C10" s="134">
        <v>0.625</v>
      </c>
      <c r="D10" s="68">
        <v>202500118</v>
      </c>
      <c r="E10" s="68" t="s">
        <v>3264</v>
      </c>
      <c r="F10" s="68" t="s">
        <v>613</v>
      </c>
      <c r="G10" s="68" t="s">
        <v>1177</v>
      </c>
      <c r="H10" s="68" t="s">
        <v>1179</v>
      </c>
      <c r="I10" s="68" t="s">
        <v>1935</v>
      </c>
      <c r="J10" s="68" t="s">
        <v>446</v>
      </c>
      <c r="K10" s="68" t="s">
        <v>6133</v>
      </c>
      <c r="L10" s="133" t="s">
        <v>1937</v>
      </c>
      <c r="M10" s="68" t="s">
        <v>1937</v>
      </c>
      <c r="N10" s="69" t="s">
        <v>1938</v>
      </c>
      <c r="O10" s="67" t="s">
        <v>7027</v>
      </c>
      <c r="P10" s="129" t="s">
        <v>7034</v>
      </c>
      <c r="Q10" s="128"/>
    </row>
    <row r="11" spans="1:17" ht="18.75">
      <c r="A11" s="129" t="s">
        <v>7030</v>
      </c>
      <c r="B11" s="130">
        <v>3</v>
      </c>
      <c r="C11" s="135">
        <v>0.625</v>
      </c>
      <c r="D11" s="66">
        <v>202500119</v>
      </c>
      <c r="E11" s="66" t="s">
        <v>3266</v>
      </c>
      <c r="F11" s="66" t="s">
        <v>613</v>
      </c>
      <c r="G11" s="66" t="s">
        <v>1932</v>
      </c>
      <c r="H11" s="66" t="s">
        <v>1934</v>
      </c>
      <c r="I11" s="66" t="s">
        <v>1935</v>
      </c>
      <c r="J11" s="66" t="s">
        <v>446</v>
      </c>
      <c r="K11" s="66" t="s">
        <v>1936</v>
      </c>
      <c r="L11" s="65" t="s">
        <v>1937</v>
      </c>
      <c r="M11" s="66" t="s">
        <v>1937</v>
      </c>
      <c r="N11" s="67" t="s">
        <v>1938</v>
      </c>
      <c r="O11" s="67" t="s">
        <v>7027</v>
      </c>
      <c r="P11" s="129" t="s">
        <v>7035</v>
      </c>
      <c r="Q11" s="128"/>
    </row>
    <row r="12" spans="1:17" ht="18.75">
      <c r="A12" s="129" t="s">
        <v>7030</v>
      </c>
      <c r="B12" s="130">
        <v>3</v>
      </c>
      <c r="C12" s="135">
        <v>0.625</v>
      </c>
      <c r="D12" s="66">
        <v>202400673</v>
      </c>
      <c r="E12" s="66" t="s">
        <v>1940</v>
      </c>
      <c r="F12" s="66" t="s">
        <v>1192</v>
      </c>
      <c r="G12" s="66" t="s">
        <v>1932</v>
      </c>
      <c r="H12" s="66" t="s">
        <v>1934</v>
      </c>
      <c r="I12" s="66" t="s">
        <v>1935</v>
      </c>
      <c r="J12" s="66" t="s">
        <v>446</v>
      </c>
      <c r="K12" s="68" t="s">
        <v>6133</v>
      </c>
      <c r="L12" s="133" t="s">
        <v>1937</v>
      </c>
      <c r="M12" s="68" t="s">
        <v>1937</v>
      </c>
      <c r="N12" s="69" t="s">
        <v>1938</v>
      </c>
      <c r="O12" s="67" t="s">
        <v>7027</v>
      </c>
      <c r="P12" s="129" t="s">
        <v>7029</v>
      </c>
      <c r="Q12" s="128"/>
    </row>
    <row r="13" spans="1:17" s="98" customFormat="1" ht="18.75">
      <c r="A13" s="779" t="s">
        <v>7036</v>
      </c>
      <c r="B13" s="780"/>
      <c r="C13" s="780"/>
      <c r="D13" s="780"/>
      <c r="E13" s="780"/>
      <c r="F13" s="780"/>
      <c r="G13" s="781"/>
      <c r="H13" s="136"/>
      <c r="I13" s="137"/>
      <c r="J13" s="136"/>
      <c r="K13" s="136"/>
      <c r="L13" s="138"/>
      <c r="M13" s="136"/>
      <c r="N13" s="139"/>
      <c r="O13" s="139"/>
      <c r="P13" s="140"/>
      <c r="Q13" s="141"/>
    </row>
    <row r="14" spans="1:17" ht="18.75">
      <c r="A14" s="129" t="s">
        <v>7037</v>
      </c>
      <c r="B14" s="142">
        <v>1</v>
      </c>
      <c r="C14" s="131">
        <v>0.3125</v>
      </c>
      <c r="D14" s="68">
        <v>202500132</v>
      </c>
      <c r="E14" s="68" t="s">
        <v>3277</v>
      </c>
      <c r="F14" s="68" t="s">
        <v>613</v>
      </c>
      <c r="G14" s="68" t="s">
        <v>672</v>
      </c>
      <c r="H14" s="68" t="s">
        <v>3272</v>
      </c>
      <c r="I14" s="143" t="s">
        <v>3273</v>
      </c>
      <c r="J14" s="68" t="s">
        <v>449</v>
      </c>
      <c r="K14" s="68" t="s">
        <v>5380</v>
      </c>
      <c r="L14" s="133"/>
      <c r="M14" s="68" t="s">
        <v>5381</v>
      </c>
      <c r="N14" s="69" t="s">
        <v>5382</v>
      </c>
      <c r="O14" s="67" t="s">
        <v>7027</v>
      </c>
      <c r="P14" s="129" t="s">
        <v>7038</v>
      </c>
      <c r="Q14" s="128"/>
    </row>
    <row r="15" spans="1:17" ht="18.75">
      <c r="A15" s="129" t="s">
        <v>7037</v>
      </c>
      <c r="B15" s="142">
        <v>1</v>
      </c>
      <c r="C15" s="131">
        <v>0.3125</v>
      </c>
      <c r="D15" s="66">
        <v>202500034</v>
      </c>
      <c r="E15" s="66" t="s">
        <v>3271</v>
      </c>
      <c r="F15" s="66" t="s">
        <v>613</v>
      </c>
      <c r="G15" s="66" t="s">
        <v>672</v>
      </c>
      <c r="H15" s="66" t="s">
        <v>3272</v>
      </c>
      <c r="I15" s="66" t="s">
        <v>3273</v>
      </c>
      <c r="J15" s="66" t="s">
        <v>449</v>
      </c>
      <c r="K15" s="66" t="s">
        <v>3274</v>
      </c>
      <c r="L15" s="65" t="s">
        <v>4071</v>
      </c>
      <c r="M15" s="66" t="s">
        <v>3275</v>
      </c>
      <c r="N15" s="67" t="s">
        <v>3276</v>
      </c>
      <c r="O15" s="67" t="s">
        <v>7027</v>
      </c>
      <c r="P15" s="129" t="s">
        <v>7039</v>
      </c>
      <c r="Q15" s="128"/>
    </row>
    <row r="16" spans="1:17" ht="18.75">
      <c r="A16" s="129" t="s">
        <v>7040</v>
      </c>
      <c r="B16" s="142">
        <v>2</v>
      </c>
      <c r="C16" s="144">
        <v>0.5625</v>
      </c>
      <c r="D16" s="145">
        <v>202500631</v>
      </c>
      <c r="E16" s="145" t="s">
        <v>3278</v>
      </c>
      <c r="F16" s="145" t="s">
        <v>613</v>
      </c>
      <c r="G16" s="145" t="s">
        <v>672</v>
      </c>
      <c r="H16" s="66" t="s">
        <v>3272</v>
      </c>
      <c r="I16" s="66" t="s">
        <v>3273</v>
      </c>
      <c r="J16" s="145" t="s">
        <v>449</v>
      </c>
      <c r="K16" s="145" t="s">
        <v>3274</v>
      </c>
      <c r="L16" s="146" t="s">
        <v>4071</v>
      </c>
      <c r="M16" s="147" t="s">
        <v>3275</v>
      </c>
      <c r="N16" s="148" t="s">
        <v>3276</v>
      </c>
      <c r="O16" s="67" t="s">
        <v>7027</v>
      </c>
      <c r="P16" s="129" t="s">
        <v>7029</v>
      </c>
      <c r="Q16" s="128"/>
    </row>
    <row r="17" spans="1:17" ht="18.75">
      <c r="A17" s="129" t="s">
        <v>7031</v>
      </c>
      <c r="B17" s="142">
        <v>3</v>
      </c>
      <c r="C17" s="134">
        <v>0.58333333333333337</v>
      </c>
      <c r="D17" s="68">
        <v>202500118</v>
      </c>
      <c r="E17" s="68" t="s">
        <v>3279</v>
      </c>
      <c r="F17" s="68" t="s">
        <v>613</v>
      </c>
      <c r="G17" s="68" t="s">
        <v>1889</v>
      </c>
      <c r="H17" s="68" t="s">
        <v>4305</v>
      </c>
      <c r="I17" s="68" t="s">
        <v>3273</v>
      </c>
      <c r="J17" s="68" t="s">
        <v>449</v>
      </c>
      <c r="K17" s="68" t="s">
        <v>4306</v>
      </c>
      <c r="L17" s="133"/>
      <c r="M17" s="68" t="s">
        <v>3282</v>
      </c>
      <c r="N17" s="69" t="s">
        <v>7041</v>
      </c>
      <c r="O17" s="67" t="s">
        <v>7027</v>
      </c>
      <c r="P17" s="129" t="s">
        <v>7034</v>
      </c>
      <c r="Q17" s="128"/>
    </row>
    <row r="18" spans="1:17" ht="18.75">
      <c r="A18" s="129" t="s">
        <v>7042</v>
      </c>
      <c r="B18" s="142">
        <v>5</v>
      </c>
      <c r="C18" s="135">
        <v>0.54166666666666663</v>
      </c>
      <c r="D18" s="66">
        <v>202400679</v>
      </c>
      <c r="E18" s="66" t="s">
        <v>2708</v>
      </c>
      <c r="F18" s="66" t="s">
        <v>1176</v>
      </c>
      <c r="G18" s="66" t="s">
        <v>1185</v>
      </c>
      <c r="H18" s="66" t="s">
        <v>2710</v>
      </c>
      <c r="I18" s="132" t="s">
        <v>2711</v>
      </c>
      <c r="J18" s="66" t="s">
        <v>450</v>
      </c>
      <c r="K18" s="66" t="s">
        <v>2712</v>
      </c>
      <c r="L18" s="65"/>
      <c r="M18" s="66" t="s">
        <v>2713</v>
      </c>
      <c r="N18" s="67"/>
      <c r="O18" s="149" t="s">
        <v>7027</v>
      </c>
      <c r="P18" s="129" t="s">
        <v>7038</v>
      </c>
      <c r="Q18" s="128"/>
    </row>
    <row r="19" spans="1:17" s="110" customFormat="1" ht="18.75">
      <c r="A19" s="150" t="s">
        <v>7043</v>
      </c>
      <c r="B19" s="151">
        <v>1</v>
      </c>
      <c r="C19" s="152">
        <v>0.375</v>
      </c>
      <c r="D19" s="153">
        <v>202400680</v>
      </c>
      <c r="E19" s="153" t="s">
        <v>2990</v>
      </c>
      <c r="F19" s="153" t="s">
        <v>1176</v>
      </c>
      <c r="G19" s="153" t="s">
        <v>2991</v>
      </c>
      <c r="H19" s="153" t="s">
        <v>2993</v>
      </c>
      <c r="I19" s="132" t="s">
        <v>2994</v>
      </c>
      <c r="J19" s="153" t="s">
        <v>450</v>
      </c>
      <c r="K19" s="153" t="s">
        <v>2995</v>
      </c>
      <c r="L19" s="154" t="s">
        <v>2996</v>
      </c>
      <c r="M19" s="153" t="s">
        <v>2997</v>
      </c>
      <c r="N19" s="149" t="s">
        <v>2998</v>
      </c>
      <c r="O19" s="149" t="s">
        <v>7027</v>
      </c>
      <c r="P19" s="150" t="s">
        <v>7018</v>
      </c>
      <c r="Q19" s="155"/>
    </row>
    <row r="20" spans="1:17" ht="18.75">
      <c r="A20" s="156" t="s">
        <v>7044</v>
      </c>
      <c r="B20" s="157">
        <v>4</v>
      </c>
      <c r="C20" s="158">
        <v>0.5625</v>
      </c>
      <c r="D20" s="159">
        <v>202401099</v>
      </c>
      <c r="E20" s="159" t="s">
        <v>1184</v>
      </c>
      <c r="F20" s="159" t="s">
        <v>1176</v>
      </c>
      <c r="G20" s="159" t="s">
        <v>1185</v>
      </c>
      <c r="H20" s="159" t="s">
        <v>1187</v>
      </c>
      <c r="I20" s="143" t="s">
        <v>1188</v>
      </c>
      <c r="J20" s="68" t="s">
        <v>445</v>
      </c>
      <c r="K20" s="68" t="s">
        <v>1189</v>
      </c>
      <c r="L20" s="133"/>
      <c r="M20" s="68" t="s">
        <v>1190</v>
      </c>
      <c r="N20" s="69"/>
      <c r="O20" s="67" t="s">
        <v>7027</v>
      </c>
      <c r="P20" s="129" t="s">
        <v>7018</v>
      </c>
      <c r="Q20" s="128"/>
    </row>
    <row r="21" spans="1:17" ht="15" customHeight="1">
      <c r="A21" s="787" t="s">
        <v>7045</v>
      </c>
      <c r="B21" s="788"/>
      <c r="C21" s="788"/>
      <c r="D21" s="788"/>
      <c r="E21" s="788"/>
      <c r="F21" s="788"/>
      <c r="G21" s="788"/>
      <c r="H21" s="792" t="s">
        <v>7046</v>
      </c>
    </row>
    <row r="22" spans="1:17" ht="15" customHeight="1">
      <c r="A22" s="782" t="s">
        <v>7047</v>
      </c>
      <c r="B22" s="783"/>
      <c r="C22" s="783"/>
      <c r="D22" s="783"/>
      <c r="E22" s="783"/>
      <c r="F22" s="783"/>
      <c r="G22" s="783"/>
      <c r="H22" s="792"/>
    </row>
    <row r="23" spans="1:17" ht="15" customHeight="1">
      <c r="A23" s="782"/>
      <c r="B23" s="783"/>
      <c r="C23" s="783"/>
      <c r="D23" s="783"/>
      <c r="E23" s="783"/>
      <c r="F23" s="783"/>
      <c r="G23" s="784"/>
    </row>
    <row r="24" spans="1:17" ht="15" customHeight="1">
      <c r="A24" s="782"/>
      <c r="B24" s="783"/>
      <c r="C24" s="783"/>
      <c r="D24" s="783"/>
      <c r="E24" s="783"/>
      <c r="F24" s="783"/>
      <c r="G24" s="784"/>
    </row>
    <row r="25" spans="1:17" ht="18.75" customHeight="1">
      <c r="A25" s="782"/>
      <c r="B25" s="783"/>
      <c r="C25" s="783"/>
      <c r="D25" s="783"/>
      <c r="E25" s="785"/>
      <c r="F25" s="785"/>
      <c r="G25" s="786"/>
    </row>
    <row r="26" spans="1:17">
      <c r="A26" s="789" t="s">
        <v>7048</v>
      </c>
      <c r="B26" s="789"/>
      <c r="C26" s="789"/>
      <c r="D26" s="789"/>
    </row>
    <row r="27" spans="1:17" ht="15.75">
      <c r="A27" s="789"/>
      <c r="B27" s="789"/>
      <c r="C27" s="789"/>
      <c r="D27" s="789"/>
      <c r="G27" s="791" t="s">
        <v>7049</v>
      </c>
      <c r="H27" s="791"/>
    </row>
    <row r="28" spans="1:17">
      <c r="A28" s="789"/>
      <c r="B28" s="789"/>
      <c r="C28" s="789"/>
      <c r="D28" s="789"/>
    </row>
    <row r="29" spans="1:17">
      <c r="A29" s="790"/>
      <c r="B29" s="790"/>
      <c r="C29" s="790"/>
      <c r="D29" s="790"/>
    </row>
    <row r="30" spans="1:17">
      <c r="A30" s="161" t="s">
        <v>7050</v>
      </c>
      <c r="B30" s="160" t="s">
        <v>7051</v>
      </c>
      <c r="C30" s="160"/>
      <c r="D30" s="160"/>
      <c r="E30" s="160"/>
    </row>
  </sheetData>
  <protectedRanges>
    <protectedRange sqref="C1:O1" name="Range1"/>
    <protectedRange sqref="J4 C2:J3 K2:N2 C20:N20" name="Range1_1"/>
    <protectedRange sqref="C4:G6 H4:I4 H5:J6 K6:N6" name="Range1_2"/>
    <protectedRange sqref="C7:J7" name="Range1_3"/>
    <protectedRange sqref="C8:J8" name="Range1_4"/>
    <protectedRange sqref="C9:J9" name="Range1_5"/>
    <protectedRange sqref="C10:J10 K7:N10 K3:N5 K12:N12" name="Range1_6"/>
    <protectedRange sqref="C11:N11" name="Range1_7"/>
    <protectedRange sqref="C12:J12" name="Range1_8"/>
    <protectedRange sqref="A13 D13:N13" name="Range1_11"/>
    <protectedRange sqref="C15 C14:N14" name="Range1_12"/>
    <protectedRange sqref="C16:J16 D15:J15 K15:N16" name="Range1_13"/>
    <protectedRange sqref="C17:N17" name="Range1_15"/>
    <protectedRange sqref="C18:N18" name="Range1_16"/>
    <protectedRange sqref="C19:N19" name="Range1_17"/>
  </protectedRanges>
  <autoFilter ref="A1:P30" xr:uid="{6B30067E-B44E-44A5-9876-8C82286838B2}"/>
  <mergeCells count="6">
    <mergeCell ref="A13:G13"/>
    <mergeCell ref="A22:G25"/>
    <mergeCell ref="A21:G21"/>
    <mergeCell ref="A26:D29"/>
    <mergeCell ref="G27:H27"/>
    <mergeCell ref="H21:H22"/>
  </mergeCells>
  <conditionalFormatting sqref="E14:E20 E1:E12">
    <cfRule type="duplicateValues" dxfId="8" priority="282"/>
  </conditionalFormatting>
  <conditionalFormatting sqref="H1:H20">
    <cfRule type="duplicateValues" dxfId="7" priority="295"/>
  </conditionalFormatting>
  <conditionalFormatting sqref="H1:I20">
    <cfRule type="cellIs" dxfId="6" priority="2" operator="equal">
      <formula>0</formula>
    </cfRule>
  </conditionalFormatting>
  <hyperlinks>
    <hyperlink ref="I18" r:id="rId1" xr:uid="{F7F8EBFA-B57D-43A7-864C-7F3A89725B45}"/>
    <hyperlink ref="I19" r:id="rId2" xr:uid="{E26C7D5C-3127-4BE3-A962-C7C0C2DCFC04}"/>
    <hyperlink ref="I2" r:id="rId3" xr:uid="{9D646C17-73A7-4398-9D87-06E62AC7B7C6}"/>
    <hyperlink ref="I20" r:id="rId4" xr:uid="{3DDE9C5F-B06C-47D7-B61D-5D65E775BF95}"/>
    <hyperlink ref="I14" r:id="rId5" xr:uid="{4C90A99D-6525-4E78-9937-CB0D26FE155B}"/>
    <hyperlink ref="B30" r:id="rId6" xr:uid="{B3A711D3-4F58-4FBE-A4E1-646A90A7F992}"/>
  </hyperlinks>
  <pageMargins left="0.7" right="0.7" top="0.75" bottom="0.75" header="0.3" footer="0.3"/>
  <drawing r:id="rId7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E251C-877B-49EF-8AAC-BDAE8B3C1FF4}">
  <sheetPr codeName="Planilha20">
    <pageSetUpPr fitToPage="1"/>
  </sheetPr>
  <dimension ref="A1:P27"/>
  <sheetViews>
    <sheetView workbookViewId="0">
      <selection activeCell="D2" sqref="D2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46.85546875" bestFit="1" customWidth="1"/>
    <col min="5" max="5" width="18.5703125" customWidth="1"/>
    <col min="6" max="6" width="17.8554687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13.85546875" bestFit="1" customWidth="1"/>
    <col min="12" max="12" width="26.7109375" bestFit="1" customWidth="1"/>
    <col min="13" max="13" width="15.85546875" bestFit="1" customWidth="1"/>
    <col min="14" max="14" width="10.85546875" bestFit="1" customWidth="1"/>
    <col min="15" max="15" width="11.85546875" bestFit="1" customWidth="1"/>
  </cols>
  <sheetData>
    <row r="1" spans="1:16" ht="30">
      <c r="A1" s="217" t="s">
        <v>514</v>
      </c>
      <c r="B1" s="218" t="s">
        <v>515</v>
      </c>
      <c r="C1" s="218" t="s">
        <v>0</v>
      </c>
      <c r="D1" s="218" t="s">
        <v>516</v>
      </c>
      <c r="E1" s="218" t="s">
        <v>517</v>
      </c>
      <c r="F1" s="218" t="s">
        <v>518</v>
      </c>
      <c r="G1" s="218" t="s">
        <v>519</v>
      </c>
      <c r="H1" s="219" t="s">
        <v>520</v>
      </c>
      <c r="I1" s="218" t="s">
        <v>521</v>
      </c>
      <c r="J1" s="218" t="s">
        <v>522</v>
      </c>
      <c r="K1" s="218" t="s">
        <v>523</v>
      </c>
      <c r="L1" s="218" t="s">
        <v>524</v>
      </c>
      <c r="M1" s="235" t="s">
        <v>525</v>
      </c>
      <c r="N1" s="218" t="s">
        <v>0</v>
      </c>
      <c r="O1" s="218" t="s">
        <v>1</v>
      </c>
      <c r="P1" s="202"/>
    </row>
    <row r="2" spans="1:16">
      <c r="A2" s="236">
        <v>0.625</v>
      </c>
      <c r="B2" s="25">
        <v>0.5</v>
      </c>
      <c r="C2" s="97">
        <v>202401099</v>
      </c>
      <c r="D2" s="97" t="s">
        <v>1219</v>
      </c>
      <c r="E2" s="97" t="s">
        <v>1176</v>
      </c>
      <c r="F2" s="97" t="s">
        <v>1185</v>
      </c>
      <c r="G2" s="97" t="s">
        <v>1221</v>
      </c>
      <c r="H2" s="186" t="s">
        <v>1222</v>
      </c>
      <c r="I2" s="97" t="s">
        <v>470</v>
      </c>
      <c r="J2" s="97" t="s">
        <v>1223</v>
      </c>
      <c r="K2" s="187" t="s">
        <v>1224</v>
      </c>
      <c r="L2" s="97" t="s">
        <v>1225</v>
      </c>
      <c r="M2" s="13" t="s">
        <v>7052</v>
      </c>
      <c r="N2" s="70"/>
      <c r="O2" s="240"/>
    </row>
    <row r="3" spans="1:16">
      <c r="A3" s="236"/>
      <c r="B3" s="26"/>
      <c r="C3" s="45"/>
      <c r="D3" s="274"/>
      <c r="E3" s="37"/>
      <c r="F3" s="169"/>
      <c r="G3" s="13"/>
      <c r="H3" s="13"/>
      <c r="I3" s="45"/>
      <c r="J3" s="74"/>
      <c r="K3" s="84"/>
      <c r="L3" s="74"/>
      <c r="M3" s="13"/>
      <c r="N3" s="70"/>
      <c r="O3" s="240"/>
    </row>
    <row r="4" spans="1:16">
      <c r="A4" s="236"/>
      <c r="B4" s="76"/>
      <c r="C4" s="45"/>
      <c r="D4" s="275"/>
      <c r="E4" s="37"/>
      <c r="F4" s="169"/>
      <c r="G4" s="13"/>
      <c r="H4" s="13"/>
      <c r="I4" s="45"/>
      <c r="J4" s="74"/>
      <c r="K4" s="84"/>
      <c r="L4" s="74"/>
      <c r="M4" s="13"/>
      <c r="N4" s="70"/>
      <c r="O4" s="240"/>
    </row>
    <row r="5" spans="1:16">
      <c r="A5" s="236"/>
      <c r="B5" s="239"/>
      <c r="C5" s="70"/>
      <c r="D5" s="242"/>
      <c r="E5" s="276"/>
      <c r="F5" s="295"/>
      <c r="G5" s="13"/>
      <c r="H5" s="13"/>
      <c r="I5" s="249"/>
      <c r="J5" s="237"/>
      <c r="K5" s="70"/>
      <c r="L5" s="70"/>
      <c r="M5" s="13"/>
      <c r="N5" s="70"/>
      <c r="O5" s="240"/>
    </row>
    <row r="6" spans="1:16">
      <c r="A6" s="13"/>
      <c r="B6" s="13"/>
      <c r="C6" s="34"/>
      <c r="D6" s="13"/>
      <c r="E6" s="34"/>
      <c r="F6" s="36"/>
      <c r="G6" s="13"/>
      <c r="H6" s="13"/>
      <c r="I6" s="173"/>
      <c r="J6" s="13"/>
      <c r="K6" s="13"/>
      <c r="L6" s="13"/>
      <c r="M6" s="13"/>
      <c r="N6" s="13"/>
      <c r="O6" s="13"/>
    </row>
    <row r="7" spans="1:16">
      <c r="A7" s="13"/>
      <c r="B7" s="13"/>
      <c r="C7" s="13"/>
      <c r="D7" s="13"/>
      <c r="E7" s="13"/>
      <c r="F7" s="13"/>
      <c r="G7" s="34"/>
      <c r="H7" s="34"/>
      <c r="I7" s="13"/>
      <c r="J7" s="13"/>
      <c r="K7" s="13"/>
      <c r="L7" s="13"/>
      <c r="M7" s="13"/>
      <c r="N7" s="13"/>
      <c r="O7" s="13"/>
    </row>
    <row r="8" spans="1:16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>
      <c r="A9" s="637" t="s">
        <v>538</v>
      </c>
      <c r="B9" s="637"/>
      <c r="C9" s="637">
        <v>1</v>
      </c>
      <c r="D9" s="637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>
      <c r="A10" s="637"/>
      <c r="B10" s="637"/>
      <c r="C10" s="637"/>
      <c r="D10" s="637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>
      <c r="A11" s="637"/>
      <c r="B11" s="637"/>
      <c r="C11" s="637"/>
      <c r="D11" s="637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637" t="s">
        <v>539</v>
      </c>
      <c r="B12" s="637"/>
      <c r="C12" s="637">
        <v>1</v>
      </c>
      <c r="D12" s="637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637"/>
      <c r="B13" s="637"/>
      <c r="C13" s="637"/>
      <c r="D13" s="63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>
      <c r="A14" s="637"/>
      <c r="B14" s="637"/>
      <c r="C14" s="637"/>
      <c r="D14" s="637"/>
    </row>
    <row r="15" spans="1:16" ht="15" customHeight="1">
      <c r="A15" s="191"/>
      <c r="B15" s="191"/>
      <c r="C15" s="191"/>
      <c r="D15" s="191"/>
      <c r="E15" s="191"/>
      <c r="F15" s="191"/>
      <c r="G15" s="191"/>
      <c r="H15" s="793" t="s">
        <v>540</v>
      </c>
      <c r="I15" s="794"/>
      <c r="J15" s="794"/>
      <c r="K15" s="795"/>
      <c r="L15" s="611" t="s">
        <v>541</v>
      </c>
      <c r="M15" s="611"/>
      <c r="N15" s="611"/>
      <c r="O15" s="611"/>
      <c r="P15" s="191"/>
    </row>
    <row r="16" spans="1:16">
      <c r="A16" s="796" t="s">
        <v>542</v>
      </c>
      <c r="B16" s="797"/>
      <c r="C16" s="797"/>
      <c r="D16" s="797"/>
      <c r="E16" s="797"/>
      <c r="F16" s="797"/>
      <c r="G16" s="798"/>
      <c r="H16" s="612"/>
      <c r="I16" s="613"/>
      <c r="J16" s="613"/>
      <c r="K16" s="614"/>
      <c r="L16" s="611"/>
      <c r="M16" s="611"/>
      <c r="N16" s="611"/>
      <c r="O16" s="611"/>
      <c r="P16" s="191"/>
    </row>
    <row r="17" spans="1:16">
      <c r="A17" s="203" t="s">
        <v>543</v>
      </c>
      <c r="B17" s="204" t="s">
        <v>544</v>
      </c>
      <c r="C17" s="204" t="s">
        <v>545</v>
      </c>
      <c r="D17" s="799" t="s">
        <v>546</v>
      </c>
      <c r="E17" s="800"/>
      <c r="F17" s="204" t="s">
        <v>545</v>
      </c>
      <c r="G17" s="205" t="s">
        <v>547</v>
      </c>
      <c r="H17" s="206" t="s">
        <v>548</v>
      </c>
      <c r="I17" s="191"/>
      <c r="J17" s="191"/>
      <c r="K17" s="191"/>
      <c r="L17" s="611"/>
      <c r="M17" s="611"/>
      <c r="N17" s="611"/>
      <c r="O17" s="611"/>
      <c r="P17" s="191"/>
    </row>
    <row r="18" spans="1:16">
      <c r="A18" s="208" t="s">
        <v>7053</v>
      </c>
      <c r="B18" s="212" t="s">
        <v>549</v>
      </c>
      <c r="C18" s="210">
        <v>0.58333333333333337</v>
      </c>
      <c r="D18" s="615" t="s">
        <v>7054</v>
      </c>
      <c r="E18" s="616"/>
      <c r="F18" s="210">
        <v>0.625</v>
      </c>
      <c r="G18" s="211">
        <v>65.8</v>
      </c>
      <c r="H18" s="617">
        <v>11.4</v>
      </c>
      <c r="I18" s="618" t="s">
        <v>3219</v>
      </c>
      <c r="J18" s="618"/>
      <c r="K18" s="619"/>
      <c r="L18" s="611"/>
      <c r="M18" s="611"/>
      <c r="N18" s="611"/>
      <c r="O18" s="611"/>
      <c r="P18" s="191"/>
    </row>
    <row r="19" spans="1:16">
      <c r="A19" s="213"/>
      <c r="B19" s="244" t="s">
        <v>470</v>
      </c>
      <c r="C19" s="210">
        <v>0.64583333333333337</v>
      </c>
      <c r="D19" s="624" t="s">
        <v>549</v>
      </c>
      <c r="E19" s="616"/>
      <c r="F19" s="210">
        <v>0.69444444444444442</v>
      </c>
      <c r="G19" s="211">
        <v>65.8</v>
      </c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213"/>
      <c r="B20" s="245"/>
      <c r="C20" s="215"/>
      <c r="D20" s="624"/>
      <c r="E20" s="616"/>
      <c r="F20" s="210"/>
      <c r="G20" s="211"/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625" t="s">
        <v>551</v>
      </c>
      <c r="B21" s="626"/>
      <c r="C21" s="626"/>
      <c r="D21" s="626"/>
      <c r="E21" s="626"/>
      <c r="F21" s="627"/>
      <c r="G21" s="226">
        <f>SUM(G18:G20)</f>
        <v>131.6</v>
      </c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191"/>
      <c r="B22" s="191"/>
      <c r="C22" s="191"/>
      <c r="D22" s="191"/>
      <c r="E22" s="191"/>
      <c r="F22" s="191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655" t="s">
        <v>552</v>
      </c>
      <c r="B23" s="656"/>
      <c r="C23" s="656"/>
      <c r="D23" s="656"/>
      <c r="E23" s="656"/>
      <c r="F23" s="656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28" t="s">
        <v>553</v>
      </c>
      <c r="B24" s="629"/>
      <c r="C24" s="630"/>
      <c r="D24" s="628" t="s">
        <v>554</v>
      </c>
      <c r="E24" s="629"/>
      <c r="F24" s="631"/>
      <c r="G24" s="191"/>
      <c r="H24" s="191"/>
      <c r="I24" s="620"/>
      <c r="J24" s="620"/>
      <c r="K24" s="621"/>
      <c r="L24" s="191"/>
      <c r="M24" s="191"/>
      <c r="N24" s="191"/>
      <c r="O24" s="191"/>
      <c r="P24" s="191"/>
    </row>
    <row r="25" spans="1:16">
      <c r="A25" s="632">
        <v>0.5</v>
      </c>
      <c r="B25" s="633"/>
      <c r="C25" s="634"/>
      <c r="D25" s="635">
        <v>0.58333333333333337</v>
      </c>
      <c r="E25" s="633"/>
      <c r="F25" s="636"/>
      <c r="G25" s="191"/>
      <c r="H25" s="191"/>
      <c r="I25" s="622"/>
      <c r="J25" s="622"/>
      <c r="K25" s="623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</sheetData>
  <protectedRanges>
    <protectedRange sqref="J10" name="Range1"/>
    <protectedRange sqref="K10" name="Range1_1"/>
    <protectedRange sqref="E5" name="Range1_4"/>
    <protectedRange sqref="E11" name="Range1_9"/>
    <protectedRange sqref="E12" name="Range1_10"/>
    <protectedRange sqref="F11" name="Range1_11"/>
    <protectedRange sqref="F12" name="Range1_12"/>
    <protectedRange sqref="G11" name="Range1_13"/>
    <protectedRange sqref="G12" name="Range1_14"/>
    <protectedRange sqref="D5" name="Range1_15"/>
    <protectedRange sqref="C5 N2:N5" name="Range1_15_1"/>
    <protectedRange sqref="B5" name="Range1_15_2"/>
    <protectedRange sqref="F5" name="Range1_15_6"/>
    <protectedRange sqref="G5" name="Range1_15_10"/>
    <protectedRange sqref="H5" name="Range1_15_14"/>
    <protectedRange sqref="I5" name="Range1_15_18"/>
    <protectedRange sqref="J5" name="Range1_15_22"/>
    <protectedRange sqref="K5:L5" name="Range1_15_26"/>
    <protectedRange sqref="J3:J4" name="Range1_15_27"/>
    <protectedRange sqref="L3:L4" name="Range1_15_29"/>
    <protectedRange sqref="K3" name="Range1_15_31"/>
    <protectedRange sqref="K4" name="Range1_15_34"/>
    <protectedRange sqref="I3" name="Range1_15_37"/>
    <protectedRange sqref="I4" name="Range1_15_38"/>
    <protectedRange sqref="H3" name="Range1_15_40"/>
    <protectedRange sqref="H4" name="Range1_15_41"/>
    <protectedRange sqref="G3" name="Range1_15_43"/>
    <protectedRange sqref="G4" name="Range1_15_44"/>
    <protectedRange sqref="F3" name="Range1_15_46"/>
    <protectedRange sqref="F4" name="Range1_15_47"/>
    <protectedRange sqref="D3:D4" name="Range1_15_48"/>
    <protectedRange sqref="C3" name="Range1_15_50"/>
    <protectedRange sqref="C4" name="Range1_15_51"/>
    <protectedRange sqref="B2:B4" name="Range1_15_52"/>
    <protectedRange sqref="D9:D10 D12:D13" name="Range1_7_1"/>
    <protectedRange sqref="C9:C10 C12:C13" name="Range1_8_1"/>
    <protectedRange sqref="C2:D2" name="Range1_2"/>
    <protectedRange sqref="E2" name="Range1_3"/>
    <protectedRange sqref="F2" name="Range1_5"/>
    <protectedRange sqref="G2" name="Range1_6"/>
    <protectedRange sqref="H2" name="Range1_7"/>
    <protectedRange sqref="I2" name="Range1_8"/>
    <protectedRange sqref="J2" name="Range1_16"/>
    <protectedRange sqref="K2" name="Range1_17"/>
    <protectedRange sqref="L2" name="Range1_18"/>
  </protectedRanges>
  <autoFilter ref="A1:P1" xr:uid="{F09CEF7E-7F6A-43A3-80C5-483E49D4AA6D}"/>
  <mergeCells count="20">
    <mergeCell ref="A9:B11"/>
    <mergeCell ref="C9:D11"/>
    <mergeCell ref="A12:B14"/>
    <mergeCell ref="C12:D14"/>
    <mergeCell ref="H15:K15"/>
    <mergeCell ref="L15:O21"/>
    <mergeCell ref="A16:G16"/>
    <mergeCell ref="H16:K16"/>
    <mergeCell ref="D17:E17"/>
    <mergeCell ref="D18:E18"/>
    <mergeCell ref="H18:H21"/>
    <mergeCell ref="I18:K25"/>
    <mergeCell ref="D19:E19"/>
    <mergeCell ref="D20:E20"/>
    <mergeCell ref="A21:F21"/>
    <mergeCell ref="A23:F23"/>
    <mergeCell ref="A24:C24"/>
    <mergeCell ref="D24:F24"/>
    <mergeCell ref="A25:C25"/>
    <mergeCell ref="D25:F25"/>
  </mergeCells>
  <conditionalFormatting sqref="D5">
    <cfRule type="duplicateValues" dxfId="5" priority="18"/>
  </conditionalFormatting>
  <conditionalFormatting sqref="D3:D4">
    <cfRule type="duplicateValues" dxfId="4" priority="5"/>
  </conditionalFormatting>
  <conditionalFormatting sqref="D2">
    <cfRule type="duplicateValues" dxfId="3" priority="4"/>
  </conditionalFormatting>
  <conditionalFormatting sqref="G2">
    <cfRule type="cellIs" dxfId="2" priority="2" operator="equal">
      <formula>0</formula>
    </cfRule>
  </conditionalFormatting>
  <conditionalFormatting sqref="G2">
    <cfRule type="duplicateValues" dxfId="1" priority="3"/>
  </conditionalFormatting>
  <conditionalFormatting sqref="H2">
    <cfRule type="cellIs" dxfId="0" priority="1" operator="equal">
      <formula>0</formula>
    </cfRule>
  </conditionalFormatting>
  <hyperlinks>
    <hyperlink ref="H2" r:id="rId1" xr:uid="{C1F30026-ACDC-4BB3-8295-E663730B41B5}"/>
  </hyperlinks>
  <pageMargins left="0.25" right="0.25" top="0.75" bottom="0.75" header="0.3" footer="0.3"/>
  <pageSetup paperSize="9"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24FEDD-E45C-4CD2-98BC-13A2C4DCB5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 Vieira Farias</dc:creator>
  <cp:keywords/>
  <dc:description/>
  <cp:lastModifiedBy/>
  <cp:revision/>
  <dcterms:created xsi:type="dcterms:W3CDTF">2025-05-26T14:07:42Z</dcterms:created>
  <dcterms:modified xsi:type="dcterms:W3CDTF">2025-12-18T18:55:55Z</dcterms:modified>
  <cp:category/>
  <cp:contentStatus/>
</cp:coreProperties>
</file>